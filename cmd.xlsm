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tho\Desktop\"/>
    </mc:Choice>
  </mc:AlternateContent>
  <xr:revisionPtr revIDLastSave="0" documentId="13_ncr:1_{4F489A0A-01DD-458F-ADC0-DA589F60A591}" xr6:coauthVersionLast="45" xr6:coauthVersionMax="45" xr10:uidLastSave="{00000000-0000-0000-0000-000000000000}"/>
  <bookViews>
    <workbookView xWindow="-120" yWindow="-120" windowWidth="29040" windowHeight="15990" tabRatio="933" firstSheet="2" activeTab="3" xr2:uid="{00000000-000D-0000-FFFF-FFFF00000000}"/>
  </bookViews>
  <sheets>
    <sheet name="ADMIN2" sheetId="6" state="hidden" r:id="rId1"/>
    <sheet name="BL" sheetId="14" state="hidden" r:id="rId2"/>
    <sheet name="ADMIN1" sheetId="27" r:id="rId3"/>
    <sheet name="BON_COMMANDE" sheetId="21" r:id="rId4"/>
    <sheet name="BON_FACTURE" sheetId="22" r:id="rId5"/>
    <sheet name="FACTURE" sheetId="20" state="hidden" r:id="rId6"/>
    <sheet name="BDD" sheetId="15" state="hidden" r:id="rId7"/>
    <sheet name="CATALOGUE" sheetId="17" state="hidden" r:id="rId8"/>
    <sheet name="COMPTA" sheetId="5" state="hidden" r:id="rId9"/>
    <sheet name="POIDS" sheetId="7" state="hidden" r:id="rId10"/>
    <sheet name="PAL" sheetId="8" state="hidden" r:id="rId11"/>
    <sheet name="PEDIDO" sheetId="9" state="hidden" r:id="rId12"/>
    <sheet name="STG" sheetId="10" state="hidden" r:id="rId13"/>
  </sheets>
  <functionGroups builtInGroupCount="19"/>
  <externalReferences>
    <externalReference r:id="rId14"/>
  </externalReferences>
  <definedNames>
    <definedName name="_xlnm._FilterDatabase" localSheetId="2" hidden="1">ADMIN1!$U$11:$AK$262</definedName>
    <definedName name="_xlnm._FilterDatabase" localSheetId="1" hidden="1">BL!$A$5:$D$240</definedName>
    <definedName name="_xlnm._FilterDatabase" localSheetId="3" hidden="1">BON_COMMANDE!#REF!</definedName>
    <definedName name="_xlnm._FilterDatabase" localSheetId="4" hidden="1">BON_FACTURE!#REF!</definedName>
    <definedName name="_xlnm._FilterDatabase" localSheetId="7" hidden="1">CATALOGUE!$B$4:$G$254</definedName>
    <definedName name="_xlnm._FilterDatabase" localSheetId="5" hidden="1">FACTURE!$A$8:$F$257</definedName>
    <definedName name="_xlnm._FilterDatabase" localSheetId="11" hidden="1">PEDIDO!$A$3:$D$169</definedName>
    <definedName name="AVOIR" localSheetId="3">BON_COMMANDE!$E$6</definedName>
    <definedName name="AVOIR" localSheetId="4">BON_FACTURE!$E$6</definedName>
    <definedName name="AVOIR">FACTURE!$E$5</definedName>
    <definedName name="base" localSheetId="10">#REF!</definedName>
    <definedName name="Bases" localSheetId="10">#REF!</definedName>
    <definedName name="BDD" localSheetId="10">#REF!</definedName>
    <definedName name="code" localSheetId="10">#REF!</definedName>
    <definedName name="DEPT" localSheetId="2">ADMIN1!$X$2</definedName>
    <definedName name="DEPT">#REF!</definedName>
    <definedName name="FDP_1" localSheetId="2">[1]ADMIN2!$F$5</definedName>
    <definedName name="FDP_1">ADMIN2!$F$5</definedName>
    <definedName name="FDP_2" localSheetId="2">[1]ADMIN2!$F$6</definedName>
    <definedName name="FDP_2">ADMIN2!$F$6</definedName>
    <definedName name="FDP_3" localSheetId="2">[1]ADMIN2!$F$7</definedName>
    <definedName name="FDP_3">ADMIN2!$F$7</definedName>
    <definedName name="FDP_CMD" localSheetId="2">[1]ADMIN2!$F$8</definedName>
    <definedName name="FDP_CMD">ADMIN2!$F$8</definedName>
    <definedName name="FDP_CMD_KG" localSheetId="2">[1]ADMIN2!$F$9</definedName>
    <definedName name="FDP_CMD_KG">ADMIN2!$F$9</definedName>
    <definedName name="FDP_FACT_AUT" localSheetId="2">[1]ADMIN2!$F$11</definedName>
    <definedName name="FDP_FACT_AUT">ADMIN2!$F$11</definedName>
    <definedName name="FDP_FACT_KG" localSheetId="2">[1]ADMIN2!$F$13</definedName>
    <definedName name="FDP_FACT_KG">ADMIN2!$F$13</definedName>
    <definedName name="FDP_FACT_MAN" localSheetId="2">[1]ADMIN2!$F$12</definedName>
    <definedName name="FDP_FACT_MAN">ADMIN2!$F$12</definedName>
    <definedName name="FRS_ADM" localSheetId="2">[1]ADMIN2!$F$2</definedName>
    <definedName name="FRS_ADM">ADMIN2!$F$2</definedName>
    <definedName name="_xlnm.Print_Titles" localSheetId="3">BON_COMMANDE!#REF!</definedName>
    <definedName name="_xlnm.Print_Titles" localSheetId="4">BON_FACTURE!#REF!</definedName>
    <definedName name="_xlnm.Print_Titles" localSheetId="7">CATALOGUE!$4:$4</definedName>
    <definedName name="_xlnm.Print_Titles" localSheetId="5">FACTURE!$8:$8</definedName>
    <definedName name="_xlnm.Print_Titles" localSheetId="10">PAL!$1:$2</definedName>
    <definedName name="_xlnm.Print_Titles" localSheetId="11">PEDIDO!$1:$3</definedName>
    <definedName name="_xlnm.Print_Titles" localSheetId="9">POIDS!$1:$2</definedName>
    <definedName name="IND_GAZ" localSheetId="2">[1]ADMIN2!$F$1</definedName>
    <definedName name="IND_GAZ">ADMIN2!$F$1</definedName>
    <definedName name="LOT_DE_6_PAIRES_DE_MI_CHAUSSETTES_ENFANT_TENNIS" localSheetId="10">#NAME?</definedName>
    <definedName name="PDS_CMD_ARR" localSheetId="2">[1]ADMIN2!$F$4</definedName>
    <definedName name="PDS_CMD_ARR">ADMIN2!$F$4</definedName>
    <definedName name="PDS_FACT_ARR" localSheetId="2">[1]ADMIN2!$F$10</definedName>
    <definedName name="PDS_FACT_ARR">ADMIN2!$F$10</definedName>
    <definedName name="QTE_CMD" localSheetId="2">ADMIN1!$AI$9</definedName>
    <definedName name="QTE_CMD">#REF!</definedName>
    <definedName name="QTE_FACT" localSheetId="2">ADMIN1!$AM$9</definedName>
    <definedName name="QTE_FACT">#REF!</definedName>
    <definedName name="RDV_SAN" localSheetId="2">[1]ADMIN2!$F$3</definedName>
    <definedName name="RDV_SAN">ADMIN2!$F$3</definedName>
    <definedName name="reduc1" localSheetId="2">[1]ADMIN2!$B$2</definedName>
    <definedName name="reduc1">ADMIN2!$B$2</definedName>
    <definedName name="reduc2" localSheetId="2">[1]ADMIN2!$B$3</definedName>
    <definedName name="reduc2">ADMIN2!$B$3</definedName>
    <definedName name="reduc3" localSheetId="2">[1]ADMIN2!$B$4</definedName>
    <definedName name="reduc3">ADMIN2!$B$4</definedName>
    <definedName name="rep" localSheetId="10">#REF!</definedName>
    <definedName name="SocieteVille" localSheetId="10">#NAME?</definedName>
    <definedName name="TOT_FACT" localSheetId="2">ADMIN1!$AO$9</definedName>
    <definedName name="TOT_FACT">#REF!</definedName>
    <definedName name="TOT_FDP_1" localSheetId="2">[1]ADMIN2!$G$5</definedName>
    <definedName name="TOT_FDP_1">ADMIN2!$G$5</definedName>
    <definedName name="TOT_FDP_2" localSheetId="2">[1]ADMIN2!$G$6</definedName>
    <definedName name="TOT_FDP_2">ADMIN2!$G$6</definedName>
    <definedName name="TOT_FDP_3" localSheetId="2">[1]ADMIN2!$G$7</definedName>
    <definedName name="TOT_FDP_3">ADMIN2!$G$7</definedName>
    <definedName name="TOT_FDP_4" localSheetId="2">[1]ADMIN2!$H$5</definedName>
    <definedName name="TOT_FDP_4">ADMIN2!$H$5</definedName>
    <definedName name="TOT_FDP_5" localSheetId="2">[1]ADMIN2!$H$6</definedName>
    <definedName name="TOT_FDP_5">ADMIN2!$H$6</definedName>
    <definedName name="TOT_FDP_6" localSheetId="2">[1]ADMIN2!$H$7</definedName>
    <definedName name="TOT_FDP_6">ADMIN2!$H$7</definedName>
    <definedName name="_xlnm.Print_Area" localSheetId="3">BON_COMMANDE!$B$2:$F$12</definedName>
    <definedName name="_xlnm.Print_Area" localSheetId="4">BON_FACTURE!$B$2:$F$12</definedName>
  </definedNames>
  <calcPr calcId="191029"/>
</workbook>
</file>

<file path=xl/calcChain.xml><?xml version="1.0" encoding="utf-8"?>
<calcChain xmlns="http://schemas.openxmlformats.org/spreadsheetml/2006/main">
  <c r="DA262" i="27" l="1"/>
  <c r="CX262" i="27"/>
  <c r="CU262" i="27"/>
  <c r="CR262" i="27"/>
  <c r="CO262" i="27"/>
  <c r="CL262" i="27"/>
  <c r="CI262" i="27"/>
  <c r="CF262" i="27"/>
  <c r="CC262" i="27"/>
  <c r="BZ262" i="27"/>
  <c r="BW262" i="27"/>
  <c r="BT262" i="27"/>
  <c r="BQ262" i="27"/>
  <c r="BN262" i="27"/>
  <c r="BK262" i="27"/>
  <c r="BH262" i="27"/>
  <c r="BE262" i="27"/>
  <c r="BB262" i="27"/>
  <c r="AY262" i="27"/>
  <c r="AV262" i="27"/>
  <c r="AH262" i="27"/>
  <c r="AG262" i="27"/>
  <c r="AF262" i="27"/>
  <c r="AE262" i="27"/>
  <c r="AD262" i="27"/>
  <c r="AC262" i="27"/>
  <c r="AB262" i="27"/>
  <c r="AA262" i="27"/>
  <c r="Z262" i="27"/>
  <c r="Y262" i="27"/>
  <c r="X262" i="27"/>
  <c r="W262" i="27"/>
  <c r="V262" i="27"/>
  <c r="DA261" i="27"/>
  <c r="CX261" i="27"/>
  <c r="CU261" i="27"/>
  <c r="CR261" i="27"/>
  <c r="CO261" i="27"/>
  <c r="CL261" i="27"/>
  <c r="CI261" i="27"/>
  <c r="CF261" i="27"/>
  <c r="CC261" i="27"/>
  <c r="BZ261" i="27"/>
  <c r="BW261" i="27"/>
  <c r="BT261" i="27"/>
  <c r="BQ261" i="27"/>
  <c r="BN261" i="27"/>
  <c r="BK261" i="27"/>
  <c r="BH261" i="27"/>
  <c r="BE261" i="27"/>
  <c r="BB261" i="27"/>
  <c r="AY261" i="27"/>
  <c r="AV261" i="27"/>
  <c r="AH261" i="27"/>
  <c r="AG261" i="27"/>
  <c r="AF261" i="27"/>
  <c r="AE261" i="27"/>
  <c r="AD261" i="27"/>
  <c r="AJ261" i="27" s="1"/>
  <c r="AC261" i="27"/>
  <c r="AB261" i="27"/>
  <c r="AA261" i="27"/>
  <c r="Z261" i="27"/>
  <c r="AN261" i="27" s="1"/>
  <c r="AO261" i="27" s="1"/>
  <c r="Y261" i="27"/>
  <c r="X261" i="27"/>
  <c r="W261" i="27"/>
  <c r="V261" i="27"/>
  <c r="DA260" i="27"/>
  <c r="CX260" i="27"/>
  <c r="CU260" i="27"/>
  <c r="CR260" i="27"/>
  <c r="CO260" i="27"/>
  <c r="CL260" i="27"/>
  <c r="CI260" i="27"/>
  <c r="CF260" i="27"/>
  <c r="CC260" i="27"/>
  <c r="BZ260" i="27"/>
  <c r="BW260" i="27"/>
  <c r="BT260" i="27"/>
  <c r="BQ260" i="27"/>
  <c r="BN260" i="27"/>
  <c r="BK260" i="27"/>
  <c r="BH260" i="27"/>
  <c r="BE260" i="27"/>
  <c r="BB260" i="27"/>
  <c r="AY260" i="27"/>
  <c r="AV260" i="27"/>
  <c r="AH260" i="27"/>
  <c r="AG260" i="27"/>
  <c r="AF260" i="27"/>
  <c r="AE260" i="27"/>
  <c r="AD260" i="27"/>
  <c r="AC260" i="27"/>
  <c r="AB260" i="27"/>
  <c r="AA260" i="27"/>
  <c r="Z260" i="27"/>
  <c r="Y260" i="27"/>
  <c r="X260" i="27"/>
  <c r="W260" i="27"/>
  <c r="V260" i="27"/>
  <c r="DA259" i="27"/>
  <c r="CX259" i="27"/>
  <c r="CU259" i="27"/>
  <c r="CR259" i="27"/>
  <c r="CO259" i="27"/>
  <c r="CL259" i="27"/>
  <c r="CI259" i="27"/>
  <c r="CF259" i="27"/>
  <c r="CC259" i="27"/>
  <c r="BZ259" i="27"/>
  <c r="BW259" i="27"/>
  <c r="BT259" i="27"/>
  <c r="BQ259" i="27"/>
  <c r="BN259" i="27"/>
  <c r="BK259" i="27"/>
  <c r="BH259" i="27"/>
  <c r="BE259" i="27"/>
  <c r="BB259" i="27"/>
  <c r="AY259" i="27"/>
  <c r="AV259" i="27"/>
  <c r="AH259" i="27"/>
  <c r="AG259" i="27"/>
  <c r="AF259" i="27"/>
  <c r="AE259" i="27"/>
  <c r="AD259" i="27"/>
  <c r="AJ259" i="27" s="1"/>
  <c r="AC259" i="27"/>
  <c r="AB259" i="27"/>
  <c r="AA259" i="27"/>
  <c r="Z259" i="27"/>
  <c r="AN259" i="27" s="1"/>
  <c r="AO259" i="27" s="1"/>
  <c r="Y259" i="27"/>
  <c r="X259" i="27"/>
  <c r="W259" i="27"/>
  <c r="V259" i="27"/>
  <c r="DA258" i="27"/>
  <c r="CX258" i="27"/>
  <c r="CU258" i="27"/>
  <c r="CR258" i="27"/>
  <c r="CO258" i="27"/>
  <c r="CL258" i="27"/>
  <c r="CI258" i="27"/>
  <c r="CF258" i="27"/>
  <c r="CC258" i="27"/>
  <c r="BZ258" i="27"/>
  <c r="BW258" i="27"/>
  <c r="BT258" i="27"/>
  <c r="BQ258" i="27"/>
  <c r="BN258" i="27"/>
  <c r="BK258" i="27"/>
  <c r="BH258" i="27"/>
  <c r="BE258" i="27"/>
  <c r="BB258" i="27"/>
  <c r="AY258" i="27"/>
  <c r="AV258" i="27"/>
  <c r="AH258" i="27"/>
  <c r="AG258" i="27"/>
  <c r="AF258" i="27"/>
  <c r="AE258" i="27"/>
  <c r="AD258" i="27"/>
  <c r="AC258" i="27"/>
  <c r="AB258" i="27"/>
  <c r="AA258" i="27"/>
  <c r="Z258" i="27"/>
  <c r="Y258" i="27"/>
  <c r="X258" i="27"/>
  <c r="W258" i="27"/>
  <c r="V258" i="27"/>
  <c r="DA257" i="27"/>
  <c r="CX257" i="27"/>
  <c r="CU257" i="27"/>
  <c r="CR257" i="27"/>
  <c r="CO257" i="27"/>
  <c r="CL257" i="27"/>
  <c r="CI257" i="27"/>
  <c r="CF257" i="27"/>
  <c r="CC257" i="27"/>
  <c r="BZ257" i="27"/>
  <c r="BW257" i="27"/>
  <c r="BT257" i="27"/>
  <c r="BQ257" i="27"/>
  <c r="BN257" i="27"/>
  <c r="BK257" i="27"/>
  <c r="BH257" i="27"/>
  <c r="BE257" i="27"/>
  <c r="BB257" i="27"/>
  <c r="AY257" i="27"/>
  <c r="AV257" i="27"/>
  <c r="AH257" i="27"/>
  <c r="AG257" i="27"/>
  <c r="AF257" i="27"/>
  <c r="AE257" i="27"/>
  <c r="AD257" i="27"/>
  <c r="AC257" i="27"/>
  <c r="AB257" i="27"/>
  <c r="AA257" i="27"/>
  <c r="Z257" i="27"/>
  <c r="Y257" i="27"/>
  <c r="X257" i="27"/>
  <c r="W257" i="27"/>
  <c r="V257" i="27"/>
  <c r="DA256" i="27"/>
  <c r="CX256" i="27"/>
  <c r="CU256" i="27"/>
  <c r="CR256" i="27"/>
  <c r="CO256" i="27"/>
  <c r="CL256" i="27"/>
  <c r="CI256" i="27"/>
  <c r="CF256" i="27"/>
  <c r="CC256" i="27"/>
  <c r="BZ256" i="27"/>
  <c r="BW256" i="27"/>
  <c r="BT256" i="27"/>
  <c r="BQ256" i="27"/>
  <c r="BN256" i="27"/>
  <c r="BK256" i="27"/>
  <c r="BH256" i="27"/>
  <c r="BE256" i="27"/>
  <c r="BB256" i="27"/>
  <c r="AY256" i="27"/>
  <c r="AV256" i="27"/>
  <c r="AH256" i="27"/>
  <c r="AG256" i="27"/>
  <c r="AF256" i="27"/>
  <c r="AE256" i="27"/>
  <c r="AD256" i="27"/>
  <c r="AJ256" i="27" s="1"/>
  <c r="AC256" i="27"/>
  <c r="AB256" i="27"/>
  <c r="AA256" i="27"/>
  <c r="Z256" i="27"/>
  <c r="Y256" i="27"/>
  <c r="X256" i="27"/>
  <c r="W256" i="27"/>
  <c r="V256" i="27"/>
  <c r="DA255" i="27"/>
  <c r="CX255" i="27"/>
  <c r="CU255" i="27"/>
  <c r="CR255" i="27"/>
  <c r="CO255" i="27"/>
  <c r="CL255" i="27"/>
  <c r="CI255" i="27"/>
  <c r="CF255" i="27"/>
  <c r="CC255" i="27"/>
  <c r="BZ255" i="27"/>
  <c r="BW255" i="27"/>
  <c r="BT255" i="27"/>
  <c r="BQ255" i="27"/>
  <c r="BN255" i="27"/>
  <c r="BK255" i="27"/>
  <c r="BH255" i="27"/>
  <c r="BE255" i="27"/>
  <c r="BB255" i="27"/>
  <c r="AY255" i="27"/>
  <c r="AV255" i="27"/>
  <c r="AH255" i="27"/>
  <c r="AG255" i="27"/>
  <c r="AF255" i="27"/>
  <c r="AE255" i="27"/>
  <c r="AD255" i="27"/>
  <c r="AC255" i="27"/>
  <c r="AB255" i="27"/>
  <c r="AA255" i="27"/>
  <c r="Z255" i="27"/>
  <c r="Y255" i="27"/>
  <c r="X255" i="27"/>
  <c r="W255" i="27"/>
  <c r="V255" i="27"/>
  <c r="DA254" i="27"/>
  <c r="CX254" i="27"/>
  <c r="CU254" i="27"/>
  <c r="CR254" i="27"/>
  <c r="CO254" i="27"/>
  <c r="CL254" i="27"/>
  <c r="CI254" i="27"/>
  <c r="CF254" i="27"/>
  <c r="CC254" i="27"/>
  <c r="BZ254" i="27"/>
  <c r="BW254" i="27"/>
  <c r="BT254" i="27"/>
  <c r="BQ254" i="27"/>
  <c r="BN254" i="27"/>
  <c r="BK254" i="27"/>
  <c r="BH254" i="27"/>
  <c r="BE254" i="27"/>
  <c r="BB254" i="27"/>
  <c r="AY254" i="27"/>
  <c r="AV254" i="27"/>
  <c r="AH254" i="27"/>
  <c r="AG254" i="27"/>
  <c r="AF254" i="27"/>
  <c r="AE254" i="27"/>
  <c r="AD254" i="27"/>
  <c r="AC254" i="27"/>
  <c r="AB254" i="27"/>
  <c r="AA254" i="27"/>
  <c r="Z254" i="27"/>
  <c r="Y254" i="27"/>
  <c r="X254" i="27"/>
  <c r="W254" i="27"/>
  <c r="V254" i="27"/>
  <c r="DA253" i="27"/>
  <c r="CX253" i="27"/>
  <c r="CU253" i="27"/>
  <c r="CR253" i="27"/>
  <c r="CO253" i="27"/>
  <c r="CL253" i="27"/>
  <c r="CI253" i="27"/>
  <c r="CF253" i="27"/>
  <c r="CC253" i="27"/>
  <c r="BZ253" i="27"/>
  <c r="BW253" i="27"/>
  <c r="BT253" i="27"/>
  <c r="BQ253" i="27"/>
  <c r="BN253" i="27"/>
  <c r="BK253" i="27"/>
  <c r="BH253" i="27"/>
  <c r="BE253" i="27"/>
  <c r="BB253" i="27"/>
  <c r="AY253" i="27"/>
  <c r="AV253" i="27"/>
  <c r="AH253" i="27"/>
  <c r="AG253" i="27"/>
  <c r="AF253" i="27"/>
  <c r="AE253" i="27"/>
  <c r="AD253" i="27"/>
  <c r="AC253" i="27"/>
  <c r="AB253" i="27"/>
  <c r="AA253" i="27"/>
  <c r="Z253" i="27"/>
  <c r="Y253" i="27"/>
  <c r="X253" i="27"/>
  <c r="W253" i="27"/>
  <c r="V253" i="27"/>
  <c r="DA252" i="27"/>
  <c r="CX252" i="27"/>
  <c r="CU252" i="27"/>
  <c r="CR252" i="27"/>
  <c r="CO252" i="27"/>
  <c r="CL252" i="27"/>
  <c r="CI252" i="27"/>
  <c r="CF252" i="27"/>
  <c r="CC252" i="27"/>
  <c r="BZ252" i="27"/>
  <c r="BW252" i="27"/>
  <c r="BT252" i="27"/>
  <c r="BQ252" i="27"/>
  <c r="BN252" i="27"/>
  <c r="BK252" i="27"/>
  <c r="BH252" i="27"/>
  <c r="BE252" i="27"/>
  <c r="BB252" i="27"/>
  <c r="AY252" i="27"/>
  <c r="AV252" i="27"/>
  <c r="AH252" i="27"/>
  <c r="AG252" i="27"/>
  <c r="AF252" i="27"/>
  <c r="AE252" i="27"/>
  <c r="AD252" i="27"/>
  <c r="AC252" i="27"/>
  <c r="AB252" i="27"/>
  <c r="AJ252" i="27" s="1"/>
  <c r="AA252" i="27"/>
  <c r="Z252" i="27"/>
  <c r="Y252" i="27"/>
  <c r="X252" i="27"/>
  <c r="W252" i="27"/>
  <c r="V252" i="27"/>
  <c r="DA251" i="27"/>
  <c r="CX251" i="27"/>
  <c r="CU251" i="27"/>
  <c r="CR251" i="27"/>
  <c r="CO251" i="27"/>
  <c r="CL251" i="27"/>
  <c r="CI251" i="27"/>
  <c r="CF251" i="27"/>
  <c r="CC251" i="27"/>
  <c r="BZ251" i="27"/>
  <c r="BW251" i="27"/>
  <c r="BT251" i="27"/>
  <c r="BQ251" i="27"/>
  <c r="BN251" i="27"/>
  <c r="BK251" i="27"/>
  <c r="BH251" i="27"/>
  <c r="BE251" i="27"/>
  <c r="BB251" i="27"/>
  <c r="AY251" i="27"/>
  <c r="AV251" i="27"/>
  <c r="AH251" i="27"/>
  <c r="AG251" i="27"/>
  <c r="AF251" i="27"/>
  <c r="AE251" i="27"/>
  <c r="AD251" i="27"/>
  <c r="AC251" i="27"/>
  <c r="AB251" i="27"/>
  <c r="AA251" i="27"/>
  <c r="Z251" i="27"/>
  <c r="Y251" i="27"/>
  <c r="X251" i="27"/>
  <c r="W251" i="27"/>
  <c r="V251" i="27"/>
  <c r="DA250" i="27"/>
  <c r="CX250" i="27"/>
  <c r="CU250" i="27"/>
  <c r="CR250" i="27"/>
  <c r="CO250" i="27"/>
  <c r="CL250" i="27"/>
  <c r="CI250" i="27"/>
  <c r="CF250" i="27"/>
  <c r="CC250" i="27"/>
  <c r="BZ250" i="27"/>
  <c r="BW250" i="27"/>
  <c r="BT250" i="27"/>
  <c r="BQ250" i="27"/>
  <c r="BN250" i="27"/>
  <c r="BK250" i="27"/>
  <c r="BH250" i="27"/>
  <c r="BE250" i="27"/>
  <c r="BB250" i="27"/>
  <c r="AY250" i="27"/>
  <c r="AV250" i="27"/>
  <c r="AH250" i="27"/>
  <c r="AG250" i="27"/>
  <c r="AF250" i="27"/>
  <c r="AE250" i="27"/>
  <c r="AD250" i="27"/>
  <c r="AJ250" i="27" s="1"/>
  <c r="AC250" i="27"/>
  <c r="AB250" i="27"/>
  <c r="AA250" i="27"/>
  <c r="Z250" i="27"/>
  <c r="AN250" i="27" s="1"/>
  <c r="AO250" i="27" s="1"/>
  <c r="Y250" i="27"/>
  <c r="X250" i="27"/>
  <c r="W250" i="27"/>
  <c r="V250" i="27"/>
  <c r="DA249" i="27"/>
  <c r="CX249" i="27"/>
  <c r="CU249" i="27"/>
  <c r="CR249" i="27"/>
  <c r="CO249" i="27"/>
  <c r="CL249" i="27"/>
  <c r="CI249" i="27"/>
  <c r="CF249" i="27"/>
  <c r="CC249" i="27"/>
  <c r="BZ249" i="27"/>
  <c r="BW249" i="27"/>
  <c r="BT249" i="27"/>
  <c r="BQ249" i="27"/>
  <c r="BN249" i="27"/>
  <c r="BK249" i="27"/>
  <c r="BH249" i="27"/>
  <c r="BE249" i="27"/>
  <c r="BB249" i="27"/>
  <c r="AY249" i="27"/>
  <c r="AV249" i="27"/>
  <c r="AH249" i="27"/>
  <c r="AG249" i="27"/>
  <c r="AF249" i="27"/>
  <c r="AE249" i="27"/>
  <c r="AD249" i="27"/>
  <c r="AC249" i="27"/>
  <c r="AB249" i="27"/>
  <c r="AA249" i="27"/>
  <c r="Z249" i="27"/>
  <c r="Y249" i="27"/>
  <c r="X249" i="27"/>
  <c r="W249" i="27"/>
  <c r="V249" i="27"/>
  <c r="DA248" i="27"/>
  <c r="CX248" i="27"/>
  <c r="CU248" i="27"/>
  <c r="CR248" i="27"/>
  <c r="CO248" i="27"/>
  <c r="CL248" i="27"/>
  <c r="CI248" i="27"/>
  <c r="CF248" i="27"/>
  <c r="CC248" i="27"/>
  <c r="BZ248" i="27"/>
  <c r="BW248" i="27"/>
  <c r="BT248" i="27"/>
  <c r="BQ248" i="27"/>
  <c r="BN248" i="27"/>
  <c r="BK248" i="27"/>
  <c r="BH248" i="27"/>
  <c r="BE248" i="27"/>
  <c r="BB248" i="27"/>
  <c r="AY248" i="27"/>
  <c r="AI248" i="27" s="1"/>
  <c r="AV248" i="27"/>
  <c r="AH248" i="27"/>
  <c r="AG248" i="27"/>
  <c r="AF248" i="27"/>
  <c r="AE248" i="27"/>
  <c r="AD248" i="27"/>
  <c r="AC248" i="27"/>
  <c r="AB248" i="27"/>
  <c r="AA248" i="27"/>
  <c r="Z248" i="27"/>
  <c r="Y248" i="27"/>
  <c r="X248" i="27"/>
  <c r="W248" i="27"/>
  <c r="V248" i="27"/>
  <c r="DA247" i="27"/>
  <c r="CX247" i="27"/>
  <c r="CU247" i="27"/>
  <c r="CR247" i="27"/>
  <c r="CO247" i="27"/>
  <c r="CL247" i="27"/>
  <c r="CI247" i="27"/>
  <c r="CF247" i="27"/>
  <c r="CC247" i="27"/>
  <c r="BZ247" i="27"/>
  <c r="BW247" i="27"/>
  <c r="BT247" i="27"/>
  <c r="BQ247" i="27"/>
  <c r="BN247" i="27"/>
  <c r="BK247" i="27"/>
  <c r="BH247" i="27"/>
  <c r="BE247" i="27"/>
  <c r="BB247" i="27"/>
  <c r="AY247" i="27"/>
  <c r="AV247" i="27"/>
  <c r="AH247" i="27"/>
  <c r="AG247" i="27"/>
  <c r="AF247" i="27"/>
  <c r="AE247" i="27"/>
  <c r="AD247" i="27"/>
  <c r="AJ247" i="27" s="1"/>
  <c r="AC247" i="27"/>
  <c r="AB247" i="27"/>
  <c r="AA247" i="27"/>
  <c r="Z247" i="27"/>
  <c r="Y247" i="27"/>
  <c r="X247" i="27"/>
  <c r="W247" i="27"/>
  <c r="V247" i="27"/>
  <c r="DA246" i="27"/>
  <c r="CX246" i="27"/>
  <c r="CU246" i="27"/>
  <c r="CR246" i="27"/>
  <c r="CO246" i="27"/>
  <c r="CL246" i="27"/>
  <c r="CI246" i="27"/>
  <c r="CF246" i="27"/>
  <c r="CC246" i="27"/>
  <c r="BZ246" i="27"/>
  <c r="BW246" i="27"/>
  <c r="BT246" i="27"/>
  <c r="BQ246" i="27"/>
  <c r="BN246" i="27"/>
  <c r="BK246" i="27"/>
  <c r="BH246" i="27"/>
  <c r="BE246" i="27"/>
  <c r="BB246" i="27"/>
  <c r="AY246" i="27"/>
  <c r="AV246" i="27"/>
  <c r="AI246" i="27" s="1"/>
  <c r="AH246" i="27"/>
  <c r="AG246" i="27"/>
  <c r="AF246" i="27"/>
  <c r="AE246" i="27"/>
  <c r="AD246" i="27"/>
  <c r="AC246" i="27"/>
  <c r="AB246" i="27"/>
  <c r="AA246" i="27"/>
  <c r="Z246" i="27"/>
  <c r="Y246" i="27"/>
  <c r="X246" i="27"/>
  <c r="W246" i="27"/>
  <c r="V246" i="27"/>
  <c r="DA245" i="27"/>
  <c r="CX245" i="27"/>
  <c r="CU245" i="27"/>
  <c r="CR245" i="27"/>
  <c r="CO245" i="27"/>
  <c r="CL245" i="27"/>
  <c r="CI245" i="27"/>
  <c r="CF245" i="27"/>
  <c r="CC245" i="27"/>
  <c r="BZ245" i="27"/>
  <c r="BW245" i="27"/>
  <c r="BT245" i="27"/>
  <c r="BQ245" i="27"/>
  <c r="BN245" i="27"/>
  <c r="BK245" i="27"/>
  <c r="BH245" i="27"/>
  <c r="BE245" i="27"/>
  <c r="BB245" i="27"/>
  <c r="AY245" i="27"/>
  <c r="AV245" i="27"/>
  <c r="AH245" i="27"/>
  <c r="AG245" i="27"/>
  <c r="AF245" i="27"/>
  <c r="AE245" i="27"/>
  <c r="AD245" i="27"/>
  <c r="AC245" i="27"/>
  <c r="AB245" i="27"/>
  <c r="AA245" i="27"/>
  <c r="Z245" i="27"/>
  <c r="Y245" i="27"/>
  <c r="X245" i="27"/>
  <c r="W245" i="27"/>
  <c r="V245" i="27"/>
  <c r="DA244" i="27"/>
  <c r="CX244" i="27"/>
  <c r="CU244" i="27"/>
  <c r="CR244" i="27"/>
  <c r="CO244" i="27"/>
  <c r="CL244" i="27"/>
  <c r="CI244" i="27"/>
  <c r="CF244" i="27"/>
  <c r="CC244" i="27"/>
  <c r="BZ244" i="27"/>
  <c r="BW244" i="27"/>
  <c r="BT244" i="27"/>
  <c r="BQ244" i="27"/>
  <c r="BN244" i="27"/>
  <c r="BK244" i="27"/>
  <c r="BH244" i="27"/>
  <c r="BE244" i="27"/>
  <c r="BB244" i="27"/>
  <c r="AY244" i="27"/>
  <c r="AV244" i="27"/>
  <c r="AJ244" i="27"/>
  <c r="AH244" i="27"/>
  <c r="AG244" i="27"/>
  <c r="AF244" i="27"/>
  <c r="AE244" i="27"/>
  <c r="AD244" i="27"/>
  <c r="AC244" i="27"/>
  <c r="AB244" i="27"/>
  <c r="AA244" i="27"/>
  <c r="Z244" i="27"/>
  <c r="Y244" i="27"/>
  <c r="X244" i="27"/>
  <c r="W244" i="27"/>
  <c r="V244" i="27"/>
  <c r="DA243" i="27"/>
  <c r="CX243" i="27"/>
  <c r="CU243" i="27"/>
  <c r="CR243" i="27"/>
  <c r="CO243" i="27"/>
  <c r="CL243" i="27"/>
  <c r="CI243" i="27"/>
  <c r="CF243" i="27"/>
  <c r="CC243" i="27"/>
  <c r="BZ243" i="27"/>
  <c r="BW243" i="27"/>
  <c r="BT243" i="27"/>
  <c r="BQ243" i="27"/>
  <c r="BN243" i="27"/>
  <c r="BK243" i="27"/>
  <c r="BH243" i="27"/>
  <c r="BE243" i="27"/>
  <c r="BB243" i="27"/>
  <c r="AY243" i="27"/>
  <c r="AI243" i="27" s="1"/>
  <c r="CY243" i="27" s="1"/>
  <c r="AV243" i="27"/>
  <c r="AH243" i="27"/>
  <c r="AG243" i="27"/>
  <c r="AF243" i="27"/>
  <c r="AN243" i="27" s="1"/>
  <c r="AO243" i="27" s="1"/>
  <c r="AE243" i="27"/>
  <c r="AD243" i="27"/>
  <c r="AC243" i="27"/>
  <c r="AB243" i="27"/>
  <c r="AA243" i="27"/>
  <c r="Z243" i="27"/>
  <c r="Y243" i="27"/>
  <c r="X243" i="27"/>
  <c r="W243" i="27"/>
  <c r="V243" i="27"/>
  <c r="DA242" i="27"/>
  <c r="CX242" i="27"/>
  <c r="CU242" i="27"/>
  <c r="CR242" i="27"/>
  <c r="CO242" i="27"/>
  <c r="CL242" i="27"/>
  <c r="CI242" i="27"/>
  <c r="CF242" i="27"/>
  <c r="CC242" i="27"/>
  <c r="BZ242" i="27"/>
  <c r="BW242" i="27"/>
  <c r="BT242" i="27"/>
  <c r="BQ242" i="27"/>
  <c r="BN242" i="27"/>
  <c r="BK242" i="27"/>
  <c r="BH242" i="27"/>
  <c r="BE242" i="27"/>
  <c r="BB242" i="27"/>
  <c r="AY242" i="27"/>
  <c r="AV242" i="27"/>
  <c r="AH242" i="27"/>
  <c r="AG242" i="27"/>
  <c r="AN242" i="27" s="1"/>
  <c r="AO242" i="27" s="1"/>
  <c r="AF242" i="27"/>
  <c r="AE242" i="27"/>
  <c r="AD242" i="27"/>
  <c r="AC242" i="27"/>
  <c r="AB242" i="27"/>
  <c r="AA242" i="27"/>
  <c r="Z242" i="27"/>
  <c r="Y242" i="27"/>
  <c r="X242" i="27"/>
  <c r="W242" i="27"/>
  <c r="V242" i="27"/>
  <c r="DA241" i="27"/>
  <c r="CX241" i="27"/>
  <c r="CU241" i="27"/>
  <c r="CR241" i="27"/>
  <c r="CO241" i="27"/>
  <c r="CL241" i="27"/>
  <c r="CI241" i="27"/>
  <c r="CF241" i="27"/>
  <c r="CC241" i="27"/>
  <c r="BZ241" i="27"/>
  <c r="BW241" i="27"/>
  <c r="BT241" i="27"/>
  <c r="BQ241" i="27"/>
  <c r="BN241" i="27"/>
  <c r="BK241" i="27"/>
  <c r="BH241" i="27"/>
  <c r="BE241" i="27"/>
  <c r="BB241" i="27"/>
  <c r="AY241" i="27"/>
  <c r="AV241" i="27"/>
  <c r="AH241" i="27"/>
  <c r="AG241" i="27"/>
  <c r="AF241" i="27"/>
  <c r="AE241" i="27"/>
  <c r="AD241" i="27"/>
  <c r="AC241" i="27"/>
  <c r="AB241" i="27"/>
  <c r="AA241" i="27"/>
  <c r="Z241" i="27"/>
  <c r="Y241" i="27"/>
  <c r="X241" i="27"/>
  <c r="W241" i="27"/>
  <c r="V241" i="27"/>
  <c r="DA240" i="27"/>
  <c r="CX240" i="27"/>
  <c r="CU240" i="27"/>
  <c r="CR240" i="27"/>
  <c r="CO240" i="27"/>
  <c r="CL240" i="27"/>
  <c r="CI240" i="27"/>
  <c r="CF240" i="27"/>
  <c r="CC240" i="27"/>
  <c r="BZ240" i="27"/>
  <c r="BW240" i="27"/>
  <c r="BT240" i="27"/>
  <c r="BQ240" i="27"/>
  <c r="BN240" i="27"/>
  <c r="BK240" i="27"/>
  <c r="BH240" i="27"/>
  <c r="BE240" i="27"/>
  <c r="BB240" i="27"/>
  <c r="AY240" i="27"/>
  <c r="AV240" i="27"/>
  <c r="AH240" i="27"/>
  <c r="AG240" i="27"/>
  <c r="AF240" i="27"/>
  <c r="AE240" i="27"/>
  <c r="AD240" i="27"/>
  <c r="AC240" i="27"/>
  <c r="AB240" i="27"/>
  <c r="AA240" i="27"/>
  <c r="Z240" i="27"/>
  <c r="Y240" i="27"/>
  <c r="X240" i="27"/>
  <c r="W240" i="27"/>
  <c r="V240" i="27"/>
  <c r="DA239" i="27"/>
  <c r="CX239" i="27"/>
  <c r="CU239" i="27"/>
  <c r="CR239" i="27"/>
  <c r="CO239" i="27"/>
  <c r="CL239" i="27"/>
  <c r="CI239" i="27"/>
  <c r="CF239" i="27"/>
  <c r="CC239" i="27"/>
  <c r="BZ239" i="27"/>
  <c r="BW239" i="27"/>
  <c r="BT239" i="27"/>
  <c r="BQ239" i="27"/>
  <c r="BN239" i="27"/>
  <c r="BK239" i="27"/>
  <c r="BH239" i="27"/>
  <c r="BE239" i="27"/>
  <c r="BB239" i="27"/>
  <c r="AY239" i="27"/>
  <c r="AI239" i="27" s="1"/>
  <c r="AV239" i="27"/>
  <c r="AH239" i="27"/>
  <c r="AG239" i="27"/>
  <c r="AF239" i="27"/>
  <c r="AN239" i="27" s="1"/>
  <c r="AO239" i="27" s="1"/>
  <c r="AE239" i="27"/>
  <c r="AD239" i="27"/>
  <c r="AC239" i="27"/>
  <c r="AB239" i="27"/>
  <c r="AJ239" i="27" s="1"/>
  <c r="AA239" i="27"/>
  <c r="Z239" i="27"/>
  <c r="Y239" i="27"/>
  <c r="X239" i="27"/>
  <c r="W239" i="27"/>
  <c r="V239" i="27"/>
  <c r="DA238" i="27"/>
  <c r="CX238" i="27"/>
  <c r="CU238" i="27"/>
  <c r="CR238" i="27"/>
  <c r="CO238" i="27"/>
  <c r="CL238" i="27"/>
  <c r="CI238" i="27"/>
  <c r="CF238" i="27"/>
  <c r="CC238" i="27"/>
  <c r="BZ238" i="27"/>
  <c r="BW238" i="27"/>
  <c r="BT238" i="27"/>
  <c r="BQ238" i="27"/>
  <c r="BN238" i="27"/>
  <c r="BK238" i="27"/>
  <c r="BH238" i="27"/>
  <c r="BE238" i="27"/>
  <c r="BB238" i="27"/>
  <c r="AY238" i="27"/>
  <c r="AV238" i="27"/>
  <c r="AH238" i="27"/>
  <c r="AG238" i="27"/>
  <c r="AF238" i="27"/>
  <c r="AE238" i="27"/>
  <c r="AD238" i="27"/>
  <c r="AC238" i="27"/>
  <c r="AB238" i="27"/>
  <c r="AA238" i="27"/>
  <c r="Z238" i="27"/>
  <c r="Y238" i="27"/>
  <c r="X238" i="27"/>
  <c r="W238" i="27"/>
  <c r="V238" i="27"/>
  <c r="DA237" i="27"/>
  <c r="CX237" i="27"/>
  <c r="CU237" i="27"/>
  <c r="CR237" i="27"/>
  <c r="CO237" i="27"/>
  <c r="CL237" i="27"/>
  <c r="CI237" i="27"/>
  <c r="CF237" i="27"/>
  <c r="CC237" i="27"/>
  <c r="BZ237" i="27"/>
  <c r="BW237" i="27"/>
  <c r="BT237" i="27"/>
  <c r="BQ237" i="27"/>
  <c r="BN237" i="27"/>
  <c r="BK237" i="27"/>
  <c r="BH237" i="27"/>
  <c r="BE237" i="27"/>
  <c r="BB237" i="27"/>
  <c r="AY237" i="27"/>
  <c r="AV237" i="27"/>
  <c r="AH237" i="27"/>
  <c r="AG237" i="27"/>
  <c r="AF237" i="27"/>
  <c r="AE237" i="27"/>
  <c r="AD237" i="27"/>
  <c r="AC237" i="27"/>
  <c r="AB237" i="27"/>
  <c r="AA237" i="27"/>
  <c r="Z237" i="27"/>
  <c r="Y237" i="27"/>
  <c r="X237" i="27"/>
  <c r="W237" i="27"/>
  <c r="V237" i="27"/>
  <c r="DA236" i="27"/>
  <c r="CX236" i="27"/>
  <c r="CU236" i="27"/>
  <c r="CR236" i="27"/>
  <c r="CO236" i="27"/>
  <c r="CL236" i="27"/>
  <c r="CI236" i="27"/>
  <c r="CF236" i="27"/>
  <c r="CC236" i="27"/>
  <c r="BZ236" i="27"/>
  <c r="BW236" i="27"/>
  <c r="BT236" i="27"/>
  <c r="BQ236" i="27"/>
  <c r="BN236" i="27"/>
  <c r="BK236" i="27"/>
  <c r="BH236" i="27"/>
  <c r="BE236" i="27"/>
  <c r="BB236" i="27"/>
  <c r="AY236" i="27"/>
  <c r="AV236" i="27"/>
  <c r="AH236" i="27"/>
  <c r="AG236" i="27"/>
  <c r="AF236" i="27"/>
  <c r="AE236" i="27"/>
  <c r="AD236" i="27"/>
  <c r="AC236" i="27"/>
  <c r="AB236" i="27"/>
  <c r="AA236" i="27"/>
  <c r="Z236" i="27"/>
  <c r="Y236" i="27"/>
  <c r="X236" i="27"/>
  <c r="W236" i="27"/>
  <c r="V236" i="27"/>
  <c r="DA235" i="27"/>
  <c r="CX235" i="27"/>
  <c r="CU235" i="27"/>
  <c r="CR235" i="27"/>
  <c r="CO235" i="27"/>
  <c r="CL235" i="27"/>
  <c r="CI235" i="27"/>
  <c r="CF235" i="27"/>
  <c r="CC235" i="27"/>
  <c r="BZ235" i="27"/>
  <c r="BW235" i="27"/>
  <c r="BT235" i="27"/>
  <c r="BQ235" i="27"/>
  <c r="BN235" i="27"/>
  <c r="BK235" i="27"/>
  <c r="BH235" i="27"/>
  <c r="BE235" i="27"/>
  <c r="BB235" i="27"/>
  <c r="AY235" i="27"/>
  <c r="AV235" i="27"/>
  <c r="AH235" i="27"/>
  <c r="AG235" i="27"/>
  <c r="AF235" i="27"/>
  <c r="AN235" i="27" s="1"/>
  <c r="AO235" i="27" s="1"/>
  <c r="AE235" i="27"/>
  <c r="AD235" i="27"/>
  <c r="AC235" i="27"/>
  <c r="AB235" i="27"/>
  <c r="AJ235" i="27" s="1"/>
  <c r="AA235" i="27"/>
  <c r="Z235" i="27"/>
  <c r="Y235" i="27"/>
  <c r="X235" i="27"/>
  <c r="W235" i="27"/>
  <c r="V235" i="27"/>
  <c r="DA234" i="27"/>
  <c r="CX234" i="27"/>
  <c r="CU234" i="27"/>
  <c r="CR234" i="27"/>
  <c r="CO234" i="27"/>
  <c r="CL234" i="27"/>
  <c r="CI234" i="27"/>
  <c r="CF234" i="27"/>
  <c r="CC234" i="27"/>
  <c r="BZ234" i="27"/>
  <c r="BW234" i="27"/>
  <c r="BT234" i="27"/>
  <c r="BQ234" i="27"/>
  <c r="BN234" i="27"/>
  <c r="BK234" i="27"/>
  <c r="BH234" i="27"/>
  <c r="BE234" i="27"/>
  <c r="BB234" i="27"/>
  <c r="AI234" i="27" s="1"/>
  <c r="AY234" i="27"/>
  <c r="AV234" i="27"/>
  <c r="AH234" i="27"/>
  <c r="AG234" i="27"/>
  <c r="AN234" i="27" s="1"/>
  <c r="AO234" i="27" s="1"/>
  <c r="AF234" i="27"/>
  <c r="AE234" i="27"/>
  <c r="AD234" i="27"/>
  <c r="AC234" i="27"/>
  <c r="AB234" i="27"/>
  <c r="AA234" i="27"/>
  <c r="Z234" i="27"/>
  <c r="Y234" i="27"/>
  <c r="X234" i="27"/>
  <c r="W234" i="27"/>
  <c r="V234" i="27"/>
  <c r="DA233" i="27"/>
  <c r="CX233" i="27"/>
  <c r="CU233" i="27"/>
  <c r="CR233" i="27"/>
  <c r="CO233" i="27"/>
  <c r="CL233" i="27"/>
  <c r="CI233" i="27"/>
  <c r="CF233" i="27"/>
  <c r="CC233" i="27"/>
  <c r="BZ233" i="27"/>
  <c r="BW233" i="27"/>
  <c r="BT233" i="27"/>
  <c r="BQ233" i="27"/>
  <c r="BN233" i="27"/>
  <c r="BK233" i="27"/>
  <c r="BH233" i="27"/>
  <c r="BE233" i="27"/>
  <c r="BB233" i="27"/>
  <c r="AY233" i="27"/>
  <c r="AV233" i="27"/>
  <c r="AH233" i="27"/>
  <c r="AG233" i="27"/>
  <c r="AF233" i="27"/>
  <c r="AE233" i="27"/>
  <c r="AD233" i="27"/>
  <c r="AJ233" i="27" s="1"/>
  <c r="AC233" i="27"/>
  <c r="AB233" i="27"/>
  <c r="AA233" i="27"/>
  <c r="Z233" i="27"/>
  <c r="AN233" i="27" s="1"/>
  <c r="AO233" i="27" s="1"/>
  <c r="Y233" i="27"/>
  <c r="X233" i="27"/>
  <c r="W233" i="27"/>
  <c r="V233" i="27"/>
  <c r="DA232" i="27"/>
  <c r="CX232" i="27"/>
  <c r="CU232" i="27"/>
  <c r="CR232" i="27"/>
  <c r="CO232" i="27"/>
  <c r="CL232" i="27"/>
  <c r="CI232" i="27"/>
  <c r="CF232" i="27"/>
  <c r="CC232" i="27"/>
  <c r="BZ232" i="27"/>
  <c r="BW232" i="27"/>
  <c r="BT232" i="27"/>
  <c r="BQ232" i="27"/>
  <c r="BN232" i="27"/>
  <c r="BK232" i="27"/>
  <c r="BH232" i="27"/>
  <c r="BE232" i="27"/>
  <c r="BB232" i="27"/>
  <c r="AY232" i="27"/>
  <c r="AV232" i="27"/>
  <c r="AH232" i="27"/>
  <c r="AG232" i="27"/>
  <c r="AF232" i="27"/>
  <c r="AE232" i="27"/>
  <c r="AD232" i="27"/>
  <c r="AC232" i="27"/>
  <c r="AB232" i="27"/>
  <c r="AA232" i="27"/>
  <c r="Z232" i="27"/>
  <c r="Y232" i="27"/>
  <c r="X232" i="27"/>
  <c r="W232" i="27"/>
  <c r="V232" i="27"/>
  <c r="DA231" i="27"/>
  <c r="CX231" i="27"/>
  <c r="CU231" i="27"/>
  <c r="CR231" i="27"/>
  <c r="CO231" i="27"/>
  <c r="CL231" i="27"/>
  <c r="CI231" i="27"/>
  <c r="CF231" i="27"/>
  <c r="CC231" i="27"/>
  <c r="BZ231" i="27"/>
  <c r="BW231" i="27"/>
  <c r="BT231" i="27"/>
  <c r="BQ231" i="27"/>
  <c r="BN231" i="27"/>
  <c r="BK231" i="27"/>
  <c r="BH231" i="27"/>
  <c r="BE231" i="27"/>
  <c r="BB231" i="27"/>
  <c r="AY231" i="27"/>
  <c r="AI231" i="27" s="1"/>
  <c r="AV231" i="27"/>
  <c r="AH231" i="27"/>
  <c r="AG231" i="27"/>
  <c r="AF231" i="27"/>
  <c r="AE231" i="27"/>
  <c r="AD231" i="27"/>
  <c r="AC231" i="27"/>
  <c r="AB231" i="27"/>
  <c r="AA231" i="27"/>
  <c r="Z231" i="27"/>
  <c r="Y231" i="27"/>
  <c r="X231" i="27"/>
  <c r="W231" i="27"/>
  <c r="V231" i="27"/>
  <c r="DA230" i="27"/>
  <c r="CX230" i="27"/>
  <c r="CU230" i="27"/>
  <c r="CR230" i="27"/>
  <c r="CO230" i="27"/>
  <c r="CL230" i="27"/>
  <c r="CI230" i="27"/>
  <c r="CF230" i="27"/>
  <c r="CC230" i="27"/>
  <c r="BZ230" i="27"/>
  <c r="BW230" i="27"/>
  <c r="BT230" i="27"/>
  <c r="BQ230" i="27"/>
  <c r="BN230" i="27"/>
  <c r="BK230" i="27"/>
  <c r="BH230" i="27"/>
  <c r="BE230" i="27"/>
  <c r="BB230" i="27"/>
  <c r="AY230" i="27"/>
  <c r="AV230" i="27"/>
  <c r="AH230" i="27"/>
  <c r="AG230" i="27"/>
  <c r="AN230" i="27" s="1"/>
  <c r="AO230" i="27" s="1"/>
  <c r="AF230" i="27"/>
  <c r="AE230" i="27"/>
  <c r="AD230" i="27"/>
  <c r="AC230" i="27"/>
  <c r="AB230" i="27"/>
  <c r="AA230" i="27"/>
  <c r="Z230" i="27"/>
  <c r="Y230" i="27"/>
  <c r="X230" i="27"/>
  <c r="W230" i="27"/>
  <c r="V230" i="27"/>
  <c r="DA229" i="27"/>
  <c r="CX229" i="27"/>
  <c r="CU229" i="27"/>
  <c r="CR229" i="27"/>
  <c r="CO229" i="27"/>
  <c r="CL229" i="27"/>
  <c r="CI229" i="27"/>
  <c r="CF229" i="27"/>
  <c r="CC229" i="27"/>
  <c r="BZ229" i="27"/>
  <c r="BW229" i="27"/>
  <c r="BT229" i="27"/>
  <c r="BQ229" i="27"/>
  <c r="BN229" i="27"/>
  <c r="BK229" i="27"/>
  <c r="BH229" i="27"/>
  <c r="BE229" i="27"/>
  <c r="BB229" i="27"/>
  <c r="AY229" i="27"/>
  <c r="AV229" i="27"/>
  <c r="AH229" i="27"/>
  <c r="AG229" i="27"/>
  <c r="AF229" i="27"/>
  <c r="AE229" i="27"/>
  <c r="AD229" i="27"/>
  <c r="AJ229" i="27" s="1"/>
  <c r="AC229" i="27"/>
  <c r="AB229" i="27"/>
  <c r="AA229" i="27"/>
  <c r="Z229" i="27"/>
  <c r="AN229" i="27" s="1"/>
  <c r="AO229" i="27" s="1"/>
  <c r="Y229" i="27"/>
  <c r="X229" i="27"/>
  <c r="W229" i="27"/>
  <c r="V229" i="27"/>
  <c r="DA228" i="27"/>
  <c r="CX228" i="27"/>
  <c r="CU228" i="27"/>
  <c r="CR228" i="27"/>
  <c r="CO228" i="27"/>
  <c r="CL228" i="27"/>
  <c r="CI228" i="27"/>
  <c r="CF228" i="27"/>
  <c r="CC228" i="27"/>
  <c r="BZ228" i="27"/>
  <c r="BW228" i="27"/>
  <c r="BT228" i="27"/>
  <c r="BQ228" i="27"/>
  <c r="BN228" i="27"/>
  <c r="BK228" i="27"/>
  <c r="BH228" i="27"/>
  <c r="BE228" i="27"/>
  <c r="BB228" i="27"/>
  <c r="AY228" i="27"/>
  <c r="AV228" i="27"/>
  <c r="AH228" i="27"/>
  <c r="AG228" i="27"/>
  <c r="AF228" i="27"/>
  <c r="AE228" i="27"/>
  <c r="AD228" i="27"/>
  <c r="AC228" i="27"/>
  <c r="AB228" i="27"/>
  <c r="AA228" i="27"/>
  <c r="Z228" i="27"/>
  <c r="Y228" i="27"/>
  <c r="X228" i="27"/>
  <c r="W228" i="27"/>
  <c r="V228" i="27"/>
  <c r="DA227" i="27"/>
  <c r="CX227" i="27"/>
  <c r="CU227" i="27"/>
  <c r="CR227" i="27"/>
  <c r="CO227" i="27"/>
  <c r="CL227" i="27"/>
  <c r="CI227" i="27"/>
  <c r="CF227" i="27"/>
  <c r="CC227" i="27"/>
  <c r="BZ227" i="27"/>
  <c r="BW227" i="27"/>
  <c r="BT227" i="27"/>
  <c r="BQ227" i="27"/>
  <c r="BN227" i="27"/>
  <c r="BK227" i="27"/>
  <c r="BH227" i="27"/>
  <c r="BE227" i="27"/>
  <c r="BB227" i="27"/>
  <c r="AY227" i="27"/>
  <c r="AI227" i="27" s="1"/>
  <c r="AV227" i="27"/>
  <c r="AH227" i="27"/>
  <c r="AG227" i="27"/>
  <c r="AF227" i="27"/>
  <c r="AE227" i="27"/>
  <c r="AD227" i="27"/>
  <c r="AC227" i="27"/>
  <c r="AB227" i="27"/>
  <c r="AA227" i="27"/>
  <c r="Z227" i="27"/>
  <c r="Y227" i="27"/>
  <c r="X227" i="27"/>
  <c r="W227" i="27"/>
  <c r="V227" i="27"/>
  <c r="DA226" i="27"/>
  <c r="CX226" i="27"/>
  <c r="CU226" i="27"/>
  <c r="CR226" i="27"/>
  <c r="CO226" i="27"/>
  <c r="CL226" i="27"/>
  <c r="CI226" i="27"/>
  <c r="CF226" i="27"/>
  <c r="CC226" i="27"/>
  <c r="BZ226" i="27"/>
  <c r="BW226" i="27"/>
  <c r="BT226" i="27"/>
  <c r="BQ226" i="27"/>
  <c r="BN226" i="27"/>
  <c r="BK226" i="27"/>
  <c r="BH226" i="27"/>
  <c r="BE226" i="27"/>
  <c r="BB226" i="27"/>
  <c r="AY226" i="27"/>
  <c r="AV226" i="27"/>
  <c r="AH226" i="27"/>
  <c r="AG226" i="27"/>
  <c r="AF226" i="27"/>
  <c r="AE226" i="27"/>
  <c r="AD226" i="27"/>
  <c r="AC226" i="27"/>
  <c r="AB226" i="27"/>
  <c r="AA226" i="27"/>
  <c r="Z226" i="27"/>
  <c r="Y226" i="27"/>
  <c r="X226" i="27"/>
  <c r="W226" i="27"/>
  <c r="V226" i="27"/>
  <c r="DA225" i="27"/>
  <c r="CX225" i="27"/>
  <c r="CU225" i="27"/>
  <c r="CR225" i="27"/>
  <c r="CO225" i="27"/>
  <c r="CL225" i="27"/>
  <c r="CI225" i="27"/>
  <c r="CF225" i="27"/>
  <c r="CC225" i="27"/>
  <c r="BZ225" i="27"/>
  <c r="BW225" i="27"/>
  <c r="BT225" i="27"/>
  <c r="BQ225" i="27"/>
  <c r="BN225" i="27"/>
  <c r="BK225" i="27"/>
  <c r="BH225" i="27"/>
  <c r="BE225" i="27"/>
  <c r="BB225" i="27"/>
  <c r="AY225" i="27"/>
  <c r="AV225" i="27"/>
  <c r="AH225" i="27"/>
  <c r="AG225" i="27"/>
  <c r="AF225" i="27"/>
  <c r="AE225" i="27"/>
  <c r="AD225" i="27"/>
  <c r="AJ225" i="27" s="1"/>
  <c r="AC225" i="27"/>
  <c r="AB225" i="27"/>
  <c r="AA225" i="27"/>
  <c r="Z225" i="27"/>
  <c r="Y225" i="27"/>
  <c r="X225" i="27"/>
  <c r="W225" i="27"/>
  <c r="V225" i="27"/>
  <c r="DA224" i="27"/>
  <c r="CX224" i="27"/>
  <c r="CU224" i="27"/>
  <c r="CR224" i="27"/>
  <c r="CO224" i="27"/>
  <c r="CL224" i="27"/>
  <c r="CI224" i="27"/>
  <c r="CF224" i="27"/>
  <c r="CC224" i="27"/>
  <c r="BZ224" i="27"/>
  <c r="BW224" i="27"/>
  <c r="BT224" i="27"/>
  <c r="BQ224" i="27"/>
  <c r="BN224" i="27"/>
  <c r="BK224" i="27"/>
  <c r="BH224" i="27"/>
  <c r="BE224" i="27"/>
  <c r="BB224" i="27"/>
  <c r="AY224" i="27"/>
  <c r="AV224" i="27"/>
  <c r="AI224" i="27" s="1"/>
  <c r="CY224" i="27" s="1"/>
  <c r="AH224" i="27"/>
  <c r="AG224" i="27"/>
  <c r="AF224" i="27"/>
  <c r="AN224" i="27" s="1"/>
  <c r="AO224" i="27" s="1"/>
  <c r="AE224" i="27"/>
  <c r="AD224" i="27"/>
  <c r="AC224" i="27"/>
  <c r="AB224" i="27"/>
  <c r="AJ224" i="27" s="1"/>
  <c r="AA224" i="27"/>
  <c r="Z224" i="27"/>
  <c r="Y224" i="27"/>
  <c r="X224" i="27"/>
  <c r="W224" i="27"/>
  <c r="V224" i="27"/>
  <c r="DA223" i="27"/>
  <c r="CX223" i="27"/>
  <c r="CU223" i="27"/>
  <c r="CR223" i="27"/>
  <c r="CO223" i="27"/>
  <c r="CL223" i="27"/>
  <c r="CI223" i="27"/>
  <c r="CF223" i="27"/>
  <c r="CC223" i="27"/>
  <c r="BZ223" i="27"/>
  <c r="BW223" i="27"/>
  <c r="BT223" i="27"/>
  <c r="BQ223" i="27"/>
  <c r="BN223" i="27"/>
  <c r="BK223" i="27"/>
  <c r="BH223" i="27"/>
  <c r="BE223" i="27"/>
  <c r="BB223" i="27"/>
  <c r="AY223" i="27"/>
  <c r="AV223" i="27"/>
  <c r="AH223" i="27"/>
  <c r="AG223" i="27"/>
  <c r="AN223" i="27" s="1"/>
  <c r="AO223" i="27" s="1"/>
  <c r="AF223" i="27"/>
  <c r="AE223" i="27"/>
  <c r="AD223" i="27"/>
  <c r="AC223" i="27"/>
  <c r="AB223" i="27"/>
  <c r="AA223" i="27"/>
  <c r="Z223" i="27"/>
  <c r="Y223" i="27"/>
  <c r="X223" i="27"/>
  <c r="W223" i="27"/>
  <c r="V223" i="27"/>
  <c r="DA222" i="27"/>
  <c r="CX222" i="27"/>
  <c r="CU222" i="27"/>
  <c r="CR222" i="27"/>
  <c r="CO222" i="27"/>
  <c r="CL222" i="27"/>
  <c r="CI222" i="27"/>
  <c r="CF222" i="27"/>
  <c r="CC222" i="27"/>
  <c r="BZ222" i="27"/>
  <c r="BW222" i="27"/>
  <c r="BT222" i="27"/>
  <c r="BQ222" i="27"/>
  <c r="BN222" i="27"/>
  <c r="BK222" i="27"/>
  <c r="BH222" i="27"/>
  <c r="BE222" i="27"/>
  <c r="BB222" i="27"/>
  <c r="AY222" i="27"/>
  <c r="AV222" i="27"/>
  <c r="AH222" i="27"/>
  <c r="AG222" i="27"/>
  <c r="AF222" i="27"/>
  <c r="AE222" i="27"/>
  <c r="AD222" i="27"/>
  <c r="AC222" i="27"/>
  <c r="AB222" i="27"/>
  <c r="AA222" i="27"/>
  <c r="Z222" i="27"/>
  <c r="Y222" i="27"/>
  <c r="X222" i="27"/>
  <c r="W222" i="27"/>
  <c r="V222" i="27"/>
  <c r="DA221" i="27"/>
  <c r="CX221" i="27"/>
  <c r="CU221" i="27"/>
  <c r="CR221" i="27"/>
  <c r="CO221" i="27"/>
  <c r="CL221" i="27"/>
  <c r="CI221" i="27"/>
  <c r="CF221" i="27"/>
  <c r="CC221" i="27"/>
  <c r="BZ221" i="27"/>
  <c r="BW221" i="27"/>
  <c r="BT221" i="27"/>
  <c r="BQ221" i="27"/>
  <c r="BN221" i="27"/>
  <c r="BK221" i="27"/>
  <c r="BH221" i="27"/>
  <c r="BE221" i="27"/>
  <c r="BB221" i="27"/>
  <c r="AY221" i="27"/>
  <c r="AV221" i="27"/>
  <c r="AH221" i="27"/>
  <c r="AG221" i="27"/>
  <c r="AF221" i="27"/>
  <c r="AE221" i="27"/>
  <c r="AD221" i="27"/>
  <c r="AC221" i="27"/>
  <c r="AB221" i="27"/>
  <c r="AA221" i="27"/>
  <c r="Z221" i="27"/>
  <c r="Y221" i="27"/>
  <c r="X221" i="27"/>
  <c r="W221" i="27"/>
  <c r="V221" i="27"/>
  <c r="DA220" i="27"/>
  <c r="CX220" i="27"/>
  <c r="CU220" i="27"/>
  <c r="CR220" i="27"/>
  <c r="CO220" i="27"/>
  <c r="CL220" i="27"/>
  <c r="CI220" i="27"/>
  <c r="CF220" i="27"/>
  <c r="CC220" i="27"/>
  <c r="BZ220" i="27"/>
  <c r="BW220" i="27"/>
  <c r="BT220" i="27"/>
  <c r="BQ220" i="27"/>
  <c r="BN220" i="27"/>
  <c r="BK220" i="27"/>
  <c r="BH220" i="27"/>
  <c r="BE220" i="27"/>
  <c r="BB220" i="27"/>
  <c r="AY220" i="27"/>
  <c r="AI220" i="27" s="1"/>
  <c r="CJ220" i="27" s="1"/>
  <c r="AV220" i="27"/>
  <c r="AH220" i="27"/>
  <c r="AG220" i="27"/>
  <c r="AF220" i="27"/>
  <c r="AE220" i="27"/>
  <c r="AD220" i="27"/>
  <c r="AC220" i="27"/>
  <c r="AB220" i="27"/>
  <c r="AA220" i="27"/>
  <c r="Z220" i="27"/>
  <c r="Y220" i="27"/>
  <c r="X220" i="27"/>
  <c r="W220" i="27"/>
  <c r="V220" i="27"/>
  <c r="DA219" i="27"/>
  <c r="CX219" i="27"/>
  <c r="CU219" i="27"/>
  <c r="CR219" i="27"/>
  <c r="CO219" i="27"/>
  <c r="CL219" i="27"/>
  <c r="CI219" i="27"/>
  <c r="CF219" i="27"/>
  <c r="CC219" i="27"/>
  <c r="BZ219" i="27"/>
  <c r="BW219" i="27"/>
  <c r="BT219" i="27"/>
  <c r="BQ219" i="27"/>
  <c r="BN219" i="27"/>
  <c r="BK219" i="27"/>
  <c r="BH219" i="27"/>
  <c r="BE219" i="27"/>
  <c r="BB219" i="27"/>
  <c r="AY219" i="27"/>
  <c r="AV219" i="27"/>
  <c r="AH219" i="27"/>
  <c r="AG219" i="27"/>
  <c r="AF219" i="27"/>
  <c r="AE219" i="27"/>
  <c r="AD219" i="27"/>
  <c r="AJ219" i="27" s="1"/>
  <c r="AC219" i="27"/>
  <c r="AB219" i="27"/>
  <c r="AA219" i="27"/>
  <c r="Z219" i="27"/>
  <c r="Y219" i="27"/>
  <c r="X219" i="27"/>
  <c r="W219" i="27"/>
  <c r="V219" i="27"/>
  <c r="DA218" i="27"/>
  <c r="CX218" i="27"/>
  <c r="CU218" i="27"/>
  <c r="CR218" i="27"/>
  <c r="CO218" i="27"/>
  <c r="CL218" i="27"/>
  <c r="CI218" i="27"/>
  <c r="CF218" i="27"/>
  <c r="CC218" i="27"/>
  <c r="BZ218" i="27"/>
  <c r="BW218" i="27"/>
  <c r="BT218" i="27"/>
  <c r="BQ218" i="27"/>
  <c r="BN218" i="27"/>
  <c r="BK218" i="27"/>
  <c r="BH218" i="27"/>
  <c r="BE218" i="27"/>
  <c r="BB218" i="27"/>
  <c r="AY218" i="27"/>
  <c r="AV218" i="27"/>
  <c r="AH218" i="27"/>
  <c r="AG218" i="27"/>
  <c r="AF218" i="27"/>
  <c r="AE218" i="27"/>
  <c r="AD218" i="27"/>
  <c r="AC218" i="27"/>
  <c r="AB218" i="27"/>
  <c r="AA218" i="27"/>
  <c r="Z218" i="27"/>
  <c r="Y218" i="27"/>
  <c r="X218" i="27"/>
  <c r="W218" i="27"/>
  <c r="V218" i="27"/>
  <c r="DA217" i="27"/>
  <c r="CX217" i="27"/>
  <c r="CU217" i="27"/>
  <c r="CR217" i="27"/>
  <c r="CO217" i="27"/>
  <c r="CL217" i="27"/>
  <c r="CI217" i="27"/>
  <c r="CF217" i="27"/>
  <c r="CC217" i="27"/>
  <c r="BZ217" i="27"/>
  <c r="BW217" i="27"/>
  <c r="BT217" i="27"/>
  <c r="BQ217" i="27"/>
  <c r="BN217" i="27"/>
  <c r="BK217" i="27"/>
  <c r="BH217" i="27"/>
  <c r="BE217" i="27"/>
  <c r="BB217" i="27"/>
  <c r="AY217" i="27"/>
  <c r="AI217" i="27" s="1"/>
  <c r="CY217" i="27" s="1"/>
  <c r="AV217" i="27"/>
  <c r="AH217" i="27"/>
  <c r="AG217" i="27"/>
  <c r="AF217" i="27"/>
  <c r="AE217" i="27"/>
  <c r="AD217" i="27"/>
  <c r="AC217" i="27"/>
  <c r="AB217" i="27"/>
  <c r="AA217" i="27"/>
  <c r="Z217" i="27"/>
  <c r="Y217" i="27"/>
  <c r="X217" i="27"/>
  <c r="W217" i="27"/>
  <c r="V217" i="27"/>
  <c r="DA216" i="27"/>
  <c r="CX216" i="27"/>
  <c r="CU216" i="27"/>
  <c r="CR216" i="27"/>
  <c r="CO216" i="27"/>
  <c r="CL216" i="27"/>
  <c r="CI216" i="27"/>
  <c r="CF216" i="27"/>
  <c r="CC216" i="27"/>
  <c r="BZ216" i="27"/>
  <c r="BW216" i="27"/>
  <c r="BT216" i="27"/>
  <c r="BQ216" i="27"/>
  <c r="BN216" i="27"/>
  <c r="BK216" i="27"/>
  <c r="BH216" i="27"/>
  <c r="BE216" i="27"/>
  <c r="BB216" i="27"/>
  <c r="AY216" i="27"/>
  <c r="AV216" i="27"/>
  <c r="AH216" i="27"/>
  <c r="AG216" i="27"/>
  <c r="AF216" i="27"/>
  <c r="AE216" i="27"/>
  <c r="AD216" i="27"/>
  <c r="AC216" i="27"/>
  <c r="AB216" i="27"/>
  <c r="AA216" i="27"/>
  <c r="Z216" i="27"/>
  <c r="Y216" i="27"/>
  <c r="X216" i="27"/>
  <c r="W216" i="27"/>
  <c r="V216" i="27"/>
  <c r="DA215" i="27"/>
  <c r="CX215" i="27"/>
  <c r="CU215" i="27"/>
  <c r="CR215" i="27"/>
  <c r="CO215" i="27"/>
  <c r="CL215" i="27"/>
  <c r="CI215" i="27"/>
  <c r="CF215" i="27"/>
  <c r="CC215" i="27"/>
  <c r="BZ215" i="27"/>
  <c r="BW215" i="27"/>
  <c r="BT215" i="27"/>
  <c r="BQ215" i="27"/>
  <c r="BN215" i="27"/>
  <c r="BK215" i="27"/>
  <c r="BH215" i="27"/>
  <c r="BE215" i="27"/>
  <c r="BB215" i="27"/>
  <c r="AY215" i="27"/>
  <c r="AV215" i="27"/>
  <c r="AH215" i="27"/>
  <c r="AG215" i="27"/>
  <c r="AF215" i="27"/>
  <c r="AE215" i="27"/>
  <c r="AD215" i="27"/>
  <c r="AC215" i="27"/>
  <c r="AB215" i="27"/>
  <c r="AA215" i="27"/>
  <c r="Z215" i="27"/>
  <c r="Y215" i="27"/>
  <c r="X215" i="27"/>
  <c r="W215" i="27"/>
  <c r="V215" i="27"/>
  <c r="DA214" i="27"/>
  <c r="CX214" i="27"/>
  <c r="CU214" i="27"/>
  <c r="CR214" i="27"/>
  <c r="CO214" i="27"/>
  <c r="CL214" i="27"/>
  <c r="CI214" i="27"/>
  <c r="CF214" i="27"/>
  <c r="CC214" i="27"/>
  <c r="BZ214" i="27"/>
  <c r="BW214" i="27"/>
  <c r="BT214" i="27"/>
  <c r="BQ214" i="27"/>
  <c r="BN214" i="27"/>
  <c r="BK214" i="27"/>
  <c r="BH214" i="27"/>
  <c r="BE214" i="27"/>
  <c r="BB214" i="27"/>
  <c r="AY214" i="27"/>
  <c r="AV214" i="27"/>
  <c r="AH214" i="27"/>
  <c r="AG214" i="27"/>
  <c r="AF214" i="27"/>
  <c r="AE214" i="27"/>
  <c r="AD214" i="27"/>
  <c r="AC214" i="27"/>
  <c r="AB214" i="27"/>
  <c r="AA214" i="27"/>
  <c r="Z214" i="27"/>
  <c r="Y214" i="27"/>
  <c r="X214" i="27"/>
  <c r="W214" i="27"/>
  <c r="V214" i="27"/>
  <c r="DA213" i="27"/>
  <c r="CX213" i="27"/>
  <c r="CU213" i="27"/>
  <c r="CR213" i="27"/>
  <c r="CO213" i="27"/>
  <c r="CL213" i="27"/>
  <c r="CI213" i="27"/>
  <c r="CF213" i="27"/>
  <c r="CC213" i="27"/>
  <c r="BZ213" i="27"/>
  <c r="BW213" i="27"/>
  <c r="BT213" i="27"/>
  <c r="BQ213" i="27"/>
  <c r="BN213" i="27"/>
  <c r="BK213" i="27"/>
  <c r="BH213" i="27"/>
  <c r="BE213" i="27"/>
  <c r="BB213" i="27"/>
  <c r="AY213" i="27"/>
  <c r="AI213" i="27" s="1"/>
  <c r="AV213" i="27"/>
  <c r="AH213" i="27"/>
  <c r="AG213" i="27"/>
  <c r="AF213" i="27"/>
  <c r="AE213" i="27"/>
  <c r="AD213" i="27"/>
  <c r="AC213" i="27"/>
  <c r="AB213" i="27"/>
  <c r="AA213" i="27"/>
  <c r="Z213" i="27"/>
  <c r="Y213" i="27"/>
  <c r="X213" i="27"/>
  <c r="W213" i="27"/>
  <c r="V213" i="27"/>
  <c r="DA212" i="27"/>
  <c r="CX212" i="27"/>
  <c r="CU212" i="27"/>
  <c r="CR212" i="27"/>
  <c r="CO212" i="27"/>
  <c r="CL212" i="27"/>
  <c r="CI212" i="27"/>
  <c r="CF212" i="27"/>
  <c r="CC212" i="27"/>
  <c r="BZ212" i="27"/>
  <c r="BW212" i="27"/>
  <c r="BT212" i="27"/>
  <c r="BQ212" i="27"/>
  <c r="BN212" i="27"/>
  <c r="BK212" i="27"/>
  <c r="BH212" i="27"/>
  <c r="BE212" i="27"/>
  <c r="BB212" i="27"/>
  <c r="AI212" i="27" s="1"/>
  <c r="AY212" i="27"/>
  <c r="AV212" i="27"/>
  <c r="AH212" i="27"/>
  <c r="AG212" i="27"/>
  <c r="AN212" i="27" s="1"/>
  <c r="AO212" i="27" s="1"/>
  <c r="AF212" i="27"/>
  <c r="AE212" i="27"/>
  <c r="AD212" i="27"/>
  <c r="AC212" i="27"/>
  <c r="AB212" i="27"/>
  <c r="AA212" i="27"/>
  <c r="Z212" i="27"/>
  <c r="Y212" i="27"/>
  <c r="X212" i="27"/>
  <c r="W212" i="27"/>
  <c r="V212" i="27"/>
  <c r="DA211" i="27"/>
  <c r="CX211" i="27"/>
  <c r="CU211" i="27"/>
  <c r="CR211" i="27"/>
  <c r="CO211" i="27"/>
  <c r="CL211" i="27"/>
  <c r="CI211" i="27"/>
  <c r="CF211" i="27"/>
  <c r="CC211" i="27"/>
  <c r="BZ211" i="27"/>
  <c r="BW211" i="27"/>
  <c r="BT211" i="27"/>
  <c r="BQ211" i="27"/>
  <c r="BN211" i="27"/>
  <c r="BK211" i="27"/>
  <c r="BH211" i="27"/>
  <c r="BE211" i="27"/>
  <c r="BB211" i="27"/>
  <c r="AY211" i="27"/>
  <c r="AV211" i="27"/>
  <c r="AH211" i="27"/>
  <c r="AG211" i="27"/>
  <c r="AF211" i="27"/>
  <c r="AE211" i="27"/>
  <c r="AD211" i="27"/>
  <c r="AJ211" i="27" s="1"/>
  <c r="AC211" i="27"/>
  <c r="AB211" i="27"/>
  <c r="AA211" i="27"/>
  <c r="Z211" i="27"/>
  <c r="AN211" i="27" s="1"/>
  <c r="AO211" i="27" s="1"/>
  <c r="Y211" i="27"/>
  <c r="X211" i="27"/>
  <c r="W211" i="27"/>
  <c r="V211" i="27"/>
  <c r="DA210" i="27"/>
  <c r="CX210" i="27"/>
  <c r="CU210" i="27"/>
  <c r="CR210" i="27"/>
  <c r="CO210" i="27"/>
  <c r="CL210" i="27"/>
  <c r="CI210" i="27"/>
  <c r="CF210" i="27"/>
  <c r="CC210" i="27"/>
  <c r="BZ210" i="27"/>
  <c r="BW210" i="27"/>
  <c r="BT210" i="27"/>
  <c r="BQ210" i="27"/>
  <c r="BN210" i="27"/>
  <c r="BK210" i="27"/>
  <c r="BH210" i="27"/>
  <c r="BE210" i="27"/>
  <c r="BB210" i="27"/>
  <c r="AI210" i="27" s="1"/>
  <c r="AY210" i="27"/>
  <c r="AV210" i="27"/>
  <c r="AH210" i="27"/>
  <c r="AG210" i="27"/>
  <c r="AN210" i="27" s="1"/>
  <c r="AO210" i="27" s="1"/>
  <c r="AF210" i="27"/>
  <c r="AE210" i="27"/>
  <c r="AD210" i="27"/>
  <c r="AC210" i="27"/>
  <c r="AB210" i="27"/>
  <c r="AA210" i="27"/>
  <c r="Z210" i="27"/>
  <c r="Y210" i="27"/>
  <c r="X210" i="27"/>
  <c r="W210" i="27"/>
  <c r="V210" i="27"/>
  <c r="DA209" i="27"/>
  <c r="CX209" i="27"/>
  <c r="CU209" i="27"/>
  <c r="CR209" i="27"/>
  <c r="CO209" i="27"/>
  <c r="CL209" i="27"/>
  <c r="CI209" i="27"/>
  <c r="CF209" i="27"/>
  <c r="CC209" i="27"/>
  <c r="BZ209" i="27"/>
  <c r="BW209" i="27"/>
  <c r="BT209" i="27"/>
  <c r="BQ209" i="27"/>
  <c r="BN209" i="27"/>
  <c r="BK209" i="27"/>
  <c r="BH209" i="27"/>
  <c r="BE209" i="27"/>
  <c r="BB209" i="27"/>
  <c r="AY209" i="27"/>
  <c r="AV209" i="27"/>
  <c r="AH209" i="27"/>
  <c r="AG209" i="27"/>
  <c r="AF209" i="27"/>
  <c r="AE209" i="27"/>
  <c r="AD209" i="27"/>
  <c r="AJ209" i="27" s="1"/>
  <c r="AC209" i="27"/>
  <c r="AB209" i="27"/>
  <c r="AA209" i="27"/>
  <c r="Z209" i="27"/>
  <c r="AN209" i="27" s="1"/>
  <c r="AO209" i="27" s="1"/>
  <c r="Y209" i="27"/>
  <c r="X209" i="27"/>
  <c r="W209" i="27"/>
  <c r="V209" i="27"/>
  <c r="DA208" i="27"/>
  <c r="CX208" i="27"/>
  <c r="CU208" i="27"/>
  <c r="CR208" i="27"/>
  <c r="CO208" i="27"/>
  <c r="CL208" i="27"/>
  <c r="CI208" i="27"/>
  <c r="CF208" i="27"/>
  <c r="CC208" i="27"/>
  <c r="BZ208" i="27"/>
  <c r="BW208" i="27"/>
  <c r="BT208" i="27"/>
  <c r="BQ208" i="27"/>
  <c r="BN208" i="27"/>
  <c r="BK208" i="27"/>
  <c r="BH208" i="27"/>
  <c r="BE208" i="27"/>
  <c r="BB208" i="27"/>
  <c r="AY208" i="27"/>
  <c r="AV208" i="27"/>
  <c r="AH208" i="27"/>
  <c r="AG208" i="27"/>
  <c r="AF208" i="27"/>
  <c r="AE208" i="27"/>
  <c r="AD208" i="27"/>
  <c r="AC208" i="27"/>
  <c r="AB208" i="27"/>
  <c r="AA208" i="27"/>
  <c r="Z208" i="27"/>
  <c r="Y208" i="27"/>
  <c r="X208" i="27"/>
  <c r="W208" i="27"/>
  <c r="V208" i="27"/>
  <c r="DA207" i="27"/>
  <c r="CX207" i="27"/>
  <c r="CU207" i="27"/>
  <c r="CR207" i="27"/>
  <c r="CO207" i="27"/>
  <c r="CL207" i="27"/>
  <c r="CI207" i="27"/>
  <c r="CF207" i="27"/>
  <c r="CC207" i="27"/>
  <c r="BZ207" i="27"/>
  <c r="BW207" i="27"/>
  <c r="BT207" i="27"/>
  <c r="BQ207" i="27"/>
  <c r="BN207" i="27"/>
  <c r="BK207" i="27"/>
  <c r="BH207" i="27"/>
  <c r="BE207" i="27"/>
  <c r="BB207" i="27"/>
  <c r="AY207" i="27"/>
  <c r="AI207" i="27" s="1"/>
  <c r="AV207" i="27"/>
  <c r="AH207" i="27"/>
  <c r="AG207" i="27"/>
  <c r="AF207" i="27"/>
  <c r="AE207" i="27"/>
  <c r="AD207" i="27"/>
  <c r="AC207" i="27"/>
  <c r="AB207" i="27"/>
  <c r="AA207" i="27"/>
  <c r="Z207" i="27"/>
  <c r="Y207" i="27"/>
  <c r="X207" i="27"/>
  <c r="W207" i="27"/>
  <c r="V207" i="27"/>
  <c r="DA206" i="27"/>
  <c r="CX206" i="27"/>
  <c r="CU206" i="27"/>
  <c r="CR206" i="27"/>
  <c r="CO206" i="27"/>
  <c r="CL206" i="27"/>
  <c r="CI206" i="27"/>
  <c r="CF206" i="27"/>
  <c r="CC206" i="27"/>
  <c r="BZ206" i="27"/>
  <c r="BW206" i="27"/>
  <c r="BT206" i="27"/>
  <c r="BQ206" i="27"/>
  <c r="BN206" i="27"/>
  <c r="BK206" i="27"/>
  <c r="BH206" i="27"/>
  <c r="BE206" i="27"/>
  <c r="BB206" i="27"/>
  <c r="AI206" i="27" s="1"/>
  <c r="AY206" i="27"/>
  <c r="AV206" i="27"/>
  <c r="AH206" i="27"/>
  <c r="AG206" i="27"/>
  <c r="AN206" i="27" s="1"/>
  <c r="AO206" i="27" s="1"/>
  <c r="AF206" i="27"/>
  <c r="AE206" i="27"/>
  <c r="AD206" i="27"/>
  <c r="AC206" i="27"/>
  <c r="AB206" i="27"/>
  <c r="AA206" i="27"/>
  <c r="Z206" i="27"/>
  <c r="Y206" i="27"/>
  <c r="X206" i="27"/>
  <c r="W206" i="27"/>
  <c r="V206" i="27"/>
  <c r="DA205" i="27"/>
  <c r="CX205" i="27"/>
  <c r="CU205" i="27"/>
  <c r="CR205" i="27"/>
  <c r="CO205" i="27"/>
  <c r="CL205" i="27"/>
  <c r="CI205" i="27"/>
  <c r="CF205" i="27"/>
  <c r="CC205" i="27"/>
  <c r="BZ205" i="27"/>
  <c r="BW205" i="27"/>
  <c r="BT205" i="27"/>
  <c r="BQ205" i="27"/>
  <c r="BN205" i="27"/>
  <c r="BK205" i="27"/>
  <c r="BH205" i="27"/>
  <c r="BE205" i="27"/>
  <c r="BB205" i="27"/>
  <c r="AY205" i="27"/>
  <c r="AV205" i="27"/>
  <c r="AH205" i="27"/>
  <c r="AG205" i="27"/>
  <c r="AF205" i="27"/>
  <c r="AE205" i="27"/>
  <c r="AD205" i="27"/>
  <c r="AJ205" i="27" s="1"/>
  <c r="AC205" i="27"/>
  <c r="AB205" i="27"/>
  <c r="AA205" i="27"/>
  <c r="Z205" i="27"/>
  <c r="AN205" i="27" s="1"/>
  <c r="AO205" i="27" s="1"/>
  <c r="Y205" i="27"/>
  <c r="X205" i="27"/>
  <c r="W205" i="27"/>
  <c r="V205" i="27"/>
  <c r="DA204" i="27"/>
  <c r="CX204" i="27"/>
  <c r="CU204" i="27"/>
  <c r="CR204" i="27"/>
  <c r="CO204" i="27"/>
  <c r="CL204" i="27"/>
  <c r="CI204" i="27"/>
  <c r="CF204" i="27"/>
  <c r="CC204" i="27"/>
  <c r="BZ204" i="27"/>
  <c r="BW204" i="27"/>
  <c r="BT204" i="27"/>
  <c r="BQ204" i="27"/>
  <c r="BN204" i="27"/>
  <c r="BK204" i="27"/>
  <c r="BH204" i="27"/>
  <c r="BE204" i="27"/>
  <c r="BB204" i="27"/>
  <c r="AY204" i="27"/>
  <c r="AV204" i="27"/>
  <c r="AH204" i="27"/>
  <c r="AG204" i="27"/>
  <c r="AF204" i="27"/>
  <c r="AE204" i="27"/>
  <c r="AD204" i="27"/>
  <c r="AC204" i="27"/>
  <c r="AB204" i="27"/>
  <c r="AA204" i="27"/>
  <c r="Z204" i="27"/>
  <c r="Y204" i="27"/>
  <c r="X204" i="27"/>
  <c r="W204" i="27"/>
  <c r="V204" i="27"/>
  <c r="DA203" i="27"/>
  <c r="CX203" i="27"/>
  <c r="CU203" i="27"/>
  <c r="CR203" i="27"/>
  <c r="CO203" i="27"/>
  <c r="CL203" i="27"/>
  <c r="CI203" i="27"/>
  <c r="CF203" i="27"/>
  <c r="CC203" i="27"/>
  <c r="BZ203" i="27"/>
  <c r="BW203" i="27"/>
  <c r="BT203" i="27"/>
  <c r="BQ203" i="27"/>
  <c r="BN203" i="27"/>
  <c r="BK203" i="27"/>
  <c r="BH203" i="27"/>
  <c r="BE203" i="27"/>
  <c r="BB203" i="27"/>
  <c r="AY203" i="27"/>
  <c r="AI203" i="27" s="1"/>
  <c r="CY203" i="27" s="1"/>
  <c r="AV203" i="27"/>
  <c r="AH203" i="27"/>
  <c r="AG203" i="27"/>
  <c r="AF203" i="27"/>
  <c r="AE203" i="27"/>
  <c r="AD203" i="27"/>
  <c r="AC203" i="27"/>
  <c r="AB203" i="27"/>
  <c r="AA203" i="27"/>
  <c r="Z203" i="27"/>
  <c r="Y203" i="27"/>
  <c r="X203" i="27"/>
  <c r="W203" i="27"/>
  <c r="V203" i="27"/>
  <c r="DA202" i="27"/>
  <c r="CX202" i="27"/>
  <c r="CU202" i="27"/>
  <c r="CR202" i="27"/>
  <c r="CO202" i="27"/>
  <c r="CL202" i="27"/>
  <c r="CI202" i="27"/>
  <c r="CF202" i="27"/>
  <c r="CC202" i="27"/>
  <c r="BZ202" i="27"/>
  <c r="BW202" i="27"/>
  <c r="BT202" i="27"/>
  <c r="BQ202" i="27"/>
  <c r="BN202" i="27"/>
  <c r="BK202" i="27"/>
  <c r="BH202" i="27"/>
  <c r="BE202" i="27"/>
  <c r="BB202" i="27"/>
  <c r="AY202" i="27"/>
  <c r="AV202" i="27"/>
  <c r="AH202" i="27"/>
  <c r="AG202" i="27"/>
  <c r="AF202" i="27"/>
  <c r="AE202" i="27"/>
  <c r="AD202" i="27"/>
  <c r="AJ202" i="27" s="1"/>
  <c r="AC202" i="27"/>
  <c r="AB202" i="27"/>
  <c r="AA202" i="27"/>
  <c r="Z202" i="27"/>
  <c r="Y202" i="27"/>
  <c r="X202" i="27"/>
  <c r="W202" i="27"/>
  <c r="V202" i="27"/>
  <c r="DA201" i="27"/>
  <c r="CX201" i="27"/>
  <c r="CU201" i="27"/>
  <c r="CR201" i="27"/>
  <c r="CO201" i="27"/>
  <c r="CL201" i="27"/>
  <c r="CI201" i="27"/>
  <c r="CF201" i="27"/>
  <c r="CC201" i="27"/>
  <c r="BZ201" i="27"/>
  <c r="BW201" i="27"/>
  <c r="BT201" i="27"/>
  <c r="BQ201" i="27"/>
  <c r="BN201" i="27"/>
  <c r="BK201" i="27"/>
  <c r="BH201" i="27"/>
  <c r="BE201" i="27"/>
  <c r="BB201" i="27"/>
  <c r="AY201" i="27"/>
  <c r="AV201" i="27"/>
  <c r="AI201" i="27" s="1"/>
  <c r="CV201" i="27" s="1"/>
  <c r="AH201" i="27"/>
  <c r="AG201" i="27"/>
  <c r="AF201" i="27"/>
  <c r="AE201" i="27"/>
  <c r="AD201" i="27"/>
  <c r="AJ201" i="27" s="1"/>
  <c r="AC201" i="27"/>
  <c r="AB201" i="27"/>
  <c r="AA201" i="27"/>
  <c r="Z201" i="27"/>
  <c r="Y201" i="27"/>
  <c r="X201" i="27"/>
  <c r="W201" i="27"/>
  <c r="V201" i="27"/>
  <c r="DA200" i="27"/>
  <c r="CX200" i="27"/>
  <c r="CU200" i="27"/>
  <c r="CR200" i="27"/>
  <c r="CO200" i="27"/>
  <c r="CL200" i="27"/>
  <c r="CI200" i="27"/>
  <c r="CF200" i="27"/>
  <c r="CC200" i="27"/>
  <c r="BZ200" i="27"/>
  <c r="BW200" i="27"/>
  <c r="BT200" i="27"/>
  <c r="BQ200" i="27"/>
  <c r="BN200" i="27"/>
  <c r="BK200" i="27"/>
  <c r="BH200" i="27"/>
  <c r="BE200" i="27"/>
  <c r="BB200" i="27"/>
  <c r="AY200" i="27"/>
  <c r="AV200" i="27"/>
  <c r="AH200" i="27"/>
  <c r="AG200" i="27"/>
  <c r="AF200" i="27"/>
  <c r="AE200" i="27"/>
  <c r="AD200" i="27"/>
  <c r="AC200" i="27"/>
  <c r="AB200" i="27"/>
  <c r="AA200" i="27"/>
  <c r="Z200" i="27"/>
  <c r="Y200" i="27"/>
  <c r="X200" i="27"/>
  <c r="W200" i="27"/>
  <c r="V200" i="27"/>
  <c r="DA199" i="27"/>
  <c r="CX199" i="27"/>
  <c r="CU199" i="27"/>
  <c r="CR199" i="27"/>
  <c r="CO199" i="27"/>
  <c r="CL199" i="27"/>
  <c r="CI199" i="27"/>
  <c r="CF199" i="27"/>
  <c r="CC199" i="27"/>
  <c r="BZ199" i="27"/>
  <c r="BW199" i="27"/>
  <c r="BT199" i="27"/>
  <c r="BQ199" i="27"/>
  <c r="BN199" i="27"/>
  <c r="BK199" i="27"/>
  <c r="BH199" i="27"/>
  <c r="BE199" i="27"/>
  <c r="BB199" i="27"/>
  <c r="AY199" i="27"/>
  <c r="AV199" i="27"/>
  <c r="AH199" i="27"/>
  <c r="AG199" i="27"/>
  <c r="AF199" i="27"/>
  <c r="AE199" i="27"/>
  <c r="AD199" i="27"/>
  <c r="AC199" i="27"/>
  <c r="AB199" i="27"/>
  <c r="AA199" i="27"/>
  <c r="Z199" i="27"/>
  <c r="Y199" i="27"/>
  <c r="X199" i="27"/>
  <c r="W199" i="27"/>
  <c r="V199" i="27"/>
  <c r="DA198" i="27"/>
  <c r="CX198" i="27"/>
  <c r="CU198" i="27"/>
  <c r="CR198" i="27"/>
  <c r="CO198" i="27"/>
  <c r="CL198" i="27"/>
  <c r="CI198" i="27"/>
  <c r="CF198" i="27"/>
  <c r="CC198" i="27"/>
  <c r="BZ198" i="27"/>
  <c r="BW198" i="27"/>
  <c r="BT198" i="27"/>
  <c r="BQ198" i="27"/>
  <c r="BN198" i="27"/>
  <c r="BK198" i="27"/>
  <c r="BH198" i="27"/>
  <c r="BE198" i="27"/>
  <c r="BB198" i="27"/>
  <c r="AY198" i="27"/>
  <c r="AV198" i="27"/>
  <c r="AH198" i="27"/>
  <c r="AG198" i="27"/>
  <c r="AF198" i="27"/>
  <c r="AE198" i="27"/>
  <c r="AD198" i="27"/>
  <c r="AJ198" i="27" s="1"/>
  <c r="AC198" i="27"/>
  <c r="AB198" i="27"/>
  <c r="AA198" i="27"/>
  <c r="Z198" i="27"/>
  <c r="Y198" i="27"/>
  <c r="X198" i="27"/>
  <c r="W198" i="27"/>
  <c r="V198" i="27"/>
  <c r="DA197" i="27"/>
  <c r="CX197" i="27"/>
  <c r="CU197" i="27"/>
  <c r="CR197" i="27"/>
  <c r="CO197" i="27"/>
  <c r="CL197" i="27"/>
  <c r="CI197" i="27"/>
  <c r="CF197" i="27"/>
  <c r="CC197" i="27"/>
  <c r="BZ197" i="27"/>
  <c r="BW197" i="27"/>
  <c r="BT197" i="27"/>
  <c r="BQ197" i="27"/>
  <c r="BN197" i="27"/>
  <c r="BK197" i="27"/>
  <c r="BH197" i="27"/>
  <c r="BE197" i="27"/>
  <c r="BB197" i="27"/>
  <c r="AY197" i="27"/>
  <c r="AV197" i="27"/>
  <c r="AH197" i="27"/>
  <c r="AG197" i="27"/>
  <c r="AF197" i="27"/>
  <c r="AE197" i="27"/>
  <c r="AD197" i="27"/>
  <c r="AC197" i="27"/>
  <c r="AB197" i="27"/>
  <c r="AA197" i="27"/>
  <c r="Z197" i="27"/>
  <c r="Y197" i="27"/>
  <c r="X197" i="27"/>
  <c r="W197" i="27"/>
  <c r="V197" i="27"/>
  <c r="DA196" i="27"/>
  <c r="CX196" i="27"/>
  <c r="CU196" i="27"/>
  <c r="CR196" i="27"/>
  <c r="CO196" i="27"/>
  <c r="CL196" i="27"/>
  <c r="CI196" i="27"/>
  <c r="CF196" i="27"/>
  <c r="CC196" i="27"/>
  <c r="BZ196" i="27"/>
  <c r="BW196" i="27"/>
  <c r="BT196" i="27"/>
  <c r="BQ196" i="27"/>
  <c r="BN196" i="27"/>
  <c r="BK196" i="27"/>
  <c r="BH196" i="27"/>
  <c r="BE196" i="27"/>
  <c r="BB196" i="27"/>
  <c r="AY196" i="27"/>
  <c r="AI196" i="27" s="1"/>
  <c r="CS196" i="27" s="1"/>
  <c r="AV196" i="27"/>
  <c r="AH196" i="27"/>
  <c r="AG196" i="27"/>
  <c r="AF196" i="27"/>
  <c r="AE196" i="27"/>
  <c r="AD196" i="27"/>
  <c r="AC196" i="27"/>
  <c r="AB196" i="27"/>
  <c r="AA196" i="27"/>
  <c r="Z196" i="27"/>
  <c r="Y196" i="27"/>
  <c r="X196" i="27"/>
  <c r="W196" i="27"/>
  <c r="V196" i="27"/>
  <c r="DA195" i="27"/>
  <c r="CX195" i="27"/>
  <c r="CU195" i="27"/>
  <c r="CR195" i="27"/>
  <c r="CO195" i="27"/>
  <c r="CL195" i="27"/>
  <c r="CI195" i="27"/>
  <c r="CF195" i="27"/>
  <c r="CC195" i="27"/>
  <c r="BZ195" i="27"/>
  <c r="BW195" i="27"/>
  <c r="BT195" i="27"/>
  <c r="BQ195" i="27"/>
  <c r="BN195" i="27"/>
  <c r="BK195" i="27"/>
  <c r="BH195" i="27"/>
  <c r="BE195" i="27"/>
  <c r="BB195" i="27"/>
  <c r="AY195" i="27"/>
  <c r="AV195" i="27"/>
  <c r="AH195" i="27"/>
  <c r="AG195" i="27"/>
  <c r="AF195" i="27"/>
  <c r="AE195" i="27"/>
  <c r="AD195" i="27"/>
  <c r="AC195" i="27"/>
  <c r="AB195" i="27"/>
  <c r="AA195" i="27"/>
  <c r="Z195" i="27"/>
  <c r="Y195" i="27"/>
  <c r="X195" i="27"/>
  <c r="W195" i="27"/>
  <c r="V195" i="27"/>
  <c r="DA194" i="27"/>
  <c r="CX194" i="27"/>
  <c r="CU194" i="27"/>
  <c r="CR194" i="27"/>
  <c r="CO194" i="27"/>
  <c r="CL194" i="27"/>
  <c r="CI194" i="27"/>
  <c r="CF194" i="27"/>
  <c r="CC194" i="27"/>
  <c r="BZ194" i="27"/>
  <c r="BW194" i="27"/>
  <c r="BT194" i="27"/>
  <c r="BQ194" i="27"/>
  <c r="BN194" i="27"/>
  <c r="BK194" i="27"/>
  <c r="BH194" i="27"/>
  <c r="BE194" i="27"/>
  <c r="BB194" i="27"/>
  <c r="AY194" i="27"/>
  <c r="AV194" i="27"/>
  <c r="AI194" i="27" s="1"/>
  <c r="CS194" i="27" s="1"/>
  <c r="AH194" i="27"/>
  <c r="AG194" i="27"/>
  <c r="AF194" i="27"/>
  <c r="AE194" i="27"/>
  <c r="AD194" i="27"/>
  <c r="AJ194" i="27" s="1"/>
  <c r="AC194" i="27"/>
  <c r="AB194" i="27"/>
  <c r="AA194" i="27"/>
  <c r="Z194" i="27"/>
  <c r="Y194" i="27"/>
  <c r="X194" i="27"/>
  <c r="W194" i="27"/>
  <c r="V194" i="27"/>
  <c r="DA193" i="27"/>
  <c r="CX193" i="27"/>
  <c r="CU193" i="27"/>
  <c r="CR193" i="27"/>
  <c r="CO193" i="27"/>
  <c r="CL193" i="27"/>
  <c r="CI193" i="27"/>
  <c r="CF193" i="27"/>
  <c r="CC193" i="27"/>
  <c r="BZ193" i="27"/>
  <c r="BW193" i="27"/>
  <c r="BT193" i="27"/>
  <c r="BQ193" i="27"/>
  <c r="BN193" i="27"/>
  <c r="BK193" i="27"/>
  <c r="BH193" i="27"/>
  <c r="BE193" i="27"/>
  <c r="BB193" i="27"/>
  <c r="AY193" i="27"/>
  <c r="AV193" i="27"/>
  <c r="AH193" i="27"/>
  <c r="AG193" i="27"/>
  <c r="AF193" i="27"/>
  <c r="AE193" i="27"/>
  <c r="AD193" i="27"/>
  <c r="AC193" i="27"/>
  <c r="AB193" i="27"/>
  <c r="AA193" i="27"/>
  <c r="Z193" i="27"/>
  <c r="Y193" i="27"/>
  <c r="X193" i="27"/>
  <c r="W193" i="27"/>
  <c r="V193" i="27"/>
  <c r="DA192" i="27"/>
  <c r="CX192" i="27"/>
  <c r="CU192" i="27"/>
  <c r="CR192" i="27"/>
  <c r="CO192" i="27"/>
  <c r="CL192" i="27"/>
  <c r="CI192" i="27"/>
  <c r="CF192" i="27"/>
  <c r="CC192" i="27"/>
  <c r="BZ192" i="27"/>
  <c r="BW192" i="27"/>
  <c r="BT192" i="27"/>
  <c r="BQ192" i="27"/>
  <c r="BN192" i="27"/>
  <c r="BK192" i="27"/>
  <c r="BH192" i="27"/>
  <c r="BE192" i="27"/>
  <c r="BB192" i="27"/>
  <c r="AY192" i="27"/>
  <c r="AI192" i="27" s="1"/>
  <c r="AV192" i="27"/>
  <c r="AH192" i="27"/>
  <c r="AG192" i="27"/>
  <c r="AF192" i="27"/>
  <c r="AE192" i="27"/>
  <c r="AD192" i="27"/>
  <c r="AC192" i="27"/>
  <c r="AB192" i="27"/>
  <c r="AA192" i="27"/>
  <c r="Z192" i="27"/>
  <c r="Y192" i="27"/>
  <c r="X192" i="27"/>
  <c r="W192" i="27"/>
  <c r="V192" i="27"/>
  <c r="DA191" i="27"/>
  <c r="CX191" i="27"/>
  <c r="CU191" i="27"/>
  <c r="CR191" i="27"/>
  <c r="CO191" i="27"/>
  <c r="CL191" i="27"/>
  <c r="CI191" i="27"/>
  <c r="CF191" i="27"/>
  <c r="CC191" i="27"/>
  <c r="BZ191" i="27"/>
  <c r="BW191" i="27"/>
  <c r="BT191" i="27"/>
  <c r="BQ191" i="27"/>
  <c r="BN191" i="27"/>
  <c r="BK191" i="27"/>
  <c r="BH191" i="27"/>
  <c r="BE191" i="27"/>
  <c r="BB191" i="27"/>
  <c r="AY191" i="27"/>
  <c r="AV191" i="27"/>
  <c r="AH191" i="27"/>
  <c r="AG191" i="27"/>
  <c r="AF191" i="27"/>
  <c r="AE191" i="27"/>
  <c r="AD191" i="27"/>
  <c r="AC191" i="27"/>
  <c r="AB191" i="27"/>
  <c r="AA191" i="27"/>
  <c r="Z191" i="27"/>
  <c r="Y191" i="27"/>
  <c r="X191" i="27"/>
  <c r="W191" i="27"/>
  <c r="V191" i="27"/>
  <c r="DA190" i="27"/>
  <c r="CX190" i="27"/>
  <c r="CU190" i="27"/>
  <c r="CR190" i="27"/>
  <c r="CO190" i="27"/>
  <c r="CL190" i="27"/>
  <c r="CI190" i="27"/>
  <c r="CF190" i="27"/>
  <c r="CC190" i="27"/>
  <c r="BZ190" i="27"/>
  <c r="BW190" i="27"/>
  <c r="BT190" i="27"/>
  <c r="BQ190" i="27"/>
  <c r="BN190" i="27"/>
  <c r="BK190" i="27"/>
  <c r="BH190" i="27"/>
  <c r="BE190" i="27"/>
  <c r="BB190" i="27"/>
  <c r="AY190" i="27"/>
  <c r="AV190" i="27"/>
  <c r="AI190" i="27" s="1"/>
  <c r="CJ190" i="27" s="1"/>
  <c r="AH190" i="27"/>
  <c r="AG190" i="27"/>
  <c r="AF190" i="27"/>
  <c r="AE190" i="27"/>
  <c r="AD190" i="27"/>
  <c r="AC190" i="27"/>
  <c r="AB190" i="27"/>
  <c r="AA190" i="27"/>
  <c r="Z190" i="27"/>
  <c r="Y190" i="27"/>
  <c r="X190" i="27"/>
  <c r="W190" i="27"/>
  <c r="V190" i="27"/>
  <c r="DA189" i="27"/>
  <c r="CX189" i="27"/>
  <c r="CU189" i="27"/>
  <c r="CR189" i="27"/>
  <c r="CO189" i="27"/>
  <c r="CL189" i="27"/>
  <c r="CI189" i="27"/>
  <c r="CF189" i="27"/>
  <c r="CC189" i="27"/>
  <c r="BZ189" i="27"/>
  <c r="BW189" i="27"/>
  <c r="BT189" i="27"/>
  <c r="BQ189" i="27"/>
  <c r="BN189" i="27"/>
  <c r="BK189" i="27"/>
  <c r="BH189" i="27"/>
  <c r="BE189" i="27"/>
  <c r="BB189" i="27"/>
  <c r="AY189" i="27"/>
  <c r="AV189" i="27"/>
  <c r="AH189" i="27"/>
  <c r="AG189" i="27"/>
  <c r="AN189" i="27" s="1"/>
  <c r="AO189" i="27" s="1"/>
  <c r="AF189" i="27"/>
  <c r="AE189" i="27"/>
  <c r="AD189" i="27"/>
  <c r="AC189" i="27"/>
  <c r="AJ189" i="27" s="1"/>
  <c r="AB189" i="27"/>
  <c r="AA189" i="27"/>
  <c r="Z189" i="27"/>
  <c r="Y189" i="27"/>
  <c r="X189" i="27"/>
  <c r="W189" i="27"/>
  <c r="V189" i="27"/>
  <c r="DA188" i="27"/>
  <c r="CX188" i="27"/>
  <c r="CU188" i="27"/>
  <c r="CR188" i="27"/>
  <c r="CO188" i="27"/>
  <c r="CL188" i="27"/>
  <c r="CI188" i="27"/>
  <c r="CF188" i="27"/>
  <c r="CC188" i="27"/>
  <c r="BZ188" i="27"/>
  <c r="BW188" i="27"/>
  <c r="BT188" i="27"/>
  <c r="BQ188" i="27"/>
  <c r="BN188" i="27"/>
  <c r="BK188" i="27"/>
  <c r="BH188" i="27"/>
  <c r="BE188" i="27"/>
  <c r="BB188" i="27"/>
  <c r="AY188" i="27"/>
  <c r="AV188" i="27"/>
  <c r="AH188" i="27"/>
  <c r="AG188" i="27"/>
  <c r="AF188" i="27"/>
  <c r="AE188" i="27"/>
  <c r="AN188" i="27" s="1"/>
  <c r="AO188" i="27" s="1"/>
  <c r="AD188" i="27"/>
  <c r="AC188" i="27"/>
  <c r="AB188" i="27"/>
  <c r="AA188" i="27"/>
  <c r="Z188" i="27"/>
  <c r="Y188" i="27"/>
  <c r="X188" i="27"/>
  <c r="W188" i="27"/>
  <c r="V188" i="27"/>
  <c r="DA187" i="27"/>
  <c r="CX187" i="27"/>
  <c r="CU187" i="27"/>
  <c r="CR187" i="27"/>
  <c r="CO187" i="27"/>
  <c r="CL187" i="27"/>
  <c r="CI187" i="27"/>
  <c r="CF187" i="27"/>
  <c r="CC187" i="27"/>
  <c r="BZ187" i="27"/>
  <c r="BW187" i="27"/>
  <c r="BT187" i="27"/>
  <c r="BQ187" i="27"/>
  <c r="BN187" i="27"/>
  <c r="BK187" i="27"/>
  <c r="BH187" i="27"/>
  <c r="BE187" i="27"/>
  <c r="BB187" i="27"/>
  <c r="AY187" i="27"/>
  <c r="AV187" i="27"/>
  <c r="AH187" i="27"/>
  <c r="AG187" i="27"/>
  <c r="AF187" i="27"/>
  <c r="AE187" i="27"/>
  <c r="AD187" i="27"/>
  <c r="AC187" i="27"/>
  <c r="AJ187" i="27" s="1"/>
  <c r="AB187" i="27"/>
  <c r="AA187" i="27"/>
  <c r="Z187" i="27"/>
  <c r="Y187" i="27"/>
  <c r="X187" i="27"/>
  <c r="W187" i="27"/>
  <c r="V187" i="27"/>
  <c r="DA186" i="27"/>
  <c r="CX186" i="27"/>
  <c r="CU186" i="27"/>
  <c r="CR186" i="27"/>
  <c r="CO186" i="27"/>
  <c r="CL186" i="27"/>
  <c r="CI186" i="27"/>
  <c r="CF186" i="27"/>
  <c r="CC186" i="27"/>
  <c r="BZ186" i="27"/>
  <c r="BW186" i="27"/>
  <c r="BT186" i="27"/>
  <c r="BQ186" i="27"/>
  <c r="BN186" i="27"/>
  <c r="BK186" i="27"/>
  <c r="BH186" i="27"/>
  <c r="BE186" i="27"/>
  <c r="BB186" i="27"/>
  <c r="AY186" i="27"/>
  <c r="AV186" i="27"/>
  <c r="AI186" i="27"/>
  <c r="CV186" i="27" s="1"/>
  <c r="AH186" i="27"/>
  <c r="AG186" i="27"/>
  <c r="AF186" i="27"/>
  <c r="AE186" i="27"/>
  <c r="AN186" i="27" s="1"/>
  <c r="AO186" i="27" s="1"/>
  <c r="AD186" i="27"/>
  <c r="AC186" i="27"/>
  <c r="AB186" i="27"/>
  <c r="AA186" i="27"/>
  <c r="Z186" i="27"/>
  <c r="Y186" i="27"/>
  <c r="X186" i="27"/>
  <c r="W186" i="27"/>
  <c r="V186" i="27"/>
  <c r="DA185" i="27"/>
  <c r="CX185" i="27"/>
  <c r="CU185" i="27"/>
  <c r="CR185" i="27"/>
  <c r="CO185" i="27"/>
  <c r="CL185" i="27"/>
  <c r="CI185" i="27"/>
  <c r="CF185" i="27"/>
  <c r="CC185" i="27"/>
  <c r="BZ185" i="27"/>
  <c r="BW185" i="27"/>
  <c r="BT185" i="27"/>
  <c r="BQ185" i="27"/>
  <c r="BN185" i="27"/>
  <c r="BK185" i="27"/>
  <c r="BH185" i="27"/>
  <c r="BE185" i="27"/>
  <c r="BB185" i="27"/>
  <c r="AY185" i="27"/>
  <c r="AV185" i="27"/>
  <c r="AH185" i="27"/>
  <c r="AG185" i="27"/>
  <c r="AF185" i="27"/>
  <c r="AE185" i="27"/>
  <c r="AD185" i="27"/>
  <c r="AC185" i="27"/>
  <c r="AB185" i="27"/>
  <c r="AA185" i="27"/>
  <c r="Z185" i="27"/>
  <c r="Y185" i="27"/>
  <c r="X185" i="27"/>
  <c r="W185" i="27"/>
  <c r="V185" i="27"/>
  <c r="DA184" i="27"/>
  <c r="CX184" i="27"/>
  <c r="CU184" i="27"/>
  <c r="CR184" i="27"/>
  <c r="CO184" i="27"/>
  <c r="CL184" i="27"/>
  <c r="CI184" i="27"/>
  <c r="CF184" i="27"/>
  <c r="CC184" i="27"/>
  <c r="BZ184" i="27"/>
  <c r="BW184" i="27"/>
  <c r="BT184" i="27"/>
  <c r="BQ184" i="27"/>
  <c r="BN184" i="27"/>
  <c r="BK184" i="27"/>
  <c r="BH184" i="27"/>
  <c r="BE184" i="27"/>
  <c r="BB184" i="27"/>
  <c r="AY184" i="27"/>
  <c r="AV184" i="27"/>
  <c r="AH184" i="27"/>
  <c r="AG184" i="27"/>
  <c r="AF184" i="27"/>
  <c r="AE184" i="27"/>
  <c r="AD184" i="27"/>
  <c r="AC184" i="27"/>
  <c r="AB184" i="27"/>
  <c r="AA184" i="27"/>
  <c r="Z184" i="27"/>
  <c r="Y184" i="27"/>
  <c r="X184" i="27"/>
  <c r="W184" i="27"/>
  <c r="V184" i="27"/>
  <c r="DA183" i="27"/>
  <c r="CX183" i="27"/>
  <c r="CU183" i="27"/>
  <c r="CR183" i="27"/>
  <c r="CO183" i="27"/>
  <c r="CL183" i="27"/>
  <c r="CI183" i="27"/>
  <c r="CF183" i="27"/>
  <c r="CC183" i="27"/>
  <c r="BZ183" i="27"/>
  <c r="BW183" i="27"/>
  <c r="BT183" i="27"/>
  <c r="BQ183" i="27"/>
  <c r="BN183" i="27"/>
  <c r="BK183" i="27"/>
  <c r="BH183" i="27"/>
  <c r="BE183" i="27"/>
  <c r="BB183" i="27"/>
  <c r="AY183" i="27"/>
  <c r="AV183" i="27"/>
  <c r="AH183" i="27"/>
  <c r="AG183" i="27"/>
  <c r="AF183" i="27"/>
  <c r="AE183" i="27"/>
  <c r="AD183" i="27"/>
  <c r="AJ183" i="27" s="1"/>
  <c r="AC183" i="27"/>
  <c r="AB183" i="27"/>
  <c r="AA183" i="27"/>
  <c r="Z183" i="27"/>
  <c r="Y183" i="27"/>
  <c r="X183" i="27"/>
  <c r="W183" i="27"/>
  <c r="V183" i="27"/>
  <c r="DA182" i="27"/>
  <c r="CX182" i="27"/>
  <c r="CU182" i="27"/>
  <c r="CR182" i="27"/>
  <c r="CO182" i="27"/>
  <c r="CL182" i="27"/>
  <c r="CI182" i="27"/>
  <c r="CF182" i="27"/>
  <c r="CC182" i="27"/>
  <c r="BZ182" i="27"/>
  <c r="BW182" i="27"/>
  <c r="BT182" i="27"/>
  <c r="BQ182" i="27"/>
  <c r="BN182" i="27"/>
  <c r="BK182" i="27"/>
  <c r="BH182" i="27"/>
  <c r="BE182" i="27"/>
  <c r="BB182" i="27"/>
  <c r="AY182" i="27"/>
  <c r="AV182" i="27"/>
  <c r="AH182" i="27"/>
  <c r="AG182" i="27"/>
  <c r="AF182" i="27"/>
  <c r="AE182" i="27"/>
  <c r="AD182" i="27"/>
  <c r="AC182" i="27"/>
  <c r="AJ182" i="27" s="1"/>
  <c r="AB182" i="27"/>
  <c r="AA182" i="27"/>
  <c r="Z182" i="27"/>
  <c r="Y182" i="27"/>
  <c r="X182" i="27"/>
  <c r="W182" i="27"/>
  <c r="V182" i="27"/>
  <c r="DA181" i="27"/>
  <c r="CX181" i="27"/>
  <c r="CU181" i="27"/>
  <c r="CR181" i="27"/>
  <c r="CO181" i="27"/>
  <c r="CL181" i="27"/>
  <c r="CI181" i="27"/>
  <c r="CF181" i="27"/>
  <c r="CC181" i="27"/>
  <c r="BZ181" i="27"/>
  <c r="BW181" i="27"/>
  <c r="BT181" i="27"/>
  <c r="BQ181" i="27"/>
  <c r="BN181" i="27"/>
  <c r="BK181" i="27"/>
  <c r="BH181" i="27"/>
  <c r="BE181" i="27"/>
  <c r="BB181" i="27"/>
  <c r="AY181" i="27"/>
  <c r="AI181" i="27" s="1"/>
  <c r="CS181" i="27" s="1"/>
  <c r="AV181" i="27"/>
  <c r="AH181" i="27"/>
  <c r="AG181" i="27"/>
  <c r="AF181" i="27"/>
  <c r="AE181" i="27"/>
  <c r="AD181" i="27"/>
  <c r="AC181" i="27"/>
  <c r="AB181" i="27"/>
  <c r="AA181" i="27"/>
  <c r="Z181" i="27"/>
  <c r="Y181" i="27"/>
  <c r="X181" i="27"/>
  <c r="W181" i="27"/>
  <c r="V181" i="27"/>
  <c r="DA180" i="27"/>
  <c r="CX180" i="27"/>
  <c r="CU180" i="27"/>
  <c r="CR180" i="27"/>
  <c r="CO180" i="27"/>
  <c r="CL180" i="27"/>
  <c r="CI180" i="27"/>
  <c r="CF180" i="27"/>
  <c r="CC180" i="27"/>
  <c r="BZ180" i="27"/>
  <c r="BW180" i="27"/>
  <c r="BT180" i="27"/>
  <c r="BQ180" i="27"/>
  <c r="BN180" i="27"/>
  <c r="BK180" i="27"/>
  <c r="BH180" i="27"/>
  <c r="BE180" i="27"/>
  <c r="BB180" i="27"/>
  <c r="AY180" i="27"/>
  <c r="AV180" i="27"/>
  <c r="AH180" i="27"/>
  <c r="AG180" i="27"/>
  <c r="AF180" i="27"/>
  <c r="AE180" i="27"/>
  <c r="AD180" i="27"/>
  <c r="AC180" i="27"/>
  <c r="AB180" i="27"/>
  <c r="AA180" i="27"/>
  <c r="Z180" i="27"/>
  <c r="Y180" i="27"/>
  <c r="X180" i="27"/>
  <c r="W180" i="27"/>
  <c r="V180" i="27"/>
  <c r="DA179" i="27"/>
  <c r="CX179" i="27"/>
  <c r="CU179" i="27"/>
  <c r="CR179" i="27"/>
  <c r="CO179" i="27"/>
  <c r="CL179" i="27"/>
  <c r="CI179" i="27"/>
  <c r="CF179" i="27"/>
  <c r="CC179" i="27"/>
  <c r="BZ179" i="27"/>
  <c r="BW179" i="27"/>
  <c r="BT179" i="27"/>
  <c r="BQ179" i="27"/>
  <c r="BN179" i="27"/>
  <c r="BK179" i="27"/>
  <c r="BH179" i="27"/>
  <c r="BE179" i="27"/>
  <c r="BB179" i="27"/>
  <c r="AY179" i="27"/>
  <c r="AV179" i="27"/>
  <c r="AI179" i="27" s="1"/>
  <c r="CS179" i="27" s="1"/>
  <c r="AH179" i="27"/>
  <c r="AG179" i="27"/>
  <c r="AF179" i="27"/>
  <c r="AE179" i="27"/>
  <c r="AD179" i="27"/>
  <c r="AJ179" i="27" s="1"/>
  <c r="AC179" i="27"/>
  <c r="AB179" i="27"/>
  <c r="AA179" i="27"/>
  <c r="Z179" i="27"/>
  <c r="Y179" i="27"/>
  <c r="X179" i="27"/>
  <c r="W179" i="27"/>
  <c r="V179" i="27"/>
  <c r="DA178" i="27"/>
  <c r="CX178" i="27"/>
  <c r="CU178" i="27"/>
  <c r="CR178" i="27"/>
  <c r="CO178" i="27"/>
  <c r="CL178" i="27"/>
  <c r="CI178" i="27"/>
  <c r="CF178" i="27"/>
  <c r="CC178" i="27"/>
  <c r="BZ178" i="27"/>
  <c r="BW178" i="27"/>
  <c r="BT178" i="27"/>
  <c r="BQ178" i="27"/>
  <c r="BN178" i="27"/>
  <c r="BK178" i="27"/>
  <c r="BH178" i="27"/>
  <c r="BE178" i="27"/>
  <c r="BB178" i="27"/>
  <c r="AY178" i="27"/>
  <c r="AV178" i="27"/>
  <c r="AH178" i="27"/>
  <c r="AG178" i="27"/>
  <c r="AF178" i="27"/>
  <c r="AE178" i="27"/>
  <c r="AD178" i="27"/>
  <c r="AC178" i="27"/>
  <c r="AJ178" i="27" s="1"/>
  <c r="AB178" i="27"/>
  <c r="AA178" i="27"/>
  <c r="Z178" i="27"/>
  <c r="Y178" i="27"/>
  <c r="X178" i="27"/>
  <c r="W178" i="27"/>
  <c r="V178" i="27"/>
  <c r="DA177" i="27"/>
  <c r="CX177" i="27"/>
  <c r="CU177" i="27"/>
  <c r="CR177" i="27"/>
  <c r="CO177" i="27"/>
  <c r="CL177" i="27"/>
  <c r="CI177" i="27"/>
  <c r="CF177" i="27"/>
  <c r="CC177" i="27"/>
  <c r="BZ177" i="27"/>
  <c r="BW177" i="27"/>
  <c r="BT177" i="27"/>
  <c r="BQ177" i="27"/>
  <c r="BN177" i="27"/>
  <c r="BK177" i="27"/>
  <c r="BH177" i="27"/>
  <c r="BE177" i="27"/>
  <c r="BB177" i="27"/>
  <c r="AY177" i="27"/>
  <c r="AI177" i="27" s="1"/>
  <c r="CS177" i="27" s="1"/>
  <c r="AV177" i="27"/>
  <c r="AH177" i="27"/>
  <c r="AG177" i="27"/>
  <c r="AF177" i="27"/>
  <c r="AE177" i="27"/>
  <c r="AD177" i="27"/>
  <c r="AC177" i="27"/>
  <c r="AB177" i="27"/>
  <c r="AA177" i="27"/>
  <c r="Z177" i="27"/>
  <c r="Y177" i="27"/>
  <c r="X177" i="27"/>
  <c r="W177" i="27"/>
  <c r="V177" i="27"/>
  <c r="DA176" i="27"/>
  <c r="CX176" i="27"/>
  <c r="CU176" i="27"/>
  <c r="CR176" i="27"/>
  <c r="CO176" i="27"/>
  <c r="CL176" i="27"/>
  <c r="CI176" i="27"/>
  <c r="CF176" i="27"/>
  <c r="CC176" i="27"/>
  <c r="BZ176" i="27"/>
  <c r="BW176" i="27"/>
  <c r="BT176" i="27"/>
  <c r="BQ176" i="27"/>
  <c r="BN176" i="27"/>
  <c r="BK176" i="27"/>
  <c r="BH176" i="27"/>
  <c r="BE176" i="27"/>
  <c r="BB176" i="27"/>
  <c r="AY176" i="27"/>
  <c r="AV176" i="27"/>
  <c r="AH176" i="27"/>
  <c r="AG176" i="27"/>
  <c r="AF176" i="27"/>
  <c r="AE176" i="27"/>
  <c r="AD176" i="27"/>
  <c r="AC176" i="27"/>
  <c r="AB176" i="27"/>
  <c r="AA176" i="27"/>
  <c r="Z176" i="27"/>
  <c r="Y176" i="27"/>
  <c r="X176" i="27"/>
  <c r="W176" i="27"/>
  <c r="V176" i="27"/>
  <c r="DA175" i="27"/>
  <c r="CX175" i="27"/>
  <c r="CU175" i="27"/>
  <c r="CR175" i="27"/>
  <c r="CO175" i="27"/>
  <c r="CL175" i="27"/>
  <c r="CI175" i="27"/>
  <c r="CF175" i="27"/>
  <c r="CC175" i="27"/>
  <c r="BZ175" i="27"/>
  <c r="BW175" i="27"/>
  <c r="BT175" i="27"/>
  <c r="BQ175" i="27"/>
  <c r="BN175" i="27"/>
  <c r="BK175" i="27"/>
  <c r="BH175" i="27"/>
  <c r="BE175" i="27"/>
  <c r="BB175" i="27"/>
  <c r="AY175" i="27"/>
  <c r="AV175" i="27"/>
  <c r="AI175" i="27" s="1"/>
  <c r="CS175" i="27" s="1"/>
  <c r="AH175" i="27"/>
  <c r="AG175" i="27"/>
  <c r="AF175" i="27"/>
  <c r="AE175" i="27"/>
  <c r="AD175" i="27"/>
  <c r="AJ175" i="27" s="1"/>
  <c r="AC175" i="27"/>
  <c r="AB175" i="27"/>
  <c r="AA175" i="27"/>
  <c r="Z175" i="27"/>
  <c r="Y175" i="27"/>
  <c r="X175" i="27"/>
  <c r="W175" i="27"/>
  <c r="V175" i="27"/>
  <c r="DA174" i="27"/>
  <c r="CX174" i="27"/>
  <c r="CU174" i="27"/>
  <c r="CR174" i="27"/>
  <c r="CO174" i="27"/>
  <c r="CL174" i="27"/>
  <c r="CI174" i="27"/>
  <c r="CF174" i="27"/>
  <c r="CC174" i="27"/>
  <c r="BZ174" i="27"/>
  <c r="BW174" i="27"/>
  <c r="BT174" i="27"/>
  <c r="BQ174" i="27"/>
  <c r="BN174" i="27"/>
  <c r="BK174" i="27"/>
  <c r="BH174" i="27"/>
  <c r="BE174" i="27"/>
  <c r="BB174" i="27"/>
  <c r="AY174" i="27"/>
  <c r="AV174" i="27"/>
  <c r="AH174" i="27"/>
  <c r="AG174" i="27"/>
  <c r="AF174" i="27"/>
  <c r="AE174" i="27"/>
  <c r="AD174" i="27"/>
  <c r="AC174" i="27"/>
  <c r="AB174" i="27"/>
  <c r="AA174" i="27"/>
  <c r="Z174" i="27"/>
  <c r="Y174" i="27"/>
  <c r="X174" i="27"/>
  <c r="W174" i="27"/>
  <c r="V174" i="27"/>
  <c r="DA173" i="27"/>
  <c r="CX173" i="27"/>
  <c r="CU173" i="27"/>
  <c r="CR173" i="27"/>
  <c r="CO173" i="27"/>
  <c r="CL173" i="27"/>
  <c r="CI173" i="27"/>
  <c r="CF173" i="27"/>
  <c r="CC173" i="27"/>
  <c r="BZ173" i="27"/>
  <c r="BW173" i="27"/>
  <c r="BT173" i="27"/>
  <c r="BQ173" i="27"/>
  <c r="BN173" i="27"/>
  <c r="BK173" i="27"/>
  <c r="BH173" i="27"/>
  <c r="BE173" i="27"/>
  <c r="BB173" i="27"/>
  <c r="AY173" i="27"/>
  <c r="AI173" i="27" s="1"/>
  <c r="CS173" i="27" s="1"/>
  <c r="AV173" i="27"/>
  <c r="AH173" i="27"/>
  <c r="AG173" i="27"/>
  <c r="AF173" i="27"/>
  <c r="AE173" i="27"/>
  <c r="AD173" i="27"/>
  <c r="AC173" i="27"/>
  <c r="AB173" i="27"/>
  <c r="AA173" i="27"/>
  <c r="Z173" i="27"/>
  <c r="Y173" i="27"/>
  <c r="X173" i="27"/>
  <c r="W173" i="27"/>
  <c r="V173" i="27"/>
  <c r="DA172" i="27"/>
  <c r="CX172" i="27"/>
  <c r="CU172" i="27"/>
  <c r="CR172" i="27"/>
  <c r="CO172" i="27"/>
  <c r="CL172" i="27"/>
  <c r="CI172" i="27"/>
  <c r="CF172" i="27"/>
  <c r="CC172" i="27"/>
  <c r="BZ172" i="27"/>
  <c r="BW172" i="27"/>
  <c r="BT172" i="27"/>
  <c r="BQ172" i="27"/>
  <c r="BN172" i="27"/>
  <c r="BK172" i="27"/>
  <c r="BH172" i="27"/>
  <c r="BE172" i="27"/>
  <c r="BB172" i="27"/>
  <c r="AY172" i="27"/>
  <c r="AV172" i="27"/>
  <c r="AH172" i="27"/>
  <c r="AG172" i="27"/>
  <c r="AF172" i="27"/>
  <c r="AE172" i="27"/>
  <c r="AD172" i="27"/>
  <c r="AC172" i="27"/>
  <c r="AB172" i="27"/>
  <c r="AA172" i="27"/>
  <c r="Z172" i="27"/>
  <c r="Y172" i="27"/>
  <c r="X172" i="27"/>
  <c r="W172" i="27"/>
  <c r="V172" i="27"/>
  <c r="DA171" i="27"/>
  <c r="CX171" i="27"/>
  <c r="CU171" i="27"/>
  <c r="CR171" i="27"/>
  <c r="CO171" i="27"/>
  <c r="CL171" i="27"/>
  <c r="CI171" i="27"/>
  <c r="CF171" i="27"/>
  <c r="CC171" i="27"/>
  <c r="BZ171" i="27"/>
  <c r="BW171" i="27"/>
  <c r="BT171" i="27"/>
  <c r="BQ171" i="27"/>
  <c r="BN171" i="27"/>
  <c r="BK171" i="27"/>
  <c r="BH171" i="27"/>
  <c r="BE171" i="27"/>
  <c r="BB171" i="27"/>
  <c r="AY171" i="27"/>
  <c r="AV171" i="27"/>
  <c r="AI171" i="27" s="1"/>
  <c r="CS171" i="27" s="1"/>
  <c r="AH171" i="27"/>
  <c r="AG171" i="27"/>
  <c r="AF171" i="27"/>
  <c r="AE171" i="27"/>
  <c r="AD171" i="27"/>
  <c r="AC171" i="27"/>
  <c r="AB171" i="27"/>
  <c r="AA171" i="27"/>
  <c r="Z171" i="27"/>
  <c r="Y171" i="27"/>
  <c r="X171" i="27"/>
  <c r="W171" i="27"/>
  <c r="V171" i="27"/>
  <c r="DA170" i="27"/>
  <c r="CX170" i="27"/>
  <c r="CU170" i="27"/>
  <c r="CR170" i="27"/>
  <c r="CO170" i="27"/>
  <c r="CL170" i="27"/>
  <c r="CI170" i="27"/>
  <c r="CF170" i="27"/>
  <c r="CC170" i="27"/>
  <c r="BZ170" i="27"/>
  <c r="BW170" i="27"/>
  <c r="BT170" i="27"/>
  <c r="BQ170" i="27"/>
  <c r="BN170" i="27"/>
  <c r="BK170" i="27"/>
  <c r="BH170" i="27"/>
  <c r="BE170" i="27"/>
  <c r="BB170" i="27"/>
  <c r="AY170" i="27"/>
  <c r="AV170" i="27"/>
  <c r="AH170" i="27"/>
  <c r="AG170" i="27"/>
  <c r="AN170" i="27" s="1"/>
  <c r="AO170" i="27" s="1"/>
  <c r="AF170" i="27"/>
  <c r="AE170" i="27"/>
  <c r="AD170" i="27"/>
  <c r="AC170" i="27"/>
  <c r="AJ170" i="27" s="1"/>
  <c r="AB170" i="27"/>
  <c r="AA170" i="27"/>
  <c r="Z170" i="27"/>
  <c r="Y170" i="27"/>
  <c r="X170" i="27"/>
  <c r="W170" i="27"/>
  <c r="V170" i="27"/>
  <c r="DA169" i="27"/>
  <c r="CX169" i="27"/>
  <c r="CU169" i="27"/>
  <c r="CR169" i="27"/>
  <c r="CO169" i="27"/>
  <c r="CL169" i="27"/>
  <c r="CI169" i="27"/>
  <c r="CF169" i="27"/>
  <c r="CC169" i="27"/>
  <c r="BZ169" i="27"/>
  <c r="BW169" i="27"/>
  <c r="BT169" i="27"/>
  <c r="BQ169" i="27"/>
  <c r="BN169" i="27"/>
  <c r="BK169" i="27"/>
  <c r="BH169" i="27"/>
  <c r="BE169" i="27"/>
  <c r="BB169" i="27"/>
  <c r="AY169" i="27"/>
  <c r="AV169" i="27"/>
  <c r="AI169" i="27"/>
  <c r="CS169" i="27" s="1"/>
  <c r="AH169" i="27"/>
  <c r="AG169" i="27"/>
  <c r="AF169" i="27"/>
  <c r="AE169" i="27"/>
  <c r="AN169" i="27" s="1"/>
  <c r="AO169" i="27" s="1"/>
  <c r="AD169" i="27"/>
  <c r="AC169" i="27"/>
  <c r="AB169" i="27"/>
  <c r="AA169" i="27"/>
  <c r="Z169" i="27"/>
  <c r="Y169" i="27"/>
  <c r="X169" i="27"/>
  <c r="W169" i="27"/>
  <c r="V169" i="27"/>
  <c r="DA168" i="27"/>
  <c r="CX168" i="27"/>
  <c r="CU168" i="27"/>
  <c r="CR168" i="27"/>
  <c r="CO168" i="27"/>
  <c r="CL168" i="27"/>
  <c r="CI168" i="27"/>
  <c r="CF168" i="27"/>
  <c r="CC168" i="27"/>
  <c r="BZ168" i="27"/>
  <c r="BW168" i="27"/>
  <c r="BT168" i="27"/>
  <c r="BQ168" i="27"/>
  <c r="BN168" i="27"/>
  <c r="BK168" i="27"/>
  <c r="BH168" i="27"/>
  <c r="BE168" i="27"/>
  <c r="BB168" i="27"/>
  <c r="AY168" i="27"/>
  <c r="AI168" i="27" s="1"/>
  <c r="BF168" i="27" s="1"/>
  <c r="AV168" i="27"/>
  <c r="AH168" i="27"/>
  <c r="AG168" i="27"/>
  <c r="AF168" i="27"/>
  <c r="AE168" i="27"/>
  <c r="AD168" i="27"/>
  <c r="AC168" i="27"/>
  <c r="AB168" i="27"/>
  <c r="AA168" i="27"/>
  <c r="Z168" i="27"/>
  <c r="Y168" i="27"/>
  <c r="X168" i="27"/>
  <c r="W168" i="27"/>
  <c r="V168" i="27"/>
  <c r="DA167" i="27"/>
  <c r="CX167" i="27"/>
  <c r="CU167" i="27"/>
  <c r="CR167" i="27"/>
  <c r="CO167" i="27"/>
  <c r="CL167" i="27"/>
  <c r="CI167" i="27"/>
  <c r="CF167" i="27"/>
  <c r="CC167" i="27"/>
  <c r="BZ167" i="27"/>
  <c r="BW167" i="27"/>
  <c r="BT167" i="27"/>
  <c r="BQ167" i="27"/>
  <c r="BN167" i="27"/>
  <c r="BK167" i="27"/>
  <c r="BH167" i="27"/>
  <c r="BE167" i="27"/>
  <c r="BB167" i="27"/>
  <c r="AY167" i="27"/>
  <c r="AV167" i="27"/>
  <c r="AH167" i="27"/>
  <c r="AG167" i="27"/>
  <c r="AN167" i="27" s="1"/>
  <c r="AO167" i="27" s="1"/>
  <c r="AF167" i="27"/>
  <c r="AE167" i="27"/>
  <c r="AD167" i="27"/>
  <c r="AC167" i="27"/>
  <c r="AB167" i="27"/>
  <c r="AA167" i="27"/>
  <c r="Z167" i="27"/>
  <c r="Y167" i="27"/>
  <c r="X167" i="27"/>
  <c r="W167" i="27"/>
  <c r="V167" i="27"/>
  <c r="DA166" i="27"/>
  <c r="CX166" i="27"/>
  <c r="CU166" i="27"/>
  <c r="CR166" i="27"/>
  <c r="CO166" i="27"/>
  <c r="CL166" i="27"/>
  <c r="CI166" i="27"/>
  <c r="CF166" i="27"/>
  <c r="CC166" i="27"/>
  <c r="BZ166" i="27"/>
  <c r="BW166" i="27"/>
  <c r="BT166" i="27"/>
  <c r="BQ166" i="27"/>
  <c r="BN166" i="27"/>
  <c r="BK166" i="27"/>
  <c r="BH166" i="27"/>
  <c r="BE166" i="27"/>
  <c r="BB166" i="27"/>
  <c r="AY166" i="27"/>
  <c r="AV166" i="27"/>
  <c r="AH166" i="27"/>
  <c r="AG166" i="27"/>
  <c r="AF166" i="27"/>
  <c r="AE166" i="27"/>
  <c r="AD166" i="27"/>
  <c r="AC166" i="27"/>
  <c r="AB166" i="27"/>
  <c r="AA166" i="27"/>
  <c r="Z166" i="27"/>
  <c r="Y166" i="27"/>
  <c r="X166" i="27"/>
  <c r="W166" i="27"/>
  <c r="V166" i="27"/>
  <c r="DA165" i="27"/>
  <c r="CX165" i="27"/>
  <c r="CU165" i="27"/>
  <c r="CR165" i="27"/>
  <c r="CO165" i="27"/>
  <c r="CL165" i="27"/>
  <c r="CI165" i="27"/>
  <c r="CF165" i="27"/>
  <c r="CC165" i="27"/>
  <c r="BZ165" i="27"/>
  <c r="BW165" i="27"/>
  <c r="BT165" i="27"/>
  <c r="BQ165" i="27"/>
  <c r="BN165" i="27"/>
  <c r="BK165" i="27"/>
  <c r="BH165" i="27"/>
  <c r="BE165" i="27"/>
  <c r="BB165" i="27"/>
  <c r="AY165" i="27"/>
  <c r="AV165" i="27"/>
  <c r="AH165" i="27"/>
  <c r="AG165" i="27"/>
  <c r="AF165" i="27"/>
  <c r="AE165" i="27"/>
  <c r="AD165" i="27"/>
  <c r="AC165" i="27"/>
  <c r="AB165" i="27"/>
  <c r="AA165" i="27"/>
  <c r="Z165" i="27"/>
  <c r="Y165" i="27"/>
  <c r="X165" i="27"/>
  <c r="W165" i="27"/>
  <c r="V165" i="27"/>
  <c r="DA164" i="27"/>
  <c r="CX164" i="27"/>
  <c r="CU164" i="27"/>
  <c r="CR164" i="27"/>
  <c r="CO164" i="27"/>
  <c r="CL164" i="27"/>
  <c r="CI164" i="27"/>
  <c r="CF164" i="27"/>
  <c r="CC164" i="27"/>
  <c r="BZ164" i="27"/>
  <c r="BW164" i="27"/>
  <c r="BT164" i="27"/>
  <c r="BQ164" i="27"/>
  <c r="BN164" i="27"/>
  <c r="BK164" i="27"/>
  <c r="BH164" i="27"/>
  <c r="BE164" i="27"/>
  <c r="BB164" i="27"/>
  <c r="AY164" i="27"/>
  <c r="AV164" i="27"/>
  <c r="AH164" i="27"/>
  <c r="AG164" i="27"/>
  <c r="AF164" i="27"/>
  <c r="AE164" i="27"/>
  <c r="AD164" i="27"/>
  <c r="AC164" i="27"/>
  <c r="AB164" i="27"/>
  <c r="AA164" i="27"/>
  <c r="Z164" i="27"/>
  <c r="Y164" i="27"/>
  <c r="X164" i="27"/>
  <c r="W164" i="27"/>
  <c r="V164" i="27"/>
  <c r="DA163" i="27"/>
  <c r="CX163" i="27"/>
  <c r="CU163" i="27"/>
  <c r="CR163" i="27"/>
  <c r="CO163" i="27"/>
  <c r="CL163" i="27"/>
  <c r="CI163" i="27"/>
  <c r="CF163" i="27"/>
  <c r="CC163" i="27"/>
  <c r="BZ163" i="27"/>
  <c r="BW163" i="27"/>
  <c r="BT163" i="27"/>
  <c r="BQ163" i="27"/>
  <c r="BN163" i="27"/>
  <c r="BK163" i="27"/>
  <c r="BH163" i="27"/>
  <c r="BE163" i="27"/>
  <c r="BB163" i="27"/>
  <c r="AY163" i="27"/>
  <c r="AV163" i="27"/>
  <c r="AH163" i="27"/>
  <c r="AG163" i="27"/>
  <c r="AF163" i="27"/>
  <c r="AE163" i="27"/>
  <c r="AD163" i="27"/>
  <c r="AC163" i="27"/>
  <c r="AB163" i="27"/>
  <c r="AA163" i="27"/>
  <c r="Z163" i="27"/>
  <c r="Y163" i="27"/>
  <c r="X163" i="27"/>
  <c r="W163" i="27"/>
  <c r="V163" i="27"/>
  <c r="DA162" i="27"/>
  <c r="CX162" i="27"/>
  <c r="CU162" i="27"/>
  <c r="CR162" i="27"/>
  <c r="CO162" i="27"/>
  <c r="CL162" i="27"/>
  <c r="CI162" i="27"/>
  <c r="CF162" i="27"/>
  <c r="CC162" i="27"/>
  <c r="BZ162" i="27"/>
  <c r="BW162" i="27"/>
  <c r="BT162" i="27"/>
  <c r="BQ162" i="27"/>
  <c r="BN162" i="27"/>
  <c r="BK162" i="27"/>
  <c r="BH162" i="27"/>
  <c r="BE162" i="27"/>
  <c r="BB162" i="27"/>
  <c r="AY162" i="27"/>
  <c r="AV162" i="27"/>
  <c r="AH162" i="27"/>
  <c r="AG162" i="27"/>
  <c r="AF162" i="27"/>
  <c r="AE162" i="27"/>
  <c r="AD162" i="27"/>
  <c r="AC162" i="27"/>
  <c r="AB162" i="27"/>
  <c r="AA162" i="27"/>
  <c r="Z162" i="27"/>
  <c r="Y162" i="27"/>
  <c r="X162" i="27"/>
  <c r="W162" i="27"/>
  <c r="V162" i="27"/>
  <c r="DA161" i="27"/>
  <c r="CX161" i="27"/>
  <c r="CU161" i="27"/>
  <c r="CR161" i="27"/>
  <c r="CO161" i="27"/>
  <c r="CL161" i="27"/>
  <c r="CI161" i="27"/>
  <c r="CF161" i="27"/>
  <c r="CC161" i="27"/>
  <c r="BZ161" i="27"/>
  <c r="BW161" i="27"/>
  <c r="BT161" i="27"/>
  <c r="BQ161" i="27"/>
  <c r="BN161" i="27"/>
  <c r="BK161" i="27"/>
  <c r="BH161" i="27"/>
  <c r="BE161" i="27"/>
  <c r="BB161" i="27"/>
  <c r="AY161" i="27"/>
  <c r="AV161" i="27"/>
  <c r="AH161" i="27"/>
  <c r="AG161" i="27"/>
  <c r="AN161" i="27" s="1"/>
  <c r="AO161" i="27" s="1"/>
  <c r="AF161" i="27"/>
  <c r="AE161" i="27"/>
  <c r="AD161" i="27"/>
  <c r="AC161" i="27"/>
  <c r="AB161" i="27"/>
  <c r="AA161" i="27"/>
  <c r="Z161" i="27"/>
  <c r="Y161" i="27"/>
  <c r="X161" i="27"/>
  <c r="W161" i="27"/>
  <c r="V161" i="27"/>
  <c r="DA160" i="27"/>
  <c r="CX160" i="27"/>
  <c r="CU160" i="27"/>
  <c r="CR160" i="27"/>
  <c r="CO160" i="27"/>
  <c r="CL160" i="27"/>
  <c r="CI160" i="27"/>
  <c r="CF160" i="27"/>
  <c r="CC160" i="27"/>
  <c r="BZ160" i="27"/>
  <c r="BW160" i="27"/>
  <c r="BT160" i="27"/>
  <c r="BQ160" i="27"/>
  <c r="BN160" i="27"/>
  <c r="BK160" i="27"/>
  <c r="BH160" i="27"/>
  <c r="BE160" i="27"/>
  <c r="BB160" i="27"/>
  <c r="AY160" i="27"/>
  <c r="AV160" i="27"/>
  <c r="AH160" i="27"/>
  <c r="AG160" i="27"/>
  <c r="AN160" i="27" s="1"/>
  <c r="AO160" i="27" s="1"/>
  <c r="AF160" i="27"/>
  <c r="AE160" i="27"/>
  <c r="AD160" i="27"/>
  <c r="AC160" i="27"/>
  <c r="AB160" i="27"/>
  <c r="AA160" i="27"/>
  <c r="Z160" i="27"/>
  <c r="Y160" i="27"/>
  <c r="X160" i="27"/>
  <c r="W160" i="27"/>
  <c r="V160" i="27"/>
  <c r="DA159" i="27"/>
  <c r="CX159" i="27"/>
  <c r="CU159" i="27"/>
  <c r="CR159" i="27"/>
  <c r="CO159" i="27"/>
  <c r="CL159" i="27"/>
  <c r="CI159" i="27"/>
  <c r="CF159" i="27"/>
  <c r="CC159" i="27"/>
  <c r="BZ159" i="27"/>
  <c r="BW159" i="27"/>
  <c r="BT159" i="27"/>
  <c r="BQ159" i="27"/>
  <c r="BN159" i="27"/>
  <c r="BK159" i="27"/>
  <c r="BH159" i="27"/>
  <c r="BE159" i="27"/>
  <c r="BB159" i="27"/>
  <c r="AY159" i="27"/>
  <c r="AV159" i="27"/>
  <c r="AI159" i="27"/>
  <c r="CS159" i="27" s="1"/>
  <c r="AH159" i="27"/>
  <c r="AG159" i="27"/>
  <c r="AF159" i="27"/>
  <c r="AE159" i="27"/>
  <c r="AN159" i="27" s="1"/>
  <c r="AO159" i="27" s="1"/>
  <c r="AD159" i="27"/>
  <c r="AC159" i="27"/>
  <c r="AB159" i="27"/>
  <c r="AA159" i="27"/>
  <c r="Z159" i="27"/>
  <c r="Y159" i="27"/>
  <c r="X159" i="27"/>
  <c r="W159" i="27"/>
  <c r="V159" i="27"/>
  <c r="DA158" i="27"/>
  <c r="CX158" i="27"/>
  <c r="CU158" i="27"/>
  <c r="CR158" i="27"/>
  <c r="CO158" i="27"/>
  <c r="CL158" i="27"/>
  <c r="CI158" i="27"/>
  <c r="CF158" i="27"/>
  <c r="CC158" i="27"/>
  <c r="BZ158" i="27"/>
  <c r="BW158" i="27"/>
  <c r="BT158" i="27"/>
  <c r="BQ158" i="27"/>
  <c r="BN158" i="27"/>
  <c r="BK158" i="27"/>
  <c r="BH158" i="27"/>
  <c r="BE158" i="27"/>
  <c r="BB158" i="27"/>
  <c r="AY158" i="27"/>
  <c r="AI158" i="27" s="1"/>
  <c r="AV158" i="27"/>
  <c r="AH158" i="27"/>
  <c r="AG158" i="27"/>
  <c r="AF158" i="27"/>
  <c r="AE158" i="27"/>
  <c r="AD158" i="27"/>
  <c r="AC158" i="27"/>
  <c r="AB158" i="27"/>
  <c r="AA158" i="27"/>
  <c r="Z158" i="27"/>
  <c r="Y158" i="27"/>
  <c r="X158" i="27"/>
  <c r="W158" i="27"/>
  <c r="V158" i="27"/>
  <c r="DA157" i="27"/>
  <c r="CX157" i="27"/>
  <c r="CU157" i="27"/>
  <c r="CR157" i="27"/>
  <c r="CO157" i="27"/>
  <c r="CL157" i="27"/>
  <c r="CI157" i="27"/>
  <c r="CF157" i="27"/>
  <c r="CC157" i="27"/>
  <c r="BZ157" i="27"/>
  <c r="BW157" i="27"/>
  <c r="BT157" i="27"/>
  <c r="BQ157" i="27"/>
  <c r="BN157" i="27"/>
  <c r="BK157" i="27"/>
  <c r="BH157" i="27"/>
  <c r="BE157" i="27"/>
  <c r="BB157" i="27"/>
  <c r="AY157" i="27"/>
  <c r="AV157" i="27"/>
  <c r="AH157" i="27"/>
  <c r="AG157" i="27"/>
  <c r="AF157" i="27"/>
  <c r="AE157" i="27"/>
  <c r="AD157" i="27"/>
  <c r="AJ157" i="27" s="1"/>
  <c r="AC157" i="27"/>
  <c r="AB157" i="27"/>
  <c r="AA157" i="27"/>
  <c r="Z157" i="27"/>
  <c r="Y157" i="27"/>
  <c r="X157" i="27"/>
  <c r="W157" i="27"/>
  <c r="V157" i="27"/>
  <c r="DA156" i="27"/>
  <c r="CX156" i="27"/>
  <c r="CU156" i="27"/>
  <c r="CR156" i="27"/>
  <c r="CO156" i="27"/>
  <c r="CL156" i="27"/>
  <c r="CI156" i="27"/>
  <c r="CF156" i="27"/>
  <c r="CC156" i="27"/>
  <c r="BZ156" i="27"/>
  <c r="BW156" i="27"/>
  <c r="BT156" i="27"/>
  <c r="BQ156" i="27"/>
  <c r="BN156" i="27"/>
  <c r="BK156" i="27"/>
  <c r="BH156" i="27"/>
  <c r="BE156" i="27"/>
  <c r="BB156" i="27"/>
  <c r="AY156" i="27"/>
  <c r="AV156" i="27"/>
  <c r="AH156" i="27"/>
  <c r="AG156" i="27"/>
  <c r="AF156" i="27"/>
  <c r="AE156" i="27"/>
  <c r="AD156" i="27"/>
  <c r="AC156" i="27"/>
  <c r="AJ156" i="27" s="1"/>
  <c r="AB156" i="27"/>
  <c r="AA156" i="27"/>
  <c r="Z156" i="27"/>
  <c r="Y156" i="27"/>
  <c r="X156" i="27"/>
  <c r="W156" i="27"/>
  <c r="V156" i="27"/>
  <c r="DA155" i="27"/>
  <c r="CX155" i="27"/>
  <c r="CU155" i="27"/>
  <c r="CR155" i="27"/>
  <c r="CO155" i="27"/>
  <c r="CL155" i="27"/>
  <c r="CI155" i="27"/>
  <c r="CF155" i="27"/>
  <c r="CC155" i="27"/>
  <c r="BZ155" i="27"/>
  <c r="BW155" i="27"/>
  <c r="BT155" i="27"/>
  <c r="BQ155" i="27"/>
  <c r="BN155" i="27"/>
  <c r="BK155" i="27"/>
  <c r="BH155" i="27"/>
  <c r="BE155" i="27"/>
  <c r="BB155" i="27"/>
  <c r="AY155" i="27"/>
  <c r="AI155" i="27" s="1"/>
  <c r="CS155" i="27" s="1"/>
  <c r="AV155" i="27"/>
  <c r="AH155" i="27"/>
  <c r="AG155" i="27"/>
  <c r="AF155" i="27"/>
  <c r="AE155" i="27"/>
  <c r="AD155" i="27"/>
  <c r="AC155" i="27"/>
  <c r="AB155" i="27"/>
  <c r="AA155" i="27"/>
  <c r="Z155" i="27"/>
  <c r="Y155" i="27"/>
  <c r="X155" i="27"/>
  <c r="W155" i="27"/>
  <c r="V155" i="27"/>
  <c r="DA154" i="27"/>
  <c r="CX154" i="27"/>
  <c r="CU154" i="27"/>
  <c r="CR154" i="27"/>
  <c r="CO154" i="27"/>
  <c r="CL154" i="27"/>
  <c r="CI154" i="27"/>
  <c r="CF154" i="27"/>
  <c r="CC154" i="27"/>
  <c r="BZ154" i="27"/>
  <c r="BW154" i="27"/>
  <c r="BT154" i="27"/>
  <c r="BQ154" i="27"/>
  <c r="BN154" i="27"/>
  <c r="BK154" i="27"/>
  <c r="BH154" i="27"/>
  <c r="BE154" i="27"/>
  <c r="BB154" i="27"/>
  <c r="AY154" i="27"/>
  <c r="AV154" i="27"/>
  <c r="AH154" i="27"/>
  <c r="AG154" i="27"/>
  <c r="AF154" i="27"/>
  <c r="AE154" i="27"/>
  <c r="AD154" i="27"/>
  <c r="AC154" i="27"/>
  <c r="AB154" i="27"/>
  <c r="AA154" i="27"/>
  <c r="Z154" i="27"/>
  <c r="Y154" i="27"/>
  <c r="X154" i="27"/>
  <c r="W154" i="27"/>
  <c r="V154" i="27"/>
  <c r="DA153" i="27"/>
  <c r="CX153" i="27"/>
  <c r="CU153" i="27"/>
  <c r="CR153" i="27"/>
  <c r="CO153" i="27"/>
  <c r="CL153" i="27"/>
  <c r="CI153" i="27"/>
  <c r="CF153" i="27"/>
  <c r="CC153" i="27"/>
  <c r="BZ153" i="27"/>
  <c r="BW153" i="27"/>
  <c r="BT153" i="27"/>
  <c r="BQ153" i="27"/>
  <c r="BN153" i="27"/>
  <c r="BK153" i="27"/>
  <c r="BH153" i="27"/>
  <c r="BE153" i="27"/>
  <c r="BB153" i="27"/>
  <c r="AY153" i="27"/>
  <c r="AV153" i="27"/>
  <c r="AI153" i="27" s="1"/>
  <c r="CS153" i="27" s="1"/>
  <c r="AH153" i="27"/>
  <c r="AG153" i="27"/>
  <c r="AF153" i="27"/>
  <c r="AE153" i="27"/>
  <c r="AD153" i="27"/>
  <c r="AJ153" i="27" s="1"/>
  <c r="AC153" i="27"/>
  <c r="AB153" i="27"/>
  <c r="AA153" i="27"/>
  <c r="Z153" i="27"/>
  <c r="Y153" i="27"/>
  <c r="X153" i="27"/>
  <c r="W153" i="27"/>
  <c r="V153" i="27"/>
  <c r="DA152" i="27"/>
  <c r="CX152" i="27"/>
  <c r="CU152" i="27"/>
  <c r="CR152" i="27"/>
  <c r="CO152" i="27"/>
  <c r="CL152" i="27"/>
  <c r="CI152" i="27"/>
  <c r="CF152" i="27"/>
  <c r="CC152" i="27"/>
  <c r="BZ152" i="27"/>
  <c r="BW152" i="27"/>
  <c r="BT152" i="27"/>
  <c r="BQ152" i="27"/>
  <c r="BN152" i="27"/>
  <c r="BK152" i="27"/>
  <c r="BH152" i="27"/>
  <c r="BE152" i="27"/>
  <c r="BB152" i="27"/>
  <c r="AY152" i="27"/>
  <c r="AV152" i="27"/>
  <c r="AH152" i="27"/>
  <c r="AG152" i="27"/>
  <c r="AF152" i="27"/>
  <c r="AE152" i="27"/>
  <c r="AD152" i="27"/>
  <c r="AC152" i="27"/>
  <c r="AJ152" i="27" s="1"/>
  <c r="AB152" i="27"/>
  <c r="AA152" i="27"/>
  <c r="Z152" i="27"/>
  <c r="Y152" i="27"/>
  <c r="X152" i="27"/>
  <c r="W152" i="27"/>
  <c r="V152" i="27"/>
  <c r="DA151" i="27"/>
  <c r="CX151" i="27"/>
  <c r="CU151" i="27"/>
  <c r="CR151" i="27"/>
  <c r="CO151" i="27"/>
  <c r="CL151" i="27"/>
  <c r="CI151" i="27"/>
  <c r="CF151" i="27"/>
  <c r="CC151" i="27"/>
  <c r="BZ151" i="27"/>
  <c r="BW151" i="27"/>
  <c r="BT151" i="27"/>
  <c r="BQ151" i="27"/>
  <c r="BN151" i="27"/>
  <c r="BK151" i="27"/>
  <c r="BH151" i="27"/>
  <c r="BE151" i="27"/>
  <c r="BB151" i="27"/>
  <c r="AY151" i="27"/>
  <c r="AI151" i="27" s="1"/>
  <c r="CS151" i="27" s="1"/>
  <c r="AV151" i="27"/>
  <c r="AH151" i="27"/>
  <c r="AG151" i="27"/>
  <c r="AF151" i="27"/>
  <c r="AE151" i="27"/>
  <c r="AD151" i="27"/>
  <c r="AC151" i="27"/>
  <c r="AB151" i="27"/>
  <c r="AA151" i="27"/>
  <c r="Z151" i="27"/>
  <c r="Y151" i="27"/>
  <c r="X151" i="27"/>
  <c r="W151" i="27"/>
  <c r="V151" i="27"/>
  <c r="DA150" i="27"/>
  <c r="CX150" i="27"/>
  <c r="CU150" i="27"/>
  <c r="CR150" i="27"/>
  <c r="CO150" i="27"/>
  <c r="CL150" i="27"/>
  <c r="CI150" i="27"/>
  <c r="CF150" i="27"/>
  <c r="CC150" i="27"/>
  <c r="BZ150" i="27"/>
  <c r="BW150" i="27"/>
  <c r="BT150" i="27"/>
  <c r="BQ150" i="27"/>
  <c r="BN150" i="27"/>
  <c r="BK150" i="27"/>
  <c r="BH150" i="27"/>
  <c r="BE150" i="27"/>
  <c r="BB150" i="27"/>
  <c r="AY150" i="27"/>
  <c r="AV150" i="27"/>
  <c r="AH150" i="27"/>
  <c r="AG150" i="27"/>
  <c r="AF150" i="27"/>
  <c r="AE150" i="27"/>
  <c r="AD150" i="27"/>
  <c r="AC150" i="27"/>
  <c r="AB150" i="27"/>
  <c r="AA150" i="27"/>
  <c r="Z150" i="27"/>
  <c r="Y150" i="27"/>
  <c r="X150" i="27"/>
  <c r="W150" i="27"/>
  <c r="V150" i="27"/>
  <c r="DA149" i="27"/>
  <c r="CX149" i="27"/>
  <c r="CU149" i="27"/>
  <c r="CR149" i="27"/>
  <c r="CO149" i="27"/>
  <c r="CL149" i="27"/>
  <c r="CI149" i="27"/>
  <c r="CF149" i="27"/>
  <c r="CC149" i="27"/>
  <c r="BZ149" i="27"/>
  <c r="BW149" i="27"/>
  <c r="BT149" i="27"/>
  <c r="BQ149" i="27"/>
  <c r="BN149" i="27"/>
  <c r="BK149" i="27"/>
  <c r="BH149" i="27"/>
  <c r="BE149" i="27"/>
  <c r="BB149" i="27"/>
  <c r="AY149" i="27"/>
  <c r="AV149" i="27"/>
  <c r="AI149" i="27" s="1"/>
  <c r="CS149" i="27" s="1"/>
  <c r="AH149" i="27"/>
  <c r="AG149" i="27"/>
  <c r="AF149" i="27"/>
  <c r="AE149" i="27"/>
  <c r="AD149" i="27"/>
  <c r="AJ149" i="27" s="1"/>
  <c r="AC149" i="27"/>
  <c r="AB149" i="27"/>
  <c r="AA149" i="27"/>
  <c r="Z149" i="27"/>
  <c r="Y149" i="27"/>
  <c r="X149" i="27"/>
  <c r="W149" i="27"/>
  <c r="V149" i="27"/>
  <c r="DA148" i="27"/>
  <c r="CX148" i="27"/>
  <c r="CU148" i="27"/>
  <c r="CR148" i="27"/>
  <c r="CO148" i="27"/>
  <c r="CL148" i="27"/>
  <c r="CI148" i="27"/>
  <c r="CF148" i="27"/>
  <c r="CC148" i="27"/>
  <c r="BZ148" i="27"/>
  <c r="BW148" i="27"/>
  <c r="BT148" i="27"/>
  <c r="BQ148" i="27"/>
  <c r="BN148" i="27"/>
  <c r="BK148" i="27"/>
  <c r="BH148" i="27"/>
  <c r="BE148" i="27"/>
  <c r="BB148" i="27"/>
  <c r="AY148" i="27"/>
  <c r="AV148" i="27"/>
  <c r="AH148" i="27"/>
  <c r="AG148" i="27"/>
  <c r="AF148" i="27"/>
  <c r="AE148" i="27"/>
  <c r="AD148" i="27"/>
  <c r="AC148" i="27"/>
  <c r="AJ148" i="27" s="1"/>
  <c r="AB148" i="27"/>
  <c r="AA148" i="27"/>
  <c r="Z148" i="27"/>
  <c r="Y148" i="27"/>
  <c r="X148" i="27"/>
  <c r="W148" i="27"/>
  <c r="V148" i="27"/>
  <c r="DA147" i="27"/>
  <c r="CX147" i="27"/>
  <c r="CU147" i="27"/>
  <c r="CR147" i="27"/>
  <c r="CO147" i="27"/>
  <c r="CL147" i="27"/>
  <c r="CI147" i="27"/>
  <c r="CF147" i="27"/>
  <c r="CC147" i="27"/>
  <c r="BZ147" i="27"/>
  <c r="BW147" i="27"/>
  <c r="BT147" i="27"/>
  <c r="BQ147" i="27"/>
  <c r="BN147" i="27"/>
  <c r="BK147" i="27"/>
  <c r="BH147" i="27"/>
  <c r="BE147" i="27"/>
  <c r="BB147" i="27"/>
  <c r="AY147" i="27"/>
  <c r="AI147" i="27" s="1"/>
  <c r="CS147" i="27" s="1"/>
  <c r="AV147" i="27"/>
  <c r="AH147" i="27"/>
  <c r="AG147" i="27"/>
  <c r="AF147" i="27"/>
  <c r="AE147" i="27"/>
  <c r="AD147" i="27"/>
  <c r="AC147" i="27"/>
  <c r="AB147" i="27"/>
  <c r="AA147" i="27"/>
  <c r="Z147" i="27"/>
  <c r="Y147" i="27"/>
  <c r="X147" i="27"/>
  <c r="W147" i="27"/>
  <c r="V147" i="27"/>
  <c r="DA146" i="27"/>
  <c r="CX146" i="27"/>
  <c r="CU146" i="27"/>
  <c r="CR146" i="27"/>
  <c r="CO146" i="27"/>
  <c r="CL146" i="27"/>
  <c r="CI146" i="27"/>
  <c r="CF146" i="27"/>
  <c r="CC146" i="27"/>
  <c r="BZ146" i="27"/>
  <c r="BW146" i="27"/>
  <c r="BT146" i="27"/>
  <c r="BQ146" i="27"/>
  <c r="BN146" i="27"/>
  <c r="BK146" i="27"/>
  <c r="BH146" i="27"/>
  <c r="BE146" i="27"/>
  <c r="BB146" i="27"/>
  <c r="AY146" i="27"/>
  <c r="AV146" i="27"/>
  <c r="AH146" i="27"/>
  <c r="AG146" i="27"/>
  <c r="AF146" i="27"/>
  <c r="AE146" i="27"/>
  <c r="AD146" i="27"/>
  <c r="AC146" i="27"/>
  <c r="AB146" i="27"/>
  <c r="AA146" i="27"/>
  <c r="Z146" i="27"/>
  <c r="Y146" i="27"/>
  <c r="X146" i="27"/>
  <c r="W146" i="27"/>
  <c r="V146" i="27"/>
  <c r="DA145" i="27"/>
  <c r="CX145" i="27"/>
  <c r="CU145" i="27"/>
  <c r="CR145" i="27"/>
  <c r="CO145" i="27"/>
  <c r="CL145" i="27"/>
  <c r="CI145" i="27"/>
  <c r="CF145" i="27"/>
  <c r="CC145" i="27"/>
  <c r="BZ145" i="27"/>
  <c r="BW145" i="27"/>
  <c r="BT145" i="27"/>
  <c r="BQ145" i="27"/>
  <c r="BN145" i="27"/>
  <c r="BK145" i="27"/>
  <c r="BH145" i="27"/>
  <c r="BE145" i="27"/>
  <c r="BB145" i="27"/>
  <c r="AY145" i="27"/>
  <c r="AV145" i="27"/>
  <c r="AI145" i="27" s="1"/>
  <c r="AH145" i="27"/>
  <c r="AG145" i="27"/>
  <c r="AF145" i="27"/>
  <c r="AE145" i="27"/>
  <c r="AD145" i="27"/>
  <c r="AC145" i="27"/>
  <c r="AB145" i="27"/>
  <c r="AA145" i="27"/>
  <c r="Z145" i="27"/>
  <c r="Y145" i="27"/>
  <c r="X145" i="27"/>
  <c r="W145" i="27"/>
  <c r="V145" i="27"/>
  <c r="DA144" i="27"/>
  <c r="CX144" i="27"/>
  <c r="CU144" i="27"/>
  <c r="CR144" i="27"/>
  <c r="CO144" i="27"/>
  <c r="CL144" i="27"/>
  <c r="CI144" i="27"/>
  <c r="CF144" i="27"/>
  <c r="CC144" i="27"/>
  <c r="BZ144" i="27"/>
  <c r="BW144" i="27"/>
  <c r="BT144" i="27"/>
  <c r="BQ144" i="27"/>
  <c r="BN144" i="27"/>
  <c r="BK144" i="27"/>
  <c r="BH144" i="27"/>
  <c r="BE144" i="27"/>
  <c r="BB144" i="27"/>
  <c r="AY144" i="27"/>
  <c r="AV144" i="27"/>
  <c r="AH144" i="27"/>
  <c r="AG144" i="27"/>
  <c r="AN144" i="27" s="1"/>
  <c r="AO144" i="27" s="1"/>
  <c r="AF144" i="27"/>
  <c r="AE144" i="27"/>
  <c r="AD144" i="27"/>
  <c r="AC144" i="27"/>
  <c r="AB144" i="27"/>
  <c r="AA144" i="27"/>
  <c r="Z144" i="27"/>
  <c r="Y144" i="27"/>
  <c r="X144" i="27"/>
  <c r="W144" i="27"/>
  <c r="V144" i="27"/>
  <c r="DA143" i="27"/>
  <c r="CX143" i="27"/>
  <c r="CU143" i="27"/>
  <c r="CR143" i="27"/>
  <c r="CO143" i="27"/>
  <c r="CL143" i="27"/>
  <c r="CI143" i="27"/>
  <c r="CF143" i="27"/>
  <c r="CC143" i="27"/>
  <c r="BZ143" i="27"/>
  <c r="BW143" i="27"/>
  <c r="BT143" i="27"/>
  <c r="BQ143" i="27"/>
  <c r="BN143" i="27"/>
  <c r="BK143" i="27"/>
  <c r="BH143" i="27"/>
  <c r="BE143" i="27"/>
  <c r="BB143" i="27"/>
  <c r="AY143" i="27"/>
  <c r="AV143" i="27"/>
  <c r="AH143" i="27"/>
  <c r="AG143" i="27"/>
  <c r="AF143" i="27"/>
  <c r="AE143" i="27"/>
  <c r="AD143" i="27"/>
  <c r="AJ143" i="27" s="1"/>
  <c r="AC143" i="27"/>
  <c r="AB143" i="27"/>
  <c r="AA143" i="27"/>
  <c r="Z143" i="27"/>
  <c r="Y143" i="27"/>
  <c r="X143" i="27"/>
  <c r="W143" i="27"/>
  <c r="V143" i="27"/>
  <c r="DA142" i="27"/>
  <c r="CX142" i="27"/>
  <c r="CU142" i="27"/>
  <c r="CR142" i="27"/>
  <c r="CO142" i="27"/>
  <c r="CL142" i="27"/>
  <c r="CI142" i="27"/>
  <c r="CF142" i="27"/>
  <c r="CC142" i="27"/>
  <c r="BZ142" i="27"/>
  <c r="BW142" i="27"/>
  <c r="BT142" i="27"/>
  <c r="BQ142" i="27"/>
  <c r="BN142" i="27"/>
  <c r="BK142" i="27"/>
  <c r="BH142" i="27"/>
  <c r="BE142" i="27"/>
  <c r="BB142" i="27"/>
  <c r="AY142" i="27"/>
  <c r="AV142" i="27"/>
  <c r="AH142" i="27"/>
  <c r="AG142" i="27"/>
  <c r="AF142" i="27"/>
  <c r="AE142" i="27"/>
  <c r="AD142" i="27"/>
  <c r="AC142" i="27"/>
  <c r="AB142" i="27"/>
  <c r="AA142" i="27"/>
  <c r="Z142" i="27"/>
  <c r="Y142" i="27"/>
  <c r="X142" i="27"/>
  <c r="W142" i="27"/>
  <c r="V142" i="27"/>
  <c r="DA141" i="27"/>
  <c r="CX141" i="27"/>
  <c r="CU141" i="27"/>
  <c r="CR141" i="27"/>
  <c r="CO141" i="27"/>
  <c r="CL141" i="27"/>
  <c r="CI141" i="27"/>
  <c r="CF141" i="27"/>
  <c r="CC141" i="27"/>
  <c r="BZ141" i="27"/>
  <c r="BW141" i="27"/>
  <c r="BT141" i="27"/>
  <c r="BQ141" i="27"/>
  <c r="BN141" i="27"/>
  <c r="BK141" i="27"/>
  <c r="BH141" i="27"/>
  <c r="BE141" i="27"/>
  <c r="BB141" i="27"/>
  <c r="AY141" i="27"/>
  <c r="AI141" i="27" s="1"/>
  <c r="AV141" i="27"/>
  <c r="AH141" i="27"/>
  <c r="AG141" i="27"/>
  <c r="AN141" i="27" s="1"/>
  <c r="AO141" i="27" s="1"/>
  <c r="AF141" i="27"/>
  <c r="AE141" i="27"/>
  <c r="AD141" i="27"/>
  <c r="AC141" i="27"/>
  <c r="AB141" i="27"/>
  <c r="AA141" i="27"/>
  <c r="Z141" i="27"/>
  <c r="Y141" i="27"/>
  <c r="X141" i="27"/>
  <c r="W141" i="27"/>
  <c r="V141" i="27"/>
  <c r="DA140" i="27"/>
  <c r="CX140" i="27"/>
  <c r="CU140" i="27"/>
  <c r="CR140" i="27"/>
  <c r="CO140" i="27"/>
  <c r="CL140" i="27"/>
  <c r="CI140" i="27"/>
  <c r="CF140" i="27"/>
  <c r="CC140" i="27"/>
  <c r="BZ140" i="27"/>
  <c r="BW140" i="27"/>
  <c r="BT140" i="27"/>
  <c r="BQ140" i="27"/>
  <c r="BN140" i="27"/>
  <c r="BK140" i="27"/>
  <c r="BH140" i="27"/>
  <c r="BE140" i="27"/>
  <c r="BB140" i="27"/>
  <c r="AY140" i="27"/>
  <c r="AV140" i="27"/>
  <c r="AH140" i="27"/>
  <c r="AG140" i="27"/>
  <c r="AF140" i="27"/>
  <c r="AE140" i="27"/>
  <c r="AD140" i="27"/>
  <c r="AJ140" i="27" s="1"/>
  <c r="AC140" i="27"/>
  <c r="AB140" i="27"/>
  <c r="AA140" i="27"/>
  <c r="Z140" i="27"/>
  <c r="Y140" i="27"/>
  <c r="X140" i="27"/>
  <c r="W140" i="27"/>
  <c r="V140" i="27"/>
  <c r="DA139" i="27"/>
  <c r="CX139" i="27"/>
  <c r="CU139" i="27"/>
  <c r="CR139" i="27"/>
  <c r="CO139" i="27"/>
  <c r="CL139" i="27"/>
  <c r="CI139" i="27"/>
  <c r="CF139" i="27"/>
  <c r="CC139" i="27"/>
  <c r="BZ139" i="27"/>
  <c r="BW139" i="27"/>
  <c r="BT139" i="27"/>
  <c r="BQ139" i="27"/>
  <c r="BN139" i="27"/>
  <c r="BK139" i="27"/>
  <c r="BH139" i="27"/>
  <c r="AI139" i="27" s="1"/>
  <c r="AW139" i="27" s="1"/>
  <c r="BE139" i="27"/>
  <c r="BB139" i="27"/>
  <c r="AY139" i="27"/>
  <c r="AV139" i="27"/>
  <c r="AH139" i="27"/>
  <c r="AG139" i="27"/>
  <c r="AF139" i="27"/>
  <c r="AE139" i="27"/>
  <c r="AD139" i="27"/>
  <c r="AC139" i="27"/>
  <c r="AB139" i="27"/>
  <c r="AA139" i="27"/>
  <c r="Z139" i="27"/>
  <c r="Y139" i="27"/>
  <c r="X139" i="27"/>
  <c r="W139" i="27"/>
  <c r="V139" i="27"/>
  <c r="DA138" i="27"/>
  <c r="CX138" i="27"/>
  <c r="CU138" i="27"/>
  <c r="CR138" i="27"/>
  <c r="CO138" i="27"/>
  <c r="CL138" i="27"/>
  <c r="CI138" i="27"/>
  <c r="CF138" i="27"/>
  <c r="CC138" i="27"/>
  <c r="BZ138" i="27"/>
  <c r="BW138" i="27"/>
  <c r="BT138" i="27"/>
  <c r="BQ138" i="27"/>
  <c r="BN138" i="27"/>
  <c r="BK138" i="27"/>
  <c r="BH138" i="27"/>
  <c r="BE138" i="27"/>
  <c r="BB138" i="27"/>
  <c r="AY138" i="27"/>
  <c r="AV138" i="27"/>
  <c r="AH138" i="27"/>
  <c r="AG138" i="27"/>
  <c r="AF138" i="27"/>
  <c r="AE138" i="27"/>
  <c r="AD138" i="27"/>
  <c r="AJ138" i="27" s="1"/>
  <c r="AC138" i="27"/>
  <c r="AB138" i="27"/>
  <c r="AA138" i="27"/>
  <c r="Z138" i="27"/>
  <c r="Y138" i="27"/>
  <c r="X138" i="27"/>
  <c r="W138" i="27"/>
  <c r="V138" i="27"/>
  <c r="DA137" i="27"/>
  <c r="CX137" i="27"/>
  <c r="CU137" i="27"/>
  <c r="CR137" i="27"/>
  <c r="CO137" i="27"/>
  <c r="CL137" i="27"/>
  <c r="CI137" i="27"/>
  <c r="CF137" i="27"/>
  <c r="CC137" i="27"/>
  <c r="BZ137" i="27"/>
  <c r="BW137" i="27"/>
  <c r="BT137" i="27"/>
  <c r="BQ137" i="27"/>
  <c r="BN137" i="27"/>
  <c r="BK137" i="27"/>
  <c r="BH137" i="27"/>
  <c r="BE137" i="27"/>
  <c r="BB137" i="27"/>
  <c r="AY137" i="27"/>
  <c r="AV137" i="27"/>
  <c r="AH137" i="27"/>
  <c r="AG137" i="27"/>
  <c r="AF137" i="27"/>
  <c r="AE137" i="27"/>
  <c r="AD137" i="27"/>
  <c r="AC137" i="27"/>
  <c r="AB137" i="27"/>
  <c r="AA137" i="27"/>
  <c r="Z137" i="27"/>
  <c r="Y137" i="27"/>
  <c r="X137" i="27"/>
  <c r="W137" i="27"/>
  <c r="V137" i="27"/>
  <c r="DA136" i="27"/>
  <c r="CX136" i="27"/>
  <c r="CU136" i="27"/>
  <c r="CR136" i="27"/>
  <c r="CO136" i="27"/>
  <c r="CL136" i="27"/>
  <c r="CI136" i="27"/>
  <c r="CF136" i="27"/>
  <c r="CC136" i="27"/>
  <c r="BZ136" i="27"/>
  <c r="BW136" i="27"/>
  <c r="BT136" i="27"/>
  <c r="BQ136" i="27"/>
  <c r="BN136" i="27"/>
  <c r="BK136" i="27"/>
  <c r="BH136" i="27"/>
  <c r="BE136" i="27"/>
  <c r="BB136" i="27"/>
  <c r="AY136" i="27"/>
  <c r="AI136" i="27" s="1"/>
  <c r="AV136" i="27"/>
  <c r="AH136" i="27"/>
  <c r="AG136" i="27"/>
  <c r="AF136" i="27"/>
  <c r="AE136" i="27"/>
  <c r="AD136" i="27"/>
  <c r="AC136" i="27"/>
  <c r="AB136" i="27"/>
  <c r="AA136" i="27"/>
  <c r="Z136" i="27"/>
  <c r="Y136" i="27"/>
  <c r="X136" i="27"/>
  <c r="W136" i="27"/>
  <c r="V136" i="27"/>
  <c r="DA135" i="27"/>
  <c r="CX135" i="27"/>
  <c r="CU135" i="27"/>
  <c r="CR135" i="27"/>
  <c r="CO135" i="27"/>
  <c r="CL135" i="27"/>
  <c r="CI135" i="27"/>
  <c r="CF135" i="27"/>
  <c r="CC135" i="27"/>
  <c r="BZ135" i="27"/>
  <c r="BW135" i="27"/>
  <c r="BT135" i="27"/>
  <c r="BQ135" i="27"/>
  <c r="BN135" i="27"/>
  <c r="BK135" i="27"/>
  <c r="BH135" i="27"/>
  <c r="BE135" i="27"/>
  <c r="BB135" i="27"/>
  <c r="AY135" i="27"/>
  <c r="AV135" i="27"/>
  <c r="AH135" i="27"/>
  <c r="AG135" i="27"/>
  <c r="AN135" i="27" s="1"/>
  <c r="AO135" i="27" s="1"/>
  <c r="AF135" i="27"/>
  <c r="AE135" i="27"/>
  <c r="AD135" i="27"/>
  <c r="AC135" i="27"/>
  <c r="AB135" i="27"/>
  <c r="AA135" i="27"/>
  <c r="Z135" i="27"/>
  <c r="Y135" i="27"/>
  <c r="X135" i="27"/>
  <c r="W135" i="27"/>
  <c r="V135" i="27"/>
  <c r="DA134" i="27"/>
  <c r="CX134" i="27"/>
  <c r="CU134" i="27"/>
  <c r="CR134" i="27"/>
  <c r="CO134" i="27"/>
  <c r="CL134" i="27"/>
  <c r="CI134" i="27"/>
  <c r="CF134" i="27"/>
  <c r="CC134" i="27"/>
  <c r="BZ134" i="27"/>
  <c r="BW134" i="27"/>
  <c r="BT134" i="27"/>
  <c r="BQ134" i="27"/>
  <c r="BN134" i="27"/>
  <c r="BK134" i="27"/>
  <c r="BH134" i="27"/>
  <c r="BE134" i="27"/>
  <c r="BB134" i="27"/>
  <c r="AY134" i="27"/>
  <c r="AV134" i="27"/>
  <c r="AH134" i="27"/>
  <c r="AG134" i="27"/>
  <c r="AF134" i="27"/>
  <c r="AE134" i="27"/>
  <c r="AD134" i="27"/>
  <c r="AJ134" i="27" s="1"/>
  <c r="AC134" i="27"/>
  <c r="AB134" i="27"/>
  <c r="AA134" i="27"/>
  <c r="Z134" i="27"/>
  <c r="AN134" i="27" s="1"/>
  <c r="AO134" i="27" s="1"/>
  <c r="Y134" i="27"/>
  <c r="X134" i="27"/>
  <c r="W134" i="27"/>
  <c r="V134" i="27"/>
  <c r="DA133" i="27"/>
  <c r="CX133" i="27"/>
  <c r="CU133" i="27"/>
  <c r="CR133" i="27"/>
  <c r="CO133" i="27"/>
  <c r="CL133" i="27"/>
  <c r="CI133" i="27"/>
  <c r="CF133" i="27"/>
  <c r="CC133" i="27"/>
  <c r="BZ133" i="27"/>
  <c r="BW133" i="27"/>
  <c r="BT133" i="27"/>
  <c r="BQ133" i="27"/>
  <c r="BN133" i="27"/>
  <c r="BK133" i="27"/>
  <c r="BH133" i="27"/>
  <c r="BE133" i="27"/>
  <c r="BB133" i="27"/>
  <c r="AY133" i="27"/>
  <c r="AV133" i="27"/>
  <c r="AH133" i="27"/>
  <c r="AG133" i="27"/>
  <c r="AF133" i="27"/>
  <c r="AE133" i="27"/>
  <c r="AD133" i="27"/>
  <c r="AC133" i="27"/>
  <c r="AB133" i="27"/>
  <c r="AA133" i="27"/>
  <c r="Z133" i="27"/>
  <c r="Y133" i="27"/>
  <c r="X133" i="27"/>
  <c r="W133" i="27"/>
  <c r="V133" i="27"/>
  <c r="DA132" i="27"/>
  <c r="CX132" i="27"/>
  <c r="CU132" i="27"/>
  <c r="CR132" i="27"/>
  <c r="CO132" i="27"/>
  <c r="CL132" i="27"/>
  <c r="CI132" i="27"/>
  <c r="CF132" i="27"/>
  <c r="CC132" i="27"/>
  <c r="BZ132" i="27"/>
  <c r="BW132" i="27"/>
  <c r="BT132" i="27"/>
  <c r="BQ132" i="27"/>
  <c r="BN132" i="27"/>
  <c r="BK132" i="27"/>
  <c r="BH132" i="27"/>
  <c r="BE132" i="27"/>
  <c r="BB132" i="27"/>
  <c r="AY132" i="27"/>
  <c r="AI132" i="27" s="1"/>
  <c r="AV132" i="27"/>
  <c r="AH132" i="27"/>
  <c r="AG132" i="27"/>
  <c r="AF132" i="27"/>
  <c r="AE132" i="27"/>
  <c r="AD132" i="27"/>
  <c r="AC132" i="27"/>
  <c r="AB132" i="27"/>
  <c r="AA132" i="27"/>
  <c r="Z132" i="27"/>
  <c r="Y132" i="27"/>
  <c r="X132" i="27"/>
  <c r="W132" i="27"/>
  <c r="V132" i="27"/>
  <c r="DA131" i="27"/>
  <c r="CX131" i="27"/>
  <c r="CU131" i="27"/>
  <c r="CR131" i="27"/>
  <c r="CO131" i="27"/>
  <c r="CL131" i="27"/>
  <c r="CI131" i="27"/>
  <c r="CF131" i="27"/>
  <c r="CC131" i="27"/>
  <c r="BZ131" i="27"/>
  <c r="BW131" i="27"/>
  <c r="BT131" i="27"/>
  <c r="BQ131" i="27"/>
  <c r="BN131" i="27"/>
  <c r="BK131" i="27"/>
  <c r="BH131" i="27"/>
  <c r="BE131" i="27"/>
  <c r="BB131" i="27"/>
  <c r="AY131" i="27"/>
  <c r="AV131" i="27"/>
  <c r="AH131" i="27"/>
  <c r="AG131" i="27"/>
  <c r="AN131" i="27" s="1"/>
  <c r="AO131" i="27" s="1"/>
  <c r="AF131" i="27"/>
  <c r="AE131" i="27"/>
  <c r="AD131" i="27"/>
  <c r="AC131" i="27"/>
  <c r="AB131" i="27"/>
  <c r="AA131" i="27"/>
  <c r="Z131" i="27"/>
  <c r="Y131" i="27"/>
  <c r="X131" i="27"/>
  <c r="W131" i="27"/>
  <c r="V131" i="27"/>
  <c r="DA130" i="27"/>
  <c r="CX130" i="27"/>
  <c r="CU130" i="27"/>
  <c r="CR130" i="27"/>
  <c r="CO130" i="27"/>
  <c r="CL130" i="27"/>
  <c r="CI130" i="27"/>
  <c r="CF130" i="27"/>
  <c r="CC130" i="27"/>
  <c r="BZ130" i="27"/>
  <c r="BW130" i="27"/>
  <c r="BT130" i="27"/>
  <c r="BQ130" i="27"/>
  <c r="BN130" i="27"/>
  <c r="BK130" i="27"/>
  <c r="BH130" i="27"/>
  <c r="BE130" i="27"/>
  <c r="BB130" i="27"/>
  <c r="AY130" i="27"/>
  <c r="AV130" i="27"/>
  <c r="AH130" i="27"/>
  <c r="AG130" i="27"/>
  <c r="AF130" i="27"/>
  <c r="AE130" i="27"/>
  <c r="AD130" i="27"/>
  <c r="AJ130" i="27" s="1"/>
  <c r="AC130" i="27"/>
  <c r="AB130" i="27"/>
  <c r="AA130" i="27"/>
  <c r="Z130" i="27"/>
  <c r="AN130" i="27" s="1"/>
  <c r="AO130" i="27" s="1"/>
  <c r="Y130" i="27"/>
  <c r="X130" i="27"/>
  <c r="W130" i="27"/>
  <c r="V130" i="27"/>
  <c r="DA129" i="27"/>
  <c r="CX129" i="27"/>
  <c r="CU129" i="27"/>
  <c r="CR129" i="27"/>
  <c r="CO129" i="27"/>
  <c r="CL129" i="27"/>
  <c r="CI129" i="27"/>
  <c r="CF129" i="27"/>
  <c r="CC129" i="27"/>
  <c r="BZ129" i="27"/>
  <c r="BW129" i="27"/>
  <c r="BT129" i="27"/>
  <c r="BQ129" i="27"/>
  <c r="BN129" i="27"/>
  <c r="BK129" i="27"/>
  <c r="BH129" i="27"/>
  <c r="BE129" i="27"/>
  <c r="BB129" i="27"/>
  <c r="AY129" i="27"/>
  <c r="AV129" i="27"/>
  <c r="AH129" i="27"/>
  <c r="AG129" i="27"/>
  <c r="AF129" i="27"/>
  <c r="AE129" i="27"/>
  <c r="AD129" i="27"/>
  <c r="AC129" i="27"/>
  <c r="AB129" i="27"/>
  <c r="AA129" i="27"/>
  <c r="Z129" i="27"/>
  <c r="Y129" i="27"/>
  <c r="X129" i="27"/>
  <c r="W129" i="27"/>
  <c r="V129" i="27"/>
  <c r="DA128" i="27"/>
  <c r="CX128" i="27"/>
  <c r="CU128" i="27"/>
  <c r="CR128" i="27"/>
  <c r="CO128" i="27"/>
  <c r="CL128" i="27"/>
  <c r="CI128" i="27"/>
  <c r="CF128" i="27"/>
  <c r="CC128" i="27"/>
  <c r="BZ128" i="27"/>
  <c r="BW128" i="27"/>
  <c r="BT128" i="27"/>
  <c r="BQ128" i="27"/>
  <c r="BN128" i="27"/>
  <c r="BK128" i="27"/>
  <c r="BH128" i="27"/>
  <c r="BE128" i="27"/>
  <c r="BB128" i="27"/>
  <c r="AY128" i="27"/>
  <c r="AI128" i="27" s="1"/>
  <c r="AV128" i="27"/>
  <c r="AH128" i="27"/>
  <c r="AG128" i="27"/>
  <c r="AF128" i="27"/>
  <c r="AE128" i="27"/>
  <c r="AD128" i="27"/>
  <c r="AC128" i="27"/>
  <c r="AB128" i="27"/>
  <c r="AA128" i="27"/>
  <c r="Z128" i="27"/>
  <c r="Y128" i="27"/>
  <c r="X128" i="27"/>
  <c r="W128" i="27"/>
  <c r="V128" i="27"/>
  <c r="DA127" i="27"/>
  <c r="CX127" i="27"/>
  <c r="CU127" i="27"/>
  <c r="CR127" i="27"/>
  <c r="CO127" i="27"/>
  <c r="CL127" i="27"/>
  <c r="CI127" i="27"/>
  <c r="CF127" i="27"/>
  <c r="CC127" i="27"/>
  <c r="BZ127" i="27"/>
  <c r="BW127" i="27"/>
  <c r="BT127" i="27"/>
  <c r="BQ127" i="27"/>
  <c r="BN127" i="27"/>
  <c r="BK127" i="27"/>
  <c r="BH127" i="27"/>
  <c r="BE127" i="27"/>
  <c r="BB127" i="27"/>
  <c r="AY127" i="27"/>
  <c r="AV127" i="27"/>
  <c r="AH127" i="27"/>
  <c r="AG127" i="27"/>
  <c r="AN127" i="27" s="1"/>
  <c r="AO127" i="27" s="1"/>
  <c r="AF127" i="27"/>
  <c r="AE127" i="27"/>
  <c r="AD127" i="27"/>
  <c r="AC127" i="27"/>
  <c r="AB127" i="27"/>
  <c r="AA127" i="27"/>
  <c r="Z127" i="27"/>
  <c r="Y127" i="27"/>
  <c r="X127" i="27"/>
  <c r="W127" i="27"/>
  <c r="V127" i="27"/>
  <c r="DA126" i="27"/>
  <c r="CX126" i="27"/>
  <c r="CU126" i="27"/>
  <c r="CR126" i="27"/>
  <c r="CO126" i="27"/>
  <c r="CL126" i="27"/>
  <c r="CI126" i="27"/>
  <c r="CF126" i="27"/>
  <c r="CC126" i="27"/>
  <c r="BZ126" i="27"/>
  <c r="BW126" i="27"/>
  <c r="BT126" i="27"/>
  <c r="BQ126" i="27"/>
  <c r="BN126" i="27"/>
  <c r="BK126" i="27"/>
  <c r="BH126" i="27"/>
  <c r="BE126" i="27"/>
  <c r="BB126" i="27"/>
  <c r="AY126" i="27"/>
  <c r="AV126" i="27"/>
  <c r="AH126" i="27"/>
  <c r="AG126" i="27"/>
  <c r="AF126" i="27"/>
  <c r="AE126" i="27"/>
  <c r="AD126" i="27"/>
  <c r="AJ126" i="27" s="1"/>
  <c r="AC126" i="27"/>
  <c r="AB126" i="27"/>
  <c r="AA126" i="27"/>
  <c r="Z126" i="27"/>
  <c r="AN126" i="27" s="1"/>
  <c r="AO126" i="27" s="1"/>
  <c r="Y126" i="27"/>
  <c r="X126" i="27"/>
  <c r="W126" i="27"/>
  <c r="V126" i="27"/>
  <c r="DA125" i="27"/>
  <c r="CX125" i="27"/>
  <c r="CU125" i="27"/>
  <c r="CR125" i="27"/>
  <c r="CO125" i="27"/>
  <c r="CL125" i="27"/>
  <c r="CI125" i="27"/>
  <c r="CF125" i="27"/>
  <c r="CC125" i="27"/>
  <c r="BZ125" i="27"/>
  <c r="BW125" i="27"/>
  <c r="BT125" i="27"/>
  <c r="BQ125" i="27"/>
  <c r="BN125" i="27"/>
  <c r="BK125" i="27"/>
  <c r="BH125" i="27"/>
  <c r="BE125" i="27"/>
  <c r="BB125" i="27"/>
  <c r="AY125" i="27"/>
  <c r="AV125" i="27"/>
  <c r="AH125" i="27"/>
  <c r="AG125" i="27"/>
  <c r="AF125" i="27"/>
  <c r="AE125" i="27"/>
  <c r="AD125" i="27"/>
  <c r="AC125" i="27"/>
  <c r="AB125" i="27"/>
  <c r="AA125" i="27"/>
  <c r="Z125" i="27"/>
  <c r="Y125" i="27"/>
  <c r="X125" i="27"/>
  <c r="W125" i="27"/>
  <c r="V125" i="27"/>
  <c r="DA124" i="27"/>
  <c r="CX124" i="27"/>
  <c r="CU124" i="27"/>
  <c r="CR124" i="27"/>
  <c r="CO124" i="27"/>
  <c r="CL124" i="27"/>
  <c r="CI124" i="27"/>
  <c r="CF124" i="27"/>
  <c r="CC124" i="27"/>
  <c r="BZ124" i="27"/>
  <c r="BW124" i="27"/>
  <c r="BT124" i="27"/>
  <c r="BQ124" i="27"/>
  <c r="BN124" i="27"/>
  <c r="BK124" i="27"/>
  <c r="BH124" i="27"/>
  <c r="BE124" i="27"/>
  <c r="BB124" i="27"/>
  <c r="AY124" i="27"/>
  <c r="AI124" i="27" s="1"/>
  <c r="AV124" i="27"/>
  <c r="AH124" i="27"/>
  <c r="AG124" i="27"/>
  <c r="AF124" i="27"/>
  <c r="AE124" i="27"/>
  <c r="AD124" i="27"/>
  <c r="AC124" i="27"/>
  <c r="AB124" i="27"/>
  <c r="AA124" i="27"/>
  <c r="Z124" i="27"/>
  <c r="Y124" i="27"/>
  <c r="X124" i="27"/>
  <c r="W124" i="27"/>
  <c r="V124" i="27"/>
  <c r="DA123" i="27"/>
  <c r="CX123" i="27"/>
  <c r="CU123" i="27"/>
  <c r="CR123" i="27"/>
  <c r="CO123" i="27"/>
  <c r="CL123" i="27"/>
  <c r="CI123" i="27"/>
  <c r="CF123" i="27"/>
  <c r="CC123" i="27"/>
  <c r="BZ123" i="27"/>
  <c r="BW123" i="27"/>
  <c r="BT123" i="27"/>
  <c r="BQ123" i="27"/>
  <c r="BN123" i="27"/>
  <c r="BK123" i="27"/>
  <c r="BH123" i="27"/>
  <c r="BE123" i="27"/>
  <c r="BB123" i="27"/>
  <c r="AY123" i="27"/>
  <c r="AV123" i="27"/>
  <c r="AH123" i="27"/>
  <c r="AG123" i="27"/>
  <c r="AN123" i="27" s="1"/>
  <c r="AO123" i="27" s="1"/>
  <c r="AF123" i="27"/>
  <c r="AE123" i="27"/>
  <c r="AD123" i="27"/>
  <c r="AC123" i="27"/>
  <c r="AB123" i="27"/>
  <c r="AA123" i="27"/>
  <c r="Z123" i="27"/>
  <c r="Y123" i="27"/>
  <c r="X123" i="27"/>
  <c r="W123" i="27"/>
  <c r="V123" i="27"/>
  <c r="DA122" i="27"/>
  <c r="CX122" i="27"/>
  <c r="CU122" i="27"/>
  <c r="CR122" i="27"/>
  <c r="CO122" i="27"/>
  <c r="CL122" i="27"/>
  <c r="CI122" i="27"/>
  <c r="CF122" i="27"/>
  <c r="CC122" i="27"/>
  <c r="BZ122" i="27"/>
  <c r="BW122" i="27"/>
  <c r="BT122" i="27"/>
  <c r="BQ122" i="27"/>
  <c r="BN122" i="27"/>
  <c r="BK122" i="27"/>
  <c r="BH122" i="27"/>
  <c r="BE122" i="27"/>
  <c r="BB122" i="27"/>
  <c r="AY122" i="27"/>
  <c r="AV122" i="27"/>
  <c r="AH122" i="27"/>
  <c r="AG122" i="27"/>
  <c r="AF122" i="27"/>
  <c r="AE122" i="27"/>
  <c r="AD122" i="27"/>
  <c r="AJ122" i="27" s="1"/>
  <c r="AC122" i="27"/>
  <c r="AB122" i="27"/>
  <c r="AA122" i="27"/>
  <c r="Z122" i="27"/>
  <c r="AN122" i="27" s="1"/>
  <c r="AO122" i="27" s="1"/>
  <c r="Y122" i="27"/>
  <c r="X122" i="27"/>
  <c r="W122" i="27"/>
  <c r="V122" i="27"/>
  <c r="DA121" i="27"/>
  <c r="CX121" i="27"/>
  <c r="CU121" i="27"/>
  <c r="CR121" i="27"/>
  <c r="CO121" i="27"/>
  <c r="CL121" i="27"/>
  <c r="CI121" i="27"/>
  <c r="CF121" i="27"/>
  <c r="CC121" i="27"/>
  <c r="BZ121" i="27"/>
  <c r="BW121" i="27"/>
  <c r="BT121" i="27"/>
  <c r="BQ121" i="27"/>
  <c r="BN121" i="27"/>
  <c r="BK121" i="27"/>
  <c r="BH121" i="27"/>
  <c r="BE121" i="27"/>
  <c r="BB121" i="27"/>
  <c r="AY121" i="27"/>
  <c r="AV121" i="27"/>
  <c r="AH121" i="27"/>
  <c r="AG121" i="27"/>
  <c r="AF121" i="27"/>
  <c r="AE121" i="27"/>
  <c r="AD121" i="27"/>
  <c r="AC121" i="27"/>
  <c r="AB121" i="27"/>
  <c r="AJ121" i="27" s="1"/>
  <c r="AA121" i="27"/>
  <c r="Z121" i="27"/>
  <c r="Y121" i="27"/>
  <c r="X121" i="27"/>
  <c r="W121" i="27"/>
  <c r="V121" i="27"/>
  <c r="DA120" i="27"/>
  <c r="CX120" i="27"/>
  <c r="CU120" i="27"/>
  <c r="CR120" i="27"/>
  <c r="CO120" i="27"/>
  <c r="CL120" i="27"/>
  <c r="CI120" i="27"/>
  <c r="CF120" i="27"/>
  <c r="CC120" i="27"/>
  <c r="BZ120" i="27"/>
  <c r="BW120" i="27"/>
  <c r="BT120" i="27"/>
  <c r="BQ120" i="27"/>
  <c r="BN120" i="27"/>
  <c r="BK120" i="27"/>
  <c r="BH120" i="27"/>
  <c r="BE120" i="27"/>
  <c r="BB120" i="27"/>
  <c r="AY120" i="27"/>
  <c r="AV120" i="27"/>
  <c r="AH120" i="27"/>
  <c r="AG120" i="27"/>
  <c r="AF120" i="27"/>
  <c r="AE120" i="27"/>
  <c r="AD120" i="27"/>
  <c r="AC120" i="27"/>
  <c r="AB120" i="27"/>
  <c r="AA120" i="27"/>
  <c r="Z120" i="27"/>
  <c r="Y120" i="27"/>
  <c r="X120" i="27"/>
  <c r="W120" i="27"/>
  <c r="V120" i="27"/>
  <c r="DA119" i="27"/>
  <c r="CX119" i="27"/>
  <c r="CU119" i="27"/>
  <c r="CR119" i="27"/>
  <c r="CO119" i="27"/>
  <c r="CL119" i="27"/>
  <c r="CI119" i="27"/>
  <c r="CF119" i="27"/>
  <c r="CC119" i="27"/>
  <c r="BZ119" i="27"/>
  <c r="BW119" i="27"/>
  <c r="BT119" i="27"/>
  <c r="BQ119" i="27"/>
  <c r="BN119" i="27"/>
  <c r="BK119" i="27"/>
  <c r="BH119" i="27"/>
  <c r="BE119" i="27"/>
  <c r="BB119" i="27"/>
  <c r="AY119" i="27"/>
  <c r="AI119" i="27" s="1"/>
  <c r="AV119" i="27"/>
  <c r="AH119" i="27"/>
  <c r="AG119" i="27"/>
  <c r="AF119" i="27"/>
  <c r="AE119" i="27"/>
  <c r="AD119" i="27"/>
  <c r="AC119" i="27"/>
  <c r="AB119" i="27"/>
  <c r="AJ119" i="27" s="1"/>
  <c r="AA119" i="27"/>
  <c r="Z119" i="27"/>
  <c r="Y119" i="27"/>
  <c r="X119" i="27"/>
  <c r="W119" i="27"/>
  <c r="V119" i="27"/>
  <c r="DA118" i="27"/>
  <c r="CX118" i="27"/>
  <c r="CU118" i="27"/>
  <c r="CR118" i="27"/>
  <c r="CO118" i="27"/>
  <c r="CL118" i="27"/>
  <c r="CI118" i="27"/>
  <c r="CF118" i="27"/>
  <c r="CC118" i="27"/>
  <c r="BZ118" i="27"/>
  <c r="BW118" i="27"/>
  <c r="BT118" i="27"/>
  <c r="BQ118" i="27"/>
  <c r="BN118" i="27"/>
  <c r="BK118" i="27"/>
  <c r="BH118" i="27"/>
  <c r="BE118" i="27"/>
  <c r="BB118" i="27"/>
  <c r="AY118" i="27"/>
  <c r="AV118" i="27"/>
  <c r="AH118" i="27"/>
  <c r="AG118" i="27"/>
  <c r="AF118" i="27"/>
  <c r="AE118" i="27"/>
  <c r="AD118" i="27"/>
  <c r="AC118" i="27"/>
  <c r="AB118" i="27"/>
  <c r="AA118" i="27"/>
  <c r="Z118" i="27"/>
  <c r="Y118" i="27"/>
  <c r="X118" i="27"/>
  <c r="W118" i="27"/>
  <c r="V118" i="27"/>
  <c r="DA117" i="27"/>
  <c r="CX117" i="27"/>
  <c r="CU117" i="27"/>
  <c r="CR117" i="27"/>
  <c r="CO117" i="27"/>
  <c r="CL117" i="27"/>
  <c r="CI117" i="27"/>
  <c r="CF117" i="27"/>
  <c r="CC117" i="27"/>
  <c r="BZ117" i="27"/>
  <c r="BW117" i="27"/>
  <c r="BT117" i="27"/>
  <c r="BQ117" i="27"/>
  <c r="BN117" i="27"/>
  <c r="BK117" i="27"/>
  <c r="BH117" i="27"/>
  <c r="BE117" i="27"/>
  <c r="BB117" i="27"/>
  <c r="AY117" i="27"/>
  <c r="AV117" i="27"/>
  <c r="AH117" i="27"/>
  <c r="AG117" i="27"/>
  <c r="AF117" i="27"/>
  <c r="AE117" i="27"/>
  <c r="AD117" i="27"/>
  <c r="AC117" i="27"/>
  <c r="AB117" i="27"/>
  <c r="AA117" i="27"/>
  <c r="Z117" i="27"/>
  <c r="Y117" i="27"/>
  <c r="X117" i="27"/>
  <c r="W117" i="27"/>
  <c r="V117" i="27"/>
  <c r="DA116" i="27"/>
  <c r="CX116" i="27"/>
  <c r="CU116" i="27"/>
  <c r="CR116" i="27"/>
  <c r="CO116" i="27"/>
  <c r="CL116" i="27"/>
  <c r="CI116" i="27"/>
  <c r="CF116" i="27"/>
  <c r="CC116" i="27"/>
  <c r="BZ116" i="27"/>
  <c r="BW116" i="27"/>
  <c r="BT116" i="27"/>
  <c r="BQ116" i="27"/>
  <c r="BN116" i="27"/>
  <c r="BK116" i="27"/>
  <c r="BH116" i="27"/>
  <c r="BE116" i="27"/>
  <c r="BB116" i="27"/>
  <c r="AY116" i="27"/>
  <c r="AV116" i="27"/>
  <c r="AH116" i="27"/>
  <c r="AG116" i="27"/>
  <c r="AF116" i="27"/>
  <c r="AE116" i="27"/>
  <c r="AD116" i="27"/>
  <c r="AC116" i="27"/>
  <c r="AB116" i="27"/>
  <c r="AA116" i="27"/>
  <c r="Z116" i="27"/>
  <c r="Y116" i="27"/>
  <c r="X116" i="27"/>
  <c r="W116" i="27"/>
  <c r="V116" i="27"/>
  <c r="DA115" i="27"/>
  <c r="CX115" i="27"/>
  <c r="CU115" i="27"/>
  <c r="CR115" i="27"/>
  <c r="CO115" i="27"/>
  <c r="CL115" i="27"/>
  <c r="CI115" i="27"/>
  <c r="CF115" i="27"/>
  <c r="CC115" i="27"/>
  <c r="BZ115" i="27"/>
  <c r="BW115" i="27"/>
  <c r="BT115" i="27"/>
  <c r="BQ115" i="27"/>
  <c r="BN115" i="27"/>
  <c r="BK115" i="27"/>
  <c r="BH115" i="27"/>
  <c r="BE115" i="27"/>
  <c r="BB115" i="27"/>
  <c r="AY115" i="27"/>
  <c r="AV115" i="27"/>
  <c r="AH115" i="27"/>
  <c r="AG115" i="27"/>
  <c r="AN115" i="27" s="1"/>
  <c r="AO115" i="27" s="1"/>
  <c r="AF115" i="27"/>
  <c r="AE115" i="27"/>
  <c r="AD115" i="27"/>
  <c r="AC115" i="27"/>
  <c r="AB115" i="27"/>
  <c r="AA115" i="27"/>
  <c r="Z115" i="27"/>
  <c r="Y115" i="27"/>
  <c r="X115" i="27"/>
  <c r="W115" i="27"/>
  <c r="V115" i="27"/>
  <c r="DA114" i="27"/>
  <c r="CX114" i="27"/>
  <c r="CU114" i="27"/>
  <c r="CR114" i="27"/>
  <c r="CO114" i="27"/>
  <c r="CL114" i="27"/>
  <c r="CI114" i="27"/>
  <c r="CF114" i="27"/>
  <c r="CC114" i="27"/>
  <c r="BZ114" i="27"/>
  <c r="BW114" i="27"/>
  <c r="BT114" i="27"/>
  <c r="BQ114" i="27"/>
  <c r="BN114" i="27"/>
  <c r="BK114" i="27"/>
  <c r="BH114" i="27"/>
  <c r="BE114" i="27"/>
  <c r="BB114" i="27"/>
  <c r="AY114" i="27"/>
  <c r="AV114" i="27"/>
  <c r="AH114" i="27"/>
  <c r="AG114" i="27"/>
  <c r="AF114" i="27"/>
  <c r="AE114" i="27"/>
  <c r="AD114" i="27"/>
  <c r="AJ114" i="27" s="1"/>
  <c r="AC114" i="27"/>
  <c r="AB114" i="27"/>
  <c r="AA114" i="27"/>
  <c r="Z114" i="27"/>
  <c r="AN114" i="27" s="1"/>
  <c r="AO114" i="27" s="1"/>
  <c r="Y114" i="27"/>
  <c r="X114" i="27"/>
  <c r="W114" i="27"/>
  <c r="V114" i="27"/>
  <c r="DA113" i="27"/>
  <c r="CX113" i="27"/>
  <c r="CU113" i="27"/>
  <c r="CR113" i="27"/>
  <c r="CO113" i="27"/>
  <c r="CL113" i="27"/>
  <c r="CI113" i="27"/>
  <c r="CF113" i="27"/>
  <c r="CC113" i="27"/>
  <c r="BZ113" i="27"/>
  <c r="BW113" i="27"/>
  <c r="BT113" i="27"/>
  <c r="BQ113" i="27"/>
  <c r="BN113" i="27"/>
  <c r="BK113" i="27"/>
  <c r="BH113" i="27"/>
  <c r="BE113" i="27"/>
  <c r="BB113" i="27"/>
  <c r="AY113" i="27"/>
  <c r="AV113" i="27"/>
  <c r="AH113" i="27"/>
  <c r="AG113" i="27"/>
  <c r="AF113" i="27"/>
  <c r="AE113" i="27"/>
  <c r="AD113" i="27"/>
  <c r="AC113" i="27"/>
  <c r="AB113" i="27"/>
  <c r="AJ113" i="27" s="1"/>
  <c r="AA113" i="27"/>
  <c r="Z113" i="27"/>
  <c r="Y113" i="27"/>
  <c r="X113" i="27"/>
  <c r="W113" i="27"/>
  <c r="V113" i="27"/>
  <c r="DA112" i="27"/>
  <c r="CX112" i="27"/>
  <c r="CU112" i="27"/>
  <c r="CR112" i="27"/>
  <c r="CO112" i="27"/>
  <c r="CL112" i="27"/>
  <c r="CI112" i="27"/>
  <c r="CF112" i="27"/>
  <c r="CC112" i="27"/>
  <c r="BZ112" i="27"/>
  <c r="BW112" i="27"/>
  <c r="BT112" i="27"/>
  <c r="BQ112" i="27"/>
  <c r="BN112" i="27"/>
  <c r="BK112" i="27"/>
  <c r="BH112" i="27"/>
  <c r="BE112" i="27"/>
  <c r="BB112" i="27"/>
  <c r="AY112" i="27"/>
  <c r="AI112" i="27" s="1"/>
  <c r="AV112" i="27"/>
  <c r="AH112" i="27"/>
  <c r="AG112" i="27"/>
  <c r="AF112" i="27"/>
  <c r="AE112" i="27"/>
  <c r="AD112" i="27"/>
  <c r="AC112" i="27"/>
  <c r="AB112" i="27"/>
  <c r="AA112" i="27"/>
  <c r="Z112" i="27"/>
  <c r="Y112" i="27"/>
  <c r="X112" i="27"/>
  <c r="W112" i="27"/>
  <c r="V112" i="27"/>
  <c r="DA111" i="27"/>
  <c r="CX111" i="27"/>
  <c r="CU111" i="27"/>
  <c r="CR111" i="27"/>
  <c r="CO111" i="27"/>
  <c r="CL111" i="27"/>
  <c r="CI111" i="27"/>
  <c r="CF111" i="27"/>
  <c r="CC111" i="27"/>
  <c r="BZ111" i="27"/>
  <c r="BW111" i="27"/>
  <c r="BT111" i="27"/>
  <c r="BQ111" i="27"/>
  <c r="BN111" i="27"/>
  <c r="BK111" i="27"/>
  <c r="BH111" i="27"/>
  <c r="BE111" i="27"/>
  <c r="BB111" i="27"/>
  <c r="AY111" i="27"/>
  <c r="AV111" i="27"/>
  <c r="AH111" i="27"/>
  <c r="AG111" i="27"/>
  <c r="AF111" i="27"/>
  <c r="AE111" i="27"/>
  <c r="AD111" i="27"/>
  <c r="AC111" i="27"/>
  <c r="AB111" i="27"/>
  <c r="AA111" i="27"/>
  <c r="Z111" i="27"/>
  <c r="Y111" i="27"/>
  <c r="X111" i="27"/>
  <c r="W111" i="27"/>
  <c r="V111" i="27"/>
  <c r="DA110" i="27"/>
  <c r="CX110" i="27"/>
  <c r="CU110" i="27"/>
  <c r="CR110" i="27"/>
  <c r="CO110" i="27"/>
  <c r="CL110" i="27"/>
  <c r="CI110" i="27"/>
  <c r="CF110" i="27"/>
  <c r="CC110" i="27"/>
  <c r="BZ110" i="27"/>
  <c r="BW110" i="27"/>
  <c r="BT110" i="27"/>
  <c r="BQ110" i="27"/>
  <c r="BN110" i="27"/>
  <c r="BK110" i="27"/>
  <c r="BH110" i="27"/>
  <c r="BE110" i="27"/>
  <c r="BB110" i="27"/>
  <c r="AY110" i="27"/>
  <c r="AV110" i="27"/>
  <c r="AH110" i="27"/>
  <c r="AG110" i="27"/>
  <c r="AF110" i="27"/>
  <c r="AE110" i="27"/>
  <c r="AD110" i="27"/>
  <c r="AJ110" i="27" s="1"/>
  <c r="AC110" i="27"/>
  <c r="AB110" i="27"/>
  <c r="AA110" i="27"/>
  <c r="Z110" i="27"/>
  <c r="AN110" i="27" s="1"/>
  <c r="AO110" i="27" s="1"/>
  <c r="Y110" i="27"/>
  <c r="X110" i="27"/>
  <c r="W110" i="27"/>
  <c r="V110" i="27"/>
  <c r="DA109" i="27"/>
  <c r="CX109" i="27"/>
  <c r="CU109" i="27"/>
  <c r="CR109" i="27"/>
  <c r="CO109" i="27"/>
  <c r="CL109" i="27"/>
  <c r="CI109" i="27"/>
  <c r="CF109" i="27"/>
  <c r="CC109" i="27"/>
  <c r="BZ109" i="27"/>
  <c r="BW109" i="27"/>
  <c r="BT109" i="27"/>
  <c r="BQ109" i="27"/>
  <c r="BN109" i="27"/>
  <c r="BK109" i="27"/>
  <c r="BH109" i="27"/>
  <c r="BE109" i="27"/>
  <c r="BB109" i="27"/>
  <c r="AY109" i="27"/>
  <c r="AV109" i="27"/>
  <c r="AH109" i="27"/>
  <c r="AG109" i="27"/>
  <c r="AF109" i="27"/>
  <c r="AE109" i="27"/>
  <c r="AD109" i="27"/>
  <c r="AC109" i="27"/>
  <c r="AB109" i="27"/>
  <c r="AJ109" i="27" s="1"/>
  <c r="AA109" i="27"/>
  <c r="Z109" i="27"/>
  <c r="Y109" i="27"/>
  <c r="X109" i="27"/>
  <c r="W109" i="27"/>
  <c r="V109" i="27"/>
  <c r="DA108" i="27"/>
  <c r="CX108" i="27"/>
  <c r="CU108" i="27"/>
  <c r="CR108" i="27"/>
  <c r="CO108" i="27"/>
  <c r="CL108" i="27"/>
  <c r="CI108" i="27"/>
  <c r="CF108" i="27"/>
  <c r="CC108" i="27"/>
  <c r="BZ108" i="27"/>
  <c r="BW108" i="27"/>
  <c r="BT108" i="27"/>
  <c r="BQ108" i="27"/>
  <c r="BN108" i="27"/>
  <c r="BK108" i="27"/>
  <c r="BH108" i="27"/>
  <c r="BE108" i="27"/>
  <c r="BB108" i="27"/>
  <c r="AY108" i="27"/>
  <c r="AI108" i="27" s="1"/>
  <c r="AV108" i="27"/>
  <c r="AH108" i="27"/>
  <c r="AG108" i="27"/>
  <c r="AF108" i="27"/>
  <c r="AE108" i="27"/>
  <c r="AD108" i="27"/>
  <c r="AC108" i="27"/>
  <c r="AB108" i="27"/>
  <c r="AA108" i="27"/>
  <c r="Z108" i="27"/>
  <c r="Y108" i="27"/>
  <c r="X108" i="27"/>
  <c r="W108" i="27"/>
  <c r="V108" i="27"/>
  <c r="DA107" i="27"/>
  <c r="CX107" i="27"/>
  <c r="CU107" i="27"/>
  <c r="CR107" i="27"/>
  <c r="CO107" i="27"/>
  <c r="CL107" i="27"/>
  <c r="CI107" i="27"/>
  <c r="CF107" i="27"/>
  <c r="CC107" i="27"/>
  <c r="BZ107" i="27"/>
  <c r="BW107" i="27"/>
  <c r="BT107" i="27"/>
  <c r="BQ107" i="27"/>
  <c r="BN107" i="27"/>
  <c r="BK107" i="27"/>
  <c r="BH107" i="27"/>
  <c r="BE107" i="27"/>
  <c r="BB107" i="27"/>
  <c r="AY107" i="27"/>
  <c r="AV107" i="27"/>
  <c r="AH107" i="27"/>
  <c r="AG107" i="27"/>
  <c r="AF107" i="27"/>
  <c r="AE107" i="27"/>
  <c r="AD107" i="27"/>
  <c r="AC107" i="27"/>
  <c r="AB107" i="27"/>
  <c r="AA107" i="27"/>
  <c r="Z107" i="27"/>
  <c r="Y107" i="27"/>
  <c r="X107" i="27"/>
  <c r="W107" i="27"/>
  <c r="V107" i="27"/>
  <c r="DA106" i="27"/>
  <c r="CX106" i="27"/>
  <c r="CU106" i="27"/>
  <c r="CR106" i="27"/>
  <c r="CO106" i="27"/>
  <c r="CL106" i="27"/>
  <c r="CI106" i="27"/>
  <c r="CF106" i="27"/>
  <c r="CC106" i="27"/>
  <c r="BZ106" i="27"/>
  <c r="BW106" i="27"/>
  <c r="BT106" i="27"/>
  <c r="BQ106" i="27"/>
  <c r="BN106" i="27"/>
  <c r="BK106" i="27"/>
  <c r="BH106" i="27"/>
  <c r="BE106" i="27"/>
  <c r="BB106" i="27"/>
  <c r="AY106" i="27"/>
  <c r="AV106" i="27"/>
  <c r="AH106" i="27"/>
  <c r="AG106" i="27"/>
  <c r="AF106" i="27"/>
  <c r="AE106" i="27"/>
  <c r="AD106" i="27"/>
  <c r="AJ106" i="27" s="1"/>
  <c r="AC106" i="27"/>
  <c r="AB106" i="27"/>
  <c r="AA106" i="27"/>
  <c r="Z106" i="27"/>
  <c r="AN106" i="27" s="1"/>
  <c r="AO106" i="27" s="1"/>
  <c r="Y106" i="27"/>
  <c r="X106" i="27"/>
  <c r="W106" i="27"/>
  <c r="V106" i="27"/>
  <c r="DA105" i="27"/>
  <c r="CX105" i="27"/>
  <c r="CU105" i="27"/>
  <c r="CR105" i="27"/>
  <c r="CO105" i="27"/>
  <c r="CL105" i="27"/>
  <c r="CI105" i="27"/>
  <c r="CF105" i="27"/>
  <c r="CC105" i="27"/>
  <c r="BZ105" i="27"/>
  <c r="BW105" i="27"/>
  <c r="BT105" i="27"/>
  <c r="BQ105" i="27"/>
  <c r="BN105" i="27"/>
  <c r="BK105" i="27"/>
  <c r="BH105" i="27"/>
  <c r="BE105" i="27"/>
  <c r="BB105" i="27"/>
  <c r="AY105" i="27"/>
  <c r="AV105" i="27"/>
  <c r="AH105" i="27"/>
  <c r="AG105" i="27"/>
  <c r="AF105" i="27"/>
  <c r="AE105" i="27"/>
  <c r="AD105" i="27"/>
  <c r="AC105" i="27"/>
  <c r="AB105" i="27"/>
  <c r="AA105" i="27"/>
  <c r="Z105" i="27"/>
  <c r="Y105" i="27"/>
  <c r="X105" i="27"/>
  <c r="W105" i="27"/>
  <c r="V105" i="27"/>
  <c r="DA104" i="27"/>
  <c r="CX104" i="27"/>
  <c r="CU104" i="27"/>
  <c r="CR104" i="27"/>
  <c r="CO104" i="27"/>
  <c r="CL104" i="27"/>
  <c r="CI104" i="27"/>
  <c r="CF104" i="27"/>
  <c r="CC104" i="27"/>
  <c r="BZ104" i="27"/>
  <c r="BW104" i="27"/>
  <c r="BT104" i="27"/>
  <c r="BQ104" i="27"/>
  <c r="BN104" i="27"/>
  <c r="BK104" i="27"/>
  <c r="BH104" i="27"/>
  <c r="BE104" i="27"/>
  <c r="BB104" i="27"/>
  <c r="AI104" i="27" s="1"/>
  <c r="AY104" i="27"/>
  <c r="AV104" i="27"/>
  <c r="AH104" i="27"/>
  <c r="AG104" i="27"/>
  <c r="AN104" i="27" s="1"/>
  <c r="AO104" i="27" s="1"/>
  <c r="AF104" i="27"/>
  <c r="AE104" i="27"/>
  <c r="AD104" i="27"/>
  <c r="AC104" i="27"/>
  <c r="AB104" i="27"/>
  <c r="AA104" i="27"/>
  <c r="Z104" i="27"/>
  <c r="Y104" i="27"/>
  <c r="X104" i="27"/>
  <c r="W104" i="27"/>
  <c r="V104" i="27"/>
  <c r="DA103" i="27"/>
  <c r="CX103" i="27"/>
  <c r="CU103" i="27"/>
  <c r="CR103" i="27"/>
  <c r="CO103" i="27"/>
  <c r="CL103" i="27"/>
  <c r="CI103" i="27"/>
  <c r="CF103" i="27"/>
  <c r="CC103" i="27"/>
  <c r="BZ103" i="27"/>
  <c r="BW103" i="27"/>
  <c r="BT103" i="27"/>
  <c r="BQ103" i="27"/>
  <c r="BN103" i="27"/>
  <c r="BK103" i="27"/>
  <c r="BH103" i="27"/>
  <c r="BE103" i="27"/>
  <c r="BB103" i="27"/>
  <c r="AY103" i="27"/>
  <c r="AV103" i="27"/>
  <c r="AH103" i="27"/>
  <c r="AG103" i="27"/>
  <c r="AF103" i="27"/>
  <c r="AE103" i="27"/>
  <c r="AD103" i="27"/>
  <c r="AJ103" i="27" s="1"/>
  <c r="AC103" i="27"/>
  <c r="AB103" i="27"/>
  <c r="AA103" i="27"/>
  <c r="Z103" i="27"/>
  <c r="AN103" i="27" s="1"/>
  <c r="AO103" i="27" s="1"/>
  <c r="Y103" i="27"/>
  <c r="X103" i="27"/>
  <c r="W103" i="27"/>
  <c r="V103" i="27"/>
  <c r="DA102" i="27"/>
  <c r="CX102" i="27"/>
  <c r="CU102" i="27"/>
  <c r="CR102" i="27"/>
  <c r="CO102" i="27"/>
  <c r="CL102" i="27"/>
  <c r="CI102" i="27"/>
  <c r="CF102" i="27"/>
  <c r="CC102" i="27"/>
  <c r="BZ102" i="27"/>
  <c r="BW102" i="27"/>
  <c r="BT102" i="27"/>
  <c r="BQ102" i="27"/>
  <c r="BN102" i="27"/>
  <c r="BK102" i="27"/>
  <c r="BH102" i="27"/>
  <c r="BE102" i="27"/>
  <c r="BB102" i="27"/>
  <c r="AY102" i="27"/>
  <c r="AV102" i="27"/>
  <c r="AH102" i="27"/>
  <c r="AG102" i="27"/>
  <c r="AF102" i="27"/>
  <c r="AE102" i="27"/>
  <c r="AD102" i="27"/>
  <c r="AC102" i="27"/>
  <c r="AB102" i="27"/>
  <c r="AJ102" i="27" s="1"/>
  <c r="AA102" i="27"/>
  <c r="Z102" i="27"/>
  <c r="Y102" i="27"/>
  <c r="X102" i="27"/>
  <c r="W102" i="27"/>
  <c r="V102" i="27"/>
  <c r="DA101" i="27"/>
  <c r="CX101" i="27"/>
  <c r="CU101" i="27"/>
  <c r="CR101" i="27"/>
  <c r="CO101" i="27"/>
  <c r="CL101" i="27"/>
  <c r="CI101" i="27"/>
  <c r="CF101" i="27"/>
  <c r="CC101" i="27"/>
  <c r="BZ101" i="27"/>
  <c r="BW101" i="27"/>
  <c r="BT101" i="27"/>
  <c r="BQ101" i="27"/>
  <c r="BN101" i="27"/>
  <c r="BK101" i="27"/>
  <c r="BH101" i="27"/>
  <c r="BE101" i="27"/>
  <c r="BB101" i="27"/>
  <c r="AY101" i="27"/>
  <c r="AI101" i="27" s="1"/>
  <c r="AV101" i="27"/>
  <c r="AH101" i="27"/>
  <c r="AG101" i="27"/>
  <c r="AF101" i="27"/>
  <c r="AE101" i="27"/>
  <c r="AD101" i="27"/>
  <c r="AC101" i="27"/>
  <c r="AB101" i="27"/>
  <c r="AA101" i="27"/>
  <c r="Z101" i="27"/>
  <c r="Y101" i="27"/>
  <c r="X101" i="27"/>
  <c r="W101" i="27"/>
  <c r="V101" i="27"/>
  <c r="DA100" i="27"/>
  <c r="CX100" i="27"/>
  <c r="CU100" i="27"/>
  <c r="CR100" i="27"/>
  <c r="CO100" i="27"/>
  <c r="CL100" i="27"/>
  <c r="CI100" i="27"/>
  <c r="CF100" i="27"/>
  <c r="CC100" i="27"/>
  <c r="BZ100" i="27"/>
  <c r="BW100" i="27"/>
  <c r="BT100" i="27"/>
  <c r="BQ100" i="27"/>
  <c r="BN100" i="27"/>
  <c r="BK100" i="27"/>
  <c r="BH100" i="27"/>
  <c r="BE100" i="27"/>
  <c r="BB100" i="27"/>
  <c r="AI100" i="27" s="1"/>
  <c r="AY100" i="27"/>
  <c r="AV100" i="27"/>
  <c r="AH100" i="27"/>
  <c r="AG100" i="27"/>
  <c r="AN100" i="27" s="1"/>
  <c r="AO100" i="27" s="1"/>
  <c r="AF100" i="27"/>
  <c r="AE100" i="27"/>
  <c r="AD100" i="27"/>
  <c r="AC100" i="27"/>
  <c r="AB100" i="27"/>
  <c r="AA100" i="27"/>
  <c r="Z100" i="27"/>
  <c r="Y100" i="27"/>
  <c r="X100" i="27"/>
  <c r="W100" i="27"/>
  <c r="V100" i="27"/>
  <c r="DA99" i="27"/>
  <c r="CX99" i="27"/>
  <c r="CU99" i="27"/>
  <c r="CR99" i="27"/>
  <c r="CO99" i="27"/>
  <c r="CL99" i="27"/>
  <c r="CI99" i="27"/>
  <c r="CF99" i="27"/>
  <c r="CC99" i="27"/>
  <c r="BZ99" i="27"/>
  <c r="BW99" i="27"/>
  <c r="BT99" i="27"/>
  <c r="BQ99" i="27"/>
  <c r="BN99" i="27"/>
  <c r="BK99" i="27"/>
  <c r="BH99" i="27"/>
  <c r="BE99" i="27"/>
  <c r="BB99" i="27"/>
  <c r="AY99" i="27"/>
  <c r="AV99" i="27"/>
  <c r="AH99" i="27"/>
  <c r="AG99" i="27"/>
  <c r="AF99" i="27"/>
  <c r="AE99" i="27"/>
  <c r="AD99" i="27"/>
  <c r="AJ99" i="27" s="1"/>
  <c r="AC99" i="27"/>
  <c r="AB99" i="27"/>
  <c r="AA99" i="27"/>
  <c r="Z99" i="27"/>
  <c r="AN99" i="27" s="1"/>
  <c r="AO99" i="27" s="1"/>
  <c r="Y99" i="27"/>
  <c r="X99" i="27"/>
  <c r="W99" i="27"/>
  <c r="V99" i="27"/>
  <c r="DA98" i="27"/>
  <c r="CX98" i="27"/>
  <c r="CU98" i="27"/>
  <c r="CR98" i="27"/>
  <c r="CO98" i="27"/>
  <c r="CL98" i="27"/>
  <c r="CI98" i="27"/>
  <c r="CF98" i="27"/>
  <c r="CC98" i="27"/>
  <c r="BZ98" i="27"/>
  <c r="BW98" i="27"/>
  <c r="BT98" i="27"/>
  <c r="BQ98" i="27"/>
  <c r="BN98" i="27"/>
  <c r="BK98" i="27"/>
  <c r="BH98" i="27"/>
  <c r="BE98" i="27"/>
  <c r="BB98" i="27"/>
  <c r="AY98" i="27"/>
  <c r="AV98" i="27"/>
  <c r="AH98" i="27"/>
  <c r="AG98" i="27"/>
  <c r="AF98" i="27"/>
  <c r="AE98" i="27"/>
  <c r="AD98" i="27"/>
  <c r="AC98" i="27"/>
  <c r="AB98" i="27"/>
  <c r="AJ98" i="27" s="1"/>
  <c r="AA98" i="27"/>
  <c r="Z98" i="27"/>
  <c r="Y98" i="27"/>
  <c r="X98" i="27"/>
  <c r="W98" i="27"/>
  <c r="V98" i="27"/>
  <c r="DA97" i="27"/>
  <c r="CX97" i="27"/>
  <c r="CU97" i="27"/>
  <c r="CR97" i="27"/>
  <c r="CO97" i="27"/>
  <c r="CL97" i="27"/>
  <c r="CI97" i="27"/>
  <c r="CF97" i="27"/>
  <c r="CC97" i="27"/>
  <c r="BZ97" i="27"/>
  <c r="BW97" i="27"/>
  <c r="BT97" i="27"/>
  <c r="BQ97" i="27"/>
  <c r="BN97" i="27"/>
  <c r="BK97" i="27"/>
  <c r="BH97" i="27"/>
  <c r="BE97" i="27"/>
  <c r="BB97" i="27"/>
  <c r="AY97" i="27"/>
  <c r="AI97" i="27" s="1"/>
  <c r="AV97" i="27"/>
  <c r="AH97" i="27"/>
  <c r="AG97" i="27"/>
  <c r="AF97" i="27"/>
  <c r="AE97" i="27"/>
  <c r="AD97" i="27"/>
  <c r="AC97" i="27"/>
  <c r="AB97" i="27"/>
  <c r="AA97" i="27"/>
  <c r="Z97" i="27"/>
  <c r="Y97" i="27"/>
  <c r="X97" i="27"/>
  <c r="W97" i="27"/>
  <c r="V97" i="27"/>
  <c r="DA96" i="27"/>
  <c r="CX96" i="27"/>
  <c r="CU96" i="27"/>
  <c r="CR96" i="27"/>
  <c r="CO96" i="27"/>
  <c r="CL96" i="27"/>
  <c r="CI96" i="27"/>
  <c r="CF96" i="27"/>
  <c r="CC96" i="27"/>
  <c r="BZ96" i="27"/>
  <c r="BW96" i="27"/>
  <c r="BT96" i="27"/>
  <c r="BQ96" i="27"/>
  <c r="BN96" i="27"/>
  <c r="BK96" i="27"/>
  <c r="BH96" i="27"/>
  <c r="BE96" i="27"/>
  <c r="BB96" i="27"/>
  <c r="AI96" i="27" s="1"/>
  <c r="AY96" i="27"/>
  <c r="AV96" i="27"/>
  <c r="AH96" i="27"/>
  <c r="AG96" i="27"/>
  <c r="AN96" i="27" s="1"/>
  <c r="AO96" i="27" s="1"/>
  <c r="AF96" i="27"/>
  <c r="AE96" i="27"/>
  <c r="AD96" i="27"/>
  <c r="AC96" i="27"/>
  <c r="AB96" i="27"/>
  <c r="AA96" i="27"/>
  <c r="Z96" i="27"/>
  <c r="Y96" i="27"/>
  <c r="X96" i="27"/>
  <c r="W96" i="27"/>
  <c r="V96" i="27"/>
  <c r="DA95" i="27"/>
  <c r="CX95" i="27"/>
  <c r="CU95" i="27"/>
  <c r="CR95" i="27"/>
  <c r="CO95" i="27"/>
  <c r="CL95" i="27"/>
  <c r="CI95" i="27"/>
  <c r="CF95" i="27"/>
  <c r="CC95" i="27"/>
  <c r="BZ95" i="27"/>
  <c r="BW95" i="27"/>
  <c r="BT95" i="27"/>
  <c r="BQ95" i="27"/>
  <c r="BN95" i="27"/>
  <c r="BK95" i="27"/>
  <c r="BH95" i="27"/>
  <c r="BE95" i="27"/>
  <c r="BB95" i="27"/>
  <c r="AY95" i="27"/>
  <c r="AV95" i="27"/>
  <c r="AH95" i="27"/>
  <c r="AG95" i="27"/>
  <c r="AF95" i="27"/>
  <c r="AE95" i="27"/>
  <c r="AD95" i="27"/>
  <c r="AJ95" i="27" s="1"/>
  <c r="AC95" i="27"/>
  <c r="AB95" i="27"/>
  <c r="AA95" i="27"/>
  <c r="Z95" i="27"/>
  <c r="AN95" i="27" s="1"/>
  <c r="AO95" i="27" s="1"/>
  <c r="Y95" i="27"/>
  <c r="X95" i="27"/>
  <c r="W95" i="27"/>
  <c r="V95" i="27"/>
  <c r="DA94" i="27"/>
  <c r="CX94" i="27"/>
  <c r="CU94" i="27"/>
  <c r="CR94" i="27"/>
  <c r="CO94" i="27"/>
  <c r="CL94" i="27"/>
  <c r="CI94" i="27"/>
  <c r="CF94" i="27"/>
  <c r="CC94" i="27"/>
  <c r="BZ94" i="27"/>
  <c r="BW94" i="27"/>
  <c r="BT94" i="27"/>
  <c r="BQ94" i="27"/>
  <c r="BN94" i="27"/>
  <c r="BK94" i="27"/>
  <c r="BH94" i="27"/>
  <c r="BE94" i="27"/>
  <c r="BB94" i="27"/>
  <c r="AY94" i="27"/>
  <c r="AV94" i="27"/>
  <c r="AH94" i="27"/>
  <c r="AG94" i="27"/>
  <c r="AF94" i="27"/>
  <c r="AE94" i="27"/>
  <c r="AD94" i="27"/>
  <c r="AC94" i="27"/>
  <c r="AB94" i="27"/>
  <c r="AJ94" i="27" s="1"/>
  <c r="AA94" i="27"/>
  <c r="Z94" i="27"/>
  <c r="Y94" i="27"/>
  <c r="X94" i="27"/>
  <c r="W94" i="27"/>
  <c r="V94" i="27"/>
  <c r="DA93" i="27"/>
  <c r="CX93" i="27"/>
  <c r="CU93" i="27"/>
  <c r="CR93" i="27"/>
  <c r="CO93" i="27"/>
  <c r="CL93" i="27"/>
  <c r="CI93" i="27"/>
  <c r="CF93" i="27"/>
  <c r="CC93" i="27"/>
  <c r="BZ93" i="27"/>
  <c r="BW93" i="27"/>
  <c r="BT93" i="27"/>
  <c r="BQ93" i="27"/>
  <c r="BN93" i="27"/>
  <c r="BK93" i="27"/>
  <c r="BH93" i="27"/>
  <c r="BE93" i="27"/>
  <c r="BB93" i="27"/>
  <c r="AY93" i="27"/>
  <c r="AI93" i="27" s="1"/>
  <c r="AV93" i="27"/>
  <c r="AH93" i="27"/>
  <c r="AG93" i="27"/>
  <c r="AF93" i="27"/>
  <c r="AE93" i="27"/>
  <c r="AD93" i="27"/>
  <c r="AC93" i="27"/>
  <c r="AB93" i="27"/>
  <c r="AA93" i="27"/>
  <c r="Z93" i="27"/>
  <c r="Y93" i="27"/>
  <c r="X93" i="27"/>
  <c r="W93" i="27"/>
  <c r="V93" i="27"/>
  <c r="DA92" i="27"/>
  <c r="CX92" i="27"/>
  <c r="CU92" i="27"/>
  <c r="CR92" i="27"/>
  <c r="CO92" i="27"/>
  <c r="CL92" i="27"/>
  <c r="CI92" i="27"/>
  <c r="CF92" i="27"/>
  <c r="CC92" i="27"/>
  <c r="BZ92" i="27"/>
  <c r="BW92" i="27"/>
  <c r="BT92" i="27"/>
  <c r="BQ92" i="27"/>
  <c r="BN92" i="27"/>
  <c r="BK92" i="27"/>
  <c r="BH92" i="27"/>
  <c r="BE92" i="27"/>
  <c r="BB92" i="27"/>
  <c r="AI92" i="27" s="1"/>
  <c r="AY92" i="27"/>
  <c r="AV92" i="27"/>
  <c r="AH92" i="27"/>
  <c r="AG92" i="27"/>
  <c r="AN92" i="27" s="1"/>
  <c r="AO92" i="27" s="1"/>
  <c r="AF92" i="27"/>
  <c r="AE92" i="27"/>
  <c r="AD92" i="27"/>
  <c r="AC92" i="27"/>
  <c r="AB92" i="27"/>
  <c r="AA92" i="27"/>
  <c r="Z92" i="27"/>
  <c r="Y92" i="27"/>
  <c r="X92" i="27"/>
  <c r="W92" i="27"/>
  <c r="V92" i="27"/>
  <c r="DA91" i="27"/>
  <c r="CX91" i="27"/>
  <c r="CU91" i="27"/>
  <c r="CR91" i="27"/>
  <c r="CO91" i="27"/>
  <c r="CL91" i="27"/>
  <c r="CI91" i="27"/>
  <c r="CF91" i="27"/>
  <c r="CC91" i="27"/>
  <c r="BZ91" i="27"/>
  <c r="BW91" i="27"/>
  <c r="BT91" i="27"/>
  <c r="BQ91" i="27"/>
  <c r="BN91" i="27"/>
  <c r="BK91" i="27"/>
  <c r="BH91" i="27"/>
  <c r="BE91" i="27"/>
  <c r="BB91" i="27"/>
  <c r="AY91" i="27"/>
  <c r="AV91" i="27"/>
  <c r="AH91" i="27"/>
  <c r="AG91" i="27"/>
  <c r="AF91" i="27"/>
  <c r="AE91" i="27"/>
  <c r="AD91" i="27"/>
  <c r="AJ91" i="27" s="1"/>
  <c r="AC91" i="27"/>
  <c r="AB91" i="27"/>
  <c r="AA91" i="27"/>
  <c r="Z91" i="27"/>
  <c r="AN91" i="27" s="1"/>
  <c r="AO91" i="27" s="1"/>
  <c r="Y91" i="27"/>
  <c r="X91" i="27"/>
  <c r="W91" i="27"/>
  <c r="V91" i="27"/>
  <c r="DA90" i="27"/>
  <c r="CX90" i="27"/>
  <c r="CU90" i="27"/>
  <c r="CR90" i="27"/>
  <c r="CO90" i="27"/>
  <c r="CL90" i="27"/>
  <c r="CI90" i="27"/>
  <c r="CF90" i="27"/>
  <c r="CC90" i="27"/>
  <c r="BZ90" i="27"/>
  <c r="BW90" i="27"/>
  <c r="BT90" i="27"/>
  <c r="BQ90" i="27"/>
  <c r="BN90" i="27"/>
  <c r="BK90" i="27"/>
  <c r="BH90" i="27"/>
  <c r="BE90" i="27"/>
  <c r="BB90" i="27"/>
  <c r="AY90" i="27"/>
  <c r="AV90" i="27"/>
  <c r="AH90" i="27"/>
  <c r="AG90" i="27"/>
  <c r="AF90" i="27"/>
  <c r="AE90" i="27"/>
  <c r="AD90" i="27"/>
  <c r="AC90" i="27"/>
  <c r="AB90" i="27"/>
  <c r="AJ90" i="27" s="1"/>
  <c r="AA90" i="27"/>
  <c r="Z90" i="27"/>
  <c r="Y90" i="27"/>
  <c r="X90" i="27"/>
  <c r="W90" i="27"/>
  <c r="V90" i="27"/>
  <c r="DA89" i="27"/>
  <c r="CX89" i="27"/>
  <c r="CU89" i="27"/>
  <c r="CR89" i="27"/>
  <c r="CO89" i="27"/>
  <c r="CL89" i="27"/>
  <c r="CI89" i="27"/>
  <c r="CF89" i="27"/>
  <c r="CC89" i="27"/>
  <c r="BZ89" i="27"/>
  <c r="BW89" i="27"/>
  <c r="BT89" i="27"/>
  <c r="BQ89" i="27"/>
  <c r="BN89" i="27"/>
  <c r="BK89" i="27"/>
  <c r="BH89" i="27"/>
  <c r="BE89" i="27"/>
  <c r="BB89" i="27"/>
  <c r="AY89" i="27"/>
  <c r="AI89" i="27" s="1"/>
  <c r="AV89" i="27"/>
  <c r="AH89" i="27"/>
  <c r="AG89" i="27"/>
  <c r="AF89" i="27"/>
  <c r="AE89" i="27"/>
  <c r="AD89" i="27"/>
  <c r="AC89" i="27"/>
  <c r="AB89" i="27"/>
  <c r="AA89" i="27"/>
  <c r="Z89" i="27"/>
  <c r="Y89" i="27"/>
  <c r="X89" i="27"/>
  <c r="W89" i="27"/>
  <c r="V89" i="27"/>
  <c r="DA88" i="27"/>
  <c r="CX88" i="27"/>
  <c r="CU88" i="27"/>
  <c r="CR88" i="27"/>
  <c r="CO88" i="27"/>
  <c r="CL88" i="27"/>
  <c r="CI88" i="27"/>
  <c r="CF88" i="27"/>
  <c r="CC88" i="27"/>
  <c r="BZ88" i="27"/>
  <c r="BW88" i="27"/>
  <c r="BT88" i="27"/>
  <c r="BQ88" i="27"/>
  <c r="BN88" i="27"/>
  <c r="BK88" i="27"/>
  <c r="BH88" i="27"/>
  <c r="BE88" i="27"/>
  <c r="BB88" i="27"/>
  <c r="AI88" i="27" s="1"/>
  <c r="AY88" i="27"/>
  <c r="AV88" i="27"/>
  <c r="AH88" i="27"/>
  <c r="AG88" i="27"/>
  <c r="AN88" i="27" s="1"/>
  <c r="AO88" i="27" s="1"/>
  <c r="AF88" i="27"/>
  <c r="AE88" i="27"/>
  <c r="AD88" i="27"/>
  <c r="AC88" i="27"/>
  <c r="AB88" i="27"/>
  <c r="AA88" i="27"/>
  <c r="Z88" i="27"/>
  <c r="Y88" i="27"/>
  <c r="X88" i="27"/>
  <c r="W88" i="27"/>
  <c r="V88" i="27"/>
  <c r="DA87" i="27"/>
  <c r="CX87" i="27"/>
  <c r="CU87" i="27"/>
  <c r="CR87" i="27"/>
  <c r="CO87" i="27"/>
  <c r="CL87" i="27"/>
  <c r="CI87" i="27"/>
  <c r="CF87" i="27"/>
  <c r="CC87" i="27"/>
  <c r="BZ87" i="27"/>
  <c r="BW87" i="27"/>
  <c r="BT87" i="27"/>
  <c r="BQ87" i="27"/>
  <c r="BN87" i="27"/>
  <c r="BK87" i="27"/>
  <c r="BH87" i="27"/>
  <c r="BE87" i="27"/>
  <c r="BB87" i="27"/>
  <c r="AY87" i="27"/>
  <c r="AV87" i="27"/>
  <c r="AH87" i="27"/>
  <c r="AG87" i="27"/>
  <c r="AF87" i="27"/>
  <c r="AE87" i="27"/>
  <c r="AD87" i="27"/>
  <c r="AJ87" i="27" s="1"/>
  <c r="AC87" i="27"/>
  <c r="AB87" i="27"/>
  <c r="AA87" i="27"/>
  <c r="Z87" i="27"/>
  <c r="AN87" i="27" s="1"/>
  <c r="AO87" i="27" s="1"/>
  <c r="Y87" i="27"/>
  <c r="X87" i="27"/>
  <c r="W87" i="27"/>
  <c r="V87" i="27"/>
  <c r="DA86" i="27"/>
  <c r="CX86" i="27"/>
  <c r="CU86" i="27"/>
  <c r="CR86" i="27"/>
  <c r="CO86" i="27"/>
  <c r="CL86" i="27"/>
  <c r="CI86" i="27"/>
  <c r="CF86" i="27"/>
  <c r="CC86" i="27"/>
  <c r="BZ86" i="27"/>
  <c r="BW86" i="27"/>
  <c r="BT86" i="27"/>
  <c r="BQ86" i="27"/>
  <c r="BN86" i="27"/>
  <c r="BK86" i="27"/>
  <c r="BH86" i="27"/>
  <c r="BE86" i="27"/>
  <c r="BB86" i="27"/>
  <c r="AY86" i="27"/>
  <c r="AV86" i="27"/>
  <c r="AH86" i="27"/>
  <c r="AG86" i="27"/>
  <c r="AF86" i="27"/>
  <c r="AE86" i="27"/>
  <c r="AD86" i="27"/>
  <c r="AC86" i="27"/>
  <c r="AB86" i="27"/>
  <c r="AJ86" i="27" s="1"/>
  <c r="AA86" i="27"/>
  <c r="Z86" i="27"/>
  <c r="Y86" i="27"/>
  <c r="X86" i="27"/>
  <c r="W86" i="27"/>
  <c r="V86" i="27"/>
  <c r="DA85" i="27"/>
  <c r="CX85" i="27"/>
  <c r="CU85" i="27"/>
  <c r="CR85" i="27"/>
  <c r="CO85" i="27"/>
  <c r="CL85" i="27"/>
  <c r="CI85" i="27"/>
  <c r="CF85" i="27"/>
  <c r="CC85" i="27"/>
  <c r="BZ85" i="27"/>
  <c r="BW85" i="27"/>
  <c r="BT85" i="27"/>
  <c r="BQ85" i="27"/>
  <c r="BN85" i="27"/>
  <c r="BK85" i="27"/>
  <c r="BH85" i="27"/>
  <c r="BE85" i="27"/>
  <c r="BB85" i="27"/>
  <c r="AY85" i="27"/>
  <c r="AV85" i="27"/>
  <c r="AH85" i="27"/>
  <c r="AG85" i="27"/>
  <c r="AF85" i="27"/>
  <c r="AE85" i="27"/>
  <c r="AD85" i="27"/>
  <c r="AC85" i="27"/>
  <c r="AB85" i="27"/>
  <c r="AA85" i="27"/>
  <c r="Z85" i="27"/>
  <c r="Y85" i="27"/>
  <c r="X85" i="27"/>
  <c r="W85" i="27"/>
  <c r="V85" i="27"/>
  <c r="DA84" i="27"/>
  <c r="CX84" i="27"/>
  <c r="CU84" i="27"/>
  <c r="CR84" i="27"/>
  <c r="CO84" i="27"/>
  <c r="CL84" i="27"/>
  <c r="CI84" i="27"/>
  <c r="CF84" i="27"/>
  <c r="CC84" i="27"/>
  <c r="BZ84" i="27"/>
  <c r="BW84" i="27"/>
  <c r="BT84" i="27"/>
  <c r="BQ84" i="27"/>
  <c r="BN84" i="27"/>
  <c r="BK84" i="27"/>
  <c r="BH84" i="27"/>
  <c r="BE84" i="27"/>
  <c r="BB84" i="27"/>
  <c r="AY84" i="27"/>
  <c r="AV84" i="27"/>
  <c r="AH84" i="27"/>
  <c r="AG84" i="27"/>
  <c r="AF84" i="27"/>
  <c r="AE84" i="27"/>
  <c r="AD84" i="27"/>
  <c r="AC84" i="27"/>
  <c r="AB84" i="27"/>
  <c r="AA84" i="27"/>
  <c r="Z84" i="27"/>
  <c r="Y84" i="27"/>
  <c r="X84" i="27"/>
  <c r="W84" i="27"/>
  <c r="V84" i="27"/>
  <c r="DA83" i="27"/>
  <c r="CX83" i="27"/>
  <c r="CU83" i="27"/>
  <c r="CR83" i="27"/>
  <c r="CO83" i="27"/>
  <c r="CL83" i="27"/>
  <c r="CI83" i="27"/>
  <c r="CF83" i="27"/>
  <c r="CC83" i="27"/>
  <c r="BZ83" i="27"/>
  <c r="BW83" i="27"/>
  <c r="BT83" i="27"/>
  <c r="BQ83" i="27"/>
  <c r="BN83" i="27"/>
  <c r="BK83" i="27"/>
  <c r="BH83" i="27"/>
  <c r="BE83" i="27"/>
  <c r="BB83" i="27"/>
  <c r="AY83" i="27"/>
  <c r="AV83" i="27"/>
  <c r="AH83" i="27"/>
  <c r="AG83" i="27"/>
  <c r="AF83" i="27"/>
  <c r="AE83" i="27"/>
  <c r="AD83" i="27"/>
  <c r="AJ83" i="27" s="1"/>
  <c r="AC83" i="27"/>
  <c r="AB83" i="27"/>
  <c r="AA83" i="27"/>
  <c r="Z83" i="27"/>
  <c r="AN83" i="27" s="1"/>
  <c r="AO83" i="27" s="1"/>
  <c r="Y83" i="27"/>
  <c r="X83" i="27"/>
  <c r="W83" i="27"/>
  <c r="V83" i="27"/>
  <c r="DA82" i="27"/>
  <c r="CX82" i="27"/>
  <c r="CU82" i="27"/>
  <c r="CR82" i="27"/>
  <c r="CO82" i="27"/>
  <c r="CL82" i="27"/>
  <c r="CI82" i="27"/>
  <c r="CF82" i="27"/>
  <c r="CC82" i="27"/>
  <c r="BZ82" i="27"/>
  <c r="BW82" i="27"/>
  <c r="BT82" i="27"/>
  <c r="BQ82" i="27"/>
  <c r="BN82" i="27"/>
  <c r="BK82" i="27"/>
  <c r="BH82" i="27"/>
  <c r="BE82" i="27"/>
  <c r="BB82" i="27"/>
  <c r="AY82" i="27"/>
  <c r="AV82" i="27"/>
  <c r="AH82" i="27"/>
  <c r="AG82" i="27"/>
  <c r="AF82" i="27"/>
  <c r="AE82" i="27"/>
  <c r="AD82" i="27"/>
  <c r="AC82" i="27"/>
  <c r="AB82" i="27"/>
  <c r="AJ82" i="27" s="1"/>
  <c r="AA82" i="27"/>
  <c r="Z82" i="27"/>
  <c r="Y82" i="27"/>
  <c r="X82" i="27"/>
  <c r="W82" i="27"/>
  <c r="V82" i="27"/>
  <c r="DA81" i="27"/>
  <c r="CX81" i="27"/>
  <c r="CU81" i="27"/>
  <c r="CR81" i="27"/>
  <c r="CO81" i="27"/>
  <c r="CL81" i="27"/>
  <c r="CI81" i="27"/>
  <c r="CF81" i="27"/>
  <c r="CC81" i="27"/>
  <c r="BZ81" i="27"/>
  <c r="BW81" i="27"/>
  <c r="BT81" i="27"/>
  <c r="BQ81" i="27"/>
  <c r="BN81" i="27"/>
  <c r="BK81" i="27"/>
  <c r="BH81" i="27"/>
  <c r="BE81" i="27"/>
  <c r="BB81" i="27"/>
  <c r="AY81" i="27"/>
  <c r="AV81" i="27"/>
  <c r="AH81" i="27"/>
  <c r="AG81" i="27"/>
  <c r="AF81" i="27"/>
  <c r="AE81" i="27"/>
  <c r="AD81" i="27"/>
  <c r="AC81" i="27"/>
  <c r="AB81" i="27"/>
  <c r="AA81" i="27"/>
  <c r="Z81" i="27"/>
  <c r="Y81" i="27"/>
  <c r="X81" i="27"/>
  <c r="W81" i="27"/>
  <c r="V81" i="27"/>
  <c r="DA80" i="27"/>
  <c r="CX80" i="27"/>
  <c r="CU80" i="27"/>
  <c r="CR80" i="27"/>
  <c r="CO80" i="27"/>
  <c r="CL80" i="27"/>
  <c r="CI80" i="27"/>
  <c r="CF80" i="27"/>
  <c r="CC80" i="27"/>
  <c r="BZ80" i="27"/>
  <c r="BW80" i="27"/>
  <c r="BT80" i="27"/>
  <c r="BQ80" i="27"/>
  <c r="BN80" i="27"/>
  <c r="BK80" i="27"/>
  <c r="BH80" i="27"/>
  <c r="BE80" i="27"/>
  <c r="BB80" i="27"/>
  <c r="AY80" i="27"/>
  <c r="AV80" i="27"/>
  <c r="AH80" i="27"/>
  <c r="AG80" i="27"/>
  <c r="AF80" i="27"/>
  <c r="AE80" i="27"/>
  <c r="AD80" i="27"/>
  <c r="AC80" i="27"/>
  <c r="AB80" i="27"/>
  <c r="AA80" i="27"/>
  <c r="Z80" i="27"/>
  <c r="Y80" i="27"/>
  <c r="X80" i="27"/>
  <c r="W80" i="27"/>
  <c r="V80" i="27"/>
  <c r="DA79" i="27"/>
  <c r="CX79" i="27"/>
  <c r="CU79" i="27"/>
  <c r="CR79" i="27"/>
  <c r="CO79" i="27"/>
  <c r="CL79" i="27"/>
  <c r="CI79" i="27"/>
  <c r="CF79" i="27"/>
  <c r="CC79" i="27"/>
  <c r="BZ79" i="27"/>
  <c r="BW79" i="27"/>
  <c r="BT79" i="27"/>
  <c r="BQ79" i="27"/>
  <c r="BN79" i="27"/>
  <c r="BK79" i="27"/>
  <c r="BH79" i="27"/>
  <c r="BE79" i="27"/>
  <c r="BB79" i="27"/>
  <c r="AY79" i="27"/>
  <c r="AV79" i="27"/>
  <c r="AH79" i="27"/>
  <c r="AG79" i="27"/>
  <c r="AF79" i="27"/>
  <c r="AE79" i="27"/>
  <c r="AD79" i="27"/>
  <c r="AJ79" i="27" s="1"/>
  <c r="AC79" i="27"/>
  <c r="AB79" i="27"/>
  <c r="AA79" i="27"/>
  <c r="Z79" i="27"/>
  <c r="AN79" i="27" s="1"/>
  <c r="AO79" i="27" s="1"/>
  <c r="Y79" i="27"/>
  <c r="X79" i="27"/>
  <c r="W79" i="27"/>
  <c r="V79" i="27"/>
  <c r="DA78" i="27"/>
  <c r="CX78" i="27"/>
  <c r="CU78" i="27"/>
  <c r="CR78" i="27"/>
  <c r="CO78" i="27"/>
  <c r="CL78" i="27"/>
  <c r="CI78" i="27"/>
  <c r="CF78" i="27"/>
  <c r="CC78" i="27"/>
  <c r="BZ78" i="27"/>
  <c r="BW78" i="27"/>
  <c r="BT78" i="27"/>
  <c r="BQ78" i="27"/>
  <c r="BN78" i="27"/>
  <c r="BK78" i="27"/>
  <c r="BH78" i="27"/>
  <c r="BE78" i="27"/>
  <c r="BB78" i="27"/>
  <c r="AY78" i="27"/>
  <c r="AV78" i="27"/>
  <c r="AH78" i="27"/>
  <c r="AG78" i="27"/>
  <c r="AF78" i="27"/>
  <c r="AE78" i="27"/>
  <c r="AD78" i="27"/>
  <c r="AC78" i="27"/>
  <c r="AB78" i="27"/>
  <c r="AJ78" i="27" s="1"/>
  <c r="AA78" i="27"/>
  <c r="Z78" i="27"/>
  <c r="Y78" i="27"/>
  <c r="X78" i="27"/>
  <c r="W78" i="27"/>
  <c r="V78" i="27"/>
  <c r="DA77" i="27"/>
  <c r="CX77" i="27"/>
  <c r="CU77" i="27"/>
  <c r="CR77" i="27"/>
  <c r="CO77" i="27"/>
  <c r="CL77" i="27"/>
  <c r="CI77" i="27"/>
  <c r="CF77" i="27"/>
  <c r="CC77" i="27"/>
  <c r="BZ77" i="27"/>
  <c r="BW77" i="27"/>
  <c r="BT77" i="27"/>
  <c r="BQ77" i="27"/>
  <c r="BN77" i="27"/>
  <c r="BK77" i="27"/>
  <c r="BH77" i="27"/>
  <c r="BE77" i="27"/>
  <c r="BB77" i="27"/>
  <c r="AY77" i="27"/>
  <c r="AI77" i="27" s="1"/>
  <c r="AV77" i="27"/>
  <c r="AH77" i="27"/>
  <c r="AG77" i="27"/>
  <c r="AN77" i="27" s="1"/>
  <c r="AO77" i="27" s="1"/>
  <c r="AF77" i="27"/>
  <c r="AE77" i="27"/>
  <c r="AD77" i="27"/>
  <c r="AC77" i="27"/>
  <c r="AB77" i="27"/>
  <c r="AA77" i="27"/>
  <c r="Z77" i="27"/>
  <c r="Y77" i="27"/>
  <c r="X77" i="27"/>
  <c r="W77" i="27"/>
  <c r="V77" i="27"/>
  <c r="DA76" i="27"/>
  <c r="CX76" i="27"/>
  <c r="CU76" i="27"/>
  <c r="CR76" i="27"/>
  <c r="CO76" i="27"/>
  <c r="CL76" i="27"/>
  <c r="CI76" i="27"/>
  <c r="CF76" i="27"/>
  <c r="CC76" i="27"/>
  <c r="BZ76" i="27"/>
  <c r="BW76" i="27"/>
  <c r="BT76" i="27"/>
  <c r="BQ76" i="27"/>
  <c r="BN76" i="27"/>
  <c r="BK76" i="27"/>
  <c r="BH76" i="27"/>
  <c r="BE76" i="27"/>
  <c r="BB76" i="27"/>
  <c r="AY76" i="27"/>
  <c r="AV76" i="27"/>
  <c r="AJ76" i="27"/>
  <c r="AH76" i="27"/>
  <c r="AG76" i="27"/>
  <c r="AF76" i="27"/>
  <c r="AE76" i="27"/>
  <c r="AD76" i="27"/>
  <c r="AC76" i="27"/>
  <c r="AB76" i="27"/>
  <c r="AA76" i="27"/>
  <c r="Z76" i="27"/>
  <c r="Y76" i="27"/>
  <c r="X76" i="27"/>
  <c r="W76" i="27"/>
  <c r="V76" i="27"/>
  <c r="DA75" i="27"/>
  <c r="CX75" i="27"/>
  <c r="CU75" i="27"/>
  <c r="CR75" i="27"/>
  <c r="CO75" i="27"/>
  <c r="CL75" i="27"/>
  <c r="CI75" i="27"/>
  <c r="CF75" i="27"/>
  <c r="CC75" i="27"/>
  <c r="BZ75" i="27"/>
  <c r="BW75" i="27"/>
  <c r="BT75" i="27"/>
  <c r="BQ75" i="27"/>
  <c r="BN75" i="27"/>
  <c r="BK75" i="27"/>
  <c r="BH75" i="27"/>
  <c r="BE75" i="27"/>
  <c r="BB75" i="27"/>
  <c r="AY75" i="27"/>
  <c r="AI75" i="27" s="1"/>
  <c r="CV75" i="27" s="1"/>
  <c r="AV75" i="27"/>
  <c r="AH75" i="27"/>
  <c r="AG75" i="27"/>
  <c r="AF75" i="27"/>
  <c r="AE75" i="27"/>
  <c r="AD75" i="27"/>
  <c r="AJ75" i="27" s="1"/>
  <c r="AC75" i="27"/>
  <c r="AB75" i="27"/>
  <c r="AA75" i="27"/>
  <c r="Z75" i="27"/>
  <c r="Y75" i="27"/>
  <c r="X75" i="27"/>
  <c r="W75" i="27"/>
  <c r="V75" i="27"/>
  <c r="DA74" i="27"/>
  <c r="CX74" i="27"/>
  <c r="CU74" i="27"/>
  <c r="CR74" i="27"/>
  <c r="CO74" i="27"/>
  <c r="CL74" i="27"/>
  <c r="CI74" i="27"/>
  <c r="CF74" i="27"/>
  <c r="CC74" i="27"/>
  <c r="BZ74" i="27"/>
  <c r="BW74" i="27"/>
  <c r="BT74" i="27"/>
  <c r="BQ74" i="27"/>
  <c r="BN74" i="27"/>
  <c r="BK74" i="27"/>
  <c r="BH74" i="27"/>
  <c r="BE74" i="27"/>
  <c r="BB74" i="27"/>
  <c r="AY74" i="27"/>
  <c r="AV74" i="27"/>
  <c r="AH74" i="27"/>
  <c r="AG74" i="27"/>
  <c r="AF74" i="27"/>
  <c r="AE74" i="27"/>
  <c r="AD74" i="27"/>
  <c r="AC74" i="27"/>
  <c r="AB74" i="27"/>
  <c r="AA74" i="27"/>
  <c r="Z74" i="27"/>
  <c r="Y74" i="27"/>
  <c r="X74" i="27"/>
  <c r="W74" i="27"/>
  <c r="V74" i="27"/>
  <c r="DA73" i="27"/>
  <c r="CX73" i="27"/>
  <c r="CU73" i="27"/>
  <c r="CR73" i="27"/>
  <c r="CO73" i="27"/>
  <c r="CL73" i="27"/>
  <c r="CI73" i="27"/>
  <c r="CF73" i="27"/>
  <c r="CC73" i="27"/>
  <c r="BZ73" i="27"/>
  <c r="BW73" i="27"/>
  <c r="BT73" i="27"/>
  <c r="BQ73" i="27"/>
  <c r="BN73" i="27"/>
  <c r="BK73" i="27"/>
  <c r="BH73" i="27"/>
  <c r="BE73" i="27"/>
  <c r="BB73" i="27"/>
  <c r="AY73" i="27"/>
  <c r="AV73" i="27"/>
  <c r="AH73" i="27"/>
  <c r="AG73" i="27"/>
  <c r="AF73" i="27"/>
  <c r="AE73" i="27"/>
  <c r="AD73" i="27"/>
  <c r="AC73" i="27"/>
  <c r="AB73" i="27"/>
  <c r="AA73" i="27"/>
  <c r="Z73" i="27"/>
  <c r="Y73" i="27"/>
  <c r="X73" i="27"/>
  <c r="W73" i="27"/>
  <c r="V73" i="27"/>
  <c r="DA72" i="27"/>
  <c r="CX72" i="27"/>
  <c r="CU72" i="27"/>
  <c r="CR72" i="27"/>
  <c r="CO72" i="27"/>
  <c r="CL72" i="27"/>
  <c r="CI72" i="27"/>
  <c r="CF72" i="27"/>
  <c r="CC72" i="27"/>
  <c r="BZ72" i="27"/>
  <c r="BW72" i="27"/>
  <c r="BT72" i="27"/>
  <c r="BQ72" i="27"/>
  <c r="BN72" i="27"/>
  <c r="BK72" i="27"/>
  <c r="BH72" i="27"/>
  <c r="BE72" i="27"/>
  <c r="BB72" i="27"/>
  <c r="AY72" i="27"/>
  <c r="AV72" i="27"/>
  <c r="AI72" i="27" s="1"/>
  <c r="AH72" i="27"/>
  <c r="AG72" i="27"/>
  <c r="AF72" i="27"/>
  <c r="AE72" i="27"/>
  <c r="AD72" i="27"/>
  <c r="AC72" i="27"/>
  <c r="AB72" i="27"/>
  <c r="AJ72" i="27" s="1"/>
  <c r="AA72" i="27"/>
  <c r="Z72" i="27"/>
  <c r="Y72" i="27"/>
  <c r="X72" i="27"/>
  <c r="W72" i="27"/>
  <c r="V72" i="27"/>
  <c r="DA71" i="27"/>
  <c r="CX71" i="27"/>
  <c r="CU71" i="27"/>
  <c r="CR71" i="27"/>
  <c r="CO71" i="27"/>
  <c r="CL71" i="27"/>
  <c r="CI71" i="27"/>
  <c r="CF71" i="27"/>
  <c r="CC71" i="27"/>
  <c r="BZ71" i="27"/>
  <c r="BW71" i="27"/>
  <c r="BT71" i="27"/>
  <c r="BQ71" i="27"/>
  <c r="BN71" i="27"/>
  <c r="BK71" i="27"/>
  <c r="BH71" i="27"/>
  <c r="BE71" i="27"/>
  <c r="BB71" i="27"/>
  <c r="AI71" i="27" s="1"/>
  <c r="AY71" i="27"/>
  <c r="AV71" i="27"/>
  <c r="AH71" i="27"/>
  <c r="AG71" i="27"/>
  <c r="AN71" i="27" s="1"/>
  <c r="AO71" i="27" s="1"/>
  <c r="AF71" i="27"/>
  <c r="AE71" i="27"/>
  <c r="AD71" i="27"/>
  <c r="AC71" i="27"/>
  <c r="AJ71" i="27" s="1"/>
  <c r="AB71" i="27"/>
  <c r="AA71" i="27"/>
  <c r="Z71" i="27"/>
  <c r="Y71" i="27"/>
  <c r="X71" i="27"/>
  <c r="W71" i="27"/>
  <c r="V71" i="27"/>
  <c r="DA70" i="27"/>
  <c r="CX70" i="27"/>
  <c r="CU70" i="27"/>
  <c r="CR70" i="27"/>
  <c r="CO70" i="27"/>
  <c r="CL70" i="27"/>
  <c r="CI70" i="27"/>
  <c r="CF70" i="27"/>
  <c r="CC70" i="27"/>
  <c r="BZ70" i="27"/>
  <c r="BW70" i="27"/>
  <c r="BT70" i="27"/>
  <c r="BQ70" i="27"/>
  <c r="BN70" i="27"/>
  <c r="BK70" i="27"/>
  <c r="BH70" i="27"/>
  <c r="BE70" i="27"/>
  <c r="BB70" i="27"/>
  <c r="AY70" i="27"/>
  <c r="AV70" i="27"/>
  <c r="AI70" i="27"/>
  <c r="CV70" i="27" s="1"/>
  <c r="AH70" i="27"/>
  <c r="AG70" i="27"/>
  <c r="AF70" i="27"/>
  <c r="AE70" i="27"/>
  <c r="AD70" i="27"/>
  <c r="AC70" i="27"/>
  <c r="AB70" i="27"/>
  <c r="AA70" i="27"/>
  <c r="Z70" i="27"/>
  <c r="Y70" i="27"/>
  <c r="X70" i="27"/>
  <c r="W70" i="27"/>
  <c r="V70" i="27"/>
  <c r="DA69" i="27"/>
  <c r="CX69" i="27"/>
  <c r="CU69" i="27"/>
  <c r="CR69" i="27"/>
  <c r="CO69" i="27"/>
  <c r="CL69" i="27"/>
  <c r="CI69" i="27"/>
  <c r="CF69" i="27"/>
  <c r="CC69" i="27"/>
  <c r="BZ69" i="27"/>
  <c r="BW69" i="27"/>
  <c r="BT69" i="27"/>
  <c r="BQ69" i="27"/>
  <c r="BN69" i="27"/>
  <c r="BK69" i="27"/>
  <c r="BH69" i="27"/>
  <c r="BE69" i="27"/>
  <c r="BB69" i="27"/>
  <c r="AY69" i="27"/>
  <c r="AV69" i="27"/>
  <c r="AH69" i="27"/>
  <c r="AG69" i="27"/>
  <c r="AF69" i="27"/>
  <c r="AE69" i="27"/>
  <c r="AD69" i="27"/>
  <c r="AC69" i="27"/>
  <c r="AB69" i="27"/>
  <c r="AA69" i="27"/>
  <c r="Z69" i="27"/>
  <c r="Y69" i="27"/>
  <c r="X69" i="27"/>
  <c r="W69" i="27"/>
  <c r="V69" i="27"/>
  <c r="DA68" i="27"/>
  <c r="CX68" i="27"/>
  <c r="CU68" i="27"/>
  <c r="CR68" i="27"/>
  <c r="CO68" i="27"/>
  <c r="CL68" i="27"/>
  <c r="CI68" i="27"/>
  <c r="CF68" i="27"/>
  <c r="CC68" i="27"/>
  <c r="BZ68" i="27"/>
  <c r="BW68" i="27"/>
  <c r="BT68" i="27"/>
  <c r="BQ68" i="27"/>
  <c r="BN68" i="27"/>
  <c r="BK68" i="27"/>
  <c r="BH68" i="27"/>
  <c r="BE68" i="27"/>
  <c r="BB68" i="27"/>
  <c r="AY68" i="27"/>
  <c r="AV68" i="27"/>
  <c r="AH68" i="27"/>
  <c r="AG68" i="27"/>
  <c r="AN68" i="27" s="1"/>
  <c r="AO68" i="27" s="1"/>
  <c r="AF68" i="27"/>
  <c r="AE68" i="27"/>
  <c r="AD68" i="27"/>
  <c r="AC68" i="27"/>
  <c r="AB68" i="27"/>
  <c r="AA68" i="27"/>
  <c r="Z68" i="27"/>
  <c r="Y68" i="27"/>
  <c r="X68" i="27"/>
  <c r="W68" i="27"/>
  <c r="V68" i="27"/>
  <c r="DA67" i="27"/>
  <c r="CX67" i="27"/>
  <c r="CU67" i="27"/>
  <c r="CR67" i="27"/>
  <c r="CO67" i="27"/>
  <c r="CL67" i="27"/>
  <c r="CI67" i="27"/>
  <c r="CF67" i="27"/>
  <c r="CC67" i="27"/>
  <c r="BZ67" i="27"/>
  <c r="BW67" i="27"/>
  <c r="BT67" i="27"/>
  <c r="BQ67" i="27"/>
  <c r="BN67" i="27"/>
  <c r="BK67" i="27"/>
  <c r="BH67" i="27"/>
  <c r="BE67" i="27"/>
  <c r="BB67" i="27"/>
  <c r="AY67" i="27"/>
  <c r="AV67" i="27"/>
  <c r="AH67" i="27"/>
  <c r="AG67" i="27"/>
  <c r="AF67" i="27"/>
  <c r="AE67" i="27"/>
  <c r="AD67" i="27"/>
  <c r="AC67" i="27"/>
  <c r="AB67" i="27"/>
  <c r="AA67" i="27"/>
  <c r="Z67" i="27"/>
  <c r="Y67" i="27"/>
  <c r="X67" i="27"/>
  <c r="W67" i="27"/>
  <c r="V67" i="27"/>
  <c r="DA66" i="27"/>
  <c r="CX66" i="27"/>
  <c r="CU66" i="27"/>
  <c r="CR66" i="27"/>
  <c r="CO66" i="27"/>
  <c r="CL66" i="27"/>
  <c r="CI66" i="27"/>
  <c r="CF66" i="27"/>
  <c r="CC66" i="27"/>
  <c r="BZ66" i="27"/>
  <c r="BW66" i="27"/>
  <c r="BT66" i="27"/>
  <c r="BQ66" i="27"/>
  <c r="BN66" i="27"/>
  <c r="BK66" i="27"/>
  <c r="BH66" i="27"/>
  <c r="BE66" i="27"/>
  <c r="BB66" i="27"/>
  <c r="AY66" i="27"/>
  <c r="AV66" i="27"/>
  <c r="AI66" i="27" s="1"/>
  <c r="CV66" i="27" s="1"/>
  <c r="AH66" i="27"/>
  <c r="AG66" i="27"/>
  <c r="AF66" i="27"/>
  <c r="AE66" i="27"/>
  <c r="AD66" i="27"/>
  <c r="AC66" i="27"/>
  <c r="AB66" i="27"/>
  <c r="AA66" i="27"/>
  <c r="Z66" i="27"/>
  <c r="Y66" i="27"/>
  <c r="X66" i="27"/>
  <c r="W66" i="27"/>
  <c r="V66" i="27"/>
  <c r="DA65" i="27"/>
  <c r="CX65" i="27"/>
  <c r="CU65" i="27"/>
  <c r="CR65" i="27"/>
  <c r="CO65" i="27"/>
  <c r="CL65" i="27"/>
  <c r="CI65" i="27"/>
  <c r="CF65" i="27"/>
  <c r="CC65" i="27"/>
  <c r="BZ65" i="27"/>
  <c r="BW65" i="27"/>
  <c r="BT65" i="27"/>
  <c r="BQ65" i="27"/>
  <c r="BN65" i="27"/>
  <c r="BK65" i="27"/>
  <c r="BH65" i="27"/>
  <c r="BE65" i="27"/>
  <c r="BB65" i="27"/>
  <c r="AI65" i="27" s="1"/>
  <c r="AY65" i="27"/>
  <c r="AV65" i="27"/>
  <c r="AH65" i="27"/>
  <c r="AG65" i="27"/>
  <c r="AN65" i="27" s="1"/>
  <c r="AO65" i="27" s="1"/>
  <c r="AF65" i="27"/>
  <c r="AE65" i="27"/>
  <c r="AD65" i="27"/>
  <c r="AC65" i="27"/>
  <c r="AJ65" i="27" s="1"/>
  <c r="AB65" i="27"/>
  <c r="AA65" i="27"/>
  <c r="Z65" i="27"/>
  <c r="Y65" i="27"/>
  <c r="X65" i="27"/>
  <c r="W65" i="27"/>
  <c r="V65" i="27"/>
  <c r="DA64" i="27"/>
  <c r="CX64" i="27"/>
  <c r="CU64" i="27"/>
  <c r="CR64" i="27"/>
  <c r="CO64" i="27"/>
  <c r="CL64" i="27"/>
  <c r="CI64" i="27"/>
  <c r="CF64" i="27"/>
  <c r="CC64" i="27"/>
  <c r="BZ64" i="27"/>
  <c r="BW64" i="27"/>
  <c r="BT64" i="27"/>
  <c r="BQ64" i="27"/>
  <c r="BN64" i="27"/>
  <c r="BK64" i="27"/>
  <c r="BH64" i="27"/>
  <c r="BE64" i="27"/>
  <c r="BB64" i="27"/>
  <c r="AY64" i="27"/>
  <c r="AV64" i="27"/>
  <c r="AI64" i="27"/>
  <c r="CV64" i="27" s="1"/>
  <c r="AH64" i="27"/>
  <c r="AG64" i="27"/>
  <c r="AF64" i="27"/>
  <c r="AE64" i="27"/>
  <c r="AD64" i="27"/>
  <c r="AC64" i="27"/>
  <c r="AB64" i="27"/>
  <c r="AA64" i="27"/>
  <c r="Z64" i="27"/>
  <c r="Y64" i="27"/>
  <c r="X64" i="27"/>
  <c r="W64" i="27"/>
  <c r="V64" i="27"/>
  <c r="DA63" i="27"/>
  <c r="CX63" i="27"/>
  <c r="CU63" i="27"/>
  <c r="CR63" i="27"/>
  <c r="CO63" i="27"/>
  <c r="CL63" i="27"/>
  <c r="CI63" i="27"/>
  <c r="CF63" i="27"/>
  <c r="CC63" i="27"/>
  <c r="BZ63" i="27"/>
  <c r="BW63" i="27"/>
  <c r="BT63" i="27"/>
  <c r="BQ63" i="27"/>
  <c r="BN63" i="27"/>
  <c r="BK63" i="27"/>
  <c r="BH63" i="27"/>
  <c r="BE63" i="27"/>
  <c r="BB63" i="27"/>
  <c r="AY63" i="27"/>
  <c r="AV63" i="27"/>
  <c r="AH63" i="27"/>
  <c r="AG63" i="27"/>
  <c r="AF63" i="27"/>
  <c r="AE63" i="27"/>
  <c r="AD63" i="27"/>
  <c r="AC63" i="27"/>
  <c r="AB63" i="27"/>
  <c r="AA63" i="27"/>
  <c r="Z63" i="27"/>
  <c r="Y63" i="27"/>
  <c r="X63" i="27"/>
  <c r="W63" i="27"/>
  <c r="V63" i="27"/>
  <c r="DA62" i="27"/>
  <c r="CX62" i="27"/>
  <c r="CU62" i="27"/>
  <c r="CR62" i="27"/>
  <c r="CO62" i="27"/>
  <c r="CL62" i="27"/>
  <c r="CI62" i="27"/>
  <c r="CF62" i="27"/>
  <c r="CC62" i="27"/>
  <c r="BZ62" i="27"/>
  <c r="BW62" i="27"/>
  <c r="BT62" i="27"/>
  <c r="BQ62" i="27"/>
  <c r="BN62" i="27"/>
  <c r="BK62" i="27"/>
  <c r="BH62" i="27"/>
  <c r="BE62" i="27"/>
  <c r="BB62" i="27"/>
  <c r="AI62" i="27" s="1"/>
  <c r="CV62" i="27" s="1"/>
  <c r="AY62" i="27"/>
  <c r="AV62" i="27"/>
  <c r="AH62" i="27"/>
  <c r="AG62" i="27"/>
  <c r="AF62" i="27"/>
  <c r="AE62" i="27"/>
  <c r="AD62" i="27"/>
  <c r="AJ62" i="27" s="1"/>
  <c r="AC62" i="27"/>
  <c r="AB62" i="27"/>
  <c r="AA62" i="27"/>
  <c r="Z62" i="27"/>
  <c r="Y62" i="27"/>
  <c r="X62" i="27"/>
  <c r="W62" i="27"/>
  <c r="V62" i="27"/>
  <c r="DA61" i="27"/>
  <c r="CX61" i="27"/>
  <c r="CU61" i="27"/>
  <c r="CR61" i="27"/>
  <c r="CO61" i="27"/>
  <c r="CL61" i="27"/>
  <c r="CI61" i="27"/>
  <c r="CF61" i="27"/>
  <c r="CC61" i="27"/>
  <c r="BZ61" i="27"/>
  <c r="BW61" i="27"/>
  <c r="BT61" i="27"/>
  <c r="BQ61" i="27"/>
  <c r="BN61" i="27"/>
  <c r="BK61" i="27"/>
  <c r="BH61" i="27"/>
  <c r="BE61" i="27"/>
  <c r="BB61" i="27"/>
  <c r="AY61" i="27"/>
  <c r="AV61" i="27"/>
  <c r="AH61" i="27"/>
  <c r="AG61" i="27"/>
  <c r="AF61" i="27"/>
  <c r="AE61" i="27"/>
  <c r="AD61" i="27"/>
  <c r="AC61" i="27"/>
  <c r="AB61" i="27"/>
  <c r="AA61" i="27"/>
  <c r="Z61" i="27"/>
  <c r="Y61" i="27"/>
  <c r="X61" i="27"/>
  <c r="W61" i="27"/>
  <c r="V61" i="27"/>
  <c r="DA60" i="27"/>
  <c r="CX60" i="27"/>
  <c r="CU60" i="27"/>
  <c r="CR60" i="27"/>
  <c r="CO60" i="27"/>
  <c r="CL60" i="27"/>
  <c r="CI60" i="27"/>
  <c r="CF60" i="27"/>
  <c r="CC60" i="27"/>
  <c r="BZ60" i="27"/>
  <c r="BW60" i="27"/>
  <c r="BT60" i="27"/>
  <c r="BQ60" i="27"/>
  <c r="BN60" i="27"/>
  <c r="BK60" i="27"/>
  <c r="BH60" i="27"/>
  <c r="BE60" i="27"/>
  <c r="BB60" i="27"/>
  <c r="AY60" i="27"/>
  <c r="AV60" i="27"/>
  <c r="AH60" i="27"/>
  <c r="AG60" i="27"/>
  <c r="AF60" i="27"/>
  <c r="AE60" i="27"/>
  <c r="AD60" i="27"/>
  <c r="AC60" i="27"/>
  <c r="AB60" i="27"/>
  <c r="AA60" i="27"/>
  <c r="Z60" i="27"/>
  <c r="Y60" i="27"/>
  <c r="X60" i="27"/>
  <c r="W60" i="27"/>
  <c r="V60" i="27"/>
  <c r="DA59" i="27"/>
  <c r="CX59" i="27"/>
  <c r="CU59" i="27"/>
  <c r="CR59" i="27"/>
  <c r="CO59" i="27"/>
  <c r="CL59" i="27"/>
  <c r="CI59" i="27"/>
  <c r="CF59" i="27"/>
  <c r="CC59" i="27"/>
  <c r="BZ59" i="27"/>
  <c r="BW59" i="27"/>
  <c r="BT59" i="27"/>
  <c r="BQ59" i="27"/>
  <c r="BN59" i="27"/>
  <c r="BK59" i="27"/>
  <c r="BH59" i="27"/>
  <c r="BE59" i="27"/>
  <c r="BB59" i="27"/>
  <c r="AI59" i="27" s="1"/>
  <c r="AY59" i="27"/>
  <c r="AV59" i="27"/>
  <c r="AH59" i="27"/>
  <c r="AG59" i="27"/>
  <c r="AN59" i="27" s="1"/>
  <c r="AO59" i="27" s="1"/>
  <c r="AF59" i="27"/>
  <c r="AE59" i="27"/>
  <c r="AD59" i="27"/>
  <c r="AC59" i="27"/>
  <c r="AJ59" i="27" s="1"/>
  <c r="AB59" i="27"/>
  <c r="AA59" i="27"/>
  <c r="Z59" i="27"/>
  <c r="Y59" i="27"/>
  <c r="X59" i="27"/>
  <c r="W59" i="27"/>
  <c r="V59" i="27"/>
  <c r="DA58" i="27"/>
  <c r="CX58" i="27"/>
  <c r="CU58" i="27"/>
  <c r="CR58" i="27"/>
  <c r="CO58" i="27"/>
  <c r="CL58" i="27"/>
  <c r="CI58" i="27"/>
  <c r="CF58" i="27"/>
  <c r="CC58" i="27"/>
  <c r="BZ58" i="27"/>
  <c r="BW58" i="27"/>
  <c r="BT58" i="27"/>
  <c r="BQ58" i="27"/>
  <c r="BN58" i="27"/>
  <c r="BK58" i="27"/>
  <c r="BH58" i="27"/>
  <c r="BE58" i="27"/>
  <c r="BB58" i="27"/>
  <c r="AY58" i="27"/>
  <c r="AV58" i="27"/>
  <c r="AI58" i="27"/>
  <c r="CV58" i="27" s="1"/>
  <c r="AH58" i="27"/>
  <c r="AG58" i="27"/>
  <c r="AF58" i="27"/>
  <c r="AE58" i="27"/>
  <c r="AD58" i="27"/>
  <c r="AC58" i="27"/>
  <c r="AB58" i="27"/>
  <c r="AA58" i="27"/>
  <c r="Z58" i="27"/>
  <c r="Y58" i="27"/>
  <c r="X58" i="27"/>
  <c r="W58" i="27"/>
  <c r="V58" i="27"/>
  <c r="DA57" i="27"/>
  <c r="CX57" i="27"/>
  <c r="CU57" i="27"/>
  <c r="CR57" i="27"/>
  <c r="CO57" i="27"/>
  <c r="CL57" i="27"/>
  <c r="CI57" i="27"/>
  <c r="CF57" i="27"/>
  <c r="CC57" i="27"/>
  <c r="BZ57" i="27"/>
  <c r="BW57" i="27"/>
  <c r="BT57" i="27"/>
  <c r="BQ57" i="27"/>
  <c r="BN57" i="27"/>
  <c r="BK57" i="27"/>
  <c r="BH57" i="27"/>
  <c r="BE57" i="27"/>
  <c r="BB57" i="27"/>
  <c r="AY57" i="27"/>
  <c r="AV57" i="27"/>
  <c r="AH57" i="27"/>
  <c r="AG57" i="27"/>
  <c r="AF57" i="27"/>
  <c r="AE57" i="27"/>
  <c r="AD57" i="27"/>
  <c r="AC57" i="27"/>
  <c r="AB57" i="27"/>
  <c r="AA57" i="27"/>
  <c r="Z57" i="27"/>
  <c r="Y57" i="27"/>
  <c r="X57" i="27"/>
  <c r="W57" i="27"/>
  <c r="V57" i="27"/>
  <c r="DA56" i="27"/>
  <c r="CX56" i="27"/>
  <c r="CU56" i="27"/>
  <c r="CR56" i="27"/>
  <c r="CO56" i="27"/>
  <c r="CL56" i="27"/>
  <c r="CI56" i="27"/>
  <c r="CF56" i="27"/>
  <c r="CC56" i="27"/>
  <c r="BZ56" i="27"/>
  <c r="BW56" i="27"/>
  <c r="BT56" i="27"/>
  <c r="BQ56" i="27"/>
  <c r="BN56" i="27"/>
  <c r="BK56" i="27"/>
  <c r="BH56" i="27"/>
  <c r="BE56" i="27"/>
  <c r="BB56" i="27"/>
  <c r="AY56" i="27"/>
  <c r="AV56" i="27"/>
  <c r="AH56" i="27"/>
  <c r="AG56" i="27"/>
  <c r="AN56" i="27" s="1"/>
  <c r="AO56" i="27" s="1"/>
  <c r="AF56" i="27"/>
  <c r="AE56" i="27"/>
  <c r="AD56" i="27"/>
  <c r="AC56" i="27"/>
  <c r="AB56" i="27"/>
  <c r="AA56" i="27"/>
  <c r="Z56" i="27"/>
  <c r="Y56" i="27"/>
  <c r="X56" i="27"/>
  <c r="W56" i="27"/>
  <c r="V56" i="27"/>
  <c r="DA55" i="27"/>
  <c r="CX55" i="27"/>
  <c r="CU55" i="27"/>
  <c r="CR55" i="27"/>
  <c r="CO55" i="27"/>
  <c r="CL55" i="27"/>
  <c r="CI55" i="27"/>
  <c r="CF55" i="27"/>
  <c r="CC55" i="27"/>
  <c r="BZ55" i="27"/>
  <c r="BW55" i="27"/>
  <c r="BT55" i="27"/>
  <c r="BQ55" i="27"/>
  <c r="BN55" i="27"/>
  <c r="BK55" i="27"/>
  <c r="BH55" i="27"/>
  <c r="BE55" i="27"/>
  <c r="BB55" i="27"/>
  <c r="AY55" i="27"/>
  <c r="AV55" i="27"/>
  <c r="AH55" i="27"/>
  <c r="AG55" i="27"/>
  <c r="AF55" i="27"/>
  <c r="AE55" i="27"/>
  <c r="AD55" i="27"/>
  <c r="AC55" i="27"/>
  <c r="AB55" i="27"/>
  <c r="AA55" i="27"/>
  <c r="Z55" i="27"/>
  <c r="Y55" i="27"/>
  <c r="X55" i="27"/>
  <c r="W55" i="27"/>
  <c r="V55" i="27"/>
  <c r="DA54" i="27"/>
  <c r="CX54" i="27"/>
  <c r="CU54" i="27"/>
  <c r="CR54" i="27"/>
  <c r="CO54" i="27"/>
  <c r="CL54" i="27"/>
  <c r="CI54" i="27"/>
  <c r="CF54" i="27"/>
  <c r="CC54" i="27"/>
  <c r="BZ54" i="27"/>
  <c r="BW54" i="27"/>
  <c r="BT54" i="27"/>
  <c r="BQ54" i="27"/>
  <c r="BN54" i="27"/>
  <c r="BK54" i="27"/>
  <c r="BH54" i="27"/>
  <c r="BE54" i="27"/>
  <c r="BB54" i="27"/>
  <c r="AY54" i="27"/>
  <c r="AV54" i="27"/>
  <c r="AI54" i="27" s="1"/>
  <c r="DB54" i="27" s="1"/>
  <c r="AH54" i="27"/>
  <c r="AG54" i="27"/>
  <c r="AF54" i="27"/>
  <c r="AE54" i="27"/>
  <c r="AD54" i="27"/>
  <c r="AC54" i="27"/>
  <c r="AB54" i="27"/>
  <c r="AA54" i="27"/>
  <c r="Z54" i="27"/>
  <c r="Y54" i="27"/>
  <c r="X54" i="27"/>
  <c r="W54" i="27"/>
  <c r="V54" i="27"/>
  <c r="DA53" i="27"/>
  <c r="CX53" i="27"/>
  <c r="CU53" i="27"/>
  <c r="CR53" i="27"/>
  <c r="CO53" i="27"/>
  <c r="CL53" i="27"/>
  <c r="CI53" i="27"/>
  <c r="CF53" i="27"/>
  <c r="CC53" i="27"/>
  <c r="BZ53" i="27"/>
  <c r="BW53" i="27"/>
  <c r="BT53" i="27"/>
  <c r="BQ53" i="27"/>
  <c r="BN53" i="27"/>
  <c r="BK53" i="27"/>
  <c r="BH53" i="27"/>
  <c r="BE53" i="27"/>
  <c r="BB53" i="27"/>
  <c r="AI53" i="27" s="1"/>
  <c r="DB53" i="27" s="1"/>
  <c r="AY53" i="27"/>
  <c r="AV53" i="27"/>
  <c r="AH53" i="27"/>
  <c r="AG53" i="27"/>
  <c r="AF53" i="27"/>
  <c r="AE53" i="27"/>
  <c r="AD53" i="27"/>
  <c r="AC53" i="27"/>
  <c r="AB53" i="27"/>
  <c r="AA53" i="27"/>
  <c r="Z53" i="27"/>
  <c r="Y53" i="27"/>
  <c r="X53" i="27"/>
  <c r="W53" i="27"/>
  <c r="V53" i="27"/>
  <c r="DA52" i="27"/>
  <c r="CX52" i="27"/>
  <c r="CU52" i="27"/>
  <c r="CR52" i="27"/>
  <c r="CO52" i="27"/>
  <c r="CL52" i="27"/>
  <c r="CI52" i="27"/>
  <c r="CF52" i="27"/>
  <c r="CC52" i="27"/>
  <c r="BZ52" i="27"/>
  <c r="BW52" i="27"/>
  <c r="BT52" i="27"/>
  <c r="BQ52" i="27"/>
  <c r="BN52" i="27"/>
  <c r="BK52" i="27"/>
  <c r="BH52" i="27"/>
  <c r="BE52" i="27"/>
  <c r="BB52" i="27"/>
  <c r="AY52" i="27"/>
  <c r="AV52" i="27"/>
  <c r="AI52" i="27" s="1"/>
  <c r="DB52" i="27" s="1"/>
  <c r="AH52" i="27"/>
  <c r="AG52" i="27"/>
  <c r="AF52" i="27"/>
  <c r="AE52" i="27"/>
  <c r="AD52" i="27"/>
  <c r="AJ52" i="27" s="1"/>
  <c r="AC52" i="27"/>
  <c r="AB52" i="27"/>
  <c r="AA52" i="27"/>
  <c r="Z52" i="27"/>
  <c r="Y52" i="27"/>
  <c r="X52" i="27"/>
  <c r="W52" i="27"/>
  <c r="V52" i="27"/>
  <c r="DA51" i="27"/>
  <c r="CX51" i="27"/>
  <c r="CU51" i="27"/>
  <c r="CR51" i="27"/>
  <c r="CO51" i="27"/>
  <c r="CL51" i="27"/>
  <c r="CI51" i="27"/>
  <c r="CF51" i="27"/>
  <c r="CC51" i="27"/>
  <c r="BZ51" i="27"/>
  <c r="BW51" i="27"/>
  <c r="BT51" i="27"/>
  <c r="BQ51" i="27"/>
  <c r="BN51" i="27"/>
  <c r="BK51" i="27"/>
  <c r="BH51" i="27"/>
  <c r="BE51" i="27"/>
  <c r="BB51" i="27"/>
  <c r="AY51" i="27"/>
  <c r="AV51" i="27"/>
  <c r="AI51" i="27" s="1"/>
  <c r="DB51" i="27" s="1"/>
  <c r="AH51" i="27"/>
  <c r="AG51" i="27"/>
  <c r="AF51" i="27"/>
  <c r="AE51" i="27"/>
  <c r="AD51" i="27"/>
  <c r="AC51" i="27"/>
  <c r="AB51" i="27"/>
  <c r="AA51" i="27"/>
  <c r="Z51" i="27"/>
  <c r="Y51" i="27"/>
  <c r="X51" i="27"/>
  <c r="W51" i="27"/>
  <c r="V51" i="27"/>
  <c r="DA50" i="27"/>
  <c r="CX50" i="27"/>
  <c r="CU50" i="27"/>
  <c r="CR50" i="27"/>
  <c r="CO50" i="27"/>
  <c r="CL50" i="27"/>
  <c r="CI50" i="27"/>
  <c r="CF50" i="27"/>
  <c r="CC50" i="27"/>
  <c r="BZ50" i="27"/>
  <c r="BW50" i="27"/>
  <c r="BT50" i="27"/>
  <c r="BQ50" i="27"/>
  <c r="BN50" i="27"/>
  <c r="BK50" i="27"/>
  <c r="BH50" i="27"/>
  <c r="BE50" i="27"/>
  <c r="BB50" i="27"/>
  <c r="AY50" i="27"/>
  <c r="AV50" i="27"/>
  <c r="AH50" i="27"/>
  <c r="AG50" i="27"/>
  <c r="AF50" i="27"/>
  <c r="AE50" i="27"/>
  <c r="AD50" i="27"/>
  <c r="AC50" i="27"/>
  <c r="AB50" i="27"/>
  <c r="AA50" i="27"/>
  <c r="Z50" i="27"/>
  <c r="Y50" i="27"/>
  <c r="X50" i="27"/>
  <c r="W50" i="27"/>
  <c r="V50" i="27"/>
  <c r="DA49" i="27"/>
  <c r="CX49" i="27"/>
  <c r="CU49" i="27"/>
  <c r="CR49" i="27"/>
  <c r="CO49" i="27"/>
  <c r="CL49" i="27"/>
  <c r="CI49" i="27"/>
  <c r="CF49" i="27"/>
  <c r="CC49" i="27"/>
  <c r="BZ49" i="27"/>
  <c r="BW49" i="27"/>
  <c r="BT49" i="27"/>
  <c r="BQ49" i="27"/>
  <c r="BN49" i="27"/>
  <c r="BK49" i="27"/>
  <c r="BH49" i="27"/>
  <c r="BE49" i="27"/>
  <c r="BB49" i="27"/>
  <c r="AY49" i="27"/>
  <c r="AV49" i="27"/>
  <c r="AI49" i="27"/>
  <c r="DB49" i="27" s="1"/>
  <c r="AH49" i="27"/>
  <c r="AG49" i="27"/>
  <c r="AF49" i="27"/>
  <c r="AE49" i="27"/>
  <c r="AD49" i="27"/>
  <c r="AC49" i="27"/>
  <c r="AB49" i="27"/>
  <c r="AA49" i="27"/>
  <c r="Z49" i="27"/>
  <c r="Y49" i="27"/>
  <c r="X49" i="27"/>
  <c r="W49" i="27"/>
  <c r="V49" i="27"/>
  <c r="DA48" i="27"/>
  <c r="CX48" i="27"/>
  <c r="CU48" i="27"/>
  <c r="CR48" i="27"/>
  <c r="CO48" i="27"/>
  <c r="CL48" i="27"/>
  <c r="CI48" i="27"/>
  <c r="CF48" i="27"/>
  <c r="CC48" i="27"/>
  <c r="BZ48" i="27"/>
  <c r="BW48" i="27"/>
  <c r="BT48" i="27"/>
  <c r="BQ48" i="27"/>
  <c r="BN48" i="27"/>
  <c r="BK48" i="27"/>
  <c r="BH48" i="27"/>
  <c r="BE48" i="27"/>
  <c r="BB48" i="27"/>
  <c r="AY48" i="27"/>
  <c r="AV48" i="27"/>
  <c r="AH48" i="27"/>
  <c r="AG48" i="27"/>
  <c r="AF48" i="27"/>
  <c r="AE48" i="27"/>
  <c r="AD48" i="27"/>
  <c r="AC48" i="27"/>
  <c r="AB48" i="27"/>
  <c r="AA48" i="27"/>
  <c r="Z48" i="27"/>
  <c r="Y48" i="27"/>
  <c r="X48" i="27"/>
  <c r="W48" i="27"/>
  <c r="V48" i="27"/>
  <c r="DA47" i="27"/>
  <c r="CX47" i="27"/>
  <c r="CU47" i="27"/>
  <c r="CR47" i="27"/>
  <c r="CO47" i="27"/>
  <c r="CL47" i="27"/>
  <c r="CI47" i="27"/>
  <c r="CF47" i="27"/>
  <c r="CC47" i="27"/>
  <c r="BZ47" i="27"/>
  <c r="BW47" i="27"/>
  <c r="BT47" i="27"/>
  <c r="BQ47" i="27"/>
  <c r="BN47" i="27"/>
  <c r="BK47" i="27"/>
  <c r="BH47" i="27"/>
  <c r="BE47" i="27"/>
  <c r="BB47" i="27"/>
  <c r="AI47" i="27" s="1"/>
  <c r="DB47" i="27" s="1"/>
  <c r="AY47" i="27"/>
  <c r="AV47" i="27"/>
  <c r="AH47" i="27"/>
  <c r="AG47" i="27"/>
  <c r="AF47" i="27"/>
  <c r="AE47" i="27"/>
  <c r="AD47" i="27"/>
  <c r="AC47" i="27"/>
  <c r="AB47" i="27"/>
  <c r="AA47" i="27"/>
  <c r="Z47" i="27"/>
  <c r="Y47" i="27"/>
  <c r="X47" i="27"/>
  <c r="W47" i="27"/>
  <c r="V47" i="27"/>
  <c r="DA46" i="27"/>
  <c r="CX46" i="27"/>
  <c r="CU46" i="27"/>
  <c r="CR46" i="27"/>
  <c r="CO46" i="27"/>
  <c r="CL46" i="27"/>
  <c r="CI46" i="27"/>
  <c r="CF46" i="27"/>
  <c r="CC46" i="27"/>
  <c r="BZ46" i="27"/>
  <c r="BW46" i="27"/>
  <c r="BT46" i="27"/>
  <c r="BQ46" i="27"/>
  <c r="BN46" i="27"/>
  <c r="BK46" i="27"/>
  <c r="BH46" i="27"/>
  <c r="BE46" i="27"/>
  <c r="BB46" i="27"/>
  <c r="AY46" i="27"/>
  <c r="AV46" i="27"/>
  <c r="AI46" i="27" s="1"/>
  <c r="DB46" i="27" s="1"/>
  <c r="AH46" i="27"/>
  <c r="AG46" i="27"/>
  <c r="AF46" i="27"/>
  <c r="AE46" i="27"/>
  <c r="AD46" i="27"/>
  <c r="AC46" i="27"/>
  <c r="AB46" i="27"/>
  <c r="AA46" i="27"/>
  <c r="Z46" i="27"/>
  <c r="Y46" i="27"/>
  <c r="X46" i="27"/>
  <c r="W46" i="27"/>
  <c r="V46" i="27"/>
  <c r="DA45" i="27"/>
  <c r="CX45" i="27"/>
  <c r="CU45" i="27"/>
  <c r="CR45" i="27"/>
  <c r="CO45" i="27"/>
  <c r="CL45" i="27"/>
  <c r="CI45" i="27"/>
  <c r="CF45" i="27"/>
  <c r="CC45" i="27"/>
  <c r="BZ45" i="27"/>
  <c r="BW45" i="27"/>
  <c r="BT45" i="27"/>
  <c r="BQ45" i="27"/>
  <c r="BN45" i="27"/>
  <c r="BK45" i="27"/>
  <c r="BH45" i="27"/>
  <c r="BE45" i="27"/>
  <c r="BB45" i="27"/>
  <c r="AI45" i="27" s="1"/>
  <c r="DB45" i="27" s="1"/>
  <c r="AY45" i="27"/>
  <c r="AV45" i="27"/>
  <c r="AH45" i="27"/>
  <c r="AG45" i="27"/>
  <c r="AF45" i="27"/>
  <c r="AE45" i="27"/>
  <c r="AD45" i="27"/>
  <c r="AC45" i="27"/>
  <c r="AB45" i="27"/>
  <c r="AA45" i="27"/>
  <c r="Z45" i="27"/>
  <c r="Y45" i="27"/>
  <c r="X45" i="27"/>
  <c r="W45" i="27"/>
  <c r="V45" i="27"/>
  <c r="DA44" i="27"/>
  <c r="CX44" i="27"/>
  <c r="CU44" i="27"/>
  <c r="CR44" i="27"/>
  <c r="CO44" i="27"/>
  <c r="CL44" i="27"/>
  <c r="CI44" i="27"/>
  <c r="CF44" i="27"/>
  <c r="CC44" i="27"/>
  <c r="BZ44" i="27"/>
  <c r="BW44" i="27"/>
  <c r="BT44" i="27"/>
  <c r="BQ44" i="27"/>
  <c r="BN44" i="27"/>
  <c r="BK44" i="27"/>
  <c r="BH44" i="27"/>
  <c r="BE44" i="27"/>
  <c r="BB44" i="27"/>
  <c r="AY44" i="27"/>
  <c r="AV44" i="27"/>
  <c r="AI44" i="27" s="1"/>
  <c r="DB44" i="27" s="1"/>
  <c r="AH44" i="27"/>
  <c r="AG44" i="27"/>
  <c r="AF44" i="27"/>
  <c r="AE44" i="27"/>
  <c r="AD44" i="27"/>
  <c r="AC44" i="27"/>
  <c r="AB44" i="27"/>
  <c r="AA44" i="27"/>
  <c r="Z44" i="27"/>
  <c r="Y44" i="27"/>
  <c r="X44" i="27"/>
  <c r="W44" i="27"/>
  <c r="V44" i="27"/>
  <c r="DA43" i="27"/>
  <c r="CX43" i="27"/>
  <c r="CU43" i="27"/>
  <c r="CR43" i="27"/>
  <c r="CO43" i="27"/>
  <c r="CL43" i="27"/>
  <c r="CI43" i="27"/>
  <c r="CF43" i="27"/>
  <c r="CC43" i="27"/>
  <c r="BZ43" i="27"/>
  <c r="BW43" i="27"/>
  <c r="BT43" i="27"/>
  <c r="BQ43" i="27"/>
  <c r="BN43" i="27"/>
  <c r="BK43" i="27"/>
  <c r="BH43" i="27"/>
  <c r="BE43" i="27"/>
  <c r="BB43" i="27"/>
  <c r="AY43" i="27"/>
  <c r="AV43" i="27"/>
  <c r="AI43" i="27" s="1"/>
  <c r="DB43" i="27" s="1"/>
  <c r="AH43" i="27"/>
  <c r="AG43" i="27"/>
  <c r="AF43" i="27"/>
  <c r="AE43" i="27"/>
  <c r="AD43" i="27"/>
  <c r="AC43" i="27"/>
  <c r="AB43" i="27"/>
  <c r="AA43" i="27"/>
  <c r="Z43" i="27"/>
  <c r="Y43" i="27"/>
  <c r="X43" i="27"/>
  <c r="W43" i="27"/>
  <c r="V43" i="27"/>
  <c r="DA42" i="27"/>
  <c r="CX42" i="27"/>
  <c r="CU42" i="27"/>
  <c r="CR42" i="27"/>
  <c r="CO42" i="27"/>
  <c r="CL42" i="27"/>
  <c r="CI42" i="27"/>
  <c r="CF42" i="27"/>
  <c r="CC42" i="27"/>
  <c r="BZ42" i="27"/>
  <c r="BW42" i="27"/>
  <c r="BT42" i="27"/>
  <c r="BQ42" i="27"/>
  <c r="BN42" i="27"/>
  <c r="BK42" i="27"/>
  <c r="BH42" i="27"/>
  <c r="BE42" i="27"/>
  <c r="BB42" i="27"/>
  <c r="AY42" i="27"/>
  <c r="AV42" i="27"/>
  <c r="AH42" i="27"/>
  <c r="AG42" i="27"/>
  <c r="AF42" i="27"/>
  <c r="AE42" i="27"/>
  <c r="AD42" i="27"/>
  <c r="AC42" i="27"/>
  <c r="AB42" i="27"/>
  <c r="AA42" i="27"/>
  <c r="Z42" i="27"/>
  <c r="Y42" i="27"/>
  <c r="X42" i="27"/>
  <c r="W42" i="27"/>
  <c r="V42" i="27"/>
  <c r="DA41" i="27"/>
  <c r="CX41" i="27"/>
  <c r="CU41" i="27"/>
  <c r="CR41" i="27"/>
  <c r="CO41" i="27"/>
  <c r="CL41" i="27"/>
  <c r="CI41" i="27"/>
  <c r="CF41" i="27"/>
  <c r="CC41" i="27"/>
  <c r="BZ41" i="27"/>
  <c r="BW41" i="27"/>
  <c r="BT41" i="27"/>
  <c r="BQ41" i="27"/>
  <c r="BN41" i="27"/>
  <c r="BK41" i="27"/>
  <c r="BH41" i="27"/>
  <c r="BE41" i="27"/>
  <c r="BB41" i="27"/>
  <c r="AY41" i="27"/>
  <c r="AV41" i="27"/>
  <c r="AI41" i="27"/>
  <c r="DB41" i="27" s="1"/>
  <c r="AH41" i="27"/>
  <c r="AG41" i="27"/>
  <c r="AF41" i="27"/>
  <c r="AE41" i="27"/>
  <c r="AD41" i="27"/>
  <c r="AC41" i="27"/>
  <c r="AB41" i="27"/>
  <c r="AA41" i="27"/>
  <c r="Z41" i="27"/>
  <c r="Y41" i="27"/>
  <c r="X41" i="27"/>
  <c r="W41" i="27"/>
  <c r="V41" i="27"/>
  <c r="DA40" i="27"/>
  <c r="CX40" i="27"/>
  <c r="CU40" i="27"/>
  <c r="CR40" i="27"/>
  <c r="CO40" i="27"/>
  <c r="CL40" i="27"/>
  <c r="CI40" i="27"/>
  <c r="CF40" i="27"/>
  <c r="CC40" i="27"/>
  <c r="BZ40" i="27"/>
  <c r="BW40" i="27"/>
  <c r="BT40" i="27"/>
  <c r="BQ40" i="27"/>
  <c r="BN40" i="27"/>
  <c r="BK40" i="27"/>
  <c r="BH40" i="27"/>
  <c r="BE40" i="27"/>
  <c r="BB40" i="27"/>
  <c r="AY40" i="27"/>
  <c r="AV40" i="27"/>
  <c r="AH40" i="27"/>
  <c r="AG40" i="27"/>
  <c r="AF40" i="27"/>
  <c r="AE40" i="27"/>
  <c r="AD40" i="27"/>
  <c r="AC40" i="27"/>
  <c r="AB40" i="27"/>
  <c r="AA40" i="27"/>
  <c r="Z40" i="27"/>
  <c r="Y40" i="27"/>
  <c r="X40" i="27"/>
  <c r="W40" i="27"/>
  <c r="V40" i="27"/>
  <c r="DA39" i="27"/>
  <c r="CX39" i="27"/>
  <c r="CU39" i="27"/>
  <c r="CR39" i="27"/>
  <c r="CO39" i="27"/>
  <c r="CL39" i="27"/>
  <c r="CI39" i="27"/>
  <c r="CF39" i="27"/>
  <c r="CC39" i="27"/>
  <c r="BZ39" i="27"/>
  <c r="BW39" i="27"/>
  <c r="BT39" i="27"/>
  <c r="BQ39" i="27"/>
  <c r="BN39" i="27"/>
  <c r="BK39" i="27"/>
  <c r="BH39" i="27"/>
  <c r="BE39" i="27"/>
  <c r="BB39" i="27"/>
  <c r="AY39" i="27"/>
  <c r="AV39" i="27"/>
  <c r="AH39" i="27"/>
  <c r="AG39" i="27"/>
  <c r="AF39" i="27"/>
  <c r="AE39" i="27"/>
  <c r="AD39" i="27"/>
  <c r="AC39" i="27"/>
  <c r="AB39" i="27"/>
  <c r="AA39" i="27"/>
  <c r="Z39" i="27"/>
  <c r="Y39" i="27"/>
  <c r="X39" i="27"/>
  <c r="W39" i="27"/>
  <c r="V39" i="27"/>
  <c r="DA38" i="27"/>
  <c r="CX38" i="27"/>
  <c r="CU38" i="27"/>
  <c r="CR38" i="27"/>
  <c r="CO38" i="27"/>
  <c r="CL38" i="27"/>
  <c r="CI38" i="27"/>
  <c r="CF38" i="27"/>
  <c r="CC38" i="27"/>
  <c r="BZ38" i="27"/>
  <c r="BW38" i="27"/>
  <c r="BT38" i="27"/>
  <c r="BQ38" i="27"/>
  <c r="BN38" i="27"/>
  <c r="BK38" i="27"/>
  <c r="BH38" i="27"/>
  <c r="BE38" i="27"/>
  <c r="BB38" i="27"/>
  <c r="AY38" i="27"/>
  <c r="AV38" i="27"/>
  <c r="AH38" i="27"/>
  <c r="AG38" i="27"/>
  <c r="AF38" i="27"/>
  <c r="AE38" i="27"/>
  <c r="AD38" i="27"/>
  <c r="AJ38" i="27" s="1"/>
  <c r="AC38" i="27"/>
  <c r="AB38" i="27"/>
  <c r="AA38" i="27"/>
  <c r="Z38" i="27"/>
  <c r="AN38" i="27" s="1"/>
  <c r="AO38" i="27" s="1"/>
  <c r="Y38" i="27"/>
  <c r="X38" i="27"/>
  <c r="W38" i="27"/>
  <c r="V38" i="27"/>
  <c r="DA37" i="27"/>
  <c r="CX37" i="27"/>
  <c r="CU37" i="27"/>
  <c r="CR37" i="27"/>
  <c r="CO37" i="27"/>
  <c r="CL37" i="27"/>
  <c r="CI37" i="27"/>
  <c r="CF37" i="27"/>
  <c r="CC37" i="27"/>
  <c r="BZ37" i="27"/>
  <c r="BW37" i="27"/>
  <c r="BT37" i="27"/>
  <c r="BQ37" i="27"/>
  <c r="BN37" i="27"/>
  <c r="BK37" i="27"/>
  <c r="BH37" i="27"/>
  <c r="BE37" i="27"/>
  <c r="BB37" i="27"/>
  <c r="AY37" i="27"/>
  <c r="AV37" i="27"/>
  <c r="AH37" i="27"/>
  <c r="AG37" i="27"/>
  <c r="AF37" i="27"/>
  <c r="AE37" i="27"/>
  <c r="AD37" i="27"/>
  <c r="AC37" i="27"/>
  <c r="AB37" i="27"/>
  <c r="AJ37" i="27" s="1"/>
  <c r="AA37" i="27"/>
  <c r="Z37" i="27"/>
  <c r="Y37" i="27"/>
  <c r="X37" i="27"/>
  <c r="W37" i="27"/>
  <c r="V37" i="27"/>
  <c r="DA36" i="27"/>
  <c r="CX36" i="27"/>
  <c r="CU36" i="27"/>
  <c r="CR36" i="27"/>
  <c r="CO36" i="27"/>
  <c r="CL36" i="27"/>
  <c r="CI36" i="27"/>
  <c r="CF36" i="27"/>
  <c r="CC36" i="27"/>
  <c r="BZ36" i="27"/>
  <c r="BW36" i="27"/>
  <c r="BT36" i="27"/>
  <c r="BQ36" i="27"/>
  <c r="BN36" i="27"/>
  <c r="BK36" i="27"/>
  <c r="BH36" i="27"/>
  <c r="BE36" i="27"/>
  <c r="BB36" i="27"/>
  <c r="AY36" i="27"/>
  <c r="AI36" i="27" s="1"/>
  <c r="AV36" i="27"/>
  <c r="AH36" i="27"/>
  <c r="AG36" i="27"/>
  <c r="AF36" i="27"/>
  <c r="AE36" i="27"/>
  <c r="AD36" i="27"/>
  <c r="AC36" i="27"/>
  <c r="AB36" i="27"/>
  <c r="AA36" i="27"/>
  <c r="Z36" i="27"/>
  <c r="Y36" i="27"/>
  <c r="X36" i="27"/>
  <c r="W36" i="27"/>
  <c r="V36" i="27"/>
  <c r="DA35" i="27"/>
  <c r="CX35" i="27"/>
  <c r="CU35" i="27"/>
  <c r="CR35" i="27"/>
  <c r="CO35" i="27"/>
  <c r="CL35" i="27"/>
  <c r="CI35" i="27"/>
  <c r="CF35" i="27"/>
  <c r="CC35" i="27"/>
  <c r="BZ35" i="27"/>
  <c r="BW35" i="27"/>
  <c r="BT35" i="27"/>
  <c r="BQ35" i="27"/>
  <c r="BN35" i="27"/>
  <c r="BK35" i="27"/>
  <c r="BH35" i="27"/>
  <c r="BE35" i="27"/>
  <c r="BB35" i="27"/>
  <c r="AY35" i="27"/>
  <c r="AV35" i="27"/>
  <c r="AH35" i="27"/>
  <c r="AG35" i="27"/>
  <c r="AF35" i="27"/>
  <c r="AE35" i="27"/>
  <c r="AD35" i="27"/>
  <c r="AC35" i="27"/>
  <c r="AB35" i="27"/>
  <c r="AA35" i="27"/>
  <c r="Z35" i="27"/>
  <c r="Y35" i="27"/>
  <c r="X35" i="27"/>
  <c r="W35" i="27"/>
  <c r="V35" i="27"/>
  <c r="DA34" i="27"/>
  <c r="CX34" i="27"/>
  <c r="CU34" i="27"/>
  <c r="CR34" i="27"/>
  <c r="CO34" i="27"/>
  <c r="CL34" i="27"/>
  <c r="CI34" i="27"/>
  <c r="CF34" i="27"/>
  <c r="CC34" i="27"/>
  <c r="BZ34" i="27"/>
  <c r="BW34" i="27"/>
  <c r="BT34" i="27"/>
  <c r="BQ34" i="27"/>
  <c r="BN34" i="27"/>
  <c r="BK34" i="27"/>
  <c r="BH34" i="27"/>
  <c r="BE34" i="27"/>
  <c r="BB34" i="27"/>
  <c r="AY34" i="27"/>
  <c r="AV34" i="27"/>
  <c r="AH34" i="27"/>
  <c r="AG34" i="27"/>
  <c r="AF34" i="27"/>
  <c r="AE34" i="27"/>
  <c r="AD34" i="27"/>
  <c r="AJ34" i="27" s="1"/>
  <c r="AC34" i="27"/>
  <c r="AB34" i="27"/>
  <c r="AA34" i="27"/>
  <c r="Z34" i="27"/>
  <c r="AN34" i="27" s="1"/>
  <c r="AO34" i="27" s="1"/>
  <c r="Y34" i="27"/>
  <c r="X34" i="27"/>
  <c r="W34" i="27"/>
  <c r="V34" i="27"/>
  <c r="DA33" i="27"/>
  <c r="CX33" i="27"/>
  <c r="CU33" i="27"/>
  <c r="CR33" i="27"/>
  <c r="CO33" i="27"/>
  <c r="CL33" i="27"/>
  <c r="CI33" i="27"/>
  <c r="CF33" i="27"/>
  <c r="CC33" i="27"/>
  <c r="BZ33" i="27"/>
  <c r="BW33" i="27"/>
  <c r="BT33" i="27"/>
  <c r="BQ33" i="27"/>
  <c r="BN33" i="27"/>
  <c r="BK33" i="27"/>
  <c r="BH33" i="27"/>
  <c r="BE33" i="27"/>
  <c r="BB33" i="27"/>
  <c r="AY33" i="27"/>
  <c r="AV33" i="27"/>
  <c r="AH33" i="27"/>
  <c r="AG33" i="27"/>
  <c r="AF33" i="27"/>
  <c r="AE33" i="27"/>
  <c r="AD33" i="27"/>
  <c r="AC33" i="27"/>
  <c r="AB33" i="27"/>
  <c r="AJ33" i="27" s="1"/>
  <c r="AA33" i="27"/>
  <c r="Z33" i="27"/>
  <c r="Y33" i="27"/>
  <c r="X33" i="27"/>
  <c r="W33" i="27"/>
  <c r="V33" i="27"/>
  <c r="DA32" i="27"/>
  <c r="CX32" i="27"/>
  <c r="CU32" i="27"/>
  <c r="CR32" i="27"/>
  <c r="CO32" i="27"/>
  <c r="CL32" i="27"/>
  <c r="CI32" i="27"/>
  <c r="CF32" i="27"/>
  <c r="CC32" i="27"/>
  <c r="BZ32" i="27"/>
  <c r="BW32" i="27"/>
  <c r="BT32" i="27"/>
  <c r="BQ32" i="27"/>
  <c r="BN32" i="27"/>
  <c r="BK32" i="27"/>
  <c r="BH32" i="27"/>
  <c r="BE32" i="27"/>
  <c r="BB32" i="27"/>
  <c r="AY32" i="27"/>
  <c r="AI32" i="27" s="1"/>
  <c r="AV32" i="27"/>
  <c r="AH32" i="27"/>
  <c r="AG32" i="27"/>
  <c r="AF32" i="27"/>
  <c r="AE32" i="27"/>
  <c r="AD32" i="27"/>
  <c r="AC32" i="27"/>
  <c r="AB32" i="27"/>
  <c r="AA32" i="27"/>
  <c r="Z32" i="27"/>
  <c r="Y32" i="27"/>
  <c r="X32" i="27"/>
  <c r="W32" i="27"/>
  <c r="V32" i="27"/>
  <c r="DA31" i="27"/>
  <c r="CX31" i="27"/>
  <c r="CU31" i="27"/>
  <c r="CR31" i="27"/>
  <c r="CO31" i="27"/>
  <c r="CL31" i="27"/>
  <c r="CI31" i="27"/>
  <c r="CF31" i="27"/>
  <c r="CC31" i="27"/>
  <c r="BZ31" i="27"/>
  <c r="BW31" i="27"/>
  <c r="BT31" i="27"/>
  <c r="BQ31" i="27"/>
  <c r="BN31" i="27"/>
  <c r="BK31" i="27"/>
  <c r="BH31" i="27"/>
  <c r="BE31" i="27"/>
  <c r="BB31" i="27"/>
  <c r="AY31" i="27"/>
  <c r="AV31" i="27"/>
  <c r="AH31" i="27"/>
  <c r="AG31" i="27"/>
  <c r="AF31" i="27"/>
  <c r="AE31" i="27"/>
  <c r="AD31" i="27"/>
  <c r="AC31" i="27"/>
  <c r="AB31" i="27"/>
  <c r="AA31" i="27"/>
  <c r="Z31" i="27"/>
  <c r="Y31" i="27"/>
  <c r="X31" i="27"/>
  <c r="W31" i="27"/>
  <c r="V31" i="27"/>
  <c r="DA30" i="27"/>
  <c r="CX30" i="27"/>
  <c r="CU30" i="27"/>
  <c r="CR30" i="27"/>
  <c r="CO30" i="27"/>
  <c r="CL30" i="27"/>
  <c r="CI30" i="27"/>
  <c r="CF30" i="27"/>
  <c r="CC30" i="27"/>
  <c r="BZ30" i="27"/>
  <c r="BW30" i="27"/>
  <c r="BT30" i="27"/>
  <c r="BQ30" i="27"/>
  <c r="BN30" i="27"/>
  <c r="BK30" i="27"/>
  <c r="BH30" i="27"/>
  <c r="BE30" i="27"/>
  <c r="BB30" i="27"/>
  <c r="AY30" i="27"/>
  <c r="AV30" i="27"/>
  <c r="AH30" i="27"/>
  <c r="AG30" i="27"/>
  <c r="AF30" i="27"/>
  <c r="AE30" i="27"/>
  <c r="AD30" i="27"/>
  <c r="AJ30" i="27" s="1"/>
  <c r="AC30" i="27"/>
  <c r="AB30" i="27"/>
  <c r="AA30" i="27"/>
  <c r="Z30" i="27"/>
  <c r="AN30" i="27" s="1"/>
  <c r="AO30" i="27" s="1"/>
  <c r="Y30" i="27"/>
  <c r="X30" i="27"/>
  <c r="W30" i="27"/>
  <c r="V30" i="27"/>
  <c r="DA29" i="27"/>
  <c r="CX29" i="27"/>
  <c r="CU29" i="27"/>
  <c r="CR29" i="27"/>
  <c r="CO29" i="27"/>
  <c r="CL29" i="27"/>
  <c r="CI29" i="27"/>
  <c r="CF29" i="27"/>
  <c r="CC29" i="27"/>
  <c r="BZ29" i="27"/>
  <c r="BW29" i="27"/>
  <c r="BT29" i="27"/>
  <c r="BQ29" i="27"/>
  <c r="BN29" i="27"/>
  <c r="BK29" i="27"/>
  <c r="BH29" i="27"/>
  <c r="BE29" i="27"/>
  <c r="BB29" i="27"/>
  <c r="AY29" i="27"/>
  <c r="AV29" i="27"/>
  <c r="AH29" i="27"/>
  <c r="AG29" i="27"/>
  <c r="AF29" i="27"/>
  <c r="AE29" i="27"/>
  <c r="AD29" i="27"/>
  <c r="AC29" i="27"/>
  <c r="AB29" i="27"/>
  <c r="AJ29" i="27" s="1"/>
  <c r="AA29" i="27"/>
  <c r="Z29" i="27"/>
  <c r="Y29" i="27"/>
  <c r="X29" i="27"/>
  <c r="W29" i="27"/>
  <c r="V29" i="27"/>
  <c r="DA28" i="27"/>
  <c r="CX28" i="27"/>
  <c r="CU28" i="27"/>
  <c r="CR28" i="27"/>
  <c r="CO28" i="27"/>
  <c r="CL28" i="27"/>
  <c r="CI28" i="27"/>
  <c r="CF28" i="27"/>
  <c r="CC28" i="27"/>
  <c r="BZ28" i="27"/>
  <c r="BW28" i="27"/>
  <c r="BT28" i="27"/>
  <c r="BQ28" i="27"/>
  <c r="BN28" i="27"/>
  <c r="BK28" i="27"/>
  <c r="BH28" i="27"/>
  <c r="BE28" i="27"/>
  <c r="BB28" i="27"/>
  <c r="AY28" i="27"/>
  <c r="AI28" i="27" s="1"/>
  <c r="AV28" i="27"/>
  <c r="AH28" i="27"/>
  <c r="AG28" i="27"/>
  <c r="AF28" i="27"/>
  <c r="AE28" i="27"/>
  <c r="AD28" i="27"/>
  <c r="AC28" i="27"/>
  <c r="AB28" i="27"/>
  <c r="AA28" i="27"/>
  <c r="Z28" i="27"/>
  <c r="Y28" i="27"/>
  <c r="X28" i="27"/>
  <c r="W28" i="27"/>
  <c r="V28" i="27"/>
  <c r="DA27" i="27"/>
  <c r="CX27" i="27"/>
  <c r="CU27" i="27"/>
  <c r="CR27" i="27"/>
  <c r="CO27" i="27"/>
  <c r="CL27" i="27"/>
  <c r="CI27" i="27"/>
  <c r="CF27" i="27"/>
  <c r="CC27" i="27"/>
  <c r="BZ27" i="27"/>
  <c r="BW27" i="27"/>
  <c r="BT27" i="27"/>
  <c r="BQ27" i="27"/>
  <c r="BN27" i="27"/>
  <c r="BK27" i="27"/>
  <c r="BH27" i="27"/>
  <c r="BE27" i="27"/>
  <c r="BB27" i="27"/>
  <c r="AY27" i="27"/>
  <c r="AV27" i="27"/>
  <c r="AH27" i="27"/>
  <c r="AG27" i="27"/>
  <c r="AF27" i="27"/>
  <c r="AE27" i="27"/>
  <c r="AD27" i="27"/>
  <c r="AC27" i="27"/>
  <c r="AB27" i="27"/>
  <c r="AA27" i="27"/>
  <c r="Z27" i="27"/>
  <c r="Y27" i="27"/>
  <c r="X27" i="27"/>
  <c r="W27" i="27"/>
  <c r="V27" i="27"/>
  <c r="DA26" i="27"/>
  <c r="CX26" i="27"/>
  <c r="CU26" i="27"/>
  <c r="CR26" i="27"/>
  <c r="CO26" i="27"/>
  <c r="CL26" i="27"/>
  <c r="CI26" i="27"/>
  <c r="CF26" i="27"/>
  <c r="CC26" i="27"/>
  <c r="BZ26" i="27"/>
  <c r="BW26" i="27"/>
  <c r="BT26" i="27"/>
  <c r="BQ26" i="27"/>
  <c r="BN26" i="27"/>
  <c r="BK26" i="27"/>
  <c r="BH26" i="27"/>
  <c r="BE26" i="27"/>
  <c r="BB26" i="27"/>
  <c r="AY26" i="27"/>
  <c r="AV26" i="27"/>
  <c r="AH26" i="27"/>
  <c r="AG26" i="27"/>
  <c r="AF26" i="27"/>
  <c r="AE26" i="27"/>
  <c r="AD26" i="27"/>
  <c r="AJ26" i="27" s="1"/>
  <c r="AC26" i="27"/>
  <c r="AB26" i="27"/>
  <c r="AA26" i="27"/>
  <c r="Z26" i="27"/>
  <c r="AN26" i="27" s="1"/>
  <c r="AO26" i="27" s="1"/>
  <c r="Y26" i="27"/>
  <c r="X26" i="27"/>
  <c r="W26" i="27"/>
  <c r="V26" i="27"/>
  <c r="DA25" i="27"/>
  <c r="CX25" i="27"/>
  <c r="CU25" i="27"/>
  <c r="CR25" i="27"/>
  <c r="CO25" i="27"/>
  <c r="CL25" i="27"/>
  <c r="CI25" i="27"/>
  <c r="CF25" i="27"/>
  <c r="CC25" i="27"/>
  <c r="BZ25" i="27"/>
  <c r="BW25" i="27"/>
  <c r="BT25" i="27"/>
  <c r="BQ25" i="27"/>
  <c r="BN25" i="27"/>
  <c r="BK25" i="27"/>
  <c r="BH25" i="27"/>
  <c r="BE25" i="27"/>
  <c r="BB25" i="27"/>
  <c r="AY25" i="27"/>
  <c r="AV25" i="27"/>
  <c r="AH25" i="27"/>
  <c r="AG25" i="27"/>
  <c r="AF25" i="27"/>
  <c r="AE25" i="27"/>
  <c r="AD25" i="27"/>
  <c r="AC25" i="27"/>
  <c r="AB25" i="27"/>
  <c r="AJ25" i="27" s="1"/>
  <c r="AA25" i="27"/>
  <c r="Z25" i="27"/>
  <c r="Y25" i="27"/>
  <c r="X25" i="27"/>
  <c r="W25" i="27"/>
  <c r="V25" i="27"/>
  <c r="DA24" i="27"/>
  <c r="CX24" i="27"/>
  <c r="CU24" i="27"/>
  <c r="CR24" i="27"/>
  <c r="CO24" i="27"/>
  <c r="CL24" i="27"/>
  <c r="CI24" i="27"/>
  <c r="CF24" i="27"/>
  <c r="CC24" i="27"/>
  <c r="BZ24" i="27"/>
  <c r="BW24" i="27"/>
  <c r="BT24" i="27"/>
  <c r="BQ24" i="27"/>
  <c r="BN24" i="27"/>
  <c r="BK24" i="27"/>
  <c r="BH24" i="27"/>
  <c r="BE24" i="27"/>
  <c r="BB24" i="27"/>
  <c r="AY24" i="27"/>
  <c r="AI24" i="27" s="1"/>
  <c r="AV24" i="27"/>
  <c r="AH24" i="27"/>
  <c r="AG24" i="27"/>
  <c r="AF24" i="27"/>
  <c r="AE24" i="27"/>
  <c r="AD24" i="27"/>
  <c r="AC24" i="27"/>
  <c r="AB24" i="27"/>
  <c r="AA24" i="27"/>
  <c r="Z24" i="27"/>
  <c r="Y24" i="27"/>
  <c r="X24" i="27"/>
  <c r="W24" i="27"/>
  <c r="V24" i="27"/>
  <c r="DA23" i="27"/>
  <c r="CX23" i="27"/>
  <c r="CU23" i="27"/>
  <c r="CR23" i="27"/>
  <c r="CO23" i="27"/>
  <c r="CL23" i="27"/>
  <c r="CI23" i="27"/>
  <c r="CF23" i="27"/>
  <c r="CC23" i="27"/>
  <c r="BZ23" i="27"/>
  <c r="BW23" i="27"/>
  <c r="BT23" i="27"/>
  <c r="BQ23" i="27"/>
  <c r="BN23" i="27"/>
  <c r="BK23" i="27"/>
  <c r="BH23" i="27"/>
  <c r="BE23" i="27"/>
  <c r="BB23" i="27"/>
  <c r="AY23" i="27"/>
  <c r="AV23" i="27"/>
  <c r="AH23" i="27"/>
  <c r="AG23" i="27"/>
  <c r="AF23" i="27"/>
  <c r="AE23" i="27"/>
  <c r="AD23" i="27"/>
  <c r="AC23" i="27"/>
  <c r="AB23" i="27"/>
  <c r="AA23" i="27"/>
  <c r="Z23" i="27"/>
  <c r="Y23" i="27"/>
  <c r="X23" i="27"/>
  <c r="W23" i="27"/>
  <c r="V23" i="27"/>
  <c r="DA22" i="27"/>
  <c r="CX22" i="27"/>
  <c r="CU22" i="27"/>
  <c r="CR22" i="27"/>
  <c r="CO22" i="27"/>
  <c r="CL22" i="27"/>
  <c r="CI22" i="27"/>
  <c r="CF22" i="27"/>
  <c r="CC22" i="27"/>
  <c r="BZ22" i="27"/>
  <c r="BW22" i="27"/>
  <c r="BT22" i="27"/>
  <c r="BQ22" i="27"/>
  <c r="BN22" i="27"/>
  <c r="BK22" i="27"/>
  <c r="BH22" i="27"/>
  <c r="BE22" i="27"/>
  <c r="BB22" i="27"/>
  <c r="AY22" i="27"/>
  <c r="AV22" i="27"/>
  <c r="AH22" i="27"/>
  <c r="AG22" i="27"/>
  <c r="AF22" i="27"/>
  <c r="AE22" i="27"/>
  <c r="AD22" i="27"/>
  <c r="AJ22" i="27" s="1"/>
  <c r="AC22" i="27"/>
  <c r="AB22" i="27"/>
  <c r="AA22" i="27"/>
  <c r="Z22" i="27"/>
  <c r="AN22" i="27" s="1"/>
  <c r="AO22" i="27" s="1"/>
  <c r="Y22" i="27"/>
  <c r="X22" i="27"/>
  <c r="W22" i="27"/>
  <c r="V22" i="27"/>
  <c r="DA21" i="27"/>
  <c r="CX21" i="27"/>
  <c r="CU21" i="27"/>
  <c r="CR21" i="27"/>
  <c r="CO21" i="27"/>
  <c r="CL21" i="27"/>
  <c r="CI21" i="27"/>
  <c r="CF21" i="27"/>
  <c r="CC21" i="27"/>
  <c r="BZ21" i="27"/>
  <c r="BW21" i="27"/>
  <c r="BT21" i="27"/>
  <c r="BQ21" i="27"/>
  <c r="BN21" i="27"/>
  <c r="BK21" i="27"/>
  <c r="BH21" i="27"/>
  <c r="BE21" i="27"/>
  <c r="BB21" i="27"/>
  <c r="AY21" i="27"/>
  <c r="AV21" i="27"/>
  <c r="AH21" i="27"/>
  <c r="AG21" i="27"/>
  <c r="AF21" i="27"/>
  <c r="AE21" i="27"/>
  <c r="AD21" i="27"/>
  <c r="AC21" i="27"/>
  <c r="AB21" i="27"/>
  <c r="AJ21" i="27" s="1"/>
  <c r="AA21" i="27"/>
  <c r="Z21" i="27"/>
  <c r="Y21" i="27"/>
  <c r="X21" i="27"/>
  <c r="W21" i="27"/>
  <c r="V21" i="27"/>
  <c r="DA20" i="27"/>
  <c r="CX20" i="27"/>
  <c r="CU20" i="27"/>
  <c r="CR20" i="27"/>
  <c r="CO20" i="27"/>
  <c r="CL20" i="27"/>
  <c r="CI20" i="27"/>
  <c r="CF20" i="27"/>
  <c r="CC20" i="27"/>
  <c r="BZ20" i="27"/>
  <c r="BW20" i="27"/>
  <c r="BT20" i="27"/>
  <c r="BQ20" i="27"/>
  <c r="BN20" i="27"/>
  <c r="BK20" i="27"/>
  <c r="BH20" i="27"/>
  <c r="BE20" i="27"/>
  <c r="BB20" i="27"/>
  <c r="AY20" i="27"/>
  <c r="AI20" i="27" s="1"/>
  <c r="AV20" i="27"/>
  <c r="AH20" i="27"/>
  <c r="AG20" i="27"/>
  <c r="AN20" i="27" s="1"/>
  <c r="AO20" i="27" s="1"/>
  <c r="AF20" i="27"/>
  <c r="AE20" i="27"/>
  <c r="AD20" i="27"/>
  <c r="AC20" i="27"/>
  <c r="AB20" i="27"/>
  <c r="AA20" i="27"/>
  <c r="Z20" i="27"/>
  <c r="Y20" i="27"/>
  <c r="X20" i="27"/>
  <c r="W20" i="27"/>
  <c r="V20" i="27"/>
  <c r="DA19" i="27"/>
  <c r="CX19" i="27"/>
  <c r="CU19" i="27"/>
  <c r="CR19" i="27"/>
  <c r="CO19" i="27"/>
  <c r="CL19" i="27"/>
  <c r="CI19" i="27"/>
  <c r="CF19" i="27"/>
  <c r="CC19" i="27"/>
  <c r="BZ19" i="27"/>
  <c r="BW19" i="27"/>
  <c r="BT19" i="27"/>
  <c r="BQ19" i="27"/>
  <c r="BN19" i="27"/>
  <c r="BK19" i="27"/>
  <c r="BH19" i="27"/>
  <c r="BE19" i="27"/>
  <c r="BB19" i="27"/>
  <c r="AY19" i="27"/>
  <c r="AV19" i="27"/>
  <c r="AH19" i="27"/>
  <c r="AG19" i="27"/>
  <c r="AF19" i="27"/>
  <c r="AE19" i="27"/>
  <c r="AD19" i="27"/>
  <c r="AC19" i="27"/>
  <c r="AB19" i="27"/>
  <c r="AA19" i="27"/>
  <c r="Z19" i="27"/>
  <c r="Y19" i="27"/>
  <c r="X19" i="27"/>
  <c r="W19" i="27"/>
  <c r="V19" i="27"/>
  <c r="DA18" i="27"/>
  <c r="CX18" i="27"/>
  <c r="CU18" i="27"/>
  <c r="CR18" i="27"/>
  <c r="CO18" i="27"/>
  <c r="CL18" i="27"/>
  <c r="CI18" i="27"/>
  <c r="CF18" i="27"/>
  <c r="CC18" i="27"/>
  <c r="BZ18" i="27"/>
  <c r="BW18" i="27"/>
  <c r="BT18" i="27"/>
  <c r="BQ18" i="27"/>
  <c r="BN18" i="27"/>
  <c r="BK18" i="27"/>
  <c r="BH18" i="27"/>
  <c r="BE18" i="27"/>
  <c r="BB18" i="27"/>
  <c r="AY18" i="27"/>
  <c r="AV18" i="27"/>
  <c r="AH18" i="27"/>
  <c r="AG18" i="27"/>
  <c r="AN18" i="27" s="1"/>
  <c r="AO18" i="27" s="1"/>
  <c r="AF18" i="27"/>
  <c r="AE18" i="27"/>
  <c r="AD18" i="27"/>
  <c r="AC18" i="27"/>
  <c r="AB18" i="27"/>
  <c r="AA18" i="27"/>
  <c r="Z18" i="27"/>
  <c r="Y18" i="27"/>
  <c r="X18" i="27"/>
  <c r="W18" i="27"/>
  <c r="V18" i="27"/>
  <c r="DA17" i="27"/>
  <c r="CX17" i="27"/>
  <c r="CU17" i="27"/>
  <c r="CR17" i="27"/>
  <c r="CO17" i="27"/>
  <c r="CL17" i="27"/>
  <c r="CI17" i="27"/>
  <c r="CF17" i="27"/>
  <c r="CC17" i="27"/>
  <c r="BZ17" i="27"/>
  <c r="BW17" i="27"/>
  <c r="BT17" i="27"/>
  <c r="BQ17" i="27"/>
  <c r="BN17" i="27"/>
  <c r="BK17" i="27"/>
  <c r="BH17" i="27"/>
  <c r="BE17" i="27"/>
  <c r="BB17" i="27"/>
  <c r="AY17" i="27"/>
  <c r="AV17" i="27"/>
  <c r="AH17" i="27"/>
  <c r="AG17" i="27"/>
  <c r="AF17" i="27"/>
  <c r="AE17" i="27"/>
  <c r="AD17" i="27"/>
  <c r="AC17" i="27"/>
  <c r="AB17" i="27"/>
  <c r="AA17" i="27"/>
  <c r="Z17" i="27"/>
  <c r="Y17" i="27"/>
  <c r="X17" i="27"/>
  <c r="W17" i="27"/>
  <c r="V17" i="27"/>
  <c r="DA16" i="27"/>
  <c r="CX16" i="27"/>
  <c r="CU16" i="27"/>
  <c r="CR16" i="27"/>
  <c r="CO16" i="27"/>
  <c r="CL16" i="27"/>
  <c r="CI16" i="27"/>
  <c r="CF16" i="27"/>
  <c r="CC16" i="27"/>
  <c r="BZ16" i="27"/>
  <c r="BW16" i="27"/>
  <c r="BT16" i="27"/>
  <c r="BQ16" i="27"/>
  <c r="BN16" i="27"/>
  <c r="BK16" i="27"/>
  <c r="BH16" i="27"/>
  <c r="BE16" i="27"/>
  <c r="BB16" i="27"/>
  <c r="AY16" i="27"/>
  <c r="AV16" i="27"/>
  <c r="AH16" i="27"/>
  <c r="AG16" i="27"/>
  <c r="AF16" i="27"/>
  <c r="AE16" i="27"/>
  <c r="AN16" i="27" s="1"/>
  <c r="AO16" i="27" s="1"/>
  <c r="AD16" i="27"/>
  <c r="AC16" i="27"/>
  <c r="AB16" i="27"/>
  <c r="AA16" i="27"/>
  <c r="Z16" i="27"/>
  <c r="Y16" i="27"/>
  <c r="X16" i="27"/>
  <c r="W16" i="27"/>
  <c r="V16" i="27"/>
  <c r="DA15" i="27"/>
  <c r="CX15" i="27"/>
  <c r="CU15" i="27"/>
  <c r="CR15" i="27"/>
  <c r="CO15" i="27"/>
  <c r="CL15" i="27"/>
  <c r="CI15" i="27"/>
  <c r="CF15" i="27"/>
  <c r="CC15" i="27"/>
  <c r="BZ15" i="27"/>
  <c r="BW15" i="27"/>
  <c r="BT15" i="27"/>
  <c r="BQ15" i="27"/>
  <c r="BN15" i="27"/>
  <c r="BK15" i="27"/>
  <c r="BH15" i="27"/>
  <c r="BE15" i="27"/>
  <c r="BB15" i="27"/>
  <c r="AY15" i="27"/>
  <c r="AV15" i="27"/>
  <c r="AH15" i="27"/>
  <c r="AG15" i="27"/>
  <c r="AF15" i="27"/>
  <c r="AE15" i="27"/>
  <c r="AD15" i="27"/>
  <c r="AC15" i="27"/>
  <c r="AB15" i="27"/>
  <c r="AJ15" i="27" s="1"/>
  <c r="AA15" i="27"/>
  <c r="Z15" i="27"/>
  <c r="Y15" i="27"/>
  <c r="X15" i="27"/>
  <c r="W15" i="27"/>
  <c r="V15" i="27"/>
  <c r="DA14" i="27"/>
  <c r="CX14" i="27"/>
  <c r="CU14" i="27"/>
  <c r="CR14" i="27"/>
  <c r="CO14" i="27"/>
  <c r="CL14" i="27"/>
  <c r="CL9" i="27" s="1"/>
  <c r="CI14" i="27"/>
  <c r="CF14" i="27"/>
  <c r="CC14" i="27"/>
  <c r="BZ14" i="27"/>
  <c r="BW14" i="27"/>
  <c r="BT14" i="27"/>
  <c r="BQ14" i="27"/>
  <c r="BN14" i="27"/>
  <c r="BN9" i="27" s="1"/>
  <c r="BK14" i="27"/>
  <c r="BH14" i="27"/>
  <c r="BE14" i="27"/>
  <c r="BB14" i="27"/>
  <c r="AY14" i="27"/>
  <c r="AV14" i="27"/>
  <c r="AH14" i="27"/>
  <c r="AG14" i="27"/>
  <c r="AF14" i="27"/>
  <c r="AE14" i="27"/>
  <c r="AN14" i="27" s="1"/>
  <c r="AO14" i="27" s="1"/>
  <c r="AD14" i="27"/>
  <c r="AJ14" i="27" s="1"/>
  <c r="AC14" i="27"/>
  <c r="AB14" i="27"/>
  <c r="AA14" i="27"/>
  <c r="Z14" i="27"/>
  <c r="Y14" i="27"/>
  <c r="X14" i="27"/>
  <c r="W14" i="27"/>
  <c r="V14" i="27"/>
  <c r="DA13" i="27"/>
  <c r="CX13" i="27"/>
  <c r="CU13" i="27"/>
  <c r="CR13" i="27"/>
  <c r="CO13" i="27"/>
  <c r="CL13" i="27"/>
  <c r="CI13" i="27"/>
  <c r="CF13" i="27"/>
  <c r="CC13" i="27"/>
  <c r="BZ13" i="27"/>
  <c r="BW13" i="27"/>
  <c r="BT13" i="27"/>
  <c r="BQ13" i="27"/>
  <c r="BN13" i="27"/>
  <c r="BK13" i="27"/>
  <c r="BH13" i="27"/>
  <c r="BE13" i="27"/>
  <c r="BB13" i="27"/>
  <c r="AY13" i="27"/>
  <c r="AV13" i="27"/>
  <c r="AH13" i="27"/>
  <c r="AG13" i="27"/>
  <c r="AF13" i="27"/>
  <c r="AE13" i="27"/>
  <c r="AD13" i="27"/>
  <c r="AC13" i="27"/>
  <c r="AB13" i="27"/>
  <c r="AJ13" i="27" s="1"/>
  <c r="AA13" i="27"/>
  <c r="Z13" i="27"/>
  <c r="Y13" i="27"/>
  <c r="X13" i="27"/>
  <c r="W13" i="27"/>
  <c r="V13" i="27"/>
  <c r="DA12" i="27"/>
  <c r="CX12" i="27"/>
  <c r="CX9" i="27" s="1"/>
  <c r="CU12" i="27"/>
  <c r="CU9" i="27" s="1"/>
  <c r="CR12" i="27"/>
  <c r="CR9" i="27" s="1"/>
  <c r="CO12" i="27"/>
  <c r="CL12" i="27"/>
  <c r="CI12" i="27"/>
  <c r="CI9" i="27" s="1"/>
  <c r="CF12" i="27"/>
  <c r="CC12" i="27"/>
  <c r="BZ12" i="27"/>
  <c r="BZ9" i="27" s="1"/>
  <c r="BW12" i="27"/>
  <c r="BW9" i="27" s="1"/>
  <c r="BT12" i="27"/>
  <c r="BT9" i="27" s="1"/>
  <c r="BQ12" i="27"/>
  <c r="BN12" i="27"/>
  <c r="BK12" i="27"/>
  <c r="BK9" i="27" s="1"/>
  <c r="BH12" i="27"/>
  <c r="BE12" i="27"/>
  <c r="BB12" i="27"/>
  <c r="BB9" i="27" s="1"/>
  <c r="AY12" i="27"/>
  <c r="AI12" i="27" s="1"/>
  <c r="AV12" i="27"/>
  <c r="AV9" i="27" s="1"/>
  <c r="AH12" i="27"/>
  <c r="AG12" i="27"/>
  <c r="AN12" i="27" s="1"/>
  <c r="AO12" i="27" s="1"/>
  <c r="AF12" i="27"/>
  <c r="AE12" i="27"/>
  <c r="AD12" i="27"/>
  <c r="AC12" i="27"/>
  <c r="AB12" i="27"/>
  <c r="AA12" i="27"/>
  <c r="Z12" i="27"/>
  <c r="Y12" i="27"/>
  <c r="X12" i="27"/>
  <c r="W12" i="27"/>
  <c r="V12" i="27"/>
  <c r="DA11" i="27"/>
  <c r="CX11" i="27"/>
  <c r="CU11" i="27"/>
  <c r="CR11" i="27"/>
  <c r="CO11" i="27"/>
  <c r="CL11" i="27"/>
  <c r="CI11" i="27"/>
  <c r="CF11" i="27"/>
  <c r="CC11" i="27"/>
  <c r="BZ11" i="27"/>
  <c r="BW11" i="27"/>
  <c r="BT11" i="27"/>
  <c r="BQ11" i="27"/>
  <c r="BN11" i="27"/>
  <c r="BK11" i="27"/>
  <c r="BH11" i="27"/>
  <c r="BE11" i="27"/>
  <c r="BB11" i="27"/>
  <c r="AY11" i="27"/>
  <c r="AV11" i="27"/>
  <c r="DA10" i="27"/>
  <c r="CX10" i="27"/>
  <c r="CU10" i="27"/>
  <c r="CR10" i="27"/>
  <c r="CO10" i="27"/>
  <c r="CL10" i="27"/>
  <c r="CI10" i="27"/>
  <c r="CF10" i="27"/>
  <c r="CC10" i="27"/>
  <c r="BZ10" i="27"/>
  <c r="BW10" i="27"/>
  <c r="BT10" i="27"/>
  <c r="BQ10" i="27"/>
  <c r="BN10" i="27"/>
  <c r="BK10" i="27"/>
  <c r="BH10" i="27"/>
  <c r="BE10" i="27"/>
  <c r="BB10" i="27"/>
  <c r="AY10" i="27"/>
  <c r="AV10" i="27"/>
  <c r="X10" i="27"/>
  <c r="CF9" i="27"/>
  <c r="BH9" i="27"/>
  <c r="AN9" i="27"/>
  <c r="AM9" i="27"/>
  <c r="AJ9" i="27"/>
  <c r="X9" i="27"/>
  <c r="X8" i="27"/>
  <c r="AO7" i="27"/>
  <c r="AK7" i="27"/>
  <c r="AD7" i="27"/>
  <c r="X7" i="27"/>
  <c r="X6" i="27"/>
  <c r="X5" i="27"/>
  <c r="X4" i="27"/>
  <c r="X3" i="27"/>
  <c r="X2" i="27"/>
  <c r="CV72" i="27" l="1"/>
  <c r="DB72" i="27"/>
  <c r="CS72" i="27"/>
  <c r="CD72" i="27"/>
  <c r="BU72" i="27"/>
  <c r="BF72" i="27"/>
  <c r="AW72" i="27"/>
  <c r="BR72" i="27"/>
  <c r="BI72" i="27"/>
  <c r="CP72" i="27"/>
  <c r="CG72" i="27"/>
  <c r="AJ12" i="27"/>
  <c r="AK12" i="27" s="1"/>
  <c r="AN15" i="27"/>
  <c r="AO15" i="27" s="1"/>
  <c r="AI18" i="27"/>
  <c r="AN29" i="27"/>
  <c r="AO29" i="27" s="1"/>
  <c r="AN33" i="27"/>
  <c r="AO33" i="27" s="1"/>
  <c r="AI37" i="27"/>
  <c r="AN57" i="27"/>
  <c r="AO57" i="27" s="1"/>
  <c r="AN60" i="27"/>
  <c r="AO60" i="27" s="1"/>
  <c r="AN63" i="27"/>
  <c r="AO63" i="27" s="1"/>
  <c r="AN118" i="27"/>
  <c r="AO118" i="27" s="1"/>
  <c r="AN119" i="27"/>
  <c r="AO119" i="27" s="1"/>
  <c r="AJ257" i="27"/>
  <c r="AJ20" i="27"/>
  <c r="AK20" i="27" s="1"/>
  <c r="AI21" i="27"/>
  <c r="AN25" i="27"/>
  <c r="AO25" i="27" s="1"/>
  <c r="AI29" i="27"/>
  <c r="AI33" i="27"/>
  <c r="AN37" i="27"/>
  <c r="AO37" i="27" s="1"/>
  <c r="AJ56" i="27"/>
  <c r="AI57" i="27"/>
  <c r="AJ63" i="27"/>
  <c r="AK63" i="27" s="1"/>
  <c r="AN13" i="27"/>
  <c r="AO13" i="27" s="1"/>
  <c r="AI15" i="27"/>
  <c r="AI16" i="27"/>
  <c r="AJ18" i="27"/>
  <c r="AJ19" i="27"/>
  <c r="AN19" i="27"/>
  <c r="AO19" i="27" s="1"/>
  <c r="AI19" i="27"/>
  <c r="AI22" i="27"/>
  <c r="AN24" i="27"/>
  <c r="AO24" i="27" s="1"/>
  <c r="AJ24" i="27"/>
  <c r="AI26" i="27"/>
  <c r="AN28" i="27"/>
  <c r="AO28" i="27" s="1"/>
  <c r="AJ28" i="27"/>
  <c r="AI30" i="27"/>
  <c r="AN32" i="27"/>
  <c r="AO32" i="27" s="1"/>
  <c r="AJ32" i="27"/>
  <c r="AK32" i="27" s="1"/>
  <c r="AI34" i="27"/>
  <c r="AN36" i="27"/>
  <c r="AO36" i="27" s="1"/>
  <c r="AJ36" i="27"/>
  <c r="AI38" i="27"/>
  <c r="AI42" i="27"/>
  <c r="DB42" i="27" s="1"/>
  <c r="AI50" i="27"/>
  <c r="DB50" i="27" s="1"/>
  <c r="AN58" i="27"/>
  <c r="AO58" i="27" s="1"/>
  <c r="AJ60" i="27"/>
  <c r="AK60" i="27" s="1"/>
  <c r="AI68" i="27"/>
  <c r="CV68" i="27" s="1"/>
  <c r="AN70" i="27"/>
  <c r="AO70" i="27" s="1"/>
  <c r="CM139" i="27"/>
  <c r="BU139" i="27"/>
  <c r="BL139" i="27"/>
  <c r="CS139" i="27"/>
  <c r="CJ139" i="27"/>
  <c r="AN21" i="27"/>
  <c r="AO21" i="27" s="1"/>
  <c r="AI25" i="27"/>
  <c r="AI63" i="27"/>
  <c r="AN66" i="27"/>
  <c r="AO66" i="27" s="1"/>
  <c r="AJ68" i="27"/>
  <c r="AK68" i="27" s="1"/>
  <c r="AI116" i="27"/>
  <c r="AJ118" i="27"/>
  <c r="AI120" i="27"/>
  <c r="AI13" i="27"/>
  <c r="BQ9" i="27"/>
  <c r="CC9" i="27"/>
  <c r="CO9" i="27"/>
  <c r="DA9" i="27"/>
  <c r="AI14" i="27"/>
  <c r="AJ16" i="27"/>
  <c r="AJ17" i="27"/>
  <c r="AN17" i="27"/>
  <c r="AO17" i="27" s="1"/>
  <c r="AI17" i="27"/>
  <c r="AJ23" i="27"/>
  <c r="AN23" i="27"/>
  <c r="AO23" i="27" s="1"/>
  <c r="AI23" i="27"/>
  <c r="AJ27" i="27"/>
  <c r="AN27" i="27"/>
  <c r="AO27" i="27" s="1"/>
  <c r="AI27" i="27"/>
  <c r="AJ31" i="27"/>
  <c r="AK31" i="27" s="1"/>
  <c r="AN31" i="27"/>
  <c r="AO31" i="27" s="1"/>
  <c r="AI31" i="27"/>
  <c r="AJ35" i="27"/>
  <c r="AI40" i="27"/>
  <c r="AI48" i="27"/>
  <c r="DB48" i="27" s="1"/>
  <c r="AJ54" i="27"/>
  <c r="AI60" i="27"/>
  <c r="CV60" i="27" s="1"/>
  <c r="AN62" i="27"/>
  <c r="AO62" i="27" s="1"/>
  <c r="AJ64" i="27"/>
  <c r="AJ67" i="27"/>
  <c r="AN67" i="27"/>
  <c r="AO67" i="27" s="1"/>
  <c r="AI67" i="27"/>
  <c r="AJ70" i="27"/>
  <c r="AI73" i="27"/>
  <c r="CY73" i="27" s="1"/>
  <c r="AI74" i="27"/>
  <c r="AJ77" i="27"/>
  <c r="AK77" i="27" s="1"/>
  <c r="AN35" i="27"/>
  <c r="AO35" i="27" s="1"/>
  <c r="AI35" i="27"/>
  <c r="AJ39" i="27"/>
  <c r="AN39" i="27"/>
  <c r="AO39" i="27" s="1"/>
  <c r="AI39" i="27"/>
  <c r="AJ43" i="27"/>
  <c r="AJ47" i="27"/>
  <c r="AJ53" i="27"/>
  <c r="AK53" i="27" s="1"/>
  <c r="AI55" i="27"/>
  <c r="DB55" i="27" s="1"/>
  <c r="AJ58" i="27"/>
  <c r="AJ61" i="27"/>
  <c r="AN61" i="27"/>
  <c r="AO61" i="27" s="1"/>
  <c r="AI61" i="27"/>
  <c r="AN64" i="27"/>
  <c r="AO64" i="27" s="1"/>
  <c r="AJ66" i="27"/>
  <c r="AJ69" i="27"/>
  <c r="AN69" i="27"/>
  <c r="AO69" i="27" s="1"/>
  <c r="AJ74" i="27"/>
  <c r="AN75" i="27"/>
  <c r="AO75" i="27" s="1"/>
  <c r="AN76" i="27"/>
  <c r="AO76" i="27" s="1"/>
  <c r="AI79" i="27"/>
  <c r="CY79" i="27" s="1"/>
  <c r="AN81" i="27"/>
  <c r="AO81" i="27" s="1"/>
  <c r="AJ81" i="27"/>
  <c r="AN85" i="27"/>
  <c r="AO85" i="27" s="1"/>
  <c r="AJ85" i="27"/>
  <c r="AN86" i="27"/>
  <c r="AO86" i="27" s="1"/>
  <c r="AI86" i="27"/>
  <c r="AI87" i="27"/>
  <c r="AN89" i="27"/>
  <c r="AO89" i="27" s="1"/>
  <c r="AJ89" i="27"/>
  <c r="AN90" i="27"/>
  <c r="AO90" i="27" s="1"/>
  <c r="AI90" i="27"/>
  <c r="AI91" i="27"/>
  <c r="AN93" i="27"/>
  <c r="AO93" i="27" s="1"/>
  <c r="AJ93" i="27"/>
  <c r="AN94" i="27"/>
  <c r="AO94" i="27" s="1"/>
  <c r="AI94" i="27"/>
  <c r="AI95" i="27"/>
  <c r="AN97" i="27"/>
  <c r="AO97" i="27" s="1"/>
  <c r="AJ97" i="27"/>
  <c r="AK97" i="27" s="1"/>
  <c r="AN98" i="27"/>
  <c r="AO98" i="27" s="1"/>
  <c r="AI98" i="27"/>
  <c r="AI99" i="27"/>
  <c r="AN101" i="27"/>
  <c r="AO101" i="27" s="1"/>
  <c r="AJ101" i="27"/>
  <c r="AN102" i="27"/>
  <c r="AO102" i="27" s="1"/>
  <c r="AI102" i="27"/>
  <c r="AI103" i="27"/>
  <c r="AI105" i="27"/>
  <c r="AW105" i="27" s="1"/>
  <c r="AI106" i="27"/>
  <c r="AN108" i="27"/>
  <c r="AO108" i="27" s="1"/>
  <c r="AJ108" i="27"/>
  <c r="AK108" i="27" s="1"/>
  <c r="AI110" i="27"/>
  <c r="AN112" i="27"/>
  <c r="AO112" i="27" s="1"/>
  <c r="AJ112" i="27"/>
  <c r="AI114" i="27"/>
  <c r="AJ116" i="27"/>
  <c r="AI154" i="27"/>
  <c r="AN155" i="27"/>
  <c r="AO155" i="27" s="1"/>
  <c r="AN156" i="27"/>
  <c r="AO156" i="27" s="1"/>
  <c r="AI180" i="27"/>
  <c r="AN181" i="27"/>
  <c r="AO181" i="27" s="1"/>
  <c r="AN182" i="27"/>
  <c r="AO182" i="27" s="1"/>
  <c r="AI184" i="27"/>
  <c r="CY184" i="27" s="1"/>
  <c r="AJ190" i="27"/>
  <c r="AJ226" i="27"/>
  <c r="AI253" i="27"/>
  <c r="AJ105" i="27"/>
  <c r="AK105" i="27" s="1"/>
  <c r="AN116" i="27"/>
  <c r="AO116" i="27" s="1"/>
  <c r="AJ117" i="27"/>
  <c r="AI117" i="27"/>
  <c r="AN147" i="27"/>
  <c r="AO147" i="27" s="1"/>
  <c r="AN148" i="27"/>
  <c r="AO148" i="27" s="1"/>
  <c r="AI163" i="27"/>
  <c r="CS163" i="27" s="1"/>
  <c r="AJ164" i="27"/>
  <c r="AN165" i="27"/>
  <c r="AO165" i="27" s="1"/>
  <c r="AJ166" i="27"/>
  <c r="AI172" i="27"/>
  <c r="AN173" i="27"/>
  <c r="AO173" i="27" s="1"/>
  <c r="AJ174" i="27"/>
  <c r="AN174" i="27"/>
  <c r="AO174" i="27" s="1"/>
  <c r="AN196" i="27"/>
  <c r="AO196" i="27" s="1"/>
  <c r="AJ197" i="27"/>
  <c r="AN197" i="27"/>
  <c r="AO197" i="27" s="1"/>
  <c r="AI197" i="27"/>
  <c r="AI69" i="27"/>
  <c r="AN73" i="27"/>
  <c r="AO73" i="27" s="1"/>
  <c r="AJ80" i="27"/>
  <c r="AJ84" i="27"/>
  <c r="AJ88" i="27"/>
  <c r="AJ92" i="27"/>
  <c r="AJ96" i="27"/>
  <c r="AK96" i="27" s="1"/>
  <c r="AJ100" i="27"/>
  <c r="AJ104" i="27"/>
  <c r="AJ107" i="27"/>
  <c r="AJ111" i="27"/>
  <c r="AJ115" i="27"/>
  <c r="AN117" i="27"/>
  <c r="AO117" i="27" s="1"/>
  <c r="AI118" i="27"/>
  <c r="AN120" i="27"/>
  <c r="AO120" i="27" s="1"/>
  <c r="AJ120" i="27"/>
  <c r="AN121" i="27"/>
  <c r="AO121" i="27" s="1"/>
  <c r="AI122" i="27"/>
  <c r="AN124" i="27"/>
  <c r="AO124" i="27" s="1"/>
  <c r="AJ124" i="27"/>
  <c r="AN125" i="27"/>
  <c r="AO125" i="27" s="1"/>
  <c r="AI126" i="27"/>
  <c r="AN128" i="27"/>
  <c r="AO128" i="27" s="1"/>
  <c r="AJ128" i="27"/>
  <c r="AN129" i="27"/>
  <c r="AO129" i="27" s="1"/>
  <c r="AI130" i="27"/>
  <c r="AN132" i="27"/>
  <c r="AO132" i="27" s="1"/>
  <c r="AJ132" i="27"/>
  <c r="AN133" i="27"/>
  <c r="AO133" i="27" s="1"/>
  <c r="AI134" i="27"/>
  <c r="AN136" i="27"/>
  <c r="AO136" i="27" s="1"/>
  <c r="AJ136" i="27"/>
  <c r="AN137" i="27"/>
  <c r="AO137" i="27" s="1"/>
  <c r="AJ142" i="27"/>
  <c r="AJ145" i="27"/>
  <c r="AK145" i="27" s="1"/>
  <c r="AI150" i="27"/>
  <c r="AN151" i="27"/>
  <c r="AO151" i="27" s="1"/>
  <c r="AN152" i="27"/>
  <c r="AO152" i="27" s="1"/>
  <c r="AI157" i="27"/>
  <c r="CS157" i="27" s="1"/>
  <c r="AN162" i="27"/>
  <c r="AO162" i="27" s="1"/>
  <c r="AJ163" i="27"/>
  <c r="AN163" i="27"/>
  <c r="AO163" i="27" s="1"/>
  <c r="AJ165" i="27"/>
  <c r="AJ171" i="27"/>
  <c r="AI176" i="27"/>
  <c r="AN177" i="27"/>
  <c r="AO177" i="27" s="1"/>
  <c r="AN178" i="27"/>
  <c r="AO178" i="27" s="1"/>
  <c r="AI183" i="27"/>
  <c r="CJ183" i="27" s="1"/>
  <c r="AJ184" i="27"/>
  <c r="AN192" i="27"/>
  <c r="AO192" i="27" s="1"/>
  <c r="AJ193" i="27"/>
  <c r="AK193" i="27" s="1"/>
  <c r="AN193" i="27"/>
  <c r="AO193" i="27" s="1"/>
  <c r="AI193" i="27"/>
  <c r="AI198" i="27"/>
  <c r="CS198" i="27" s="1"/>
  <c r="AJ200" i="27"/>
  <c r="AN200" i="27"/>
  <c r="AO200" i="27" s="1"/>
  <c r="AN203" i="27"/>
  <c r="AO203" i="27" s="1"/>
  <c r="AJ203" i="27"/>
  <c r="AI205" i="27"/>
  <c r="BL205" i="27" s="1"/>
  <c r="AN207" i="27"/>
  <c r="AO207" i="27" s="1"/>
  <c r="AJ207" i="27"/>
  <c r="AN208" i="27"/>
  <c r="AO208" i="27" s="1"/>
  <c r="AI208" i="27"/>
  <c r="CD208" i="27" s="1"/>
  <c r="AI209" i="27"/>
  <c r="AN260" i="27"/>
  <c r="AO260" i="27" s="1"/>
  <c r="AI261" i="27"/>
  <c r="AI121" i="27"/>
  <c r="AJ125" i="27"/>
  <c r="AI125" i="27"/>
  <c r="AJ129" i="27"/>
  <c r="AI129" i="27"/>
  <c r="AJ133" i="27"/>
  <c r="AI133" i="27"/>
  <c r="AJ137" i="27"/>
  <c r="AI137" i="27"/>
  <c r="CM137" i="27" s="1"/>
  <c r="AJ139" i="27"/>
  <c r="AJ141" i="27"/>
  <c r="AN143" i="27"/>
  <c r="AO143" i="27" s="1"/>
  <c r="AJ147" i="27"/>
  <c r="AK147" i="27" s="1"/>
  <c r="AI148" i="27"/>
  <c r="AN149" i="27"/>
  <c r="AO149" i="27" s="1"/>
  <c r="AJ150" i="27"/>
  <c r="AN150" i="27"/>
  <c r="AO150" i="27" s="1"/>
  <c r="AJ155" i="27"/>
  <c r="AI156" i="27"/>
  <c r="AN157" i="27"/>
  <c r="AO157" i="27" s="1"/>
  <c r="AJ158" i="27"/>
  <c r="AN158" i="27"/>
  <c r="AO158" i="27" s="1"/>
  <c r="AJ160" i="27"/>
  <c r="AJ162" i="27"/>
  <c r="AI162" i="27"/>
  <c r="CY162" i="27" s="1"/>
  <c r="AI164" i="27"/>
  <c r="AJ168" i="27"/>
  <c r="AN168" i="27"/>
  <c r="AO168" i="27" s="1"/>
  <c r="AJ173" i="27"/>
  <c r="AK173" i="27" s="1"/>
  <c r="AI174" i="27"/>
  <c r="AN175" i="27"/>
  <c r="AO175" i="27" s="1"/>
  <c r="AJ176" i="27"/>
  <c r="AN176" i="27"/>
  <c r="AO176" i="27" s="1"/>
  <c r="AJ181" i="27"/>
  <c r="AI182" i="27"/>
  <c r="AN183" i="27"/>
  <c r="AO183" i="27" s="1"/>
  <c r="AN184" i="27"/>
  <c r="AO184" i="27" s="1"/>
  <c r="AJ186" i="27"/>
  <c r="AJ188" i="27"/>
  <c r="AN190" i="27"/>
  <c r="AO190" i="27" s="1"/>
  <c r="AN191" i="27"/>
  <c r="AO191" i="27" s="1"/>
  <c r="AJ196" i="27"/>
  <c r="AN198" i="27"/>
  <c r="AO198" i="27" s="1"/>
  <c r="AJ199" i="27"/>
  <c r="AN199" i="27"/>
  <c r="AO199" i="27" s="1"/>
  <c r="AI199" i="27"/>
  <c r="AN201" i="27"/>
  <c r="AO201" i="27" s="1"/>
  <c r="AN202" i="27"/>
  <c r="AO202" i="27" s="1"/>
  <c r="AJ206" i="27"/>
  <c r="AK206" i="27" s="1"/>
  <c r="AJ210" i="27"/>
  <c r="AJ214" i="27"/>
  <c r="AN217" i="27"/>
  <c r="AO217" i="27" s="1"/>
  <c r="AJ218" i="27"/>
  <c r="AI222" i="27"/>
  <c r="AJ223" i="27"/>
  <c r="AJ228" i="27"/>
  <c r="AI228" i="27"/>
  <c r="BI228" i="27" s="1"/>
  <c r="AJ232" i="27"/>
  <c r="AI232" i="27"/>
  <c r="AI236" i="27"/>
  <c r="CY236" i="27" s="1"/>
  <c r="AN238" i="27"/>
  <c r="AO238" i="27" s="1"/>
  <c r="AJ238" i="27"/>
  <c r="AI240" i="27"/>
  <c r="AJ242" i="27"/>
  <c r="AN244" i="27"/>
  <c r="AO244" i="27" s="1"/>
  <c r="AN245" i="27"/>
  <c r="AO245" i="27" s="1"/>
  <c r="AJ245" i="27"/>
  <c r="AJ249" i="27"/>
  <c r="AI252" i="27"/>
  <c r="CY252" i="27" s="1"/>
  <c r="AJ254" i="27"/>
  <c r="AN254" i="27"/>
  <c r="AO254" i="27" s="1"/>
  <c r="AN256" i="27"/>
  <c r="AO256" i="27" s="1"/>
  <c r="AI256" i="27"/>
  <c r="BR256" i="27" s="1"/>
  <c r="AJ262" i="27"/>
  <c r="AI211" i="27"/>
  <c r="AN213" i="27"/>
  <c r="AO213" i="27" s="1"/>
  <c r="AJ213" i="27"/>
  <c r="AK213" i="27" s="1"/>
  <c r="AN214" i="27"/>
  <c r="AO214" i="27" s="1"/>
  <c r="AI214" i="27"/>
  <c r="AI215" i="27"/>
  <c r="CY215" i="27" s="1"/>
  <c r="AI216" i="27"/>
  <c r="DB216" i="27" s="1"/>
  <c r="AN221" i="27"/>
  <c r="AO221" i="27" s="1"/>
  <c r="AJ222" i="27"/>
  <c r="AN222" i="27"/>
  <c r="AO222" i="27" s="1"/>
  <c r="AI225" i="27"/>
  <c r="DB225" i="27" s="1"/>
  <c r="AN227" i="27"/>
  <c r="AO227" i="27" s="1"/>
  <c r="AJ227" i="27"/>
  <c r="AN228" i="27"/>
  <c r="AO228" i="27" s="1"/>
  <c r="AI229" i="27"/>
  <c r="CA229" i="27" s="1"/>
  <c r="AN231" i="27"/>
  <c r="AO231" i="27" s="1"/>
  <c r="AJ231" i="27"/>
  <c r="AN232" i="27"/>
  <c r="AO232" i="27" s="1"/>
  <c r="AI233" i="27"/>
  <c r="CM233" i="27" s="1"/>
  <c r="AJ237" i="27"/>
  <c r="AN237" i="27"/>
  <c r="AO237" i="27" s="1"/>
  <c r="AI237" i="27"/>
  <c r="AJ241" i="27"/>
  <c r="AK241" i="27" s="1"/>
  <c r="AN241" i="27"/>
  <c r="AO241" i="27" s="1"/>
  <c r="AI241" i="27"/>
  <c r="AJ243" i="27"/>
  <c r="AJ246" i="27"/>
  <c r="AN248" i="27"/>
  <c r="AO248" i="27" s="1"/>
  <c r="AJ248" i="27"/>
  <c r="AI250" i="27"/>
  <c r="AJ255" i="27"/>
  <c r="AN255" i="27"/>
  <c r="AO255" i="27" s="1"/>
  <c r="AN258" i="27"/>
  <c r="AO258" i="27" s="1"/>
  <c r="AI259" i="27"/>
  <c r="CY259" i="27" s="1"/>
  <c r="AN262" i="27"/>
  <c r="AO262" i="27" s="1"/>
  <c r="AI262" i="27"/>
  <c r="AJ123" i="27"/>
  <c r="AI123" i="27"/>
  <c r="AJ127" i="27"/>
  <c r="AK127" i="27" s="1"/>
  <c r="AI127" i="27"/>
  <c r="AJ131" i="27"/>
  <c r="AI131" i="27"/>
  <c r="AJ135" i="27"/>
  <c r="AK135" i="27" s="1"/>
  <c r="AI135" i="27"/>
  <c r="AN138" i="27"/>
  <c r="AO138" i="27" s="1"/>
  <c r="AN139" i="27"/>
  <c r="AO139" i="27" s="1"/>
  <c r="AN140" i="27"/>
  <c r="AO140" i="27" s="1"/>
  <c r="AN145" i="27"/>
  <c r="AO145" i="27" s="1"/>
  <c r="AN146" i="27"/>
  <c r="AO146" i="27" s="1"/>
  <c r="AJ151" i="27"/>
  <c r="AI152" i="27"/>
  <c r="CA152" i="27" s="1"/>
  <c r="AN153" i="27"/>
  <c r="AO153" i="27" s="1"/>
  <c r="AJ154" i="27"/>
  <c r="AN154" i="27"/>
  <c r="AO154" i="27" s="1"/>
  <c r="AJ159" i="27"/>
  <c r="AK159" i="27" s="1"/>
  <c r="AI160" i="27"/>
  <c r="AJ161" i="27"/>
  <c r="AI161" i="27"/>
  <c r="AI165" i="27"/>
  <c r="CS165" i="27" s="1"/>
  <c r="AJ167" i="27"/>
  <c r="AI167" i="27"/>
  <c r="AJ169" i="27"/>
  <c r="AI170" i="27"/>
  <c r="CA170" i="27" s="1"/>
  <c r="AN171" i="27"/>
  <c r="AO171" i="27" s="1"/>
  <c r="AJ172" i="27"/>
  <c r="AN172" i="27"/>
  <c r="AO172" i="27" s="1"/>
  <c r="AJ177" i="27"/>
  <c r="AK177" i="27" s="1"/>
  <c r="AI178" i="27"/>
  <c r="AN179" i="27"/>
  <c r="AO179" i="27" s="1"/>
  <c r="AJ180" i="27"/>
  <c r="AN180" i="27"/>
  <c r="AO180" i="27" s="1"/>
  <c r="AJ185" i="27"/>
  <c r="AN185" i="27"/>
  <c r="AO185" i="27" s="1"/>
  <c r="AI188" i="27"/>
  <c r="AJ192" i="27"/>
  <c r="AK192" i="27" s="1"/>
  <c r="AN194" i="27"/>
  <c r="AO194" i="27" s="1"/>
  <c r="AJ195" i="27"/>
  <c r="AN195" i="27"/>
  <c r="AO195" i="27" s="1"/>
  <c r="AI195" i="27"/>
  <c r="CM195" i="27" s="1"/>
  <c r="AJ204" i="27"/>
  <c r="AJ208" i="27"/>
  <c r="AJ212" i="27"/>
  <c r="AJ215" i="27"/>
  <c r="AK215" i="27" s="1"/>
  <c r="AN215" i="27"/>
  <c r="AO215" i="27" s="1"/>
  <c r="AJ216" i="27"/>
  <c r="AN216" i="27"/>
  <c r="AO216" i="27" s="1"/>
  <c r="AI218" i="27"/>
  <c r="CY218" i="27" s="1"/>
  <c r="AN219" i="27"/>
  <c r="AO219" i="27" s="1"/>
  <c r="AJ220" i="27"/>
  <c r="AJ221" i="27"/>
  <c r="AI223" i="27"/>
  <c r="BI223" i="27" s="1"/>
  <c r="AN225" i="27"/>
  <c r="AO225" i="27" s="1"/>
  <c r="AJ230" i="27"/>
  <c r="AI230" i="27"/>
  <c r="AJ234" i="27"/>
  <c r="AK234" i="27" s="1"/>
  <c r="AN236" i="27"/>
  <c r="AO236" i="27" s="1"/>
  <c r="AJ236" i="27"/>
  <c r="AI238" i="27"/>
  <c r="AN240" i="27"/>
  <c r="AO240" i="27" s="1"/>
  <c r="AJ240" i="27"/>
  <c r="AN246" i="27"/>
  <c r="AO246" i="27" s="1"/>
  <c r="AN247" i="27"/>
  <c r="AO247" i="27" s="1"/>
  <c r="AJ251" i="27"/>
  <c r="AJ253" i="27"/>
  <c r="AI254" i="27"/>
  <c r="AJ260" i="27"/>
  <c r="CS14" i="27"/>
  <c r="CG14" i="27"/>
  <c r="BU14" i="27"/>
  <c r="BI14" i="27"/>
  <c r="AW14" i="27"/>
  <c r="CM14" i="27"/>
  <c r="CA14" i="27"/>
  <c r="BO14" i="27"/>
  <c r="CV14" i="27"/>
  <c r="CJ14" i="27"/>
  <c r="BX14" i="27"/>
  <c r="BL14" i="27"/>
  <c r="AZ14" i="27"/>
  <c r="CY14" i="27"/>
  <c r="BC14" i="27"/>
  <c r="DB14" i="27"/>
  <c r="CP14" i="27"/>
  <c r="CD14" i="27"/>
  <c r="BR14" i="27"/>
  <c r="BF14" i="27"/>
  <c r="AK14" i="27"/>
  <c r="CY25" i="27"/>
  <c r="CM25" i="27"/>
  <c r="CA25" i="27"/>
  <c r="BO25" i="27"/>
  <c r="BC25" i="27"/>
  <c r="DB25" i="27"/>
  <c r="CP25" i="27"/>
  <c r="CD25" i="27"/>
  <c r="BR25" i="27"/>
  <c r="BF25" i="27"/>
  <c r="AK25" i="27"/>
  <c r="CS25" i="27"/>
  <c r="CG25" i="27"/>
  <c r="BU25" i="27"/>
  <c r="BI25" i="27"/>
  <c r="AW25" i="27"/>
  <c r="CV25" i="27"/>
  <c r="CJ25" i="27"/>
  <c r="BX25" i="27"/>
  <c r="BL25" i="27"/>
  <c r="AZ25" i="27"/>
  <c r="CY29" i="27"/>
  <c r="CM29" i="27"/>
  <c r="CA29" i="27"/>
  <c r="BO29" i="27"/>
  <c r="BC29" i="27"/>
  <c r="DB29" i="27"/>
  <c r="CP29" i="27"/>
  <c r="CD29" i="27"/>
  <c r="BR29" i="27"/>
  <c r="BF29" i="27"/>
  <c r="AK29" i="27"/>
  <c r="CS29" i="27"/>
  <c r="CG29" i="27"/>
  <c r="BU29" i="27"/>
  <c r="BI29" i="27"/>
  <c r="AW29" i="27"/>
  <c r="CV29" i="27"/>
  <c r="CJ29" i="27"/>
  <c r="BX29" i="27"/>
  <c r="BL29" i="27"/>
  <c r="AZ29" i="27"/>
  <c r="DB33" i="27"/>
  <c r="CY37" i="27"/>
  <c r="CM37" i="27"/>
  <c r="CA37" i="27"/>
  <c r="BO37" i="27"/>
  <c r="BC37" i="27"/>
  <c r="DB37" i="27"/>
  <c r="CP37" i="27"/>
  <c r="CD37" i="27"/>
  <c r="BR37" i="27"/>
  <c r="BF37" i="27"/>
  <c r="AK37" i="27"/>
  <c r="CS37" i="27"/>
  <c r="CG37" i="27"/>
  <c r="BU37" i="27"/>
  <c r="BI37" i="27"/>
  <c r="AW37" i="27"/>
  <c r="CV37" i="27"/>
  <c r="CJ37" i="27"/>
  <c r="BX37" i="27"/>
  <c r="BL37" i="27"/>
  <c r="AZ37" i="27"/>
  <c r="CS18" i="27"/>
  <c r="CG18" i="27"/>
  <c r="BU18" i="27"/>
  <c r="BI18" i="27"/>
  <c r="AW18" i="27"/>
  <c r="CY18" i="27"/>
  <c r="CM18" i="27"/>
  <c r="CA18" i="27"/>
  <c r="CV18" i="27"/>
  <c r="CJ18" i="27"/>
  <c r="BX18" i="27"/>
  <c r="BL18" i="27"/>
  <c r="AZ18" i="27"/>
  <c r="BO18" i="27"/>
  <c r="DB18" i="27"/>
  <c r="CP18" i="27"/>
  <c r="CD18" i="27"/>
  <c r="BR18" i="27"/>
  <c r="BF18" i="27"/>
  <c r="AK18" i="27"/>
  <c r="BC18" i="27"/>
  <c r="CY21" i="27"/>
  <c r="CM21" i="27"/>
  <c r="CA21" i="27"/>
  <c r="BO21" i="27"/>
  <c r="BC21" i="27"/>
  <c r="DB21" i="27"/>
  <c r="CP21" i="27"/>
  <c r="CD21" i="27"/>
  <c r="BR21" i="27"/>
  <c r="BF21" i="27"/>
  <c r="AK21" i="27"/>
  <c r="AW21" i="27"/>
  <c r="CV21" i="27"/>
  <c r="CJ21" i="27"/>
  <c r="BX21" i="27"/>
  <c r="BL21" i="27"/>
  <c r="AZ21" i="27"/>
  <c r="CS21" i="27"/>
  <c r="CG21" i="27"/>
  <c r="BU21" i="27"/>
  <c r="BI21" i="27"/>
  <c r="CY15" i="27"/>
  <c r="CM15" i="27"/>
  <c r="CA15" i="27"/>
  <c r="BO15" i="27"/>
  <c r="BC15" i="27"/>
  <c r="CS15" i="27"/>
  <c r="BI15" i="27"/>
  <c r="AW15" i="27"/>
  <c r="DB15" i="27"/>
  <c r="CP15" i="27"/>
  <c r="CD15" i="27"/>
  <c r="BR15" i="27"/>
  <c r="BF15" i="27"/>
  <c r="AK15" i="27"/>
  <c r="BU15" i="27"/>
  <c r="CV15" i="27"/>
  <c r="CJ15" i="27"/>
  <c r="BX15" i="27"/>
  <c r="BL15" i="27"/>
  <c r="AZ15" i="27"/>
  <c r="CG15" i="27"/>
  <c r="CS16" i="27"/>
  <c r="CG16" i="27"/>
  <c r="BU16" i="27"/>
  <c r="BI16" i="27"/>
  <c r="AW16" i="27"/>
  <c r="CY16" i="27"/>
  <c r="CV16" i="27"/>
  <c r="CJ16" i="27"/>
  <c r="BX16" i="27"/>
  <c r="BL16" i="27"/>
  <c r="AZ16" i="27"/>
  <c r="CM16" i="27"/>
  <c r="DB16" i="27"/>
  <c r="CP16" i="27"/>
  <c r="CD16" i="27"/>
  <c r="BR16" i="27"/>
  <c r="BF16" i="27"/>
  <c r="AK16" i="27"/>
  <c r="CA16" i="27"/>
  <c r="BO16" i="27"/>
  <c r="BC16" i="27"/>
  <c r="CY19" i="27"/>
  <c r="CM19" i="27"/>
  <c r="CA19" i="27"/>
  <c r="BO19" i="27"/>
  <c r="BC19" i="27"/>
  <c r="CG19" i="27"/>
  <c r="BI19" i="27"/>
  <c r="DB19" i="27"/>
  <c r="CP19" i="27"/>
  <c r="CD19" i="27"/>
  <c r="BR19" i="27"/>
  <c r="BF19" i="27"/>
  <c r="AK19" i="27"/>
  <c r="CS19" i="27"/>
  <c r="BU19" i="27"/>
  <c r="CV19" i="27"/>
  <c r="CJ19" i="27"/>
  <c r="BX19" i="27"/>
  <c r="BL19" i="27"/>
  <c r="AZ19" i="27"/>
  <c r="AW19" i="27"/>
  <c r="CM22" i="27"/>
  <c r="CS26" i="27"/>
  <c r="CG26" i="27"/>
  <c r="BU26" i="27"/>
  <c r="BI26" i="27"/>
  <c r="AW26" i="27"/>
  <c r="CV26" i="27"/>
  <c r="CJ26" i="27"/>
  <c r="BX26" i="27"/>
  <c r="BL26" i="27"/>
  <c r="AZ26" i="27"/>
  <c r="CY26" i="27"/>
  <c r="CM26" i="27"/>
  <c r="CA26" i="27"/>
  <c r="BO26" i="27"/>
  <c r="BC26" i="27"/>
  <c r="DB26" i="27"/>
  <c r="CP26" i="27"/>
  <c r="CD26" i="27"/>
  <c r="BR26" i="27"/>
  <c r="BF26" i="27"/>
  <c r="AK26" i="27"/>
  <c r="CS30" i="27"/>
  <c r="CG30" i="27"/>
  <c r="BU30" i="27"/>
  <c r="BI30" i="27"/>
  <c r="AW30" i="27"/>
  <c r="CV30" i="27"/>
  <c r="CJ30" i="27"/>
  <c r="BX30" i="27"/>
  <c r="BL30" i="27"/>
  <c r="AZ30" i="27"/>
  <c r="CY30" i="27"/>
  <c r="CM30" i="27"/>
  <c r="CA30" i="27"/>
  <c r="BO30" i="27"/>
  <c r="BC30" i="27"/>
  <c r="DB30" i="27"/>
  <c r="CP30" i="27"/>
  <c r="CD30" i="27"/>
  <c r="BR30" i="27"/>
  <c r="BF30" i="27"/>
  <c r="AK30" i="27"/>
  <c r="CS34" i="27"/>
  <c r="CG34" i="27"/>
  <c r="BU34" i="27"/>
  <c r="BI34" i="27"/>
  <c r="AW34" i="27"/>
  <c r="CV34" i="27"/>
  <c r="CJ34" i="27"/>
  <c r="BX34" i="27"/>
  <c r="BL34" i="27"/>
  <c r="AZ34" i="27"/>
  <c r="CY34" i="27"/>
  <c r="CM34" i="27"/>
  <c r="CA34" i="27"/>
  <c r="BO34" i="27"/>
  <c r="BC34" i="27"/>
  <c r="DB34" i="27"/>
  <c r="CP34" i="27"/>
  <c r="CD34" i="27"/>
  <c r="BR34" i="27"/>
  <c r="BF34" i="27"/>
  <c r="AK34" i="27"/>
  <c r="CY38" i="27"/>
  <c r="DB23" i="27"/>
  <c r="CY39" i="27"/>
  <c r="CM39" i="27"/>
  <c r="CA39" i="27"/>
  <c r="BO39" i="27"/>
  <c r="BC39" i="27"/>
  <c r="DB39" i="27"/>
  <c r="CP39" i="27"/>
  <c r="CD39" i="27"/>
  <c r="BR39" i="27"/>
  <c r="BF39" i="27"/>
  <c r="AK39" i="27"/>
  <c r="CS39" i="27"/>
  <c r="CG39" i="27"/>
  <c r="BU39" i="27"/>
  <c r="BI39" i="27"/>
  <c r="AW39" i="27"/>
  <c r="CV39" i="27"/>
  <c r="CJ39" i="27"/>
  <c r="BX39" i="27"/>
  <c r="BL39" i="27"/>
  <c r="AZ39" i="27"/>
  <c r="CV13" i="27"/>
  <c r="CY17" i="27"/>
  <c r="CM17" i="27"/>
  <c r="CA17" i="27"/>
  <c r="BO17" i="27"/>
  <c r="BC17" i="27"/>
  <c r="BU17" i="27"/>
  <c r="DB17" i="27"/>
  <c r="CP17" i="27"/>
  <c r="CD17" i="27"/>
  <c r="BR17" i="27"/>
  <c r="BF17" i="27"/>
  <c r="AK17" i="27"/>
  <c r="CS17" i="27"/>
  <c r="BI17" i="27"/>
  <c r="CV17" i="27"/>
  <c r="CJ17" i="27"/>
  <c r="BX17" i="27"/>
  <c r="BL17" i="27"/>
  <c r="AZ17" i="27"/>
  <c r="CG17" i="27"/>
  <c r="AW17" i="27"/>
  <c r="CY27" i="27"/>
  <c r="CM27" i="27"/>
  <c r="CA27" i="27"/>
  <c r="BO27" i="27"/>
  <c r="BC27" i="27"/>
  <c r="DB27" i="27"/>
  <c r="CP27" i="27"/>
  <c r="CD27" i="27"/>
  <c r="BR27" i="27"/>
  <c r="BF27" i="27"/>
  <c r="AK27" i="27"/>
  <c r="CS27" i="27"/>
  <c r="CG27" i="27"/>
  <c r="BU27" i="27"/>
  <c r="BI27" i="27"/>
  <c r="AW27" i="27"/>
  <c r="CV27" i="27"/>
  <c r="CJ27" i="27"/>
  <c r="BX27" i="27"/>
  <c r="BL27" i="27"/>
  <c r="AZ27" i="27"/>
  <c r="CY31" i="27"/>
  <c r="CM31" i="27"/>
  <c r="CA31" i="27"/>
  <c r="BO31" i="27"/>
  <c r="BC31" i="27"/>
  <c r="DB31" i="27"/>
  <c r="CP31" i="27"/>
  <c r="CD31" i="27"/>
  <c r="BR31" i="27"/>
  <c r="BF31" i="27"/>
  <c r="CS31" i="27"/>
  <c r="CG31" i="27"/>
  <c r="BU31" i="27"/>
  <c r="BI31" i="27"/>
  <c r="AW31" i="27"/>
  <c r="CV31" i="27"/>
  <c r="CJ31" i="27"/>
  <c r="BX31" i="27"/>
  <c r="BL31" i="27"/>
  <c r="AZ31" i="27"/>
  <c r="CY35" i="27"/>
  <c r="CM35" i="27"/>
  <c r="CA35" i="27"/>
  <c r="BO35" i="27"/>
  <c r="BC35" i="27"/>
  <c r="DB35" i="27"/>
  <c r="CP35" i="27"/>
  <c r="CD35" i="27"/>
  <c r="BR35" i="27"/>
  <c r="BF35" i="27"/>
  <c r="AK35" i="27"/>
  <c r="CS35" i="27"/>
  <c r="CG35" i="27"/>
  <c r="BU35" i="27"/>
  <c r="BI35" i="27"/>
  <c r="AW35" i="27"/>
  <c r="CV35" i="27"/>
  <c r="CJ35" i="27"/>
  <c r="BX35" i="27"/>
  <c r="BL35" i="27"/>
  <c r="AZ35" i="27"/>
  <c r="CS12" i="27"/>
  <c r="CG12" i="27"/>
  <c r="BU12" i="27"/>
  <c r="BI12" i="27"/>
  <c r="AW12" i="27"/>
  <c r="CA12" i="27"/>
  <c r="BO12" i="27"/>
  <c r="CV12" i="27"/>
  <c r="CJ12" i="27"/>
  <c r="BX12" i="27"/>
  <c r="BL12" i="27"/>
  <c r="AZ12" i="27"/>
  <c r="BC12" i="27"/>
  <c r="DB12" i="27"/>
  <c r="CP12" i="27"/>
  <c r="CD12" i="27"/>
  <c r="BR12" i="27"/>
  <c r="BF12" i="27"/>
  <c r="CY12" i="27"/>
  <c r="CM12" i="27"/>
  <c r="CS20" i="27"/>
  <c r="CG20" i="27"/>
  <c r="BU20" i="27"/>
  <c r="BI20" i="27"/>
  <c r="AW20" i="27"/>
  <c r="CM20" i="27"/>
  <c r="CA20" i="27"/>
  <c r="BO20" i="27"/>
  <c r="CV20" i="27"/>
  <c r="CJ20" i="27"/>
  <c r="BX20" i="27"/>
  <c r="BL20" i="27"/>
  <c r="AZ20" i="27"/>
  <c r="CY20" i="27"/>
  <c r="DB20" i="27"/>
  <c r="CP20" i="27"/>
  <c r="CD20" i="27"/>
  <c r="BR20" i="27"/>
  <c r="BF20" i="27"/>
  <c r="BC20" i="27"/>
  <c r="CS24" i="27"/>
  <c r="CG24" i="27"/>
  <c r="BU24" i="27"/>
  <c r="BI24" i="27"/>
  <c r="AW24" i="27"/>
  <c r="CV24" i="27"/>
  <c r="CJ24" i="27"/>
  <c r="BX24" i="27"/>
  <c r="BL24" i="27"/>
  <c r="AZ24" i="27"/>
  <c r="CY24" i="27"/>
  <c r="CM24" i="27"/>
  <c r="CA24" i="27"/>
  <c r="BO24" i="27"/>
  <c r="BC24" i="27"/>
  <c r="DB24" i="27"/>
  <c r="CP24" i="27"/>
  <c r="CD24" i="27"/>
  <c r="BR24" i="27"/>
  <c r="BF24" i="27"/>
  <c r="AK24" i="27"/>
  <c r="CS28" i="27"/>
  <c r="CG28" i="27"/>
  <c r="BU28" i="27"/>
  <c r="BI28" i="27"/>
  <c r="AW28" i="27"/>
  <c r="CV28" i="27"/>
  <c r="CJ28" i="27"/>
  <c r="BX28" i="27"/>
  <c r="BL28" i="27"/>
  <c r="AZ28" i="27"/>
  <c r="CY28" i="27"/>
  <c r="CM28" i="27"/>
  <c r="CA28" i="27"/>
  <c r="BO28" i="27"/>
  <c r="BC28" i="27"/>
  <c r="DB28" i="27"/>
  <c r="CP28" i="27"/>
  <c r="CD28" i="27"/>
  <c r="BR28" i="27"/>
  <c r="BF28" i="27"/>
  <c r="AK28" i="27"/>
  <c r="CS32" i="27"/>
  <c r="CG32" i="27"/>
  <c r="BU32" i="27"/>
  <c r="BI32" i="27"/>
  <c r="AW32" i="27"/>
  <c r="CV32" i="27"/>
  <c r="CJ32" i="27"/>
  <c r="BX32" i="27"/>
  <c r="BL32" i="27"/>
  <c r="AZ32" i="27"/>
  <c r="CY32" i="27"/>
  <c r="CM32" i="27"/>
  <c r="CA32" i="27"/>
  <c r="BO32" i="27"/>
  <c r="BC32" i="27"/>
  <c r="DB32" i="27"/>
  <c r="CP32" i="27"/>
  <c r="CD32" i="27"/>
  <c r="BR32" i="27"/>
  <c r="BF32" i="27"/>
  <c r="CS36" i="27"/>
  <c r="CG36" i="27"/>
  <c r="BU36" i="27"/>
  <c r="BI36" i="27"/>
  <c r="AW36" i="27"/>
  <c r="CV36" i="27"/>
  <c r="CJ36" i="27"/>
  <c r="BX36" i="27"/>
  <c r="BL36" i="27"/>
  <c r="AZ36" i="27"/>
  <c r="CY36" i="27"/>
  <c r="CM36" i="27"/>
  <c r="CA36" i="27"/>
  <c r="BO36" i="27"/>
  <c r="BC36" i="27"/>
  <c r="DB36" i="27"/>
  <c r="CP36" i="27"/>
  <c r="CD36" i="27"/>
  <c r="BR36" i="27"/>
  <c r="BF36" i="27"/>
  <c r="AK36" i="27"/>
  <c r="BE9" i="27"/>
  <c r="AJ40" i="27"/>
  <c r="CJ40" i="27"/>
  <c r="AZ41" i="27"/>
  <c r="BF41" i="27"/>
  <c r="BL41" i="27"/>
  <c r="BR41" i="27"/>
  <c r="BX41" i="27"/>
  <c r="CD41" i="27"/>
  <c r="CJ41" i="27"/>
  <c r="CP41" i="27"/>
  <c r="CV41" i="27"/>
  <c r="AJ42" i="27"/>
  <c r="AK42" i="27" s="1"/>
  <c r="AZ42" i="27"/>
  <c r="BF42" i="27"/>
  <c r="BL42" i="27"/>
  <c r="BR42" i="27"/>
  <c r="BX42" i="27"/>
  <c r="CD42" i="27"/>
  <c r="CJ42" i="27"/>
  <c r="CP42" i="27"/>
  <c r="CV42" i="27"/>
  <c r="AZ43" i="27"/>
  <c r="BF43" i="27"/>
  <c r="BL43" i="27"/>
  <c r="BR43" i="27"/>
  <c r="BX43" i="27"/>
  <c r="CD43" i="27"/>
  <c r="CJ43" i="27"/>
  <c r="CP43" i="27"/>
  <c r="CV43" i="27"/>
  <c r="AJ44" i="27"/>
  <c r="AZ44" i="27"/>
  <c r="BF44" i="27"/>
  <c r="BL44" i="27"/>
  <c r="BR44" i="27"/>
  <c r="BX44" i="27"/>
  <c r="CD44" i="27"/>
  <c r="CJ44" i="27"/>
  <c r="CP44" i="27"/>
  <c r="CV44" i="27"/>
  <c r="AZ45" i="27"/>
  <c r="BF45" i="27"/>
  <c r="BL45" i="27"/>
  <c r="BR45" i="27"/>
  <c r="BX45" i="27"/>
  <c r="CD45" i="27"/>
  <c r="CJ45" i="27"/>
  <c r="CP45" i="27"/>
  <c r="CV45" i="27"/>
  <c r="AJ46" i="27"/>
  <c r="AZ46" i="27"/>
  <c r="BF46" i="27"/>
  <c r="BL46" i="27"/>
  <c r="BR46" i="27"/>
  <c r="BX46" i="27"/>
  <c r="CD46" i="27"/>
  <c r="CJ46" i="27"/>
  <c r="CP46" i="27"/>
  <c r="CV46" i="27"/>
  <c r="AZ47" i="27"/>
  <c r="BF47" i="27"/>
  <c r="BL47" i="27"/>
  <c r="BR47" i="27"/>
  <c r="BX47" i="27"/>
  <c r="CD47" i="27"/>
  <c r="CJ47" i="27"/>
  <c r="CP47" i="27"/>
  <c r="CV47" i="27"/>
  <c r="AJ48" i="27"/>
  <c r="AZ48" i="27"/>
  <c r="BF48" i="27"/>
  <c r="BL48" i="27"/>
  <c r="BR48" i="27"/>
  <c r="BX48" i="27"/>
  <c r="CD48" i="27"/>
  <c r="CJ48" i="27"/>
  <c r="CP48" i="27"/>
  <c r="CV48" i="27"/>
  <c r="AZ49" i="27"/>
  <c r="BF49" i="27"/>
  <c r="BL49" i="27"/>
  <c r="BR49" i="27"/>
  <c r="BX49" i="27"/>
  <c r="CD49" i="27"/>
  <c r="CJ49" i="27"/>
  <c r="CP49" i="27"/>
  <c r="CV49" i="27"/>
  <c r="AJ50" i="27"/>
  <c r="AK50" i="27" s="1"/>
  <c r="AZ50" i="27"/>
  <c r="BF50" i="27"/>
  <c r="BL50" i="27"/>
  <c r="BR50" i="27"/>
  <c r="BX50" i="27"/>
  <c r="CD50" i="27"/>
  <c r="CJ50" i="27"/>
  <c r="CP50" i="27"/>
  <c r="CV50" i="27"/>
  <c r="AZ51" i="27"/>
  <c r="BF51" i="27"/>
  <c r="BL51" i="27"/>
  <c r="BR51" i="27"/>
  <c r="BX51" i="27"/>
  <c r="CD51" i="27"/>
  <c r="CJ51" i="27"/>
  <c r="CP51" i="27"/>
  <c r="CV51" i="27"/>
  <c r="AZ52" i="27"/>
  <c r="BF52" i="27"/>
  <c r="BL52" i="27"/>
  <c r="BR52" i="27"/>
  <c r="BX52" i="27"/>
  <c r="CD52" i="27"/>
  <c r="CJ52" i="27"/>
  <c r="CP52" i="27"/>
  <c r="CV52" i="27"/>
  <c r="AZ53" i="27"/>
  <c r="BF53" i="27"/>
  <c r="BL53" i="27"/>
  <c r="BR53" i="27"/>
  <c r="BX53" i="27"/>
  <c r="CD53" i="27"/>
  <c r="CJ53" i="27"/>
  <c r="CP53" i="27"/>
  <c r="CV53" i="27"/>
  <c r="AZ54" i="27"/>
  <c r="BF54" i="27"/>
  <c r="BL54" i="27"/>
  <c r="BR54" i="27"/>
  <c r="BX54" i="27"/>
  <c r="CD54" i="27"/>
  <c r="CJ54" i="27"/>
  <c r="CP54" i="27"/>
  <c r="CV54" i="27"/>
  <c r="BF55" i="27"/>
  <c r="CD55" i="27"/>
  <c r="AJ57" i="27"/>
  <c r="AK57" i="27" s="1"/>
  <c r="DB57" i="27"/>
  <c r="CP57" i="27"/>
  <c r="CD57" i="27"/>
  <c r="BR57" i="27"/>
  <c r="BF57" i="27"/>
  <c r="CS57" i="27"/>
  <c r="CG57" i="27"/>
  <c r="BU57" i="27"/>
  <c r="BI57" i="27"/>
  <c r="AW57" i="27"/>
  <c r="CV57" i="27"/>
  <c r="CJ57" i="27"/>
  <c r="BX57" i="27"/>
  <c r="BL57" i="27"/>
  <c r="AZ57" i="27"/>
  <c r="CY57" i="27"/>
  <c r="CM57" i="27"/>
  <c r="CA57" i="27"/>
  <c r="BO57" i="27"/>
  <c r="BC57" i="27"/>
  <c r="DB65" i="27"/>
  <c r="CP65" i="27"/>
  <c r="CD65" i="27"/>
  <c r="BR65" i="27"/>
  <c r="BF65" i="27"/>
  <c r="AK65" i="27"/>
  <c r="CS65" i="27"/>
  <c r="CG65" i="27"/>
  <c r="BU65" i="27"/>
  <c r="BI65" i="27"/>
  <c r="AW65" i="27"/>
  <c r="CV65" i="27"/>
  <c r="CJ65" i="27"/>
  <c r="BX65" i="27"/>
  <c r="BL65" i="27"/>
  <c r="AZ65" i="27"/>
  <c r="CY65" i="27"/>
  <c r="CM65" i="27"/>
  <c r="CA65" i="27"/>
  <c r="BO65" i="27"/>
  <c r="BC65" i="27"/>
  <c r="CM40" i="27"/>
  <c r="CS41" i="27"/>
  <c r="CG41" i="27"/>
  <c r="BU41" i="27"/>
  <c r="BI41" i="27"/>
  <c r="AW41" i="27"/>
  <c r="CY41" i="27"/>
  <c r="CM41" i="27"/>
  <c r="CA41" i="27"/>
  <c r="BO41" i="27"/>
  <c r="BC41" i="27"/>
  <c r="CY42" i="27"/>
  <c r="CM42" i="27"/>
  <c r="CA42" i="27"/>
  <c r="BO42" i="27"/>
  <c r="BC42" i="27"/>
  <c r="CS42" i="27"/>
  <c r="CG42" i="27"/>
  <c r="BU42" i="27"/>
  <c r="BI42" i="27"/>
  <c r="AW42" i="27"/>
  <c r="AS42" i="27" s="1"/>
  <c r="CS43" i="27"/>
  <c r="CG43" i="27"/>
  <c r="BU43" i="27"/>
  <c r="BI43" i="27"/>
  <c r="AW43" i="27"/>
  <c r="CY43" i="27"/>
  <c r="CM43" i="27"/>
  <c r="CA43" i="27"/>
  <c r="BO43" i="27"/>
  <c r="BC43" i="27"/>
  <c r="CY44" i="27"/>
  <c r="CM44" i="27"/>
  <c r="CA44" i="27"/>
  <c r="BO44" i="27"/>
  <c r="BC44" i="27"/>
  <c r="CS44" i="27"/>
  <c r="CG44" i="27"/>
  <c r="BU44" i="27"/>
  <c r="BI44" i="27"/>
  <c r="AW44" i="27"/>
  <c r="AS44" i="27" s="1"/>
  <c r="U44" i="27" s="1"/>
  <c r="CS45" i="27"/>
  <c r="CG45" i="27"/>
  <c r="BU45" i="27"/>
  <c r="BI45" i="27"/>
  <c r="AW45" i="27"/>
  <c r="CY45" i="27"/>
  <c r="CM45" i="27"/>
  <c r="CA45" i="27"/>
  <c r="BO45" i="27"/>
  <c r="BC45" i="27"/>
  <c r="CY46" i="27"/>
  <c r="CM46" i="27"/>
  <c r="CA46" i="27"/>
  <c r="BO46" i="27"/>
  <c r="BC46" i="27"/>
  <c r="CS46" i="27"/>
  <c r="CG46" i="27"/>
  <c r="BU46" i="27"/>
  <c r="BI46" i="27"/>
  <c r="AW46" i="27"/>
  <c r="AS46" i="27" s="1"/>
  <c r="U46" i="27" s="1"/>
  <c r="CS47" i="27"/>
  <c r="CG47" i="27"/>
  <c r="BU47" i="27"/>
  <c r="BI47" i="27"/>
  <c r="AW47" i="27"/>
  <c r="CY47" i="27"/>
  <c r="CM47" i="27"/>
  <c r="CA47" i="27"/>
  <c r="BO47" i="27"/>
  <c r="BC47" i="27"/>
  <c r="CY48" i="27"/>
  <c r="CM48" i="27"/>
  <c r="CA48" i="27"/>
  <c r="BO48" i="27"/>
  <c r="BC48" i="27"/>
  <c r="CS48" i="27"/>
  <c r="CG48" i="27"/>
  <c r="BU48" i="27"/>
  <c r="BI48" i="27"/>
  <c r="AW48" i="27"/>
  <c r="AS48" i="27" s="1"/>
  <c r="U48" i="27" s="1"/>
  <c r="CS49" i="27"/>
  <c r="CG49" i="27"/>
  <c r="BU49" i="27"/>
  <c r="BI49" i="27"/>
  <c r="AW49" i="27"/>
  <c r="CY49" i="27"/>
  <c r="CM49" i="27"/>
  <c r="CA49" i="27"/>
  <c r="BO49" i="27"/>
  <c r="BC49" i="27"/>
  <c r="CY50" i="27"/>
  <c r="CM50" i="27"/>
  <c r="CA50" i="27"/>
  <c r="BO50" i="27"/>
  <c r="BC50" i="27"/>
  <c r="CS50" i="27"/>
  <c r="CG50" i="27"/>
  <c r="BU50" i="27"/>
  <c r="BI50" i="27"/>
  <c r="AW50" i="27"/>
  <c r="AS50" i="27" s="1"/>
  <c r="U50" i="27" s="1"/>
  <c r="CS51" i="27"/>
  <c r="CG51" i="27"/>
  <c r="BU51" i="27"/>
  <c r="BI51" i="27"/>
  <c r="AW51" i="27"/>
  <c r="CY51" i="27"/>
  <c r="CM51" i="27"/>
  <c r="CA51" i="27"/>
  <c r="BO51" i="27"/>
  <c r="BC51" i="27"/>
  <c r="CY52" i="27"/>
  <c r="CM52" i="27"/>
  <c r="CA52" i="27"/>
  <c r="BO52" i="27"/>
  <c r="BC52" i="27"/>
  <c r="CS52" i="27"/>
  <c r="CG52" i="27"/>
  <c r="BU52" i="27"/>
  <c r="BI52" i="27"/>
  <c r="AW52" i="27"/>
  <c r="AS52" i="27" s="1"/>
  <c r="U52" i="27" s="1"/>
  <c r="CS53" i="27"/>
  <c r="CG53" i="27"/>
  <c r="BU53" i="27"/>
  <c r="BI53" i="27"/>
  <c r="AW53" i="27"/>
  <c r="CY53" i="27"/>
  <c r="CM53" i="27"/>
  <c r="CA53" i="27"/>
  <c r="BO53" i="27"/>
  <c r="BC53" i="27"/>
  <c r="CY54" i="27"/>
  <c r="CM54" i="27"/>
  <c r="CA54" i="27"/>
  <c r="BO54" i="27"/>
  <c r="BC54" i="27"/>
  <c r="CS54" i="27"/>
  <c r="CG54" i="27"/>
  <c r="BU54" i="27"/>
  <c r="BI54" i="27"/>
  <c r="AW54" i="27"/>
  <c r="AS54" i="27" s="1"/>
  <c r="U54" i="27" s="1"/>
  <c r="DB63" i="27"/>
  <c r="CP63" i="27"/>
  <c r="CD63" i="27"/>
  <c r="BR63" i="27"/>
  <c r="BF63" i="27"/>
  <c r="CS63" i="27"/>
  <c r="CG63" i="27"/>
  <c r="BU63" i="27"/>
  <c r="BI63" i="27"/>
  <c r="AW63" i="27"/>
  <c r="CV63" i="27"/>
  <c r="CJ63" i="27"/>
  <c r="BX63" i="27"/>
  <c r="BL63" i="27"/>
  <c r="AZ63" i="27"/>
  <c r="CY63" i="27"/>
  <c r="CM63" i="27"/>
  <c r="CA63" i="27"/>
  <c r="BO63" i="27"/>
  <c r="BC63" i="27"/>
  <c r="CS71" i="27"/>
  <c r="CG71" i="27"/>
  <c r="BU71" i="27"/>
  <c r="BI71" i="27"/>
  <c r="DB71" i="27"/>
  <c r="CD71" i="27"/>
  <c r="BF71" i="27"/>
  <c r="AK71" i="27"/>
  <c r="CV71" i="27"/>
  <c r="CM71" i="27"/>
  <c r="BX71" i="27"/>
  <c r="BO71" i="27"/>
  <c r="AW71" i="27"/>
  <c r="CP71" i="27"/>
  <c r="BR71" i="27"/>
  <c r="AZ71" i="27"/>
  <c r="CY71" i="27"/>
  <c r="CJ71" i="27"/>
  <c r="CA71" i="27"/>
  <c r="BL71" i="27"/>
  <c r="BC71" i="27"/>
  <c r="AY9" i="27"/>
  <c r="AK43" i="27"/>
  <c r="AK44" i="27"/>
  <c r="AK46" i="27"/>
  <c r="AK47" i="27"/>
  <c r="AK48" i="27"/>
  <c r="AK52" i="27"/>
  <c r="AK54" i="27"/>
  <c r="CS55" i="27"/>
  <c r="CG55" i="27"/>
  <c r="BU55" i="27"/>
  <c r="BI55" i="27"/>
  <c r="AW55" i="27"/>
  <c r="CV55" i="27"/>
  <c r="CJ55" i="27"/>
  <c r="BX55" i="27"/>
  <c r="BL55" i="27"/>
  <c r="AZ55" i="27"/>
  <c r="CY55" i="27"/>
  <c r="CM55" i="27"/>
  <c r="CA55" i="27"/>
  <c r="BO55" i="27"/>
  <c r="BC55" i="27"/>
  <c r="BR55" i="27"/>
  <c r="CP55" i="27"/>
  <c r="DB61" i="27"/>
  <c r="CP61" i="27"/>
  <c r="CD61" i="27"/>
  <c r="BR61" i="27"/>
  <c r="BF61" i="27"/>
  <c r="AK61" i="27"/>
  <c r="CS61" i="27"/>
  <c r="CG61" i="27"/>
  <c r="BU61" i="27"/>
  <c r="BI61" i="27"/>
  <c r="AW61" i="27"/>
  <c r="CV61" i="27"/>
  <c r="CJ61" i="27"/>
  <c r="BX61" i="27"/>
  <c r="BL61" i="27"/>
  <c r="AZ61" i="27"/>
  <c r="CY61" i="27"/>
  <c r="CM61" i="27"/>
  <c r="CA61" i="27"/>
  <c r="BO61" i="27"/>
  <c r="BC61" i="27"/>
  <c r="DB69" i="27"/>
  <c r="CP69" i="27"/>
  <c r="CD69" i="27"/>
  <c r="BR69" i="27"/>
  <c r="BF69" i="27"/>
  <c r="AK69" i="27"/>
  <c r="CS69" i="27"/>
  <c r="CG69" i="27"/>
  <c r="BU69" i="27"/>
  <c r="BI69" i="27"/>
  <c r="AW69" i="27"/>
  <c r="CV69" i="27"/>
  <c r="CJ69" i="27"/>
  <c r="BX69" i="27"/>
  <c r="BL69" i="27"/>
  <c r="AZ69" i="27"/>
  <c r="CY69" i="27"/>
  <c r="CM69" i="27"/>
  <c r="CA69" i="27"/>
  <c r="BO69" i="27"/>
  <c r="BC69" i="27"/>
  <c r="AN40" i="27"/>
  <c r="AO40" i="27" s="1"/>
  <c r="AJ41" i="27"/>
  <c r="AK41" i="27" s="1"/>
  <c r="AN41" i="27"/>
  <c r="AO41" i="27" s="1"/>
  <c r="U42" i="27"/>
  <c r="AN42" i="27"/>
  <c r="AO42" i="27" s="1"/>
  <c r="AN43" i="27"/>
  <c r="AO43" i="27" s="1"/>
  <c r="AN44" i="27"/>
  <c r="AO44" i="27" s="1"/>
  <c r="AJ45" i="27"/>
  <c r="AK45" i="27" s="1"/>
  <c r="AN45" i="27"/>
  <c r="AO45" i="27" s="1"/>
  <c r="AN46" i="27"/>
  <c r="AO46" i="27" s="1"/>
  <c r="AN47" i="27"/>
  <c r="AO47" i="27" s="1"/>
  <c r="AN48" i="27"/>
  <c r="AO48" i="27" s="1"/>
  <c r="AJ49" i="27"/>
  <c r="AK49" i="27" s="1"/>
  <c r="AN49" i="27"/>
  <c r="AO49" i="27" s="1"/>
  <c r="AN50" i="27"/>
  <c r="AO50" i="27" s="1"/>
  <c r="AJ51" i="27"/>
  <c r="AK51" i="27" s="1"/>
  <c r="AN51" i="27"/>
  <c r="AO51" i="27" s="1"/>
  <c r="AN52" i="27"/>
  <c r="AO52" i="27" s="1"/>
  <c r="AN53" i="27"/>
  <c r="AO53" i="27" s="1"/>
  <c r="AN54" i="27"/>
  <c r="AO54" i="27" s="1"/>
  <c r="AJ55" i="27"/>
  <c r="AK55" i="27" s="1"/>
  <c r="AN55" i="27"/>
  <c r="AO55" i="27" s="1"/>
  <c r="AI56" i="27"/>
  <c r="DB59" i="27"/>
  <c r="CP59" i="27"/>
  <c r="CD59" i="27"/>
  <c r="BR59" i="27"/>
  <c r="BF59" i="27"/>
  <c r="AK59" i="27"/>
  <c r="CS59" i="27"/>
  <c r="CG59" i="27"/>
  <c r="BU59" i="27"/>
  <c r="BI59" i="27"/>
  <c r="AW59" i="27"/>
  <c r="CV59" i="27"/>
  <c r="CJ59" i="27"/>
  <c r="BX59" i="27"/>
  <c r="BL59" i="27"/>
  <c r="AZ59" i="27"/>
  <c r="CY59" i="27"/>
  <c r="CM59" i="27"/>
  <c r="CA59" i="27"/>
  <c r="BO59" i="27"/>
  <c r="BC59" i="27"/>
  <c r="BX67" i="27"/>
  <c r="CS77" i="27"/>
  <c r="CG77" i="27"/>
  <c r="BU77" i="27"/>
  <c r="BI77" i="27"/>
  <c r="AW77" i="27"/>
  <c r="DB77" i="27"/>
  <c r="CP77" i="27"/>
  <c r="CD77" i="27"/>
  <c r="BR77" i="27"/>
  <c r="BF77" i="27"/>
  <c r="CY77" i="27"/>
  <c r="CM77" i="27"/>
  <c r="CA77" i="27"/>
  <c r="BO77" i="27"/>
  <c r="BC77" i="27"/>
  <c r="CV77" i="27"/>
  <c r="CJ77" i="27"/>
  <c r="BX77" i="27"/>
  <c r="BL77" i="27"/>
  <c r="AZ77" i="27"/>
  <c r="AW58" i="27"/>
  <c r="BI58" i="27"/>
  <c r="BU58" i="27"/>
  <c r="CG58" i="27"/>
  <c r="CS58" i="27"/>
  <c r="AW60" i="27"/>
  <c r="BI60" i="27"/>
  <c r="BU60" i="27"/>
  <c r="CG60" i="27"/>
  <c r="CS60" i="27"/>
  <c r="AW62" i="27"/>
  <c r="BI62" i="27"/>
  <c r="BU62" i="27"/>
  <c r="CG62" i="27"/>
  <c r="CS62" i="27"/>
  <c r="AW64" i="27"/>
  <c r="BI64" i="27"/>
  <c r="BU64" i="27"/>
  <c r="CG64" i="27"/>
  <c r="CS64" i="27"/>
  <c r="AW66" i="27"/>
  <c r="BI66" i="27"/>
  <c r="BU66" i="27"/>
  <c r="CG66" i="27"/>
  <c r="CS66" i="27"/>
  <c r="AW68" i="27"/>
  <c r="BI68" i="27"/>
  <c r="BU68" i="27"/>
  <c r="CG68" i="27"/>
  <c r="CS68" i="27"/>
  <c r="AW70" i="27"/>
  <c r="BI70" i="27"/>
  <c r="BU70" i="27"/>
  <c r="CG70" i="27"/>
  <c r="CS70" i="27"/>
  <c r="AN72" i="27"/>
  <c r="AO72" i="27" s="1"/>
  <c r="AK72" i="27"/>
  <c r="AZ72" i="27"/>
  <c r="BX72" i="27"/>
  <c r="AZ73" i="27"/>
  <c r="BO73" i="27"/>
  <c r="BX73" i="27"/>
  <c r="CM73" i="27"/>
  <c r="CV73" i="27"/>
  <c r="AI76" i="27"/>
  <c r="AN78" i="27"/>
  <c r="AO78" i="27" s="1"/>
  <c r="AI78" i="27"/>
  <c r="AN80" i="27"/>
  <c r="AO80" i="27" s="1"/>
  <c r="AI80" i="27"/>
  <c r="AN82" i="27"/>
  <c r="AO82" i="27" s="1"/>
  <c r="AI82" i="27"/>
  <c r="AN84" i="27"/>
  <c r="AO84" i="27" s="1"/>
  <c r="AI84" i="27"/>
  <c r="AK58" i="27"/>
  <c r="BF58" i="27"/>
  <c r="BR58" i="27"/>
  <c r="CD58" i="27"/>
  <c r="CP58" i="27"/>
  <c r="DB58" i="27"/>
  <c r="BF60" i="27"/>
  <c r="BR60" i="27"/>
  <c r="CD60" i="27"/>
  <c r="CP60" i="27"/>
  <c r="DB60" i="27"/>
  <c r="AK62" i="27"/>
  <c r="BF62" i="27"/>
  <c r="BR62" i="27"/>
  <c r="CD62" i="27"/>
  <c r="CP62" i="27"/>
  <c r="DB62" i="27"/>
  <c r="AK64" i="27"/>
  <c r="BF64" i="27"/>
  <c r="BR64" i="27"/>
  <c r="CD64" i="27"/>
  <c r="CP64" i="27"/>
  <c r="DB64" i="27"/>
  <c r="AK66" i="27"/>
  <c r="BF66" i="27"/>
  <c r="BR66" i="27"/>
  <c r="CD66" i="27"/>
  <c r="CP66" i="27"/>
  <c r="DB66" i="27"/>
  <c r="BF68" i="27"/>
  <c r="BR68" i="27"/>
  <c r="CD68" i="27"/>
  <c r="CP68" i="27"/>
  <c r="DB68" i="27"/>
  <c r="AK70" i="27"/>
  <c r="BF70" i="27"/>
  <c r="BR70" i="27"/>
  <c r="CD70" i="27"/>
  <c r="CP70" i="27"/>
  <c r="DB70" i="27"/>
  <c r="BF73" i="27"/>
  <c r="CD73" i="27"/>
  <c r="DB73" i="27"/>
  <c r="CY74" i="27"/>
  <c r="CM74" i="27"/>
  <c r="CA74" i="27"/>
  <c r="BO74" i="27"/>
  <c r="BC74" i="27"/>
  <c r="CV74" i="27"/>
  <c r="CJ74" i="27"/>
  <c r="BX74" i="27"/>
  <c r="BL74" i="27"/>
  <c r="AZ74" i="27"/>
  <c r="BI74" i="27"/>
  <c r="BU74" i="27"/>
  <c r="CG74" i="27"/>
  <c r="CS74" i="27"/>
  <c r="AZ75" i="27"/>
  <c r="BL75" i="27"/>
  <c r="BX75" i="27"/>
  <c r="CJ75" i="27"/>
  <c r="BC79" i="27"/>
  <c r="CA79" i="27"/>
  <c r="CY86" i="27"/>
  <c r="CM86" i="27"/>
  <c r="CA86" i="27"/>
  <c r="BO86" i="27"/>
  <c r="BC86" i="27"/>
  <c r="DB86" i="27"/>
  <c r="CP86" i="27"/>
  <c r="CD86" i="27"/>
  <c r="BR86" i="27"/>
  <c r="BF86" i="27"/>
  <c r="AK86" i="27"/>
  <c r="CS86" i="27"/>
  <c r="CG86" i="27"/>
  <c r="BU86" i="27"/>
  <c r="BI86" i="27"/>
  <c r="AW86" i="27"/>
  <c r="CV86" i="27"/>
  <c r="CJ86" i="27"/>
  <c r="BX86" i="27"/>
  <c r="BL86" i="27"/>
  <c r="AZ86" i="27"/>
  <c r="CA87" i="27"/>
  <c r="CD90" i="27"/>
  <c r="CS91" i="27"/>
  <c r="CG91" i="27"/>
  <c r="BU91" i="27"/>
  <c r="BI91" i="27"/>
  <c r="AW91" i="27"/>
  <c r="CV91" i="27"/>
  <c r="CJ91" i="27"/>
  <c r="BX91" i="27"/>
  <c r="BL91" i="27"/>
  <c r="AZ91" i="27"/>
  <c r="CY91" i="27"/>
  <c r="CM91" i="27"/>
  <c r="CA91" i="27"/>
  <c r="BO91" i="27"/>
  <c r="BC91" i="27"/>
  <c r="DB91" i="27"/>
  <c r="CP91" i="27"/>
  <c r="CD91" i="27"/>
  <c r="BR91" i="27"/>
  <c r="BF91" i="27"/>
  <c r="AK91" i="27"/>
  <c r="CY94" i="27"/>
  <c r="CM94" i="27"/>
  <c r="CA94" i="27"/>
  <c r="BO94" i="27"/>
  <c r="BC94" i="27"/>
  <c r="DB94" i="27"/>
  <c r="CP94" i="27"/>
  <c r="CD94" i="27"/>
  <c r="BR94" i="27"/>
  <c r="BF94" i="27"/>
  <c r="AK94" i="27"/>
  <c r="CS94" i="27"/>
  <c r="CG94" i="27"/>
  <c r="BU94" i="27"/>
  <c r="BI94" i="27"/>
  <c r="AW94" i="27"/>
  <c r="CV94" i="27"/>
  <c r="CJ94" i="27"/>
  <c r="BX94" i="27"/>
  <c r="BL94" i="27"/>
  <c r="AZ94" i="27"/>
  <c r="CS95" i="27"/>
  <c r="CG95" i="27"/>
  <c r="BU95" i="27"/>
  <c r="BI95" i="27"/>
  <c r="AW95" i="27"/>
  <c r="CV95" i="27"/>
  <c r="CJ95" i="27"/>
  <c r="BX95" i="27"/>
  <c r="BL95" i="27"/>
  <c r="AZ95" i="27"/>
  <c r="CY95" i="27"/>
  <c r="CM95" i="27"/>
  <c r="CA95" i="27"/>
  <c r="BO95" i="27"/>
  <c r="BC95" i="27"/>
  <c r="DB95" i="27"/>
  <c r="CP95" i="27"/>
  <c r="CD95" i="27"/>
  <c r="BR95" i="27"/>
  <c r="BF95" i="27"/>
  <c r="AK95" i="27"/>
  <c r="CY98" i="27"/>
  <c r="CM98" i="27"/>
  <c r="CA98" i="27"/>
  <c r="BO98" i="27"/>
  <c r="BC98" i="27"/>
  <c r="DB98" i="27"/>
  <c r="CP98" i="27"/>
  <c r="CD98" i="27"/>
  <c r="BR98" i="27"/>
  <c r="BF98" i="27"/>
  <c r="AK98" i="27"/>
  <c r="CS98" i="27"/>
  <c r="CG98" i="27"/>
  <c r="BU98" i="27"/>
  <c r="BI98" i="27"/>
  <c r="AW98" i="27"/>
  <c r="CV98" i="27"/>
  <c r="CJ98" i="27"/>
  <c r="BX98" i="27"/>
  <c r="BL98" i="27"/>
  <c r="AZ98" i="27"/>
  <c r="CS99" i="27"/>
  <c r="CG99" i="27"/>
  <c r="BU99" i="27"/>
  <c r="BI99" i="27"/>
  <c r="AW99" i="27"/>
  <c r="CV99" i="27"/>
  <c r="CJ99" i="27"/>
  <c r="BX99" i="27"/>
  <c r="BL99" i="27"/>
  <c r="AZ99" i="27"/>
  <c r="CY99" i="27"/>
  <c r="CM99" i="27"/>
  <c r="CA99" i="27"/>
  <c r="BO99" i="27"/>
  <c r="BC99" i="27"/>
  <c r="DB99" i="27"/>
  <c r="CP99" i="27"/>
  <c r="CD99" i="27"/>
  <c r="BR99" i="27"/>
  <c r="BF99" i="27"/>
  <c r="AK99" i="27"/>
  <c r="CY102" i="27"/>
  <c r="CM102" i="27"/>
  <c r="CA102" i="27"/>
  <c r="BO102" i="27"/>
  <c r="BC102" i="27"/>
  <c r="DB102" i="27"/>
  <c r="CP102" i="27"/>
  <c r="CD102" i="27"/>
  <c r="BR102" i="27"/>
  <c r="BF102" i="27"/>
  <c r="AK102" i="27"/>
  <c r="CS102" i="27"/>
  <c r="CG102" i="27"/>
  <c r="BU102" i="27"/>
  <c r="BI102" i="27"/>
  <c r="AW102" i="27"/>
  <c r="CV102" i="27"/>
  <c r="CJ102" i="27"/>
  <c r="BX102" i="27"/>
  <c r="BL102" i="27"/>
  <c r="AZ102" i="27"/>
  <c r="BL103" i="27"/>
  <c r="BC58" i="27"/>
  <c r="BO58" i="27"/>
  <c r="CA58" i="27"/>
  <c r="CM58" i="27"/>
  <c r="CY58" i="27"/>
  <c r="BC60" i="27"/>
  <c r="BO60" i="27"/>
  <c r="CA60" i="27"/>
  <c r="CM60" i="27"/>
  <c r="CY60" i="27"/>
  <c r="BC62" i="27"/>
  <c r="BO62" i="27"/>
  <c r="CA62" i="27"/>
  <c r="CM62" i="27"/>
  <c r="CY62" i="27"/>
  <c r="BC64" i="27"/>
  <c r="BO64" i="27"/>
  <c r="CA64" i="27"/>
  <c r="CM64" i="27"/>
  <c r="CY64" i="27"/>
  <c r="BC66" i="27"/>
  <c r="BO66" i="27"/>
  <c r="CA66" i="27"/>
  <c r="CM66" i="27"/>
  <c r="CY66" i="27"/>
  <c r="BC68" i="27"/>
  <c r="BO68" i="27"/>
  <c r="CA68" i="27"/>
  <c r="CM68" i="27"/>
  <c r="CY68" i="27"/>
  <c r="BC70" i="27"/>
  <c r="BO70" i="27"/>
  <c r="CA70" i="27"/>
  <c r="CM70" i="27"/>
  <c r="CY70" i="27"/>
  <c r="CY72" i="27"/>
  <c r="CM72" i="27"/>
  <c r="CA72" i="27"/>
  <c r="BO72" i="27"/>
  <c r="BC72" i="27"/>
  <c r="BL72" i="27"/>
  <c r="CJ72" i="27"/>
  <c r="AJ73" i="27"/>
  <c r="AK73" i="27" s="1"/>
  <c r="BC73" i="27"/>
  <c r="BL73" i="27"/>
  <c r="CA73" i="27"/>
  <c r="CJ73" i="27"/>
  <c r="AN74" i="27"/>
  <c r="AO74" i="27" s="1"/>
  <c r="AZ58" i="27"/>
  <c r="BL58" i="27"/>
  <c r="BX58" i="27"/>
  <c r="CJ58" i="27"/>
  <c r="AZ60" i="27"/>
  <c r="BL60" i="27"/>
  <c r="BX60" i="27"/>
  <c r="CJ60" i="27"/>
  <c r="AZ62" i="27"/>
  <c r="BL62" i="27"/>
  <c r="BX62" i="27"/>
  <c r="CJ62" i="27"/>
  <c r="AZ64" i="27"/>
  <c r="BL64" i="27"/>
  <c r="BX64" i="27"/>
  <c r="CJ64" i="27"/>
  <c r="AZ66" i="27"/>
  <c r="BL66" i="27"/>
  <c r="BX66" i="27"/>
  <c r="CJ66" i="27"/>
  <c r="AZ68" i="27"/>
  <c r="BL68" i="27"/>
  <c r="BX68" i="27"/>
  <c r="CJ68" i="27"/>
  <c r="AZ70" i="27"/>
  <c r="BL70" i="27"/>
  <c r="BX70" i="27"/>
  <c r="CJ70" i="27"/>
  <c r="CS73" i="27"/>
  <c r="CG73" i="27"/>
  <c r="BU73" i="27"/>
  <c r="BI73" i="27"/>
  <c r="AW73" i="27"/>
  <c r="BR73" i="27"/>
  <c r="CP73" i="27"/>
  <c r="CS75" i="27"/>
  <c r="CG75" i="27"/>
  <c r="BU75" i="27"/>
  <c r="BI75" i="27"/>
  <c r="AW75" i="27"/>
  <c r="DB75" i="27"/>
  <c r="CP75" i="27"/>
  <c r="CD75" i="27"/>
  <c r="BR75" i="27"/>
  <c r="BF75" i="27"/>
  <c r="AK75" i="27"/>
  <c r="BC75" i="27"/>
  <c r="BO75" i="27"/>
  <c r="CA75" i="27"/>
  <c r="CM75" i="27"/>
  <c r="CY75" i="27"/>
  <c r="CS79" i="27"/>
  <c r="CG79" i="27"/>
  <c r="BU79" i="27"/>
  <c r="BI79" i="27"/>
  <c r="AW79" i="27"/>
  <c r="CV79" i="27"/>
  <c r="CJ79" i="27"/>
  <c r="BX79" i="27"/>
  <c r="BL79" i="27"/>
  <c r="AZ79" i="27"/>
  <c r="DB79" i="27"/>
  <c r="CP79" i="27"/>
  <c r="CD79" i="27"/>
  <c r="BR79" i="27"/>
  <c r="BF79" i="27"/>
  <c r="AK79" i="27"/>
  <c r="BO79" i="27"/>
  <c r="CM79" i="27"/>
  <c r="AI81" i="27"/>
  <c r="AI83" i="27"/>
  <c r="AI85" i="27"/>
  <c r="CY88" i="27"/>
  <c r="CM88" i="27"/>
  <c r="CA88" i="27"/>
  <c r="BO88" i="27"/>
  <c r="BC88" i="27"/>
  <c r="DB88" i="27"/>
  <c r="CP88" i="27"/>
  <c r="CD88" i="27"/>
  <c r="BR88" i="27"/>
  <c r="BF88" i="27"/>
  <c r="AK88" i="27"/>
  <c r="CS88" i="27"/>
  <c r="CG88" i="27"/>
  <c r="BU88" i="27"/>
  <c r="BI88" i="27"/>
  <c r="AW88" i="27"/>
  <c r="CV88" i="27"/>
  <c r="CJ88" i="27"/>
  <c r="BX88" i="27"/>
  <c r="BL88" i="27"/>
  <c r="AZ88" i="27"/>
  <c r="CS89" i="27"/>
  <c r="CG89" i="27"/>
  <c r="BU89" i="27"/>
  <c r="BI89" i="27"/>
  <c r="AW89" i="27"/>
  <c r="CV89" i="27"/>
  <c r="CJ89" i="27"/>
  <c r="BX89" i="27"/>
  <c r="BL89" i="27"/>
  <c r="AZ89" i="27"/>
  <c r="CY89" i="27"/>
  <c r="CM89" i="27"/>
  <c r="CA89" i="27"/>
  <c r="BO89" i="27"/>
  <c r="BC89" i="27"/>
  <c r="DB89" i="27"/>
  <c r="CP89" i="27"/>
  <c r="CD89" i="27"/>
  <c r="BR89" i="27"/>
  <c r="BF89" i="27"/>
  <c r="AK89" i="27"/>
  <c r="CY92" i="27"/>
  <c r="CM92" i="27"/>
  <c r="CA92" i="27"/>
  <c r="BO92" i="27"/>
  <c r="BC92" i="27"/>
  <c r="DB92" i="27"/>
  <c r="CP92" i="27"/>
  <c r="CD92" i="27"/>
  <c r="BR92" i="27"/>
  <c r="BF92" i="27"/>
  <c r="AK92" i="27"/>
  <c r="CS92" i="27"/>
  <c r="CG92" i="27"/>
  <c r="BU92" i="27"/>
  <c r="BI92" i="27"/>
  <c r="AW92" i="27"/>
  <c r="CV92" i="27"/>
  <c r="CJ92" i="27"/>
  <c r="BX92" i="27"/>
  <c r="BL92" i="27"/>
  <c r="AZ92" i="27"/>
  <c r="CS93" i="27"/>
  <c r="CG93" i="27"/>
  <c r="BU93" i="27"/>
  <c r="BI93" i="27"/>
  <c r="AW93" i="27"/>
  <c r="CV93" i="27"/>
  <c r="CJ93" i="27"/>
  <c r="BX93" i="27"/>
  <c r="BL93" i="27"/>
  <c r="AZ93" i="27"/>
  <c r="CY93" i="27"/>
  <c r="CM93" i="27"/>
  <c r="CA93" i="27"/>
  <c r="BO93" i="27"/>
  <c r="BC93" i="27"/>
  <c r="DB93" i="27"/>
  <c r="CP93" i="27"/>
  <c r="CD93" i="27"/>
  <c r="BR93" i="27"/>
  <c r="BF93" i="27"/>
  <c r="AK93" i="27"/>
  <c r="CY96" i="27"/>
  <c r="CM96" i="27"/>
  <c r="CA96" i="27"/>
  <c r="BO96" i="27"/>
  <c r="BC96" i="27"/>
  <c r="DB96" i="27"/>
  <c r="CP96" i="27"/>
  <c r="CD96" i="27"/>
  <c r="BR96" i="27"/>
  <c r="BF96" i="27"/>
  <c r="CS96" i="27"/>
  <c r="CG96" i="27"/>
  <c r="BU96" i="27"/>
  <c r="BI96" i="27"/>
  <c r="AW96" i="27"/>
  <c r="CV96" i="27"/>
  <c r="CJ96" i="27"/>
  <c r="BX96" i="27"/>
  <c r="BL96" i="27"/>
  <c r="AZ96" i="27"/>
  <c r="CS97" i="27"/>
  <c r="CG97" i="27"/>
  <c r="BU97" i="27"/>
  <c r="BI97" i="27"/>
  <c r="AW97" i="27"/>
  <c r="CV97" i="27"/>
  <c r="CJ97" i="27"/>
  <c r="BX97" i="27"/>
  <c r="BL97" i="27"/>
  <c r="AZ97" i="27"/>
  <c r="CY97" i="27"/>
  <c r="CM97" i="27"/>
  <c r="CA97" i="27"/>
  <c r="BO97" i="27"/>
  <c r="BC97" i="27"/>
  <c r="DB97" i="27"/>
  <c r="CP97" i="27"/>
  <c r="CD97" i="27"/>
  <c r="BR97" i="27"/>
  <c r="BF97" i="27"/>
  <c r="CY100" i="27"/>
  <c r="CM100" i="27"/>
  <c r="CA100" i="27"/>
  <c r="BO100" i="27"/>
  <c r="BC100" i="27"/>
  <c r="DB100" i="27"/>
  <c r="CP100" i="27"/>
  <c r="CD100" i="27"/>
  <c r="BR100" i="27"/>
  <c r="BF100" i="27"/>
  <c r="AK100" i="27"/>
  <c r="CS100" i="27"/>
  <c r="CG100" i="27"/>
  <c r="BU100" i="27"/>
  <c r="BI100" i="27"/>
  <c r="AW100" i="27"/>
  <c r="CV100" i="27"/>
  <c r="CJ100" i="27"/>
  <c r="BX100" i="27"/>
  <c r="BL100" i="27"/>
  <c r="AZ100" i="27"/>
  <c r="CS101" i="27"/>
  <c r="CG101" i="27"/>
  <c r="BU101" i="27"/>
  <c r="BI101" i="27"/>
  <c r="AW101" i="27"/>
  <c r="CV101" i="27"/>
  <c r="CJ101" i="27"/>
  <c r="BX101" i="27"/>
  <c r="BL101" i="27"/>
  <c r="AZ101" i="27"/>
  <c r="CY101" i="27"/>
  <c r="CM101" i="27"/>
  <c r="CA101" i="27"/>
  <c r="BO101" i="27"/>
  <c r="BC101" i="27"/>
  <c r="DB101" i="27"/>
  <c r="CP101" i="27"/>
  <c r="CD101" i="27"/>
  <c r="BR101" i="27"/>
  <c r="BF101" i="27"/>
  <c r="AK101" i="27"/>
  <c r="CM104" i="27"/>
  <c r="CA104" i="27"/>
  <c r="BO104" i="27"/>
  <c r="BC104" i="27"/>
  <c r="CY104" i="27"/>
  <c r="CP104" i="27"/>
  <c r="CD104" i="27"/>
  <c r="BR104" i="27"/>
  <c r="BF104" i="27"/>
  <c r="AK104" i="27"/>
  <c r="DB104" i="27"/>
  <c r="CS104" i="27"/>
  <c r="CG104" i="27"/>
  <c r="BU104" i="27"/>
  <c r="BI104" i="27"/>
  <c r="AW104" i="27"/>
  <c r="CV104" i="27"/>
  <c r="CJ104" i="27"/>
  <c r="BX104" i="27"/>
  <c r="BL104" i="27"/>
  <c r="AZ104" i="27"/>
  <c r="AI109" i="27"/>
  <c r="AI111" i="27"/>
  <c r="AI113" i="27"/>
  <c r="AI115" i="27"/>
  <c r="CS120" i="27"/>
  <c r="CG120" i="27"/>
  <c r="BU120" i="27"/>
  <c r="BI120" i="27"/>
  <c r="AW120" i="27"/>
  <c r="CV120" i="27"/>
  <c r="CJ120" i="27"/>
  <c r="BX120" i="27"/>
  <c r="BL120" i="27"/>
  <c r="AZ120" i="27"/>
  <c r="CY120" i="27"/>
  <c r="CM120" i="27"/>
  <c r="CA120" i="27"/>
  <c r="BO120" i="27"/>
  <c r="BC120" i="27"/>
  <c r="DB120" i="27"/>
  <c r="CP120" i="27"/>
  <c r="CD120" i="27"/>
  <c r="BR120" i="27"/>
  <c r="BF120" i="27"/>
  <c r="AK120" i="27"/>
  <c r="CS124" i="27"/>
  <c r="CG124" i="27"/>
  <c r="BU124" i="27"/>
  <c r="BI124" i="27"/>
  <c r="AW124" i="27"/>
  <c r="CV124" i="27"/>
  <c r="CJ124" i="27"/>
  <c r="BX124" i="27"/>
  <c r="BL124" i="27"/>
  <c r="AZ124" i="27"/>
  <c r="CY124" i="27"/>
  <c r="CM124" i="27"/>
  <c r="CA124" i="27"/>
  <c r="BO124" i="27"/>
  <c r="BC124" i="27"/>
  <c r="DB124" i="27"/>
  <c r="CP124" i="27"/>
  <c r="CD124" i="27"/>
  <c r="BR124" i="27"/>
  <c r="BF124" i="27"/>
  <c r="AK124" i="27"/>
  <c r="CS128" i="27"/>
  <c r="CG128" i="27"/>
  <c r="BU128" i="27"/>
  <c r="BI128" i="27"/>
  <c r="AW128" i="27"/>
  <c r="CV128" i="27"/>
  <c r="CJ128" i="27"/>
  <c r="BX128" i="27"/>
  <c r="BL128" i="27"/>
  <c r="AZ128" i="27"/>
  <c r="CY128" i="27"/>
  <c r="CM128" i="27"/>
  <c r="CA128" i="27"/>
  <c r="BO128" i="27"/>
  <c r="BC128" i="27"/>
  <c r="DB128" i="27"/>
  <c r="CP128" i="27"/>
  <c r="CD128" i="27"/>
  <c r="BR128" i="27"/>
  <c r="BF128" i="27"/>
  <c r="AK128" i="27"/>
  <c r="CS132" i="27"/>
  <c r="CG132" i="27"/>
  <c r="BU132" i="27"/>
  <c r="BI132" i="27"/>
  <c r="AW132" i="27"/>
  <c r="CV132" i="27"/>
  <c r="CJ132" i="27"/>
  <c r="BX132" i="27"/>
  <c r="BL132" i="27"/>
  <c r="AZ132" i="27"/>
  <c r="CY132" i="27"/>
  <c r="CM132" i="27"/>
  <c r="CA132" i="27"/>
  <c r="BO132" i="27"/>
  <c r="BC132" i="27"/>
  <c r="DB132" i="27"/>
  <c r="CP132" i="27"/>
  <c r="CD132" i="27"/>
  <c r="BR132" i="27"/>
  <c r="BF132" i="27"/>
  <c r="AK132" i="27"/>
  <c r="CS136" i="27"/>
  <c r="CG136" i="27"/>
  <c r="BU136" i="27"/>
  <c r="BI136" i="27"/>
  <c r="AW136" i="27"/>
  <c r="CV136" i="27"/>
  <c r="CJ136" i="27"/>
  <c r="BX136" i="27"/>
  <c r="BL136" i="27"/>
  <c r="AZ136" i="27"/>
  <c r="CY136" i="27"/>
  <c r="CM136" i="27"/>
  <c r="CA136" i="27"/>
  <c r="BO136" i="27"/>
  <c r="BC136" i="27"/>
  <c r="DB136" i="27"/>
  <c r="CP136" i="27"/>
  <c r="CD136" i="27"/>
  <c r="BR136" i="27"/>
  <c r="BF136" i="27"/>
  <c r="AK136" i="27"/>
  <c r="CS141" i="27"/>
  <c r="CG141" i="27"/>
  <c r="BU141" i="27"/>
  <c r="BI141" i="27"/>
  <c r="AW141" i="27"/>
  <c r="DB141" i="27"/>
  <c r="CP141" i="27"/>
  <c r="CD141" i="27"/>
  <c r="BR141" i="27"/>
  <c r="BF141" i="27"/>
  <c r="AK141" i="27"/>
  <c r="CV141" i="27"/>
  <c r="CJ141" i="27"/>
  <c r="BX141" i="27"/>
  <c r="BL141" i="27"/>
  <c r="AZ141" i="27"/>
  <c r="CY141" i="27"/>
  <c r="CM141" i="27"/>
  <c r="CA141" i="27"/>
  <c r="BO141" i="27"/>
  <c r="BC141" i="27"/>
  <c r="CS145" i="27"/>
  <c r="CG145" i="27"/>
  <c r="BU145" i="27"/>
  <c r="BI145" i="27"/>
  <c r="AW145" i="27"/>
  <c r="CY145" i="27"/>
  <c r="CM145" i="27"/>
  <c r="CA145" i="27"/>
  <c r="BO145" i="27"/>
  <c r="BC145" i="27"/>
  <c r="DB145" i="27"/>
  <c r="CP145" i="27"/>
  <c r="CD145" i="27"/>
  <c r="BR145" i="27"/>
  <c r="BF145" i="27"/>
  <c r="CJ145" i="27"/>
  <c r="BL145" i="27"/>
  <c r="CV145" i="27"/>
  <c r="BX145" i="27"/>
  <c r="AZ145" i="27"/>
  <c r="CY105" i="27"/>
  <c r="CM105" i="27"/>
  <c r="CA105" i="27"/>
  <c r="BO105" i="27"/>
  <c r="BC105" i="27"/>
  <c r="DB105" i="27"/>
  <c r="CP105" i="27"/>
  <c r="CD105" i="27"/>
  <c r="BR105" i="27"/>
  <c r="CV105" i="27"/>
  <c r="CJ105" i="27"/>
  <c r="BX105" i="27"/>
  <c r="BL105" i="27"/>
  <c r="AZ105" i="27"/>
  <c r="BI105" i="27"/>
  <c r="CG105" i="27"/>
  <c r="CS106" i="27"/>
  <c r="CG106" i="27"/>
  <c r="BU106" i="27"/>
  <c r="BI106" i="27"/>
  <c r="AW106" i="27"/>
  <c r="CV106" i="27"/>
  <c r="CJ106" i="27"/>
  <c r="BX106" i="27"/>
  <c r="BL106" i="27"/>
  <c r="AZ106" i="27"/>
  <c r="DB106" i="27"/>
  <c r="CP106" i="27"/>
  <c r="CD106" i="27"/>
  <c r="BR106" i="27"/>
  <c r="BF106" i="27"/>
  <c r="AK106" i="27"/>
  <c r="BO106" i="27"/>
  <c r="CM106" i="27"/>
  <c r="CS108" i="27"/>
  <c r="CG108" i="27"/>
  <c r="BU108" i="27"/>
  <c r="BI108" i="27"/>
  <c r="AW108" i="27"/>
  <c r="CV108" i="27"/>
  <c r="CJ108" i="27"/>
  <c r="BX108" i="27"/>
  <c r="BL108" i="27"/>
  <c r="AZ108" i="27"/>
  <c r="DB108" i="27"/>
  <c r="CP108" i="27"/>
  <c r="CD108" i="27"/>
  <c r="BR108" i="27"/>
  <c r="BF108" i="27"/>
  <c r="BO108" i="27"/>
  <c r="CM108" i="27"/>
  <c r="CS110" i="27"/>
  <c r="CG110" i="27"/>
  <c r="BU110" i="27"/>
  <c r="BI110" i="27"/>
  <c r="AW110" i="27"/>
  <c r="CV110" i="27"/>
  <c r="CJ110" i="27"/>
  <c r="BX110" i="27"/>
  <c r="BL110" i="27"/>
  <c r="AZ110" i="27"/>
  <c r="DB110" i="27"/>
  <c r="CP110" i="27"/>
  <c r="CD110" i="27"/>
  <c r="BR110" i="27"/>
  <c r="BF110" i="27"/>
  <c r="AK110" i="27"/>
  <c r="BO110" i="27"/>
  <c r="CM110" i="27"/>
  <c r="CS112" i="27"/>
  <c r="CG112" i="27"/>
  <c r="BU112" i="27"/>
  <c r="BI112" i="27"/>
  <c r="AW112" i="27"/>
  <c r="CV112" i="27"/>
  <c r="CJ112" i="27"/>
  <c r="BX112" i="27"/>
  <c r="BL112" i="27"/>
  <c r="AZ112" i="27"/>
  <c r="DB112" i="27"/>
  <c r="CP112" i="27"/>
  <c r="CD112" i="27"/>
  <c r="BR112" i="27"/>
  <c r="BF112" i="27"/>
  <c r="AK112" i="27"/>
  <c r="BO112" i="27"/>
  <c r="CM112" i="27"/>
  <c r="BU114" i="27"/>
  <c r="DB114" i="27"/>
  <c r="CS116" i="27"/>
  <c r="CG116" i="27"/>
  <c r="BU116" i="27"/>
  <c r="BI116" i="27"/>
  <c r="AW116" i="27"/>
  <c r="CV116" i="27"/>
  <c r="CJ116" i="27"/>
  <c r="BX116" i="27"/>
  <c r="BL116" i="27"/>
  <c r="AZ116" i="27"/>
  <c r="DB116" i="27"/>
  <c r="CP116" i="27"/>
  <c r="CD116" i="27"/>
  <c r="BR116" i="27"/>
  <c r="BF116" i="27"/>
  <c r="AK116" i="27"/>
  <c r="BO116" i="27"/>
  <c r="CM116" i="27"/>
  <c r="CY117" i="27"/>
  <c r="CM117" i="27"/>
  <c r="CA117" i="27"/>
  <c r="BO117" i="27"/>
  <c r="BC117" i="27"/>
  <c r="DB117" i="27"/>
  <c r="CP117" i="27"/>
  <c r="CD117" i="27"/>
  <c r="BR117" i="27"/>
  <c r="BF117" i="27"/>
  <c r="AK117" i="27"/>
  <c r="CS117" i="27"/>
  <c r="CG117" i="27"/>
  <c r="BU117" i="27"/>
  <c r="BI117" i="27"/>
  <c r="AW117" i="27"/>
  <c r="CV117" i="27"/>
  <c r="CJ117" i="27"/>
  <c r="BX117" i="27"/>
  <c r="BL117" i="27"/>
  <c r="AZ117" i="27"/>
  <c r="CA121" i="27"/>
  <c r="CD121" i="27"/>
  <c r="BU121" i="27"/>
  <c r="BX121" i="27"/>
  <c r="CY125" i="27"/>
  <c r="CM125" i="27"/>
  <c r="CA125" i="27"/>
  <c r="BO125" i="27"/>
  <c r="BC125" i="27"/>
  <c r="DB125" i="27"/>
  <c r="CP125" i="27"/>
  <c r="CD125" i="27"/>
  <c r="BR125" i="27"/>
  <c r="BF125" i="27"/>
  <c r="AK125" i="27"/>
  <c r="CS125" i="27"/>
  <c r="CG125" i="27"/>
  <c r="BU125" i="27"/>
  <c r="BI125" i="27"/>
  <c r="AW125" i="27"/>
  <c r="CV125" i="27"/>
  <c r="CJ125" i="27"/>
  <c r="BX125" i="27"/>
  <c r="BL125" i="27"/>
  <c r="AZ125" i="27"/>
  <c r="CM129" i="27"/>
  <c r="CD129" i="27"/>
  <c r="CG129" i="27"/>
  <c r="CJ129" i="27"/>
  <c r="CY133" i="27"/>
  <c r="CM133" i="27"/>
  <c r="CA133" i="27"/>
  <c r="BO133" i="27"/>
  <c r="BC133" i="27"/>
  <c r="DB133" i="27"/>
  <c r="CP133" i="27"/>
  <c r="CD133" i="27"/>
  <c r="BR133" i="27"/>
  <c r="BF133" i="27"/>
  <c r="AK133" i="27"/>
  <c r="CS133" i="27"/>
  <c r="CG133" i="27"/>
  <c r="BU133" i="27"/>
  <c r="BI133" i="27"/>
  <c r="AW133" i="27"/>
  <c r="CV133" i="27"/>
  <c r="CJ133" i="27"/>
  <c r="BX133" i="27"/>
  <c r="BL133" i="27"/>
  <c r="AZ133" i="27"/>
  <c r="CY137" i="27"/>
  <c r="BC137" i="27"/>
  <c r="BR137" i="27"/>
  <c r="CG137" i="27"/>
  <c r="CV137" i="27"/>
  <c r="AZ137" i="27"/>
  <c r="AN105" i="27"/>
  <c r="AO105" i="27" s="1"/>
  <c r="AN107" i="27"/>
  <c r="AO107" i="27" s="1"/>
  <c r="AI107" i="27"/>
  <c r="AN109" i="27"/>
  <c r="AO109" i="27" s="1"/>
  <c r="AN111" i="27"/>
  <c r="AO111" i="27" s="1"/>
  <c r="AN113" i="27"/>
  <c r="AO113" i="27" s="1"/>
  <c r="CS118" i="27"/>
  <c r="CG118" i="27"/>
  <c r="BU118" i="27"/>
  <c r="BI118" i="27"/>
  <c r="AW118" i="27"/>
  <c r="CV118" i="27"/>
  <c r="CJ118" i="27"/>
  <c r="BX118" i="27"/>
  <c r="BL118" i="27"/>
  <c r="AZ118" i="27"/>
  <c r="CY118" i="27"/>
  <c r="CM118" i="27"/>
  <c r="CA118" i="27"/>
  <c r="BO118" i="27"/>
  <c r="BC118" i="27"/>
  <c r="DB118" i="27"/>
  <c r="CP118" i="27"/>
  <c r="CD118" i="27"/>
  <c r="BR118" i="27"/>
  <c r="BF118" i="27"/>
  <c r="AK118" i="27"/>
  <c r="CS122" i="27"/>
  <c r="CG122" i="27"/>
  <c r="BU122" i="27"/>
  <c r="BI122" i="27"/>
  <c r="AW122" i="27"/>
  <c r="CV122" i="27"/>
  <c r="CJ122" i="27"/>
  <c r="BX122" i="27"/>
  <c r="BL122" i="27"/>
  <c r="AZ122" i="27"/>
  <c r="CY122" i="27"/>
  <c r="CM122" i="27"/>
  <c r="CA122" i="27"/>
  <c r="BO122" i="27"/>
  <c r="BC122" i="27"/>
  <c r="DB122" i="27"/>
  <c r="CP122" i="27"/>
  <c r="CD122" i="27"/>
  <c r="BR122" i="27"/>
  <c r="BF122" i="27"/>
  <c r="AK122" i="27"/>
  <c r="CS126" i="27"/>
  <c r="CG126" i="27"/>
  <c r="BU126" i="27"/>
  <c r="BI126" i="27"/>
  <c r="AW126" i="27"/>
  <c r="CV126" i="27"/>
  <c r="CJ126" i="27"/>
  <c r="BX126" i="27"/>
  <c r="BL126" i="27"/>
  <c r="AZ126" i="27"/>
  <c r="CY126" i="27"/>
  <c r="CM126" i="27"/>
  <c r="CA126" i="27"/>
  <c r="BO126" i="27"/>
  <c r="BC126" i="27"/>
  <c r="DB126" i="27"/>
  <c r="CP126" i="27"/>
  <c r="CD126" i="27"/>
  <c r="BR126" i="27"/>
  <c r="BF126" i="27"/>
  <c r="AK126" i="27"/>
  <c r="CS130" i="27"/>
  <c r="CG130" i="27"/>
  <c r="BU130" i="27"/>
  <c r="BI130" i="27"/>
  <c r="AW130" i="27"/>
  <c r="CV130" i="27"/>
  <c r="CJ130" i="27"/>
  <c r="BX130" i="27"/>
  <c r="BL130" i="27"/>
  <c r="AZ130" i="27"/>
  <c r="CY130" i="27"/>
  <c r="CM130" i="27"/>
  <c r="CA130" i="27"/>
  <c r="BO130" i="27"/>
  <c r="BC130" i="27"/>
  <c r="DB130" i="27"/>
  <c r="CP130" i="27"/>
  <c r="CD130" i="27"/>
  <c r="BR130" i="27"/>
  <c r="BF130" i="27"/>
  <c r="AK130" i="27"/>
  <c r="CS134" i="27"/>
  <c r="CG134" i="27"/>
  <c r="BU134" i="27"/>
  <c r="BI134" i="27"/>
  <c r="AW134" i="27"/>
  <c r="CV134" i="27"/>
  <c r="CJ134" i="27"/>
  <c r="BX134" i="27"/>
  <c r="BL134" i="27"/>
  <c r="AZ134" i="27"/>
  <c r="CY134" i="27"/>
  <c r="CM134" i="27"/>
  <c r="CA134" i="27"/>
  <c r="BO134" i="27"/>
  <c r="BC134" i="27"/>
  <c r="DB134" i="27"/>
  <c r="CP134" i="27"/>
  <c r="CD134" i="27"/>
  <c r="BR134" i="27"/>
  <c r="BF134" i="27"/>
  <c r="AK134" i="27"/>
  <c r="BF105" i="27"/>
  <c r="BU105" i="27"/>
  <c r="CS105" i="27"/>
  <c r="BC106" i="27"/>
  <c r="CA106" i="27"/>
  <c r="CY106" i="27"/>
  <c r="BC108" i="27"/>
  <c r="CA108" i="27"/>
  <c r="CY108" i="27"/>
  <c r="BC110" i="27"/>
  <c r="CA110" i="27"/>
  <c r="CY110" i="27"/>
  <c r="BC112" i="27"/>
  <c r="CA112" i="27"/>
  <c r="CY112" i="27"/>
  <c r="CA114" i="27"/>
  <c r="BC116" i="27"/>
  <c r="CA116" i="27"/>
  <c r="CY116" i="27"/>
  <c r="CY119" i="27"/>
  <c r="CM119" i="27"/>
  <c r="CA119" i="27"/>
  <c r="BO119" i="27"/>
  <c r="BC119" i="27"/>
  <c r="DB119" i="27"/>
  <c r="CP119" i="27"/>
  <c r="CD119" i="27"/>
  <c r="BR119" i="27"/>
  <c r="BF119" i="27"/>
  <c r="AK119" i="27"/>
  <c r="CS119" i="27"/>
  <c r="CG119" i="27"/>
  <c r="BU119" i="27"/>
  <c r="BI119" i="27"/>
  <c r="AW119" i="27"/>
  <c r="CV119" i="27"/>
  <c r="CJ119" i="27"/>
  <c r="BX119" i="27"/>
  <c r="BL119" i="27"/>
  <c r="AZ119" i="27"/>
  <c r="CY123" i="27"/>
  <c r="CM123" i="27"/>
  <c r="CA123" i="27"/>
  <c r="BO123" i="27"/>
  <c r="BC123" i="27"/>
  <c r="DB123" i="27"/>
  <c r="CP123" i="27"/>
  <c r="CD123" i="27"/>
  <c r="BR123" i="27"/>
  <c r="BF123" i="27"/>
  <c r="AK123" i="27"/>
  <c r="CS123" i="27"/>
  <c r="CG123" i="27"/>
  <c r="BU123" i="27"/>
  <c r="BI123" i="27"/>
  <c r="AW123" i="27"/>
  <c r="CV123" i="27"/>
  <c r="CJ123" i="27"/>
  <c r="BX123" i="27"/>
  <c r="BL123" i="27"/>
  <c r="AZ123" i="27"/>
  <c r="CY127" i="27"/>
  <c r="CM127" i="27"/>
  <c r="CA127" i="27"/>
  <c r="BO127" i="27"/>
  <c r="BC127" i="27"/>
  <c r="DB127" i="27"/>
  <c r="CP127" i="27"/>
  <c r="CD127" i="27"/>
  <c r="BR127" i="27"/>
  <c r="BF127" i="27"/>
  <c r="CS127" i="27"/>
  <c r="CG127" i="27"/>
  <c r="BU127" i="27"/>
  <c r="BI127" i="27"/>
  <c r="AW127" i="27"/>
  <c r="CV127" i="27"/>
  <c r="CJ127" i="27"/>
  <c r="BX127" i="27"/>
  <c r="BL127" i="27"/>
  <c r="AZ127" i="27"/>
  <c r="CY131" i="27"/>
  <c r="CM131" i="27"/>
  <c r="CA131" i="27"/>
  <c r="BO131" i="27"/>
  <c r="BC131" i="27"/>
  <c r="DB131" i="27"/>
  <c r="CP131" i="27"/>
  <c r="CD131" i="27"/>
  <c r="BR131" i="27"/>
  <c r="BF131" i="27"/>
  <c r="AK131" i="27"/>
  <c r="CS131" i="27"/>
  <c r="CG131" i="27"/>
  <c r="BU131" i="27"/>
  <c r="BI131" i="27"/>
  <c r="AW131" i="27"/>
  <c r="CV131" i="27"/>
  <c r="CJ131" i="27"/>
  <c r="BX131" i="27"/>
  <c r="BL131" i="27"/>
  <c r="AZ131" i="27"/>
  <c r="CY135" i="27"/>
  <c r="CM135" i="27"/>
  <c r="CA135" i="27"/>
  <c r="BO135" i="27"/>
  <c r="BC135" i="27"/>
  <c r="DB135" i="27"/>
  <c r="CP135" i="27"/>
  <c r="CD135" i="27"/>
  <c r="BR135" i="27"/>
  <c r="BF135" i="27"/>
  <c r="CS135" i="27"/>
  <c r="CG135" i="27"/>
  <c r="BU135" i="27"/>
  <c r="BI135" i="27"/>
  <c r="AW135" i="27"/>
  <c r="CV135" i="27"/>
  <c r="CJ135" i="27"/>
  <c r="BX135" i="27"/>
  <c r="BL135" i="27"/>
  <c r="AZ135" i="27"/>
  <c r="BO139" i="27"/>
  <c r="AI140" i="27"/>
  <c r="AJ144" i="27"/>
  <c r="CY150" i="27"/>
  <c r="CM150" i="27"/>
  <c r="CA150" i="27"/>
  <c r="BO150" i="27"/>
  <c r="BC150" i="27"/>
  <c r="DB150" i="27"/>
  <c r="CP150" i="27"/>
  <c r="CD150" i="27"/>
  <c r="BR150" i="27"/>
  <c r="BF150" i="27"/>
  <c r="AK150" i="27"/>
  <c r="CS150" i="27"/>
  <c r="CG150" i="27"/>
  <c r="BU150" i="27"/>
  <c r="BI150" i="27"/>
  <c r="AW150" i="27"/>
  <c r="CV150" i="27"/>
  <c r="CJ150" i="27"/>
  <c r="BX150" i="27"/>
  <c r="BL150" i="27"/>
  <c r="AZ150" i="27"/>
  <c r="CY158" i="27"/>
  <c r="CM158" i="27"/>
  <c r="CA158" i="27"/>
  <c r="BO158" i="27"/>
  <c r="BC158" i="27"/>
  <c r="DB158" i="27"/>
  <c r="CP158" i="27"/>
  <c r="CD158" i="27"/>
  <c r="BR158" i="27"/>
  <c r="BF158" i="27"/>
  <c r="AK158" i="27"/>
  <c r="CS158" i="27"/>
  <c r="CG158" i="27"/>
  <c r="BU158" i="27"/>
  <c r="BI158" i="27"/>
  <c r="AW158" i="27"/>
  <c r="CV158" i="27"/>
  <c r="CJ158" i="27"/>
  <c r="BX158" i="27"/>
  <c r="BL158" i="27"/>
  <c r="AZ158" i="27"/>
  <c r="AJ146" i="27"/>
  <c r="CY148" i="27"/>
  <c r="CM148" i="27"/>
  <c r="CA148" i="27"/>
  <c r="BO148" i="27"/>
  <c r="BC148" i="27"/>
  <c r="DB148" i="27"/>
  <c r="CP148" i="27"/>
  <c r="CD148" i="27"/>
  <c r="BR148" i="27"/>
  <c r="BF148" i="27"/>
  <c r="AK148" i="27"/>
  <c r="CS148" i="27"/>
  <c r="CG148" i="27"/>
  <c r="BU148" i="27"/>
  <c r="BI148" i="27"/>
  <c r="AW148" i="27"/>
  <c r="CV148" i="27"/>
  <c r="CJ148" i="27"/>
  <c r="BX148" i="27"/>
  <c r="BL148" i="27"/>
  <c r="AZ148" i="27"/>
  <c r="CY156" i="27"/>
  <c r="CM156" i="27"/>
  <c r="CA156" i="27"/>
  <c r="BO156" i="27"/>
  <c r="BC156" i="27"/>
  <c r="DB156" i="27"/>
  <c r="CP156" i="27"/>
  <c r="CD156" i="27"/>
  <c r="BR156" i="27"/>
  <c r="BF156" i="27"/>
  <c r="AK156" i="27"/>
  <c r="CS156" i="27"/>
  <c r="CG156" i="27"/>
  <c r="BU156" i="27"/>
  <c r="BI156" i="27"/>
  <c r="AW156" i="27"/>
  <c r="CV156" i="27"/>
  <c r="CJ156" i="27"/>
  <c r="BX156" i="27"/>
  <c r="BL156" i="27"/>
  <c r="AZ156" i="27"/>
  <c r="DB139" i="27"/>
  <c r="CP139" i="27"/>
  <c r="CD139" i="27"/>
  <c r="BR139" i="27"/>
  <c r="BF139" i="27"/>
  <c r="AK139" i="27"/>
  <c r="BC139" i="27"/>
  <c r="CA139" i="27"/>
  <c r="CY139" i="27"/>
  <c r="AN142" i="27"/>
  <c r="AO142" i="27" s="1"/>
  <c r="AI144" i="27"/>
  <c r="CY154" i="27"/>
  <c r="CM154" i="27"/>
  <c r="CA154" i="27"/>
  <c r="BO154" i="27"/>
  <c r="BC154" i="27"/>
  <c r="DB154" i="27"/>
  <c r="CP154" i="27"/>
  <c r="CD154" i="27"/>
  <c r="BR154" i="27"/>
  <c r="BF154" i="27"/>
  <c r="AK154" i="27"/>
  <c r="CS154" i="27"/>
  <c r="CG154" i="27"/>
  <c r="BU154" i="27"/>
  <c r="BI154" i="27"/>
  <c r="AW154" i="27"/>
  <c r="CV154" i="27"/>
  <c r="CJ154" i="27"/>
  <c r="BX154" i="27"/>
  <c r="BL154" i="27"/>
  <c r="AZ154" i="27"/>
  <c r="AI138" i="27"/>
  <c r="AZ139" i="27"/>
  <c r="BI139" i="27"/>
  <c r="BX139" i="27"/>
  <c r="CG139" i="27"/>
  <c r="CV139" i="27"/>
  <c r="AI142" i="27"/>
  <c r="AI143" i="27"/>
  <c r="AI146" i="27"/>
  <c r="CM152" i="27"/>
  <c r="DB152" i="27"/>
  <c r="BF152" i="27"/>
  <c r="BU152" i="27"/>
  <c r="CJ152" i="27"/>
  <c r="DB161" i="27"/>
  <c r="CP161" i="27"/>
  <c r="CD161" i="27"/>
  <c r="BR161" i="27"/>
  <c r="BF161" i="27"/>
  <c r="AK161" i="27"/>
  <c r="CS161" i="27"/>
  <c r="CJ161" i="27"/>
  <c r="BU161" i="27"/>
  <c r="BL161" i="27"/>
  <c r="AW161" i="27"/>
  <c r="CM161" i="27"/>
  <c r="BO161" i="27"/>
  <c r="CV161" i="27"/>
  <c r="CG161" i="27"/>
  <c r="BX161" i="27"/>
  <c r="BI161" i="27"/>
  <c r="AZ161" i="27"/>
  <c r="CY161" i="27"/>
  <c r="CA161" i="27"/>
  <c r="BC161" i="27"/>
  <c r="BI165" i="27"/>
  <c r="CD165" i="27"/>
  <c r="CV165" i="27"/>
  <c r="AZ165" i="27"/>
  <c r="BO165" i="27"/>
  <c r="CS167" i="27"/>
  <c r="CG167" i="27"/>
  <c r="BU167" i="27"/>
  <c r="BI167" i="27"/>
  <c r="AW167" i="27"/>
  <c r="DB167" i="27"/>
  <c r="CP167" i="27"/>
  <c r="CD167" i="27"/>
  <c r="BR167" i="27"/>
  <c r="BF167" i="27"/>
  <c r="AK167" i="27"/>
  <c r="CV167" i="27"/>
  <c r="CJ167" i="27"/>
  <c r="BX167" i="27"/>
  <c r="BL167" i="27"/>
  <c r="AZ167" i="27"/>
  <c r="CY167" i="27"/>
  <c r="CM167" i="27"/>
  <c r="CA167" i="27"/>
  <c r="BO167" i="27"/>
  <c r="BC167" i="27"/>
  <c r="BF147" i="27"/>
  <c r="BR147" i="27"/>
  <c r="CD147" i="27"/>
  <c r="CP147" i="27"/>
  <c r="DB147" i="27"/>
  <c r="AK149" i="27"/>
  <c r="BF149" i="27"/>
  <c r="BR149" i="27"/>
  <c r="CD149" i="27"/>
  <c r="CP149" i="27"/>
  <c r="DB149" i="27"/>
  <c r="AK151" i="27"/>
  <c r="BF151" i="27"/>
  <c r="BR151" i="27"/>
  <c r="CD151" i="27"/>
  <c r="CP151" i="27"/>
  <c r="DB151" i="27"/>
  <c r="AK153" i="27"/>
  <c r="BF153" i="27"/>
  <c r="BR153" i="27"/>
  <c r="CD153" i="27"/>
  <c r="CP153" i="27"/>
  <c r="DB153" i="27"/>
  <c r="AK155" i="27"/>
  <c r="BF155" i="27"/>
  <c r="BR155" i="27"/>
  <c r="CD155" i="27"/>
  <c r="CP155" i="27"/>
  <c r="DB155" i="27"/>
  <c r="CD157" i="27"/>
  <c r="BF159" i="27"/>
  <c r="BR159" i="27"/>
  <c r="CD159" i="27"/>
  <c r="CP159" i="27"/>
  <c r="DB159" i="27"/>
  <c r="BC160" i="27"/>
  <c r="BR160" i="27"/>
  <c r="CA160" i="27"/>
  <c r="CP160" i="27"/>
  <c r="AW163" i="27"/>
  <c r="BL163" i="27"/>
  <c r="BU163" i="27"/>
  <c r="CJ163" i="27"/>
  <c r="AN164" i="27"/>
  <c r="AO164" i="27" s="1"/>
  <c r="AI166" i="27"/>
  <c r="CY176" i="27"/>
  <c r="CM176" i="27"/>
  <c r="CA176" i="27"/>
  <c r="BO176" i="27"/>
  <c r="BC176" i="27"/>
  <c r="DB176" i="27"/>
  <c r="CP176" i="27"/>
  <c r="CD176" i="27"/>
  <c r="BR176" i="27"/>
  <c r="BF176" i="27"/>
  <c r="AK176" i="27"/>
  <c r="CS176" i="27"/>
  <c r="CG176" i="27"/>
  <c r="BU176" i="27"/>
  <c r="BI176" i="27"/>
  <c r="AW176" i="27"/>
  <c r="CV176" i="27"/>
  <c r="CJ176" i="27"/>
  <c r="BX176" i="27"/>
  <c r="BL176" i="27"/>
  <c r="AZ176" i="27"/>
  <c r="BC147" i="27"/>
  <c r="BO147" i="27"/>
  <c r="CA147" i="27"/>
  <c r="CM147" i="27"/>
  <c r="CY147" i="27"/>
  <c r="BC149" i="27"/>
  <c r="BO149" i="27"/>
  <c r="CA149" i="27"/>
  <c r="CM149" i="27"/>
  <c r="CY149" i="27"/>
  <c r="BC151" i="27"/>
  <c r="BO151" i="27"/>
  <c r="CA151" i="27"/>
  <c r="CM151" i="27"/>
  <c r="CY151" i="27"/>
  <c r="BC153" i="27"/>
  <c r="BO153" i="27"/>
  <c r="CA153" i="27"/>
  <c r="CM153" i="27"/>
  <c r="CY153" i="27"/>
  <c r="BC155" i="27"/>
  <c r="BO155" i="27"/>
  <c r="CA155" i="27"/>
  <c r="CM155" i="27"/>
  <c r="CY155" i="27"/>
  <c r="BC157" i="27"/>
  <c r="CY157" i="27"/>
  <c r="BC159" i="27"/>
  <c r="BO159" i="27"/>
  <c r="CA159" i="27"/>
  <c r="CM159" i="27"/>
  <c r="CY159" i="27"/>
  <c r="CV160" i="27"/>
  <c r="CJ160" i="27"/>
  <c r="BX160" i="27"/>
  <c r="BL160" i="27"/>
  <c r="AZ160" i="27"/>
  <c r="BI160" i="27"/>
  <c r="CG160" i="27"/>
  <c r="CP162" i="27"/>
  <c r="DB163" i="27"/>
  <c r="CP163" i="27"/>
  <c r="CD163" i="27"/>
  <c r="BR163" i="27"/>
  <c r="BF163" i="27"/>
  <c r="AK163" i="27"/>
  <c r="BC163" i="27"/>
  <c r="CA163" i="27"/>
  <c r="CY163" i="27"/>
  <c r="CY164" i="27"/>
  <c r="CM164" i="27"/>
  <c r="CA164" i="27"/>
  <c r="BO164" i="27"/>
  <c r="BC164" i="27"/>
  <c r="CV164" i="27"/>
  <c r="CJ164" i="27"/>
  <c r="BX164" i="27"/>
  <c r="BL164" i="27"/>
  <c r="AZ164" i="27"/>
  <c r="BF164" i="27"/>
  <c r="BR164" i="27"/>
  <c r="CD164" i="27"/>
  <c r="CP164" i="27"/>
  <c r="DB164" i="27"/>
  <c r="AK168" i="27"/>
  <c r="CY174" i="27"/>
  <c r="CM174" i="27"/>
  <c r="CA174" i="27"/>
  <c r="BO174" i="27"/>
  <c r="BC174" i="27"/>
  <c r="DB174" i="27"/>
  <c r="CP174" i="27"/>
  <c r="CD174" i="27"/>
  <c r="BR174" i="27"/>
  <c r="BF174" i="27"/>
  <c r="AK174" i="27"/>
  <c r="CS174" i="27"/>
  <c r="CG174" i="27"/>
  <c r="BU174" i="27"/>
  <c r="BI174" i="27"/>
  <c r="AW174" i="27"/>
  <c r="CV174" i="27"/>
  <c r="CJ174" i="27"/>
  <c r="BX174" i="27"/>
  <c r="BL174" i="27"/>
  <c r="AZ174" i="27"/>
  <c r="CY182" i="27"/>
  <c r="CM182" i="27"/>
  <c r="CA182" i="27"/>
  <c r="BO182" i="27"/>
  <c r="BC182" i="27"/>
  <c r="DB182" i="27"/>
  <c r="CP182" i="27"/>
  <c r="CD182" i="27"/>
  <c r="BR182" i="27"/>
  <c r="BF182" i="27"/>
  <c r="AK182" i="27"/>
  <c r="CS182" i="27"/>
  <c r="CG182" i="27"/>
  <c r="BU182" i="27"/>
  <c r="BI182" i="27"/>
  <c r="AW182" i="27"/>
  <c r="CV182" i="27"/>
  <c r="CJ182" i="27"/>
  <c r="BX182" i="27"/>
  <c r="BL182" i="27"/>
  <c r="AZ182" i="27"/>
  <c r="AZ147" i="27"/>
  <c r="BL147" i="27"/>
  <c r="BX147" i="27"/>
  <c r="CJ147" i="27"/>
  <c r="CV147" i="27"/>
  <c r="AZ149" i="27"/>
  <c r="BL149" i="27"/>
  <c r="BX149" i="27"/>
  <c r="CJ149" i="27"/>
  <c r="CV149" i="27"/>
  <c r="AZ151" i="27"/>
  <c r="BL151" i="27"/>
  <c r="BX151" i="27"/>
  <c r="CJ151" i="27"/>
  <c r="CV151" i="27"/>
  <c r="AZ153" i="27"/>
  <c r="BL153" i="27"/>
  <c r="BX153" i="27"/>
  <c r="CJ153" i="27"/>
  <c r="CV153" i="27"/>
  <c r="AZ155" i="27"/>
  <c r="BL155" i="27"/>
  <c r="BX155" i="27"/>
  <c r="CJ155" i="27"/>
  <c r="CV155" i="27"/>
  <c r="CJ157" i="27"/>
  <c r="AZ159" i="27"/>
  <c r="BL159" i="27"/>
  <c r="BX159" i="27"/>
  <c r="CJ159" i="27"/>
  <c r="CV159" i="27"/>
  <c r="CM160" i="27"/>
  <c r="DB160" i="27"/>
  <c r="BL162" i="27"/>
  <c r="AZ163" i="27"/>
  <c r="BI163" i="27"/>
  <c r="BX163" i="27"/>
  <c r="CG163" i="27"/>
  <c r="CV163" i="27"/>
  <c r="CY168" i="27"/>
  <c r="CM168" i="27"/>
  <c r="CA168" i="27"/>
  <c r="BO168" i="27"/>
  <c r="BC168" i="27"/>
  <c r="DB168" i="27"/>
  <c r="CP168" i="27"/>
  <c r="CD168" i="27"/>
  <c r="BR168" i="27"/>
  <c r="CS168" i="27"/>
  <c r="CG168" i="27"/>
  <c r="BU168" i="27"/>
  <c r="BI168" i="27"/>
  <c r="AW168" i="27"/>
  <c r="CV168" i="27"/>
  <c r="CJ168" i="27"/>
  <c r="BX168" i="27"/>
  <c r="BL168" i="27"/>
  <c r="AZ168" i="27"/>
  <c r="CY172" i="27"/>
  <c r="CM172" i="27"/>
  <c r="CA172" i="27"/>
  <c r="BO172" i="27"/>
  <c r="BC172" i="27"/>
  <c r="DB172" i="27"/>
  <c r="CP172" i="27"/>
  <c r="CD172" i="27"/>
  <c r="BR172" i="27"/>
  <c r="BF172" i="27"/>
  <c r="AK172" i="27"/>
  <c r="CS172" i="27"/>
  <c r="CG172" i="27"/>
  <c r="BU172" i="27"/>
  <c r="BI172" i="27"/>
  <c r="AW172" i="27"/>
  <c r="CV172" i="27"/>
  <c r="CJ172" i="27"/>
  <c r="BX172" i="27"/>
  <c r="BL172" i="27"/>
  <c r="AZ172" i="27"/>
  <c r="CY180" i="27"/>
  <c r="CM180" i="27"/>
  <c r="CA180" i="27"/>
  <c r="BO180" i="27"/>
  <c r="BC180" i="27"/>
  <c r="DB180" i="27"/>
  <c r="CP180" i="27"/>
  <c r="CD180" i="27"/>
  <c r="BR180" i="27"/>
  <c r="BF180" i="27"/>
  <c r="AK180" i="27"/>
  <c r="CS180" i="27"/>
  <c r="CG180" i="27"/>
  <c r="BU180" i="27"/>
  <c r="BI180" i="27"/>
  <c r="AW180" i="27"/>
  <c r="CV180" i="27"/>
  <c r="CJ180" i="27"/>
  <c r="BX180" i="27"/>
  <c r="BL180" i="27"/>
  <c r="AZ180" i="27"/>
  <c r="AW147" i="27"/>
  <c r="BI147" i="27"/>
  <c r="BU147" i="27"/>
  <c r="CG147" i="27"/>
  <c r="AW149" i="27"/>
  <c r="BI149" i="27"/>
  <c r="BU149" i="27"/>
  <c r="CG149" i="27"/>
  <c r="AW151" i="27"/>
  <c r="BI151" i="27"/>
  <c r="BU151" i="27"/>
  <c r="CG151" i="27"/>
  <c r="AW153" i="27"/>
  <c r="BI153" i="27"/>
  <c r="BU153" i="27"/>
  <c r="CG153" i="27"/>
  <c r="AW155" i="27"/>
  <c r="BI155" i="27"/>
  <c r="BU155" i="27"/>
  <c r="CG155" i="27"/>
  <c r="BU157" i="27"/>
  <c r="AW159" i="27"/>
  <c r="BI159" i="27"/>
  <c r="BU159" i="27"/>
  <c r="CG159" i="27"/>
  <c r="AW160" i="27"/>
  <c r="BU160" i="27"/>
  <c r="CS160" i="27"/>
  <c r="CM162" i="27"/>
  <c r="BO163" i="27"/>
  <c r="CM163" i="27"/>
  <c r="AK164" i="27"/>
  <c r="AW164" i="27"/>
  <c r="BI164" i="27"/>
  <c r="BU164" i="27"/>
  <c r="CG164" i="27"/>
  <c r="CS164" i="27"/>
  <c r="AN166" i="27"/>
  <c r="AO166" i="27" s="1"/>
  <c r="CM170" i="27"/>
  <c r="DB170" i="27"/>
  <c r="BF170" i="27"/>
  <c r="BU170" i="27"/>
  <c r="CJ170" i="27"/>
  <c r="CY178" i="27"/>
  <c r="CM178" i="27"/>
  <c r="CA178" i="27"/>
  <c r="BO178" i="27"/>
  <c r="BC178" i="27"/>
  <c r="DB178" i="27"/>
  <c r="CP178" i="27"/>
  <c r="CD178" i="27"/>
  <c r="BR178" i="27"/>
  <c r="BF178" i="27"/>
  <c r="AK178" i="27"/>
  <c r="CS178" i="27"/>
  <c r="CG178" i="27"/>
  <c r="BU178" i="27"/>
  <c r="BI178" i="27"/>
  <c r="AW178" i="27"/>
  <c r="CV178" i="27"/>
  <c r="CJ178" i="27"/>
  <c r="BX178" i="27"/>
  <c r="BL178" i="27"/>
  <c r="AZ178" i="27"/>
  <c r="CS188" i="27"/>
  <c r="CG188" i="27"/>
  <c r="BU188" i="27"/>
  <c r="BI188" i="27"/>
  <c r="AW188" i="27"/>
  <c r="CY188" i="27"/>
  <c r="CM188" i="27"/>
  <c r="CA188" i="27"/>
  <c r="BO188" i="27"/>
  <c r="BC188" i="27"/>
  <c r="DB188" i="27"/>
  <c r="CP188" i="27"/>
  <c r="CD188" i="27"/>
  <c r="BR188" i="27"/>
  <c r="BF188" i="27"/>
  <c r="AK188" i="27"/>
  <c r="CJ188" i="27"/>
  <c r="BL188" i="27"/>
  <c r="CV188" i="27"/>
  <c r="BX188" i="27"/>
  <c r="AZ188" i="27"/>
  <c r="AK169" i="27"/>
  <c r="BF169" i="27"/>
  <c r="BR169" i="27"/>
  <c r="CD169" i="27"/>
  <c r="CP169" i="27"/>
  <c r="DB169" i="27"/>
  <c r="AK171" i="27"/>
  <c r="BF171" i="27"/>
  <c r="BR171" i="27"/>
  <c r="CD171" i="27"/>
  <c r="CP171" i="27"/>
  <c r="DB171" i="27"/>
  <c r="BF173" i="27"/>
  <c r="BR173" i="27"/>
  <c r="CD173" i="27"/>
  <c r="CP173" i="27"/>
  <c r="DB173" i="27"/>
  <c r="AK175" i="27"/>
  <c r="BF175" i="27"/>
  <c r="BR175" i="27"/>
  <c r="CD175" i="27"/>
  <c r="CP175" i="27"/>
  <c r="DB175" i="27"/>
  <c r="BF177" i="27"/>
  <c r="BR177" i="27"/>
  <c r="CD177" i="27"/>
  <c r="CP177" i="27"/>
  <c r="DB177" i="27"/>
  <c r="AK179" i="27"/>
  <c r="BF179" i="27"/>
  <c r="BR179" i="27"/>
  <c r="CD179" i="27"/>
  <c r="CP179" i="27"/>
  <c r="DB179" i="27"/>
  <c r="AK181" i="27"/>
  <c r="BF181" i="27"/>
  <c r="BR181" i="27"/>
  <c r="CD181" i="27"/>
  <c r="CP181" i="27"/>
  <c r="DB181" i="27"/>
  <c r="AK183" i="27"/>
  <c r="BF183" i="27"/>
  <c r="BR183" i="27"/>
  <c r="CD183" i="27"/>
  <c r="CS183" i="27"/>
  <c r="DB183" i="27"/>
  <c r="DB184" i="27"/>
  <c r="AI185" i="27"/>
  <c r="AZ186" i="27"/>
  <c r="BL186" i="27"/>
  <c r="BX186" i="27"/>
  <c r="CJ186" i="27"/>
  <c r="AN187" i="27"/>
  <c r="AO187" i="27" s="1"/>
  <c r="BL190" i="27"/>
  <c r="CY193" i="27"/>
  <c r="CM193" i="27"/>
  <c r="CA193" i="27"/>
  <c r="BO193" i="27"/>
  <c r="BC193" i="27"/>
  <c r="DB193" i="27"/>
  <c r="CP193" i="27"/>
  <c r="CD193" i="27"/>
  <c r="BR193" i="27"/>
  <c r="BF193" i="27"/>
  <c r="CS193" i="27"/>
  <c r="CG193" i="27"/>
  <c r="BU193" i="27"/>
  <c r="BI193" i="27"/>
  <c r="AW193" i="27"/>
  <c r="CV193" i="27"/>
  <c r="CJ193" i="27"/>
  <c r="BX193" i="27"/>
  <c r="BL193" i="27"/>
  <c r="AZ193" i="27"/>
  <c r="BC169" i="27"/>
  <c r="BO169" i="27"/>
  <c r="CA169" i="27"/>
  <c r="CM169" i="27"/>
  <c r="CY169" i="27"/>
  <c r="BC171" i="27"/>
  <c r="BO171" i="27"/>
  <c r="CA171" i="27"/>
  <c r="CM171" i="27"/>
  <c r="CY171" i="27"/>
  <c r="BC173" i="27"/>
  <c r="BO173" i="27"/>
  <c r="CA173" i="27"/>
  <c r="CM173" i="27"/>
  <c r="CY173" i="27"/>
  <c r="BC175" i="27"/>
  <c r="BO175" i="27"/>
  <c r="CA175" i="27"/>
  <c r="CM175" i="27"/>
  <c r="CY175" i="27"/>
  <c r="BC177" i="27"/>
  <c r="BO177" i="27"/>
  <c r="CA177" i="27"/>
  <c r="CM177" i="27"/>
  <c r="CY177" i="27"/>
  <c r="BC179" i="27"/>
  <c r="BO179" i="27"/>
  <c r="CA179" i="27"/>
  <c r="CM179" i="27"/>
  <c r="CY179" i="27"/>
  <c r="BC181" i="27"/>
  <c r="BO181" i="27"/>
  <c r="CA181" i="27"/>
  <c r="CM181" i="27"/>
  <c r="CY181" i="27"/>
  <c r="BC183" i="27"/>
  <c r="BO183" i="27"/>
  <c r="CA183" i="27"/>
  <c r="BL184" i="27"/>
  <c r="AI189" i="27"/>
  <c r="CY199" i="27"/>
  <c r="CM199" i="27"/>
  <c r="CA199" i="27"/>
  <c r="BO199" i="27"/>
  <c r="BC199" i="27"/>
  <c r="DB199" i="27"/>
  <c r="CP199" i="27"/>
  <c r="CD199" i="27"/>
  <c r="BR199" i="27"/>
  <c r="BF199" i="27"/>
  <c r="AK199" i="27"/>
  <c r="CS199" i="27"/>
  <c r="CG199" i="27"/>
  <c r="BU199" i="27"/>
  <c r="BI199" i="27"/>
  <c r="AW199" i="27"/>
  <c r="CV199" i="27"/>
  <c r="CJ199" i="27"/>
  <c r="BX199" i="27"/>
  <c r="BL199" i="27"/>
  <c r="AZ199" i="27"/>
  <c r="AZ169" i="27"/>
  <c r="BL169" i="27"/>
  <c r="BX169" i="27"/>
  <c r="CJ169" i="27"/>
  <c r="CV169" i="27"/>
  <c r="AZ171" i="27"/>
  <c r="BL171" i="27"/>
  <c r="BX171" i="27"/>
  <c r="CJ171" i="27"/>
  <c r="CV171" i="27"/>
  <c r="AZ173" i="27"/>
  <c r="BL173" i="27"/>
  <c r="BX173" i="27"/>
  <c r="CJ173" i="27"/>
  <c r="CV173" i="27"/>
  <c r="AZ175" i="27"/>
  <c r="BL175" i="27"/>
  <c r="BX175" i="27"/>
  <c r="CJ175" i="27"/>
  <c r="CV175" i="27"/>
  <c r="AZ177" i="27"/>
  <c r="BL177" i="27"/>
  <c r="BX177" i="27"/>
  <c r="CJ177" i="27"/>
  <c r="CV177" i="27"/>
  <c r="AZ179" i="27"/>
  <c r="BL179" i="27"/>
  <c r="BX179" i="27"/>
  <c r="CJ179" i="27"/>
  <c r="CV179" i="27"/>
  <c r="AZ181" i="27"/>
  <c r="BL181" i="27"/>
  <c r="BX181" i="27"/>
  <c r="CJ181" i="27"/>
  <c r="CV181" i="27"/>
  <c r="CY183" i="27"/>
  <c r="CM183" i="27"/>
  <c r="AZ183" i="27"/>
  <c r="BL183" i="27"/>
  <c r="BX183" i="27"/>
  <c r="CG183" i="27"/>
  <c r="CP183" i="27"/>
  <c r="CG184" i="27"/>
  <c r="BR184" i="27"/>
  <c r="CS186" i="27"/>
  <c r="CG186" i="27"/>
  <c r="BU186" i="27"/>
  <c r="BI186" i="27"/>
  <c r="AW186" i="27"/>
  <c r="DB186" i="27"/>
  <c r="CP186" i="27"/>
  <c r="CD186" i="27"/>
  <c r="BR186" i="27"/>
  <c r="BF186" i="27"/>
  <c r="AK186" i="27"/>
  <c r="BC186" i="27"/>
  <c r="BO186" i="27"/>
  <c r="CA186" i="27"/>
  <c r="CM186" i="27"/>
  <c r="CY186" i="27"/>
  <c r="CS190" i="27"/>
  <c r="CG190" i="27"/>
  <c r="BU190" i="27"/>
  <c r="BI190" i="27"/>
  <c r="AW190" i="27"/>
  <c r="CY190" i="27"/>
  <c r="CM190" i="27"/>
  <c r="CA190" i="27"/>
  <c r="BO190" i="27"/>
  <c r="BC190" i="27"/>
  <c r="DB190" i="27"/>
  <c r="CP190" i="27"/>
  <c r="CD190" i="27"/>
  <c r="BR190" i="27"/>
  <c r="BF190" i="27"/>
  <c r="AK190" i="27"/>
  <c r="AZ190" i="27"/>
  <c r="BX190" i="27"/>
  <c r="CV190" i="27"/>
  <c r="AI191" i="27"/>
  <c r="CY197" i="27"/>
  <c r="CM197" i="27"/>
  <c r="CA197" i="27"/>
  <c r="BO197" i="27"/>
  <c r="BC197" i="27"/>
  <c r="DB197" i="27"/>
  <c r="CP197" i="27"/>
  <c r="CD197" i="27"/>
  <c r="BR197" i="27"/>
  <c r="BF197" i="27"/>
  <c r="AK197" i="27"/>
  <c r="CS197" i="27"/>
  <c r="CG197" i="27"/>
  <c r="BU197" i="27"/>
  <c r="BI197" i="27"/>
  <c r="AW197" i="27"/>
  <c r="CV197" i="27"/>
  <c r="CJ197" i="27"/>
  <c r="BX197" i="27"/>
  <c r="BL197" i="27"/>
  <c r="AZ197" i="27"/>
  <c r="AW169" i="27"/>
  <c r="BI169" i="27"/>
  <c r="BU169" i="27"/>
  <c r="CG169" i="27"/>
  <c r="AW171" i="27"/>
  <c r="BI171" i="27"/>
  <c r="BU171" i="27"/>
  <c r="CG171" i="27"/>
  <c r="AW173" i="27"/>
  <c r="BI173" i="27"/>
  <c r="BU173" i="27"/>
  <c r="CG173" i="27"/>
  <c r="AW175" i="27"/>
  <c r="BI175" i="27"/>
  <c r="BU175" i="27"/>
  <c r="CG175" i="27"/>
  <c r="AW177" i="27"/>
  <c r="BI177" i="27"/>
  <c r="BU177" i="27"/>
  <c r="CG177" i="27"/>
  <c r="AW179" i="27"/>
  <c r="BI179" i="27"/>
  <c r="BU179" i="27"/>
  <c r="CG179" i="27"/>
  <c r="AW181" i="27"/>
  <c r="BI181" i="27"/>
  <c r="BU181" i="27"/>
  <c r="CG181" i="27"/>
  <c r="AW183" i="27"/>
  <c r="BI183" i="27"/>
  <c r="BU183" i="27"/>
  <c r="CV183" i="27"/>
  <c r="AZ184" i="27"/>
  <c r="CV184" i="27"/>
  <c r="AI187" i="27"/>
  <c r="AJ191" i="27"/>
  <c r="CS192" i="27"/>
  <c r="CG192" i="27"/>
  <c r="BU192" i="27"/>
  <c r="BI192" i="27"/>
  <c r="AW192" i="27"/>
  <c r="CV192" i="27"/>
  <c r="CJ192" i="27"/>
  <c r="BX192" i="27"/>
  <c r="BL192" i="27"/>
  <c r="AZ192" i="27"/>
  <c r="CY192" i="27"/>
  <c r="CM192" i="27"/>
  <c r="CA192" i="27"/>
  <c r="BO192" i="27"/>
  <c r="BC192" i="27"/>
  <c r="DB192" i="27"/>
  <c r="CP192" i="27"/>
  <c r="CD192" i="27"/>
  <c r="BR192" i="27"/>
  <c r="BF192" i="27"/>
  <c r="CY195" i="27"/>
  <c r="BC195" i="27"/>
  <c r="BR195" i="27"/>
  <c r="CG195" i="27"/>
  <c r="CV195" i="27"/>
  <c r="AZ195" i="27"/>
  <c r="AK194" i="27"/>
  <c r="BF194" i="27"/>
  <c r="BR194" i="27"/>
  <c r="CD194" i="27"/>
  <c r="CP194" i="27"/>
  <c r="DB194" i="27"/>
  <c r="AK196" i="27"/>
  <c r="BF196" i="27"/>
  <c r="BR196" i="27"/>
  <c r="CD196" i="27"/>
  <c r="CP196" i="27"/>
  <c r="DB196" i="27"/>
  <c r="AK198" i="27"/>
  <c r="BF198" i="27"/>
  <c r="BR198" i="27"/>
  <c r="CD198" i="27"/>
  <c r="CP198" i="27"/>
  <c r="DB198" i="27"/>
  <c r="AI200" i="27"/>
  <c r="AZ201" i="27"/>
  <c r="BL201" i="27"/>
  <c r="BX201" i="27"/>
  <c r="CJ201" i="27"/>
  <c r="BC203" i="27"/>
  <c r="CA203" i="27"/>
  <c r="BX205" i="27"/>
  <c r="CM205" i="27"/>
  <c r="DB205" i="27"/>
  <c r="BF205" i="27"/>
  <c r="BU205" i="27"/>
  <c r="CP208" i="27"/>
  <c r="AK208" i="27"/>
  <c r="BI208" i="27"/>
  <c r="BX208" i="27"/>
  <c r="CM208" i="27"/>
  <c r="CV209" i="27"/>
  <c r="CJ209" i="27"/>
  <c r="BX209" i="27"/>
  <c r="BL209" i="27"/>
  <c r="AZ209" i="27"/>
  <c r="CY209" i="27"/>
  <c r="CM209" i="27"/>
  <c r="CA209" i="27"/>
  <c r="BO209" i="27"/>
  <c r="BC209" i="27"/>
  <c r="DB209" i="27"/>
  <c r="CP209" i="27"/>
  <c r="CD209" i="27"/>
  <c r="BR209" i="27"/>
  <c r="BF209" i="27"/>
  <c r="AK209" i="27"/>
  <c r="CS209" i="27"/>
  <c r="CG209" i="27"/>
  <c r="BU209" i="27"/>
  <c r="BI209" i="27"/>
  <c r="AW209" i="27"/>
  <c r="AS209" i="27" s="1"/>
  <c r="DB212" i="27"/>
  <c r="CP212" i="27"/>
  <c r="CD212" i="27"/>
  <c r="BR212" i="27"/>
  <c r="BF212" i="27"/>
  <c r="AK212" i="27"/>
  <c r="CS212" i="27"/>
  <c r="CG212" i="27"/>
  <c r="BU212" i="27"/>
  <c r="BI212" i="27"/>
  <c r="AW212" i="27"/>
  <c r="CV212" i="27"/>
  <c r="CJ212" i="27"/>
  <c r="BX212" i="27"/>
  <c r="BL212" i="27"/>
  <c r="AZ212" i="27"/>
  <c r="CY212" i="27"/>
  <c r="CM212" i="27"/>
  <c r="CA212" i="27"/>
  <c r="BO212" i="27"/>
  <c r="BC212" i="27"/>
  <c r="CV213" i="27"/>
  <c r="CJ213" i="27"/>
  <c r="BX213" i="27"/>
  <c r="BL213" i="27"/>
  <c r="AZ213" i="27"/>
  <c r="CY213" i="27"/>
  <c r="CM213" i="27"/>
  <c r="CA213" i="27"/>
  <c r="BO213" i="27"/>
  <c r="BC213" i="27"/>
  <c r="DB213" i="27"/>
  <c r="CP213" i="27"/>
  <c r="CD213" i="27"/>
  <c r="BR213" i="27"/>
  <c r="BF213" i="27"/>
  <c r="CS213" i="27"/>
  <c r="CG213" i="27"/>
  <c r="BU213" i="27"/>
  <c r="BI213" i="27"/>
  <c r="AW213" i="27"/>
  <c r="BC194" i="27"/>
  <c r="BO194" i="27"/>
  <c r="CA194" i="27"/>
  <c r="CM194" i="27"/>
  <c r="CY194" i="27"/>
  <c r="BC196" i="27"/>
  <c r="BO196" i="27"/>
  <c r="CA196" i="27"/>
  <c r="CM196" i="27"/>
  <c r="CY196" i="27"/>
  <c r="BC198" i="27"/>
  <c r="BO198" i="27"/>
  <c r="CA198" i="27"/>
  <c r="CM198" i="27"/>
  <c r="CY198" i="27"/>
  <c r="CY222" i="27"/>
  <c r="CM222" i="27"/>
  <c r="CA222" i="27"/>
  <c r="BO222" i="27"/>
  <c r="BC222" i="27"/>
  <c r="DB222" i="27"/>
  <c r="CP222" i="27"/>
  <c r="CD222" i="27"/>
  <c r="BR222" i="27"/>
  <c r="BF222" i="27"/>
  <c r="AK222" i="27"/>
  <c r="CS222" i="27"/>
  <c r="CG222" i="27"/>
  <c r="BU222" i="27"/>
  <c r="BI222" i="27"/>
  <c r="AW222" i="27"/>
  <c r="CV222" i="27"/>
  <c r="CJ222" i="27"/>
  <c r="BX222" i="27"/>
  <c r="BL222" i="27"/>
  <c r="AZ222" i="27"/>
  <c r="AZ194" i="27"/>
  <c r="BL194" i="27"/>
  <c r="BX194" i="27"/>
  <c r="CJ194" i="27"/>
  <c r="CV194" i="27"/>
  <c r="AZ196" i="27"/>
  <c r="BL196" i="27"/>
  <c r="BX196" i="27"/>
  <c r="CJ196" i="27"/>
  <c r="CV196" i="27"/>
  <c r="AZ198" i="27"/>
  <c r="BL198" i="27"/>
  <c r="BX198" i="27"/>
  <c r="CJ198" i="27"/>
  <c r="CV198" i="27"/>
  <c r="DB201" i="27"/>
  <c r="CP201" i="27"/>
  <c r="CD201" i="27"/>
  <c r="BR201" i="27"/>
  <c r="BF201" i="27"/>
  <c r="AK201" i="27"/>
  <c r="CS201" i="27"/>
  <c r="CG201" i="27"/>
  <c r="BU201" i="27"/>
  <c r="BI201" i="27"/>
  <c r="AW201" i="27"/>
  <c r="BC201" i="27"/>
  <c r="BO201" i="27"/>
  <c r="CA201" i="27"/>
  <c r="CM201" i="27"/>
  <c r="CY201" i="27"/>
  <c r="CV203" i="27"/>
  <c r="CJ203" i="27"/>
  <c r="BX203" i="27"/>
  <c r="BL203" i="27"/>
  <c r="AZ203" i="27"/>
  <c r="DB203" i="27"/>
  <c r="CP203" i="27"/>
  <c r="CD203" i="27"/>
  <c r="BR203" i="27"/>
  <c r="BF203" i="27"/>
  <c r="AK203" i="27"/>
  <c r="CS203" i="27"/>
  <c r="CG203" i="27"/>
  <c r="BU203" i="27"/>
  <c r="BI203" i="27"/>
  <c r="AW203" i="27"/>
  <c r="BO203" i="27"/>
  <c r="CM203" i="27"/>
  <c r="DB206" i="27"/>
  <c r="CP206" i="27"/>
  <c r="CD206" i="27"/>
  <c r="BR206" i="27"/>
  <c r="BF206" i="27"/>
  <c r="CS206" i="27"/>
  <c r="CG206" i="27"/>
  <c r="BU206" i="27"/>
  <c r="BI206" i="27"/>
  <c r="AW206" i="27"/>
  <c r="CV206" i="27"/>
  <c r="CJ206" i="27"/>
  <c r="BX206" i="27"/>
  <c r="BL206" i="27"/>
  <c r="AZ206" i="27"/>
  <c r="CY206" i="27"/>
  <c r="CM206" i="27"/>
  <c r="CA206" i="27"/>
  <c r="BO206" i="27"/>
  <c r="BC206" i="27"/>
  <c r="CV207" i="27"/>
  <c r="CJ207" i="27"/>
  <c r="BX207" i="27"/>
  <c r="BL207" i="27"/>
  <c r="AZ207" i="27"/>
  <c r="CY207" i="27"/>
  <c r="CM207" i="27"/>
  <c r="CA207" i="27"/>
  <c r="BO207" i="27"/>
  <c r="BC207" i="27"/>
  <c r="DB207" i="27"/>
  <c r="CP207" i="27"/>
  <c r="CD207" i="27"/>
  <c r="BR207" i="27"/>
  <c r="BF207" i="27"/>
  <c r="AK207" i="27"/>
  <c r="CS207" i="27"/>
  <c r="CG207" i="27"/>
  <c r="BU207" i="27"/>
  <c r="BI207" i="27"/>
  <c r="AW207" i="27"/>
  <c r="DB210" i="27"/>
  <c r="CP210" i="27"/>
  <c r="CD210" i="27"/>
  <c r="BR210" i="27"/>
  <c r="BF210" i="27"/>
  <c r="AK210" i="27"/>
  <c r="CS210" i="27"/>
  <c r="CG210" i="27"/>
  <c r="BU210" i="27"/>
  <c r="BI210" i="27"/>
  <c r="AW210" i="27"/>
  <c r="CV210" i="27"/>
  <c r="CJ210" i="27"/>
  <c r="BX210" i="27"/>
  <c r="BL210" i="27"/>
  <c r="AZ210" i="27"/>
  <c r="CY210" i="27"/>
  <c r="CM210" i="27"/>
  <c r="CA210" i="27"/>
  <c r="BO210" i="27"/>
  <c r="BC210" i="27"/>
  <c r="CV211" i="27"/>
  <c r="CJ211" i="27"/>
  <c r="BX211" i="27"/>
  <c r="BL211" i="27"/>
  <c r="AZ211" i="27"/>
  <c r="CY211" i="27"/>
  <c r="CM211" i="27"/>
  <c r="CA211" i="27"/>
  <c r="BO211" i="27"/>
  <c r="BC211" i="27"/>
  <c r="DB211" i="27"/>
  <c r="CP211" i="27"/>
  <c r="CD211" i="27"/>
  <c r="BR211" i="27"/>
  <c r="BF211" i="27"/>
  <c r="AK211" i="27"/>
  <c r="CS211" i="27"/>
  <c r="CG211" i="27"/>
  <c r="BU211" i="27"/>
  <c r="BI211" i="27"/>
  <c r="AW211" i="27"/>
  <c r="DB214" i="27"/>
  <c r="CP214" i="27"/>
  <c r="CD214" i="27"/>
  <c r="BR214" i="27"/>
  <c r="BF214" i="27"/>
  <c r="AK214" i="27"/>
  <c r="CS214" i="27"/>
  <c r="CG214" i="27"/>
  <c r="BU214" i="27"/>
  <c r="BI214" i="27"/>
  <c r="AW214" i="27"/>
  <c r="CV214" i="27"/>
  <c r="CJ214" i="27"/>
  <c r="BX214" i="27"/>
  <c r="BL214" i="27"/>
  <c r="AZ214" i="27"/>
  <c r="CY214" i="27"/>
  <c r="CM214" i="27"/>
  <c r="CA214" i="27"/>
  <c r="BO214" i="27"/>
  <c r="BC214" i="27"/>
  <c r="BR216" i="27"/>
  <c r="BO216" i="27"/>
  <c r="BI216" i="27"/>
  <c r="BC216" i="27"/>
  <c r="BL216" i="27"/>
  <c r="AW194" i="27"/>
  <c r="BI194" i="27"/>
  <c r="BU194" i="27"/>
  <c r="CG194" i="27"/>
  <c r="AW196" i="27"/>
  <c r="BI196" i="27"/>
  <c r="BU196" i="27"/>
  <c r="CG196" i="27"/>
  <c r="AW198" i="27"/>
  <c r="BI198" i="27"/>
  <c r="BU198" i="27"/>
  <c r="CG198" i="27"/>
  <c r="AI202" i="27"/>
  <c r="AN204" i="27"/>
  <c r="AO204" i="27" s="1"/>
  <c r="AI204" i="27"/>
  <c r="BO218" i="27"/>
  <c r="CD218" i="27"/>
  <c r="CV218" i="27"/>
  <c r="AZ218" i="27"/>
  <c r="BI218" i="27"/>
  <c r="AW215" i="27"/>
  <c r="BU215" i="27"/>
  <c r="CS215" i="27"/>
  <c r="BC217" i="27"/>
  <c r="BO217" i="27"/>
  <c r="CA217" i="27"/>
  <c r="CM217" i="27"/>
  <c r="AN218" i="27"/>
  <c r="AO218" i="27" s="1"/>
  <c r="CV220" i="27"/>
  <c r="BC215" i="27"/>
  <c r="BR215" i="27"/>
  <c r="CA215" i="27"/>
  <c r="CP215" i="27"/>
  <c r="AI219" i="27"/>
  <c r="AZ220" i="27"/>
  <c r="BL220" i="27"/>
  <c r="BX220" i="27"/>
  <c r="CV215" i="27"/>
  <c r="CJ215" i="27"/>
  <c r="BX215" i="27"/>
  <c r="BL215" i="27"/>
  <c r="AZ215" i="27"/>
  <c r="BI215" i="27"/>
  <c r="CG215" i="27"/>
  <c r="CS217" i="27"/>
  <c r="CG217" i="27"/>
  <c r="BU217" i="27"/>
  <c r="BI217" i="27"/>
  <c r="AW217" i="27"/>
  <c r="CV217" i="27"/>
  <c r="CJ217" i="27"/>
  <c r="BX217" i="27"/>
  <c r="BL217" i="27"/>
  <c r="AZ217" i="27"/>
  <c r="BF217" i="27"/>
  <c r="BR217" i="27"/>
  <c r="CD217" i="27"/>
  <c r="CP217" i="27"/>
  <c r="DB217" i="27"/>
  <c r="CY220" i="27"/>
  <c r="CM220" i="27"/>
  <c r="CA220" i="27"/>
  <c r="BO220" i="27"/>
  <c r="BC220" i="27"/>
  <c r="DB220" i="27"/>
  <c r="CP220" i="27"/>
  <c r="CD220" i="27"/>
  <c r="BR220" i="27"/>
  <c r="BF220" i="27"/>
  <c r="AK220" i="27"/>
  <c r="CS220" i="27"/>
  <c r="BR225" i="27"/>
  <c r="CM225" i="27"/>
  <c r="BX225" i="27"/>
  <c r="CA225" i="27"/>
  <c r="BL225" i="27"/>
  <c r="BF215" i="27"/>
  <c r="BO215" i="27"/>
  <c r="CD215" i="27"/>
  <c r="CM215" i="27"/>
  <c r="DB215" i="27"/>
  <c r="AJ217" i="27"/>
  <c r="AK217" i="27" s="1"/>
  <c r="AN220" i="27"/>
  <c r="AO220" i="27" s="1"/>
  <c r="AW220" i="27"/>
  <c r="BI220" i="27"/>
  <c r="BU220" i="27"/>
  <c r="CG220" i="27"/>
  <c r="AI221" i="27"/>
  <c r="BU223" i="27"/>
  <c r="CJ223" i="27"/>
  <c r="CY223" i="27"/>
  <c r="BC223" i="27"/>
  <c r="BR223" i="27"/>
  <c r="AZ224" i="27"/>
  <c r="BL224" i="27"/>
  <c r="BX224" i="27"/>
  <c r="CJ224" i="27"/>
  <c r="CV224" i="27"/>
  <c r="CY231" i="27"/>
  <c r="CM231" i="27"/>
  <c r="CA231" i="27"/>
  <c r="BO231" i="27"/>
  <c r="BC231" i="27"/>
  <c r="DB231" i="27"/>
  <c r="CP231" i="27"/>
  <c r="CD231" i="27"/>
  <c r="BR231" i="27"/>
  <c r="BF231" i="27"/>
  <c r="AK231" i="27"/>
  <c r="CS231" i="27"/>
  <c r="CG231" i="27"/>
  <c r="BU231" i="27"/>
  <c r="BI231" i="27"/>
  <c r="AW231" i="27"/>
  <c r="CV231" i="27"/>
  <c r="CJ231" i="27"/>
  <c r="BX231" i="27"/>
  <c r="BL231" i="27"/>
  <c r="AZ231" i="27"/>
  <c r="DB234" i="27"/>
  <c r="CP234" i="27"/>
  <c r="CD234" i="27"/>
  <c r="BR234" i="27"/>
  <c r="CV234" i="27"/>
  <c r="CG234" i="27"/>
  <c r="BX234" i="27"/>
  <c r="BI234" i="27"/>
  <c r="AW234" i="27"/>
  <c r="CA234" i="27"/>
  <c r="AZ234" i="27"/>
  <c r="CJ234" i="27"/>
  <c r="BU234" i="27"/>
  <c r="BL234" i="27"/>
  <c r="BC234" i="27"/>
  <c r="CY234" i="27"/>
  <c r="CS234" i="27"/>
  <c r="CM234" i="27"/>
  <c r="BO234" i="27"/>
  <c r="BF234" i="27"/>
  <c r="AW224" i="27"/>
  <c r="BI224" i="27"/>
  <c r="BU224" i="27"/>
  <c r="CG224" i="27"/>
  <c r="CS224" i="27"/>
  <c r="AN226" i="27"/>
  <c r="AO226" i="27" s="1"/>
  <c r="DB227" i="27"/>
  <c r="CP227" i="27"/>
  <c r="CD227" i="27"/>
  <c r="BR227" i="27"/>
  <c r="BF227" i="27"/>
  <c r="AK227" i="27"/>
  <c r="CS227" i="27"/>
  <c r="CG227" i="27"/>
  <c r="BU227" i="27"/>
  <c r="BI227" i="27"/>
  <c r="AW227" i="27"/>
  <c r="CV227" i="27"/>
  <c r="CJ227" i="27"/>
  <c r="BX227" i="27"/>
  <c r="BL227" i="27"/>
  <c r="AZ227" i="27"/>
  <c r="BO227" i="27"/>
  <c r="CM227" i="27"/>
  <c r="BU228" i="27"/>
  <c r="CJ228" i="27"/>
  <c r="CY228" i="27"/>
  <c r="BC228" i="27"/>
  <c r="BR228" i="27"/>
  <c r="CS232" i="27"/>
  <c r="CG232" i="27"/>
  <c r="BU232" i="27"/>
  <c r="BI232" i="27"/>
  <c r="AW232" i="27"/>
  <c r="CV232" i="27"/>
  <c r="CJ232" i="27"/>
  <c r="BX232" i="27"/>
  <c r="BL232" i="27"/>
  <c r="AZ232" i="27"/>
  <c r="CY232" i="27"/>
  <c r="CM232" i="27"/>
  <c r="CA232" i="27"/>
  <c r="BO232" i="27"/>
  <c r="BC232" i="27"/>
  <c r="DB232" i="27"/>
  <c r="CP232" i="27"/>
  <c r="CD232" i="27"/>
  <c r="BR232" i="27"/>
  <c r="BF232" i="27"/>
  <c r="AK232" i="27"/>
  <c r="AK224" i="27"/>
  <c r="BF224" i="27"/>
  <c r="BR224" i="27"/>
  <c r="CD224" i="27"/>
  <c r="CP224" i="27"/>
  <c r="DB224" i="27"/>
  <c r="AI226" i="27"/>
  <c r="CM229" i="27"/>
  <c r="DB229" i="27"/>
  <c r="BF229" i="27"/>
  <c r="BU229" i="27"/>
  <c r="CJ229" i="27"/>
  <c r="CY233" i="27"/>
  <c r="BC233" i="27"/>
  <c r="BR233" i="27"/>
  <c r="CG233" i="27"/>
  <c r="CV233" i="27"/>
  <c r="AZ233" i="27"/>
  <c r="BC224" i="27"/>
  <c r="BO224" i="27"/>
  <c r="CA224" i="27"/>
  <c r="CM224" i="27"/>
  <c r="BC227" i="27"/>
  <c r="CA227" i="27"/>
  <c r="CY227" i="27"/>
  <c r="CS230" i="27"/>
  <c r="CG230" i="27"/>
  <c r="BU230" i="27"/>
  <c r="BI230" i="27"/>
  <c r="AW230" i="27"/>
  <c r="CV230" i="27"/>
  <c r="CJ230" i="27"/>
  <c r="BX230" i="27"/>
  <c r="BL230" i="27"/>
  <c r="AZ230" i="27"/>
  <c r="CY230" i="27"/>
  <c r="CM230" i="27"/>
  <c r="CA230" i="27"/>
  <c r="BO230" i="27"/>
  <c r="BC230" i="27"/>
  <c r="DB230" i="27"/>
  <c r="CP230" i="27"/>
  <c r="CD230" i="27"/>
  <c r="BR230" i="27"/>
  <c r="BF230" i="27"/>
  <c r="AK230" i="27"/>
  <c r="CS239" i="27"/>
  <c r="CG239" i="27"/>
  <c r="BU239" i="27"/>
  <c r="BI239" i="27"/>
  <c r="AW239" i="27"/>
  <c r="CV239" i="27"/>
  <c r="CJ239" i="27"/>
  <c r="BX239" i="27"/>
  <c r="BL239" i="27"/>
  <c r="AZ239" i="27"/>
  <c r="CY239" i="27"/>
  <c r="CM239" i="27"/>
  <c r="CA239" i="27"/>
  <c r="BO239" i="27"/>
  <c r="BC239" i="27"/>
  <c r="DB239" i="27"/>
  <c r="CP239" i="27"/>
  <c r="CD239" i="27"/>
  <c r="BR239" i="27"/>
  <c r="BF239" i="27"/>
  <c r="AK239" i="27"/>
  <c r="BC236" i="27"/>
  <c r="CA236" i="27"/>
  <c r="CY240" i="27"/>
  <c r="CM240" i="27"/>
  <c r="CA240" i="27"/>
  <c r="BO240" i="27"/>
  <c r="BC240" i="27"/>
  <c r="DB240" i="27"/>
  <c r="CP240" i="27"/>
  <c r="CD240" i="27"/>
  <c r="BR240" i="27"/>
  <c r="BF240" i="27"/>
  <c r="AK240" i="27"/>
  <c r="CS240" i="27"/>
  <c r="CG240" i="27"/>
  <c r="BU240" i="27"/>
  <c r="BI240" i="27"/>
  <c r="AW240" i="27"/>
  <c r="CV240" i="27"/>
  <c r="CJ240" i="27"/>
  <c r="BX240" i="27"/>
  <c r="BL240" i="27"/>
  <c r="AZ240" i="27"/>
  <c r="AI235" i="27"/>
  <c r="CS237" i="27"/>
  <c r="CG237" i="27"/>
  <c r="BU237" i="27"/>
  <c r="BI237" i="27"/>
  <c r="AW237" i="27"/>
  <c r="CV237" i="27"/>
  <c r="CJ237" i="27"/>
  <c r="BX237" i="27"/>
  <c r="BL237" i="27"/>
  <c r="AZ237" i="27"/>
  <c r="CY237" i="27"/>
  <c r="CM237" i="27"/>
  <c r="CA237" i="27"/>
  <c r="BO237" i="27"/>
  <c r="BC237" i="27"/>
  <c r="DB237" i="27"/>
  <c r="CP237" i="27"/>
  <c r="CD237" i="27"/>
  <c r="BR237" i="27"/>
  <c r="BF237" i="27"/>
  <c r="AK237" i="27"/>
  <c r="DB241" i="27"/>
  <c r="CP241" i="27"/>
  <c r="CY241" i="27"/>
  <c r="CG241" i="27"/>
  <c r="BU241" i="27"/>
  <c r="BI241" i="27"/>
  <c r="AW241" i="27"/>
  <c r="CS241" i="27"/>
  <c r="CJ241" i="27"/>
  <c r="BX241" i="27"/>
  <c r="BL241" i="27"/>
  <c r="AZ241" i="27"/>
  <c r="CM241" i="27"/>
  <c r="CA241" i="27"/>
  <c r="BO241" i="27"/>
  <c r="BC241" i="27"/>
  <c r="CV241" i="27"/>
  <c r="CD241" i="27"/>
  <c r="BR241" i="27"/>
  <c r="BF241" i="27"/>
  <c r="DB236" i="27"/>
  <c r="CP236" i="27"/>
  <c r="CD236" i="27"/>
  <c r="BR236" i="27"/>
  <c r="BF236" i="27"/>
  <c r="AK236" i="27"/>
  <c r="CS236" i="27"/>
  <c r="CG236" i="27"/>
  <c r="BU236" i="27"/>
  <c r="BI236" i="27"/>
  <c r="AW236" i="27"/>
  <c r="CV236" i="27"/>
  <c r="CJ236" i="27"/>
  <c r="BX236" i="27"/>
  <c r="BL236" i="27"/>
  <c r="AZ236" i="27"/>
  <c r="BO236" i="27"/>
  <c r="CM236" i="27"/>
  <c r="CY238" i="27"/>
  <c r="CM238" i="27"/>
  <c r="CA238" i="27"/>
  <c r="BO238" i="27"/>
  <c r="BC238" i="27"/>
  <c r="DB238" i="27"/>
  <c r="CP238" i="27"/>
  <c r="CD238" i="27"/>
  <c r="BR238" i="27"/>
  <c r="BF238" i="27"/>
  <c r="AK238" i="27"/>
  <c r="CS238" i="27"/>
  <c r="CG238" i="27"/>
  <c r="BU238" i="27"/>
  <c r="BI238" i="27"/>
  <c r="AW238" i="27"/>
  <c r="CV238" i="27"/>
  <c r="CJ238" i="27"/>
  <c r="BX238" i="27"/>
  <c r="BL238" i="27"/>
  <c r="AZ238" i="27"/>
  <c r="AI245" i="27"/>
  <c r="AI242" i="27"/>
  <c r="AW243" i="27"/>
  <c r="BC243" i="27"/>
  <c r="BI243" i="27"/>
  <c r="BO243" i="27"/>
  <c r="BU243" i="27"/>
  <c r="CA243" i="27"/>
  <c r="CG243" i="27"/>
  <c r="CM243" i="27"/>
  <c r="CS243" i="27"/>
  <c r="AI244" i="27"/>
  <c r="CM252" i="27"/>
  <c r="CA252" i="27"/>
  <c r="BO252" i="27"/>
  <c r="DB252" i="27"/>
  <c r="CS252" i="27"/>
  <c r="CD252" i="27"/>
  <c r="BF252" i="27"/>
  <c r="AW252" i="27"/>
  <c r="CV252" i="27"/>
  <c r="AZ252" i="27"/>
  <c r="AK252" i="27"/>
  <c r="CP252" i="27"/>
  <c r="BR252" i="27"/>
  <c r="BI252" i="27"/>
  <c r="BL252" i="27"/>
  <c r="CV243" i="27"/>
  <c r="CJ243" i="27"/>
  <c r="BX243" i="27"/>
  <c r="BL243" i="27"/>
  <c r="AZ243" i="27"/>
  <c r="DB243" i="27"/>
  <c r="CP243" i="27"/>
  <c r="CD243" i="27"/>
  <c r="BR243" i="27"/>
  <c r="BF243" i="27"/>
  <c r="AK243" i="27"/>
  <c r="AN253" i="27"/>
  <c r="AO253" i="27" s="1"/>
  <c r="DB246" i="27"/>
  <c r="CP246" i="27"/>
  <c r="CD246" i="27"/>
  <c r="BR246" i="27"/>
  <c r="BF246" i="27"/>
  <c r="AK246" i="27"/>
  <c r="CS246" i="27"/>
  <c r="CG246" i="27"/>
  <c r="BU246" i="27"/>
  <c r="BI246" i="27"/>
  <c r="AW246" i="27"/>
  <c r="BC246" i="27"/>
  <c r="BO246" i="27"/>
  <c r="CA246" i="27"/>
  <c r="CM246" i="27"/>
  <c r="CY246" i="27"/>
  <c r="DB248" i="27"/>
  <c r="CP248" i="27"/>
  <c r="CD248" i="27"/>
  <c r="BR248" i="27"/>
  <c r="BF248" i="27"/>
  <c r="AK248" i="27"/>
  <c r="CS248" i="27"/>
  <c r="CG248" i="27"/>
  <c r="BU248" i="27"/>
  <c r="BI248" i="27"/>
  <c r="AW248" i="27"/>
  <c r="CV248" i="27"/>
  <c r="CJ248" i="27"/>
  <c r="BX248" i="27"/>
  <c r="BL248" i="27"/>
  <c r="AZ248" i="27"/>
  <c r="BO248" i="27"/>
  <c r="CM248" i="27"/>
  <c r="DB250" i="27"/>
  <c r="CP250" i="27"/>
  <c r="CD250" i="27"/>
  <c r="BR250" i="27"/>
  <c r="BF250" i="27"/>
  <c r="AK250" i="27"/>
  <c r="CS250" i="27"/>
  <c r="CG250" i="27"/>
  <c r="BU250" i="27"/>
  <c r="BI250" i="27"/>
  <c r="AW250" i="27"/>
  <c r="CV250" i="27"/>
  <c r="CJ250" i="27"/>
  <c r="BX250" i="27"/>
  <c r="BL250" i="27"/>
  <c r="AZ250" i="27"/>
  <c r="BO250" i="27"/>
  <c r="CM250" i="27"/>
  <c r="DB256" i="27"/>
  <c r="CP256" i="27"/>
  <c r="CD256" i="27"/>
  <c r="BF256" i="27"/>
  <c r="AK256" i="27"/>
  <c r="CS256" i="27"/>
  <c r="BU256" i="27"/>
  <c r="BI256" i="27"/>
  <c r="AW256" i="27"/>
  <c r="CJ256" i="27"/>
  <c r="BX256" i="27"/>
  <c r="BL256" i="27"/>
  <c r="CM256" i="27"/>
  <c r="CY256" i="27"/>
  <c r="BC256" i="27"/>
  <c r="CA256" i="27"/>
  <c r="AI247" i="27"/>
  <c r="AN249" i="27"/>
  <c r="AO249" i="27" s="1"/>
  <c r="AI249" i="27"/>
  <c r="AN251" i="27"/>
  <c r="AO251" i="27" s="1"/>
  <c r="AI251" i="27"/>
  <c r="AZ246" i="27"/>
  <c r="BL246" i="27"/>
  <c r="BX246" i="27"/>
  <c r="CJ246" i="27"/>
  <c r="CV246" i="27"/>
  <c r="BC248" i="27"/>
  <c r="CA248" i="27"/>
  <c r="CY248" i="27"/>
  <c r="BC250" i="27"/>
  <c r="CA250" i="27"/>
  <c r="CY250" i="27"/>
  <c r="DB254" i="27"/>
  <c r="CP254" i="27"/>
  <c r="CD254" i="27"/>
  <c r="BR254" i="27"/>
  <c r="CS254" i="27"/>
  <c r="CG254" i="27"/>
  <c r="BU254" i="27"/>
  <c r="BI254" i="27"/>
  <c r="AW254" i="27"/>
  <c r="BF254" i="27"/>
  <c r="CM254" i="27"/>
  <c r="BL254" i="27"/>
  <c r="AK254" i="27"/>
  <c r="CY254" i="27"/>
  <c r="BX254" i="27"/>
  <c r="AZ254" i="27"/>
  <c r="CJ254" i="27"/>
  <c r="BO254" i="27"/>
  <c r="CV254" i="27"/>
  <c r="CA254" i="27"/>
  <c r="BC254" i="27"/>
  <c r="CS253" i="27"/>
  <c r="CG253" i="27"/>
  <c r="BU253" i="27"/>
  <c r="BI253" i="27"/>
  <c r="AW253" i="27"/>
  <c r="BR253" i="27"/>
  <c r="CP253" i="27"/>
  <c r="AN252" i="27"/>
  <c r="AO252" i="27" s="1"/>
  <c r="AK253" i="27"/>
  <c r="AZ253" i="27"/>
  <c r="BO253" i="27"/>
  <c r="BX253" i="27"/>
  <c r="CM253" i="27"/>
  <c r="CV253" i="27"/>
  <c r="AI257" i="27"/>
  <c r="BF253" i="27"/>
  <c r="CD253" i="27"/>
  <c r="DB253" i="27"/>
  <c r="AJ258" i="27"/>
  <c r="AI255" i="27"/>
  <c r="AN257" i="27"/>
  <c r="AO257" i="27" s="1"/>
  <c r="BC259" i="27"/>
  <c r="CA259" i="27"/>
  <c r="CS261" i="27"/>
  <c r="CG261" i="27"/>
  <c r="BU261" i="27"/>
  <c r="BI261" i="27"/>
  <c r="AW261" i="27"/>
  <c r="CV261" i="27"/>
  <c r="CJ261" i="27"/>
  <c r="BX261" i="27"/>
  <c r="BL261" i="27"/>
  <c r="AZ261" i="27"/>
  <c r="CY261" i="27"/>
  <c r="CM261" i="27"/>
  <c r="CA261" i="27"/>
  <c r="BO261" i="27"/>
  <c r="BC261" i="27"/>
  <c r="DB261" i="27"/>
  <c r="CP261" i="27"/>
  <c r="CD261" i="27"/>
  <c r="BR261" i="27"/>
  <c r="BF261" i="27"/>
  <c r="AK261" i="27"/>
  <c r="AI258" i="27"/>
  <c r="AI260" i="27"/>
  <c r="CS259" i="27"/>
  <c r="CG259" i="27"/>
  <c r="BU259" i="27"/>
  <c r="BI259" i="27"/>
  <c r="AW259" i="27"/>
  <c r="CV259" i="27"/>
  <c r="CJ259" i="27"/>
  <c r="BX259" i="27"/>
  <c r="BL259" i="27"/>
  <c r="AZ259" i="27"/>
  <c r="DB259" i="27"/>
  <c r="CP259" i="27"/>
  <c r="CD259" i="27"/>
  <c r="BR259" i="27"/>
  <c r="BF259" i="27"/>
  <c r="AK259" i="27"/>
  <c r="BO259" i="27"/>
  <c r="CM259" i="27"/>
  <c r="CY262" i="27"/>
  <c r="CM262" i="27"/>
  <c r="CA262" i="27"/>
  <c r="BO262" i="27"/>
  <c r="BC262" i="27"/>
  <c r="DB262" i="27"/>
  <c r="CP262" i="27"/>
  <c r="CD262" i="27"/>
  <c r="BR262" i="27"/>
  <c r="BF262" i="27"/>
  <c r="AK262" i="27"/>
  <c r="CS262" i="27"/>
  <c r="CG262" i="27"/>
  <c r="BU262" i="27"/>
  <c r="BI262" i="27"/>
  <c r="AW262" i="27"/>
  <c r="CV262" i="27"/>
  <c r="CJ262" i="27"/>
  <c r="BX262" i="27"/>
  <c r="BL262" i="27"/>
  <c r="AZ262" i="27"/>
  <c r="CA129" i="27" l="1"/>
  <c r="CP129" i="27"/>
  <c r="AK129" i="27"/>
  <c r="BI129" i="27"/>
  <c r="BX129" i="27"/>
  <c r="CY121" i="27"/>
  <c r="BC121" i="27"/>
  <c r="BR121" i="27"/>
  <c r="CG121" i="27"/>
  <c r="CV121" i="27"/>
  <c r="AZ121" i="27"/>
  <c r="AS121" i="27" s="1"/>
  <c r="CS114" i="27"/>
  <c r="AW114" i="27"/>
  <c r="BL114" i="27"/>
  <c r="CD114" i="27"/>
  <c r="BO114" i="27"/>
  <c r="CG114" i="27"/>
  <c r="CV114" i="27"/>
  <c r="AZ114" i="27"/>
  <c r="AS114" i="27" s="1"/>
  <c r="BR114" i="27"/>
  <c r="CM114" i="27"/>
  <c r="CG103" i="27"/>
  <c r="CV103" i="27"/>
  <c r="AZ103" i="27"/>
  <c r="BO103" i="27"/>
  <c r="CD103" i="27"/>
  <c r="BU103" i="27"/>
  <c r="CJ103" i="27"/>
  <c r="CY103" i="27"/>
  <c r="BC103" i="27"/>
  <c r="BR103" i="27"/>
  <c r="BI103" i="27"/>
  <c r="BX103" i="27"/>
  <c r="CM103" i="27"/>
  <c r="DB103" i="27"/>
  <c r="BF103" i="27"/>
  <c r="CY90" i="27"/>
  <c r="BC90" i="27"/>
  <c r="BR90" i="27"/>
  <c r="CG90" i="27"/>
  <c r="CV90" i="27"/>
  <c r="AZ90" i="27"/>
  <c r="CM90" i="27"/>
  <c r="DB90" i="27"/>
  <c r="BF90" i="27"/>
  <c r="BU90" i="27"/>
  <c r="CJ90" i="27"/>
  <c r="CA90" i="27"/>
  <c r="CP90" i="27"/>
  <c r="AK90" i="27"/>
  <c r="BI90" i="27"/>
  <c r="AS90" i="27" s="1"/>
  <c r="BX90" i="27"/>
  <c r="CG87" i="27"/>
  <c r="CV87" i="27"/>
  <c r="AZ87" i="27"/>
  <c r="AS87" i="27" s="1"/>
  <c r="BO87" i="27"/>
  <c r="CD87" i="27"/>
  <c r="BU87" i="27"/>
  <c r="CJ87" i="27"/>
  <c r="CY87" i="27"/>
  <c r="BC87" i="27"/>
  <c r="BR87" i="27"/>
  <c r="BI87" i="27"/>
  <c r="BX87" i="27"/>
  <c r="CM87" i="27"/>
  <c r="DB87" i="27"/>
  <c r="BF87" i="27"/>
  <c r="CD67" i="27"/>
  <c r="CS67" i="27"/>
  <c r="AW67" i="27"/>
  <c r="BL67" i="27"/>
  <c r="CA67" i="27"/>
  <c r="BR67" i="27"/>
  <c r="CG67" i="27"/>
  <c r="CV67" i="27"/>
  <c r="AZ67" i="27"/>
  <c r="BO67" i="27"/>
  <c r="DB67" i="27"/>
  <c r="BF67" i="27"/>
  <c r="BU67" i="27"/>
  <c r="CJ67" i="27"/>
  <c r="CY67" i="27"/>
  <c r="BC67" i="27"/>
  <c r="AS67" i="27" s="1"/>
  <c r="DB40" i="27"/>
  <c r="BR40" i="27"/>
  <c r="CP40" i="27"/>
  <c r="CA40" i="27"/>
  <c r="CG40" i="27"/>
  <c r="AZ40" i="27"/>
  <c r="BX40" i="27"/>
  <c r="CV40" i="27"/>
  <c r="BO40" i="27"/>
  <c r="BU40" i="27"/>
  <c r="BF40" i="27"/>
  <c r="CD40" i="27"/>
  <c r="CY40" i="27"/>
  <c r="BC40" i="27"/>
  <c r="BI40" i="27"/>
  <c r="CA23" i="27"/>
  <c r="CP23" i="27"/>
  <c r="AK23" i="27"/>
  <c r="BI23" i="27"/>
  <c r="BX23" i="27"/>
  <c r="BO23" i="27"/>
  <c r="CD23" i="27"/>
  <c r="CG23" i="27"/>
  <c r="AW23" i="27"/>
  <c r="BL23" i="27"/>
  <c r="CY23" i="27"/>
  <c r="BC23" i="27"/>
  <c r="BR23" i="27"/>
  <c r="BR9" i="27" s="1"/>
  <c r="CS23" i="27"/>
  <c r="CV23" i="27"/>
  <c r="AZ23" i="27"/>
  <c r="CY13" i="27"/>
  <c r="CY9" i="27" s="1"/>
  <c r="BC13" i="27"/>
  <c r="DB13" i="27"/>
  <c r="BF13" i="27"/>
  <c r="CJ13" i="27"/>
  <c r="CG13" i="27"/>
  <c r="CM13" i="27"/>
  <c r="BU13" i="27"/>
  <c r="CP13" i="27"/>
  <c r="AK13" i="27"/>
  <c r="BX13" i="27"/>
  <c r="CA13" i="27"/>
  <c r="BI13" i="27"/>
  <c r="AS13" i="27" s="1"/>
  <c r="CD13" i="27"/>
  <c r="CS13" i="27"/>
  <c r="BL13" i="27"/>
  <c r="BI38" i="27"/>
  <c r="BX38" i="27"/>
  <c r="CM38" i="27"/>
  <c r="DB38" i="27"/>
  <c r="BF38" i="27"/>
  <c r="AS38" i="27" s="1"/>
  <c r="CS38" i="27"/>
  <c r="AW38" i="27"/>
  <c r="BL38" i="27"/>
  <c r="CA38" i="27"/>
  <c r="CP38" i="27"/>
  <c r="AK38" i="27"/>
  <c r="CG38" i="27"/>
  <c r="CV38" i="27"/>
  <c r="AZ38" i="27"/>
  <c r="BO38" i="27"/>
  <c r="CD38" i="27"/>
  <c r="BI22" i="27"/>
  <c r="BX22" i="27"/>
  <c r="CA22" i="27"/>
  <c r="DB22" i="27"/>
  <c r="BF22" i="27"/>
  <c r="CS22" i="27"/>
  <c r="AW22" i="27"/>
  <c r="BL22" i="27"/>
  <c r="BO22" i="27"/>
  <c r="CP22" i="27"/>
  <c r="AK22" i="27"/>
  <c r="CG22" i="27"/>
  <c r="CV22" i="27"/>
  <c r="AZ22" i="27"/>
  <c r="CY22" i="27"/>
  <c r="CD22" i="27"/>
  <c r="CA33" i="27"/>
  <c r="CP33" i="27"/>
  <c r="AK33" i="27"/>
  <c r="BI33" i="27"/>
  <c r="BX33" i="27"/>
  <c r="BO33" i="27"/>
  <c r="CD33" i="27"/>
  <c r="CS33" i="27"/>
  <c r="AW33" i="27"/>
  <c r="AS33" i="27" s="1"/>
  <c r="BL33" i="27"/>
  <c r="CY33" i="27"/>
  <c r="BC33" i="27"/>
  <c r="BR33" i="27"/>
  <c r="CG33" i="27"/>
  <c r="CV33" i="27"/>
  <c r="AZ33" i="27"/>
  <c r="BO256" i="27"/>
  <c r="AS256" i="27" s="1"/>
  <c r="AZ256" i="27"/>
  <c r="CV256" i="27"/>
  <c r="CG256" i="27"/>
  <c r="CJ252" i="27"/>
  <c r="CG252" i="27"/>
  <c r="BX252" i="27"/>
  <c r="BU252" i="27"/>
  <c r="BC252" i="27"/>
  <c r="AS252" i="27" s="1"/>
  <c r="BL233" i="27"/>
  <c r="AW233" i="27"/>
  <c r="CS233" i="27"/>
  <c r="CD233" i="27"/>
  <c r="AS233" i="27" s="1"/>
  <c r="BO233" i="27"/>
  <c r="AZ229" i="27"/>
  <c r="CV229" i="27"/>
  <c r="CG229" i="27"/>
  <c r="BR229" i="27"/>
  <c r="BC229" i="27"/>
  <c r="CY229" i="27"/>
  <c r="CD228" i="27"/>
  <c r="BO228" i="27"/>
  <c r="AZ228" i="27"/>
  <c r="CV228" i="27"/>
  <c r="CG228" i="27"/>
  <c r="CD223" i="27"/>
  <c r="BO223" i="27"/>
  <c r="AZ223" i="27"/>
  <c r="AS223" i="27" s="1"/>
  <c r="CV223" i="27"/>
  <c r="CG223" i="27"/>
  <c r="BU225" i="27"/>
  <c r="CV225" i="27"/>
  <c r="CG225" i="27"/>
  <c r="CY225" i="27"/>
  <c r="CD225" i="27"/>
  <c r="BU218" i="27"/>
  <c r="BL218" i="27"/>
  <c r="AS218" i="27" s="1"/>
  <c r="AK218" i="27"/>
  <c r="CP218" i="27"/>
  <c r="CA218" i="27"/>
  <c r="BU216" i="27"/>
  <c r="CA216" i="27"/>
  <c r="BX216" i="27"/>
  <c r="CM216" i="27"/>
  <c r="CD216" i="27"/>
  <c r="AS211" i="27"/>
  <c r="BC208" i="27"/>
  <c r="CY208" i="27"/>
  <c r="CJ208" i="27"/>
  <c r="BU208" i="27"/>
  <c r="BF208" i="27"/>
  <c r="DB208" i="27"/>
  <c r="CG205" i="27"/>
  <c r="BR205" i="27"/>
  <c r="BC205" i="27"/>
  <c r="CY205" i="27"/>
  <c r="CJ205" i="27"/>
  <c r="BL195" i="27"/>
  <c r="AW195" i="27"/>
  <c r="CS195" i="27"/>
  <c r="CD195" i="27"/>
  <c r="BO195" i="27"/>
  <c r="CM184" i="27"/>
  <c r="AK184" i="27"/>
  <c r="AW184" i="27"/>
  <c r="AS184" i="27" s="1"/>
  <c r="CS184" i="27"/>
  <c r="BC184" i="27"/>
  <c r="CD184" i="27"/>
  <c r="AZ170" i="27"/>
  <c r="AS170" i="27" s="1"/>
  <c r="CV170" i="27"/>
  <c r="CG170" i="27"/>
  <c r="BR170" i="27"/>
  <c r="BC170" i="27"/>
  <c r="CY170" i="27"/>
  <c r="CD162" i="27"/>
  <c r="BI157" i="27"/>
  <c r="CG162" i="27"/>
  <c r="BX162" i="27"/>
  <c r="BX157" i="27"/>
  <c r="CA162" i="27"/>
  <c r="CM157" i="27"/>
  <c r="CS162" i="27"/>
  <c r="BR157" i="27"/>
  <c r="CA165" i="27"/>
  <c r="BL165" i="27"/>
  <c r="AK165" i="27"/>
  <c r="CP165" i="27"/>
  <c r="BU165" i="27"/>
  <c r="AZ152" i="27"/>
  <c r="AS152" i="27" s="1"/>
  <c r="CV152" i="27"/>
  <c r="CG152" i="27"/>
  <c r="BR152" i="27"/>
  <c r="BC152" i="27"/>
  <c r="CY152" i="27"/>
  <c r="AS139" i="27"/>
  <c r="BC114" i="27"/>
  <c r="BL137" i="27"/>
  <c r="AS137" i="27" s="1"/>
  <c r="AW137" i="27"/>
  <c r="CS137" i="27"/>
  <c r="CD137" i="27"/>
  <c r="BO137" i="27"/>
  <c r="CV129" i="27"/>
  <c r="CS129" i="27"/>
  <c r="DB129" i="27"/>
  <c r="CY129" i="27"/>
  <c r="CJ121" i="27"/>
  <c r="CS121" i="27"/>
  <c r="CP121" i="27"/>
  <c r="CM121" i="27"/>
  <c r="AK114" i="27"/>
  <c r="BX114" i="27"/>
  <c r="AK103" i="27"/>
  <c r="AW103" i="27"/>
  <c r="AS103" i="27" s="1"/>
  <c r="BL90" i="27"/>
  <c r="BO90" i="27"/>
  <c r="BL87" i="27"/>
  <c r="BI67" i="27"/>
  <c r="BL40" i="27"/>
  <c r="BR13" i="27"/>
  <c r="CJ23" i="27"/>
  <c r="CM23" i="27"/>
  <c r="CJ38" i="27"/>
  <c r="CJ22" i="27"/>
  <c r="CJ33" i="27"/>
  <c r="CM33" i="27"/>
  <c r="BX233" i="27"/>
  <c r="BI233" i="27"/>
  <c r="AK233" i="27"/>
  <c r="CP233" i="27"/>
  <c r="CA233" i="27"/>
  <c r="BL229" i="27"/>
  <c r="AW229" i="27"/>
  <c r="AS229" i="27" s="1"/>
  <c r="CS229" i="27"/>
  <c r="CD229" i="27"/>
  <c r="BO229" i="27"/>
  <c r="AK228" i="27"/>
  <c r="CP228" i="27"/>
  <c r="CA228" i="27"/>
  <c r="BL228" i="27"/>
  <c r="AW228" i="27"/>
  <c r="CS228" i="27"/>
  <c r="AK223" i="27"/>
  <c r="CP223" i="27"/>
  <c r="CA223" i="27"/>
  <c r="BL223" i="27"/>
  <c r="AW223" i="27"/>
  <c r="CS223" i="27"/>
  <c r="CJ225" i="27"/>
  <c r="AZ225" i="27"/>
  <c r="AS225" i="27" s="1"/>
  <c r="AW225" i="27"/>
  <c r="CS225" i="27"/>
  <c r="CP225" i="27"/>
  <c r="CG218" i="27"/>
  <c r="BX218" i="27"/>
  <c r="BF218" i="27"/>
  <c r="DB218" i="27"/>
  <c r="CM218" i="27"/>
  <c r="AS198" i="27"/>
  <c r="AS196" i="27"/>
  <c r="AS194" i="27"/>
  <c r="CJ216" i="27"/>
  <c r="CY216" i="27"/>
  <c r="CG216" i="27"/>
  <c r="AK216" i="27"/>
  <c r="CP216" i="27"/>
  <c r="AS213" i="27"/>
  <c r="BO208" i="27"/>
  <c r="AZ208" i="27"/>
  <c r="CV208" i="27"/>
  <c r="CG208" i="27"/>
  <c r="BR208" i="27"/>
  <c r="AW205" i="27"/>
  <c r="CS205" i="27"/>
  <c r="CD205" i="27"/>
  <c r="BO205" i="27"/>
  <c r="AZ205" i="27"/>
  <c r="CV205" i="27"/>
  <c r="BX195" i="27"/>
  <c r="BI195" i="27"/>
  <c r="AK195" i="27"/>
  <c r="CP195" i="27"/>
  <c r="CA195" i="27"/>
  <c r="BX184" i="27"/>
  <c r="BI184" i="27"/>
  <c r="CJ184" i="27"/>
  <c r="BF184" i="27"/>
  <c r="BL170" i="27"/>
  <c r="AW170" i="27"/>
  <c r="CS170" i="27"/>
  <c r="CD170" i="27"/>
  <c r="BO170" i="27"/>
  <c r="BO162" i="27"/>
  <c r="AS159" i="27"/>
  <c r="U159" i="27" s="1"/>
  <c r="AW157" i="27"/>
  <c r="AS155" i="27"/>
  <c r="AS153" i="27"/>
  <c r="AS151" i="27"/>
  <c r="U151" i="27" s="1"/>
  <c r="AS149" i="27"/>
  <c r="U149" i="27" s="1"/>
  <c r="AS147" i="27"/>
  <c r="BI162" i="27"/>
  <c r="CJ162" i="27"/>
  <c r="BL157" i="27"/>
  <c r="BR162" i="27"/>
  <c r="CA157" i="27"/>
  <c r="BU162" i="27"/>
  <c r="DB157" i="27"/>
  <c r="BF157" i="27"/>
  <c r="CM165" i="27"/>
  <c r="BX165" i="27"/>
  <c r="BF165" i="27"/>
  <c r="DB165" i="27"/>
  <c r="CG165" i="27"/>
  <c r="BL152" i="27"/>
  <c r="AW152" i="27"/>
  <c r="CS152" i="27"/>
  <c r="CD152" i="27"/>
  <c r="BO152" i="27"/>
  <c r="BX137" i="27"/>
  <c r="BI137" i="27"/>
  <c r="AK137" i="27"/>
  <c r="CP137" i="27"/>
  <c r="CA137" i="27"/>
  <c r="AZ129" i="27"/>
  <c r="AW129" i="27"/>
  <c r="AS129" i="27" s="1"/>
  <c r="BF129" i="27"/>
  <c r="BC129" i="27"/>
  <c r="AW121" i="27"/>
  <c r="AK121" i="27"/>
  <c r="DB121" i="27"/>
  <c r="BF114" i="27"/>
  <c r="CJ114" i="27"/>
  <c r="CP103" i="27"/>
  <c r="CS103" i="27"/>
  <c r="AW90" i="27"/>
  <c r="AK87" i="27"/>
  <c r="AW87" i="27"/>
  <c r="AK67" i="27"/>
  <c r="AW40" i="27"/>
  <c r="AW13" i="27"/>
  <c r="BU23" i="27"/>
  <c r="BR38" i="27"/>
  <c r="BU38" i="27"/>
  <c r="BR22" i="27"/>
  <c r="BU22" i="27"/>
  <c r="BU33" i="27"/>
  <c r="CJ233" i="27"/>
  <c r="BU233" i="27"/>
  <c r="BF233" i="27"/>
  <c r="DB233" i="27"/>
  <c r="BX229" i="27"/>
  <c r="BI229" i="27"/>
  <c r="AK229" i="27"/>
  <c r="CP229" i="27"/>
  <c r="BF228" i="27"/>
  <c r="DB228" i="27"/>
  <c r="CM228" i="27"/>
  <c r="BX228" i="27"/>
  <c r="AS228" i="27" s="1"/>
  <c r="BF223" i="27"/>
  <c r="DB223" i="27"/>
  <c r="CM223" i="27"/>
  <c r="BX223" i="27"/>
  <c r="AS220" i="27"/>
  <c r="AK225" i="27"/>
  <c r="BC225" i="27"/>
  <c r="BI225" i="27"/>
  <c r="BO225" i="27"/>
  <c r="BF225" i="27"/>
  <c r="AW218" i="27"/>
  <c r="CS218" i="27"/>
  <c r="CJ218" i="27"/>
  <c r="BR218" i="27"/>
  <c r="BC218" i="27"/>
  <c r="AW216" i="27"/>
  <c r="AS216" i="27" s="1"/>
  <c r="CS216" i="27"/>
  <c r="AZ216" i="27"/>
  <c r="CV216" i="27"/>
  <c r="BF216" i="27"/>
  <c r="AS207" i="27"/>
  <c r="CA208" i="27"/>
  <c r="BL208" i="27"/>
  <c r="AW208" i="27"/>
  <c r="AS208" i="27" s="1"/>
  <c r="CS208" i="27"/>
  <c r="BI205" i="27"/>
  <c r="AK205" i="27"/>
  <c r="CP205" i="27"/>
  <c r="CA205" i="27"/>
  <c r="CJ195" i="27"/>
  <c r="BU195" i="27"/>
  <c r="BF195" i="27"/>
  <c r="AS195" i="27" s="1"/>
  <c r="DB195" i="27"/>
  <c r="BO184" i="27"/>
  <c r="CP184" i="27"/>
  <c r="BU184" i="27"/>
  <c r="CA184" i="27"/>
  <c r="BX170" i="27"/>
  <c r="BI170" i="27"/>
  <c r="AK170" i="27"/>
  <c r="CP170" i="27"/>
  <c r="DB162" i="27"/>
  <c r="BF162" i="27"/>
  <c r="CG157" i="27"/>
  <c r="AZ162" i="27"/>
  <c r="CV162" i="27"/>
  <c r="CV157" i="27"/>
  <c r="AZ157" i="27"/>
  <c r="BC162" i="27"/>
  <c r="BO157" i="27"/>
  <c r="AW162" i="27"/>
  <c r="AS162" i="27" s="1"/>
  <c r="CP157" i="27"/>
  <c r="AK157" i="27"/>
  <c r="BC165" i="27"/>
  <c r="CY165" i="27"/>
  <c r="CJ165" i="27"/>
  <c r="BR165" i="27"/>
  <c r="AW165" i="27"/>
  <c r="BX152" i="27"/>
  <c r="BI152" i="27"/>
  <c r="AK152" i="27"/>
  <c r="CP152" i="27"/>
  <c r="CY114" i="27"/>
  <c r="CJ137" i="27"/>
  <c r="BU137" i="27"/>
  <c r="BF137" i="27"/>
  <c r="DB137" i="27"/>
  <c r="BL129" i="27"/>
  <c r="BU129" i="27"/>
  <c r="BR129" i="27"/>
  <c r="BO129" i="27"/>
  <c r="BL121" i="27"/>
  <c r="BI121" i="27"/>
  <c r="BF121" i="27"/>
  <c r="BO121" i="27"/>
  <c r="CP114" i="27"/>
  <c r="BI114" i="27"/>
  <c r="CA103" i="27"/>
  <c r="CS90" i="27"/>
  <c r="CP87" i="27"/>
  <c r="CS87" i="27"/>
  <c r="CM67" i="27"/>
  <c r="CP67" i="27"/>
  <c r="AK40" i="27"/>
  <c r="CS40" i="27"/>
  <c r="AZ13" i="27"/>
  <c r="BO13" i="27"/>
  <c r="BF23" i="27"/>
  <c r="BC38" i="27"/>
  <c r="BC22" i="27"/>
  <c r="AS22" i="27" s="1"/>
  <c r="BF33" i="27"/>
  <c r="AK162" i="27"/>
  <c r="CJ253" i="27"/>
  <c r="CA253" i="27"/>
  <c r="BL253" i="27"/>
  <c r="AS253" i="27" s="1"/>
  <c r="BC253" i="27"/>
  <c r="CY253" i="27"/>
  <c r="CP74" i="27"/>
  <c r="BR74" i="27"/>
  <c r="DB74" i="27"/>
  <c r="BF74" i="27"/>
  <c r="CD74" i="27"/>
  <c r="AW74" i="27"/>
  <c r="AS74" i="27" s="1"/>
  <c r="AS105" i="27"/>
  <c r="AS72" i="27"/>
  <c r="AS17" i="27"/>
  <c r="U17" i="27" s="1"/>
  <c r="AK160" i="27"/>
  <c r="AK74" i="27"/>
  <c r="AS73" i="27"/>
  <c r="AO9" i="27"/>
  <c r="CY160" i="27"/>
  <c r="AS160" i="27" s="1"/>
  <c r="BO160" i="27"/>
  <c r="BF160" i="27"/>
  <c r="CD160" i="27"/>
  <c r="AT105" i="27"/>
  <c r="AU105" i="27" s="1"/>
  <c r="U105" i="27"/>
  <c r="AT72" i="27"/>
  <c r="AU72" i="27" s="1"/>
  <c r="U72" i="27"/>
  <c r="AT139" i="27"/>
  <c r="AU139" i="27" s="1"/>
  <c r="U139" i="27"/>
  <c r="CV258" i="27"/>
  <c r="CJ258" i="27"/>
  <c r="BX258" i="27"/>
  <c r="BL258" i="27"/>
  <c r="AZ258" i="27"/>
  <c r="CG258" i="27"/>
  <c r="BI258" i="27"/>
  <c r="AK258" i="27"/>
  <c r="CY258" i="27"/>
  <c r="CP258" i="27"/>
  <c r="CA258" i="27"/>
  <c r="BR258" i="27"/>
  <c r="BC258" i="27"/>
  <c r="BU258" i="27"/>
  <c r="DB258" i="27"/>
  <c r="CM258" i="27"/>
  <c r="BF258" i="27"/>
  <c r="CS258" i="27"/>
  <c r="AW258" i="27"/>
  <c r="CD258" i="27"/>
  <c r="BO258" i="27"/>
  <c r="AS262" i="27"/>
  <c r="CV247" i="27"/>
  <c r="CJ247" i="27"/>
  <c r="BX247" i="27"/>
  <c r="BL247" i="27"/>
  <c r="AZ247" i="27"/>
  <c r="CY247" i="27"/>
  <c r="CM247" i="27"/>
  <c r="CA247" i="27"/>
  <c r="BO247" i="27"/>
  <c r="BC247" i="27"/>
  <c r="CS247" i="27"/>
  <c r="CG247" i="27"/>
  <c r="BU247" i="27"/>
  <c r="BI247" i="27"/>
  <c r="AW247" i="27"/>
  <c r="AK247" i="27"/>
  <c r="DB247" i="27"/>
  <c r="CP247" i="27"/>
  <c r="CD247" i="27"/>
  <c r="BR247" i="27"/>
  <c r="BF247" i="27"/>
  <c r="CV245" i="27"/>
  <c r="CY245" i="27"/>
  <c r="CS245" i="27"/>
  <c r="CG245" i="27"/>
  <c r="BU245" i="27"/>
  <c r="BI245" i="27"/>
  <c r="AW245" i="27"/>
  <c r="CJ245" i="27"/>
  <c r="BX245" i="27"/>
  <c r="BL245" i="27"/>
  <c r="AZ245" i="27"/>
  <c r="CP245" i="27"/>
  <c r="CD245" i="27"/>
  <c r="BR245" i="27"/>
  <c r="BF245" i="27"/>
  <c r="AK245" i="27"/>
  <c r="DB245" i="27"/>
  <c r="CA245" i="27"/>
  <c r="BC245" i="27"/>
  <c r="CM245" i="27"/>
  <c r="BO245" i="27"/>
  <c r="CV235" i="27"/>
  <c r="CJ235" i="27"/>
  <c r="BX235" i="27"/>
  <c r="BL235" i="27"/>
  <c r="AZ235" i="27"/>
  <c r="CY235" i="27"/>
  <c r="CM235" i="27"/>
  <c r="CA235" i="27"/>
  <c r="BO235" i="27"/>
  <c r="BC235" i="27"/>
  <c r="DB235" i="27"/>
  <c r="CP235" i="27"/>
  <c r="CD235" i="27"/>
  <c r="BR235" i="27"/>
  <c r="BF235" i="27"/>
  <c r="AK235" i="27"/>
  <c r="CG235" i="27"/>
  <c r="BI235" i="27"/>
  <c r="CS235" i="27"/>
  <c r="BU235" i="27"/>
  <c r="AW235" i="27"/>
  <c r="AS227" i="27"/>
  <c r="AS215" i="27"/>
  <c r="AS203" i="27"/>
  <c r="AS183" i="27"/>
  <c r="AS181" i="27"/>
  <c r="AS179" i="27"/>
  <c r="AS177" i="27"/>
  <c r="AS175" i="27"/>
  <c r="AS173" i="27"/>
  <c r="AS171" i="27"/>
  <c r="AS169" i="27"/>
  <c r="AS190" i="27"/>
  <c r="AS199" i="27"/>
  <c r="AS193" i="27"/>
  <c r="CY185" i="27"/>
  <c r="CM185" i="27"/>
  <c r="CA185" i="27"/>
  <c r="BO185" i="27"/>
  <c r="BC185" i="27"/>
  <c r="CV185" i="27"/>
  <c r="CJ185" i="27"/>
  <c r="BX185" i="27"/>
  <c r="BL185" i="27"/>
  <c r="AZ185" i="27"/>
  <c r="DB185" i="27"/>
  <c r="CP185" i="27"/>
  <c r="CD185" i="27"/>
  <c r="BR185" i="27"/>
  <c r="BF185" i="27"/>
  <c r="CS185" i="27"/>
  <c r="CG185" i="27"/>
  <c r="BU185" i="27"/>
  <c r="BI185" i="27"/>
  <c r="AW185" i="27"/>
  <c r="AK185" i="27"/>
  <c r="CV138" i="27"/>
  <c r="CJ138" i="27"/>
  <c r="BX138" i="27"/>
  <c r="BL138" i="27"/>
  <c r="AZ138" i="27"/>
  <c r="CG138" i="27"/>
  <c r="BI138" i="27"/>
  <c r="AK138" i="27"/>
  <c r="CY138" i="27"/>
  <c r="CP138" i="27"/>
  <c r="CA138" i="27"/>
  <c r="BR138" i="27"/>
  <c r="BC138" i="27"/>
  <c r="CS138" i="27"/>
  <c r="BU138" i="27"/>
  <c r="AW138" i="27"/>
  <c r="DB138" i="27"/>
  <c r="CM138" i="27"/>
  <c r="CD138" i="27"/>
  <c r="BO138" i="27"/>
  <c r="BF138" i="27"/>
  <c r="AS156" i="27"/>
  <c r="AS148" i="27"/>
  <c r="AS123" i="27"/>
  <c r="AS122" i="27"/>
  <c r="CY107" i="27"/>
  <c r="CM107" i="27"/>
  <c r="CA107" i="27"/>
  <c r="BO107" i="27"/>
  <c r="BC107" i="27"/>
  <c r="DB107" i="27"/>
  <c r="CP107" i="27"/>
  <c r="CD107" i="27"/>
  <c r="BR107" i="27"/>
  <c r="BF107" i="27"/>
  <c r="AK107" i="27"/>
  <c r="CV107" i="27"/>
  <c r="CJ107" i="27"/>
  <c r="BX107" i="27"/>
  <c r="BL107" i="27"/>
  <c r="AZ107" i="27"/>
  <c r="CS107" i="27"/>
  <c r="BU107" i="27"/>
  <c r="AW107" i="27"/>
  <c r="CG107" i="27"/>
  <c r="BI107" i="27"/>
  <c r="AS125" i="27"/>
  <c r="AS106" i="27"/>
  <c r="AS128" i="27"/>
  <c r="CY111" i="27"/>
  <c r="CM111" i="27"/>
  <c r="CA111" i="27"/>
  <c r="BO111" i="27"/>
  <c r="BC111" i="27"/>
  <c r="DB111" i="27"/>
  <c r="CP111" i="27"/>
  <c r="CD111" i="27"/>
  <c r="BR111" i="27"/>
  <c r="BF111" i="27"/>
  <c r="AK111" i="27"/>
  <c r="CV111" i="27"/>
  <c r="CJ111" i="27"/>
  <c r="BX111" i="27"/>
  <c r="BL111" i="27"/>
  <c r="AZ111" i="27"/>
  <c r="CS111" i="27"/>
  <c r="BU111" i="27"/>
  <c r="AW111" i="27"/>
  <c r="CG111" i="27"/>
  <c r="BI111" i="27"/>
  <c r="CS85" i="27"/>
  <c r="CG85" i="27"/>
  <c r="BU85" i="27"/>
  <c r="BI85" i="27"/>
  <c r="AW85" i="27"/>
  <c r="CV85" i="27"/>
  <c r="CJ85" i="27"/>
  <c r="BX85" i="27"/>
  <c r="BL85" i="27"/>
  <c r="AZ85" i="27"/>
  <c r="DB85" i="27"/>
  <c r="CP85" i="27"/>
  <c r="CD85" i="27"/>
  <c r="BR85" i="27"/>
  <c r="BF85" i="27"/>
  <c r="AK85" i="27"/>
  <c r="CM85" i="27"/>
  <c r="BO85" i="27"/>
  <c r="CY85" i="27"/>
  <c r="CA85" i="27"/>
  <c r="BC85" i="27"/>
  <c r="AS99" i="27"/>
  <c r="AS95" i="27"/>
  <c r="AS91" i="27"/>
  <c r="AS68" i="27"/>
  <c r="AS60" i="27"/>
  <c r="AS77" i="27"/>
  <c r="AS61" i="27"/>
  <c r="AS55" i="27"/>
  <c r="AS36" i="27"/>
  <c r="AS12" i="27"/>
  <c r="AS31" i="27"/>
  <c r="AS39" i="27"/>
  <c r="AS15" i="27"/>
  <c r="AS18" i="27"/>
  <c r="AS261" i="27"/>
  <c r="CV255" i="27"/>
  <c r="CJ255" i="27"/>
  <c r="BX255" i="27"/>
  <c r="BL255" i="27"/>
  <c r="AZ255" i="27"/>
  <c r="CY255" i="27"/>
  <c r="CM255" i="27"/>
  <c r="CA255" i="27"/>
  <c r="BO255" i="27"/>
  <c r="BC255" i="27"/>
  <c r="CS255" i="27"/>
  <c r="CG255" i="27"/>
  <c r="BU255" i="27"/>
  <c r="BI255" i="27"/>
  <c r="AW255" i="27"/>
  <c r="AK255" i="27"/>
  <c r="DB255" i="27"/>
  <c r="BF255" i="27"/>
  <c r="BR255" i="27"/>
  <c r="CD255" i="27"/>
  <c r="CP255" i="27"/>
  <c r="CV257" i="27"/>
  <c r="CJ257" i="27"/>
  <c r="BX257" i="27"/>
  <c r="BL257" i="27"/>
  <c r="AZ257" i="27"/>
  <c r="CY257" i="27"/>
  <c r="CM257" i="27"/>
  <c r="CA257" i="27"/>
  <c r="BO257" i="27"/>
  <c r="BC257" i="27"/>
  <c r="DB257" i="27"/>
  <c r="CP257" i="27"/>
  <c r="CD257" i="27"/>
  <c r="BR257" i="27"/>
  <c r="BF257" i="27"/>
  <c r="CS257" i="27"/>
  <c r="CG257" i="27"/>
  <c r="BU257" i="27"/>
  <c r="AW257" i="27"/>
  <c r="BI257" i="27"/>
  <c r="AK257" i="27"/>
  <c r="AS254" i="27"/>
  <c r="CV251" i="27"/>
  <c r="CJ251" i="27"/>
  <c r="BX251" i="27"/>
  <c r="BL251" i="27"/>
  <c r="AZ251" i="27"/>
  <c r="CY251" i="27"/>
  <c r="CM251" i="27"/>
  <c r="CA251" i="27"/>
  <c r="BO251" i="27"/>
  <c r="BC251" i="27"/>
  <c r="DB251" i="27"/>
  <c r="CP251" i="27"/>
  <c r="CD251" i="27"/>
  <c r="BR251" i="27"/>
  <c r="BF251" i="27"/>
  <c r="AK251" i="27"/>
  <c r="CS251" i="27"/>
  <c r="BU251" i="27"/>
  <c r="AW251" i="27"/>
  <c r="CG251" i="27"/>
  <c r="BI251" i="27"/>
  <c r="AS248" i="27"/>
  <c r="AS232" i="27"/>
  <c r="AS224" i="27"/>
  <c r="AS231" i="27"/>
  <c r="CS219" i="27"/>
  <c r="CG219" i="27"/>
  <c r="BU219" i="27"/>
  <c r="BI219" i="27"/>
  <c r="AW219" i="27"/>
  <c r="CV219" i="27"/>
  <c r="CJ219" i="27"/>
  <c r="BX219" i="27"/>
  <c r="BL219" i="27"/>
  <c r="AZ219" i="27"/>
  <c r="CY219" i="27"/>
  <c r="CM219" i="27"/>
  <c r="CA219" i="27"/>
  <c r="BO219" i="27"/>
  <c r="BC219" i="27"/>
  <c r="AK219" i="27"/>
  <c r="DB219" i="27"/>
  <c r="CP219" i="27"/>
  <c r="CD219" i="27"/>
  <c r="BR219" i="27"/>
  <c r="BF219" i="27"/>
  <c r="DB204" i="27"/>
  <c r="CP204" i="27"/>
  <c r="CD204" i="27"/>
  <c r="BR204" i="27"/>
  <c r="BF204" i="27"/>
  <c r="AK204" i="27"/>
  <c r="CV204" i="27"/>
  <c r="CJ204" i="27"/>
  <c r="BX204" i="27"/>
  <c r="BL204" i="27"/>
  <c r="AZ204" i="27"/>
  <c r="CY204" i="27"/>
  <c r="CM204" i="27"/>
  <c r="CA204" i="27"/>
  <c r="BO204" i="27"/>
  <c r="BC204" i="27"/>
  <c r="CG204" i="27"/>
  <c r="BI204" i="27"/>
  <c r="CS204" i="27"/>
  <c r="BU204" i="27"/>
  <c r="AW204" i="27"/>
  <c r="CY189" i="27"/>
  <c r="CM189" i="27"/>
  <c r="CA189" i="27"/>
  <c r="BO189" i="27"/>
  <c r="BC189" i="27"/>
  <c r="CS189" i="27"/>
  <c r="CG189" i="27"/>
  <c r="BU189" i="27"/>
  <c r="BI189" i="27"/>
  <c r="AW189" i="27"/>
  <c r="CV189" i="27"/>
  <c r="CJ189" i="27"/>
  <c r="BX189" i="27"/>
  <c r="BL189" i="27"/>
  <c r="AZ189" i="27"/>
  <c r="DB189" i="27"/>
  <c r="CD189" i="27"/>
  <c r="BF189" i="27"/>
  <c r="CP189" i="27"/>
  <c r="BR189" i="27"/>
  <c r="AK189" i="27"/>
  <c r="AS168" i="27"/>
  <c r="AS182" i="27"/>
  <c r="AS174" i="27"/>
  <c r="AS176" i="27"/>
  <c r="CY166" i="27"/>
  <c r="CM166" i="27"/>
  <c r="CA166" i="27"/>
  <c r="BO166" i="27"/>
  <c r="BC166" i="27"/>
  <c r="CV166" i="27"/>
  <c r="CJ166" i="27"/>
  <c r="BX166" i="27"/>
  <c r="BL166" i="27"/>
  <c r="AZ166" i="27"/>
  <c r="CS166" i="27"/>
  <c r="CG166" i="27"/>
  <c r="BU166" i="27"/>
  <c r="BI166" i="27"/>
  <c r="AW166" i="27"/>
  <c r="AK166" i="27"/>
  <c r="DB166" i="27"/>
  <c r="CP166" i="27"/>
  <c r="CD166" i="27"/>
  <c r="BR166" i="27"/>
  <c r="BF166" i="27"/>
  <c r="AS161" i="27"/>
  <c r="CY146" i="27"/>
  <c r="CM146" i="27"/>
  <c r="CA146" i="27"/>
  <c r="BO146" i="27"/>
  <c r="BC146" i="27"/>
  <c r="DB146" i="27"/>
  <c r="CS146" i="27"/>
  <c r="CG146" i="27"/>
  <c r="BU146" i="27"/>
  <c r="BI146" i="27"/>
  <c r="AW146" i="27"/>
  <c r="CV146" i="27"/>
  <c r="CJ146" i="27"/>
  <c r="BX146" i="27"/>
  <c r="BL146" i="27"/>
  <c r="AZ146" i="27"/>
  <c r="AK146" i="27"/>
  <c r="CD146" i="27"/>
  <c r="BF146" i="27"/>
  <c r="CP146" i="27"/>
  <c r="BR146" i="27"/>
  <c r="CS143" i="27"/>
  <c r="CG143" i="27"/>
  <c r="BU143" i="27"/>
  <c r="BI143" i="27"/>
  <c r="AW143" i="27"/>
  <c r="CY143" i="27"/>
  <c r="CM143" i="27"/>
  <c r="DB143" i="27"/>
  <c r="CP143" i="27"/>
  <c r="CD143" i="27"/>
  <c r="BR143" i="27"/>
  <c r="BF143" i="27"/>
  <c r="AK143" i="27"/>
  <c r="CV143" i="27"/>
  <c r="CA143" i="27"/>
  <c r="BO143" i="27"/>
  <c r="BC143" i="27"/>
  <c r="CJ143" i="27"/>
  <c r="BX143" i="27"/>
  <c r="BL143" i="27"/>
  <c r="AZ143" i="27"/>
  <c r="AS154" i="27"/>
  <c r="CY144" i="27"/>
  <c r="CM144" i="27"/>
  <c r="CA144" i="27"/>
  <c r="BO144" i="27"/>
  <c r="BC144" i="27"/>
  <c r="CS144" i="27"/>
  <c r="CG144" i="27"/>
  <c r="BU144" i="27"/>
  <c r="BI144" i="27"/>
  <c r="AW144" i="27"/>
  <c r="CV144" i="27"/>
  <c r="CJ144" i="27"/>
  <c r="BX144" i="27"/>
  <c r="BL144" i="27"/>
  <c r="AZ144" i="27"/>
  <c r="CP144" i="27"/>
  <c r="BR144" i="27"/>
  <c r="AK144" i="27"/>
  <c r="DB144" i="27"/>
  <c r="CD144" i="27"/>
  <c r="BF144" i="27"/>
  <c r="CY140" i="27"/>
  <c r="CM140" i="27"/>
  <c r="CA140" i="27"/>
  <c r="BO140" i="27"/>
  <c r="BC140" i="27"/>
  <c r="CV140" i="27"/>
  <c r="CJ140" i="27"/>
  <c r="BX140" i="27"/>
  <c r="BL140" i="27"/>
  <c r="AZ140" i="27"/>
  <c r="CS140" i="27"/>
  <c r="CG140" i="27"/>
  <c r="BU140" i="27"/>
  <c r="BI140" i="27"/>
  <c r="AW140" i="27"/>
  <c r="DB140" i="27"/>
  <c r="CP140" i="27"/>
  <c r="CD140" i="27"/>
  <c r="BR140" i="27"/>
  <c r="BF140" i="27"/>
  <c r="AK140" i="27"/>
  <c r="AS127" i="27"/>
  <c r="AS126" i="27"/>
  <c r="AS116" i="27"/>
  <c r="AS108" i="27"/>
  <c r="AS132" i="27"/>
  <c r="CY113" i="27"/>
  <c r="CM113" i="27"/>
  <c r="CA113" i="27"/>
  <c r="BO113" i="27"/>
  <c r="BC113" i="27"/>
  <c r="DB113" i="27"/>
  <c r="CP113" i="27"/>
  <c r="CD113" i="27"/>
  <c r="BR113" i="27"/>
  <c r="BF113" i="27"/>
  <c r="AK113" i="27"/>
  <c r="CV113" i="27"/>
  <c r="CJ113" i="27"/>
  <c r="BX113" i="27"/>
  <c r="BL113" i="27"/>
  <c r="AZ113" i="27"/>
  <c r="CS113" i="27"/>
  <c r="BU113" i="27"/>
  <c r="AW113" i="27"/>
  <c r="CG113" i="27"/>
  <c r="BI113" i="27"/>
  <c r="AS101" i="27"/>
  <c r="AS97" i="27"/>
  <c r="AS93" i="27"/>
  <c r="AS89" i="27"/>
  <c r="CS83" i="27"/>
  <c r="CG83" i="27"/>
  <c r="BU83" i="27"/>
  <c r="BI83" i="27"/>
  <c r="AW83" i="27"/>
  <c r="CV83" i="27"/>
  <c r="CJ83" i="27"/>
  <c r="BX83" i="27"/>
  <c r="BL83" i="27"/>
  <c r="AZ83" i="27"/>
  <c r="DB83" i="27"/>
  <c r="CP83" i="27"/>
  <c r="CD83" i="27"/>
  <c r="BR83" i="27"/>
  <c r="BF83" i="27"/>
  <c r="AK83" i="27"/>
  <c r="CM83" i="27"/>
  <c r="BO83" i="27"/>
  <c r="CY83" i="27"/>
  <c r="CA83" i="27"/>
  <c r="BC83" i="27"/>
  <c r="AS79" i="27"/>
  <c r="CY84" i="27"/>
  <c r="CM84" i="27"/>
  <c r="CA84" i="27"/>
  <c r="BO84" i="27"/>
  <c r="BC84" i="27"/>
  <c r="DB84" i="27"/>
  <c r="CP84" i="27"/>
  <c r="CD84" i="27"/>
  <c r="BR84" i="27"/>
  <c r="BF84" i="27"/>
  <c r="AK84" i="27"/>
  <c r="CV84" i="27"/>
  <c r="CJ84" i="27"/>
  <c r="BX84" i="27"/>
  <c r="BL84" i="27"/>
  <c r="AZ84" i="27"/>
  <c r="CG84" i="27"/>
  <c r="BI84" i="27"/>
  <c r="CS84" i="27"/>
  <c r="BU84" i="27"/>
  <c r="AW84" i="27"/>
  <c r="CY80" i="27"/>
  <c r="CM80" i="27"/>
  <c r="CA80" i="27"/>
  <c r="BO80" i="27"/>
  <c r="BC80" i="27"/>
  <c r="DB80" i="27"/>
  <c r="CP80" i="27"/>
  <c r="CD80" i="27"/>
  <c r="BR80" i="27"/>
  <c r="BF80" i="27"/>
  <c r="AK80" i="27"/>
  <c r="CV80" i="27"/>
  <c r="CJ80" i="27"/>
  <c r="BX80" i="27"/>
  <c r="BL80" i="27"/>
  <c r="AZ80" i="27"/>
  <c r="CG80" i="27"/>
  <c r="BI80" i="27"/>
  <c r="CS80" i="27"/>
  <c r="BU80" i="27"/>
  <c r="AW80" i="27"/>
  <c r="AS66" i="27"/>
  <c r="AS58" i="27"/>
  <c r="AS59" i="27"/>
  <c r="AS69" i="27"/>
  <c r="AS53" i="27"/>
  <c r="AS51" i="27"/>
  <c r="AS49" i="27"/>
  <c r="AS47" i="27"/>
  <c r="AS45" i="27"/>
  <c r="AS43" i="27"/>
  <c r="AS41" i="27"/>
  <c r="AS28" i="27"/>
  <c r="AS20" i="27"/>
  <c r="AS30" i="27"/>
  <c r="AS16" i="27"/>
  <c r="AS25" i="27"/>
  <c r="CY260" i="27"/>
  <c r="CM260" i="27"/>
  <c r="CA260" i="27"/>
  <c r="BO260" i="27"/>
  <c r="BC260" i="27"/>
  <c r="DB260" i="27"/>
  <c r="CP260" i="27"/>
  <c r="CD260" i="27"/>
  <c r="BR260" i="27"/>
  <c r="BF260" i="27"/>
  <c r="AK260" i="27"/>
  <c r="CV260" i="27"/>
  <c r="CJ260" i="27"/>
  <c r="BX260" i="27"/>
  <c r="BL260" i="27"/>
  <c r="AZ260" i="27"/>
  <c r="CG260" i="27"/>
  <c r="BI260" i="27"/>
  <c r="CS260" i="27"/>
  <c r="BU260" i="27"/>
  <c r="AW260" i="27"/>
  <c r="AS250" i="27"/>
  <c r="CY244" i="27"/>
  <c r="CM244" i="27"/>
  <c r="CA244" i="27"/>
  <c r="BO244" i="27"/>
  <c r="DB244" i="27"/>
  <c r="CP244" i="27"/>
  <c r="CD244" i="27"/>
  <c r="BR244" i="27"/>
  <c r="BF244" i="27"/>
  <c r="AK244" i="27"/>
  <c r="CV244" i="27"/>
  <c r="CJ244" i="27"/>
  <c r="BX244" i="27"/>
  <c r="BL244" i="27"/>
  <c r="AZ244" i="27"/>
  <c r="CS244" i="27"/>
  <c r="BU244" i="27"/>
  <c r="CG244" i="27"/>
  <c r="BI244" i="27"/>
  <c r="BC244" i="27"/>
  <c r="AW244" i="27"/>
  <c r="CV242" i="27"/>
  <c r="CJ242" i="27"/>
  <c r="BX242" i="27"/>
  <c r="BL242" i="27"/>
  <c r="AZ242" i="27"/>
  <c r="CS242" i="27"/>
  <c r="BU242" i="27"/>
  <c r="AW242" i="27"/>
  <c r="DB242" i="27"/>
  <c r="CM242" i="27"/>
  <c r="CD242" i="27"/>
  <c r="BO242" i="27"/>
  <c r="BF242" i="27"/>
  <c r="CG242" i="27"/>
  <c r="BI242" i="27"/>
  <c r="AK242" i="27"/>
  <c r="CY242" i="27"/>
  <c r="CP242" i="27"/>
  <c r="CA242" i="27"/>
  <c r="BR242" i="27"/>
  <c r="BC242" i="27"/>
  <c r="AS238" i="27"/>
  <c r="AS236" i="27"/>
  <c r="AS241" i="27"/>
  <c r="AS237" i="27"/>
  <c r="AS240" i="27"/>
  <c r="AS239" i="27"/>
  <c r="CV226" i="27"/>
  <c r="CJ226" i="27"/>
  <c r="BX226" i="27"/>
  <c r="BL226" i="27"/>
  <c r="AZ226" i="27"/>
  <c r="CY226" i="27"/>
  <c r="CM226" i="27"/>
  <c r="CA226" i="27"/>
  <c r="BO226" i="27"/>
  <c r="BC226" i="27"/>
  <c r="DB226" i="27"/>
  <c r="CP226" i="27"/>
  <c r="CS226" i="27"/>
  <c r="CD226" i="27"/>
  <c r="BR226" i="27"/>
  <c r="BF226" i="27"/>
  <c r="CG226" i="27"/>
  <c r="BU226" i="27"/>
  <c r="BI226" i="27"/>
  <c r="AW226" i="27"/>
  <c r="AK226" i="27"/>
  <c r="CS221" i="27"/>
  <c r="CG221" i="27"/>
  <c r="BU221" i="27"/>
  <c r="BI221" i="27"/>
  <c r="AW221" i="27"/>
  <c r="CV221" i="27"/>
  <c r="CJ221" i="27"/>
  <c r="BX221" i="27"/>
  <c r="BL221" i="27"/>
  <c r="AZ221" i="27"/>
  <c r="CY221" i="27"/>
  <c r="CM221" i="27"/>
  <c r="CA221" i="27"/>
  <c r="BO221" i="27"/>
  <c r="BC221" i="27"/>
  <c r="AK221" i="27"/>
  <c r="DB221" i="27"/>
  <c r="CD221" i="27"/>
  <c r="BF221" i="27"/>
  <c r="CP221" i="27"/>
  <c r="BR221" i="27"/>
  <c r="AT220" i="27"/>
  <c r="AU220" i="27" s="1"/>
  <c r="AS217" i="27"/>
  <c r="DB202" i="27"/>
  <c r="CV202" i="27"/>
  <c r="CJ202" i="27"/>
  <c r="BX202" i="27"/>
  <c r="BL202" i="27"/>
  <c r="AZ202" i="27"/>
  <c r="CY202" i="27"/>
  <c r="CM202" i="27"/>
  <c r="CA202" i="27"/>
  <c r="BO202" i="27"/>
  <c r="BC202" i="27"/>
  <c r="CS202" i="27"/>
  <c r="CG202" i="27"/>
  <c r="BU202" i="27"/>
  <c r="BI202" i="27"/>
  <c r="AW202" i="27"/>
  <c r="AK202" i="27"/>
  <c r="CP202" i="27"/>
  <c r="CD202" i="27"/>
  <c r="BR202" i="27"/>
  <c r="BF202" i="27"/>
  <c r="AT198" i="27"/>
  <c r="AU198" i="27" s="1"/>
  <c r="AU196" i="27"/>
  <c r="AT196" i="27"/>
  <c r="AT194" i="27"/>
  <c r="AU194" i="27" s="1"/>
  <c r="AS214" i="27"/>
  <c r="AT211" i="27"/>
  <c r="AU211" i="27" s="1"/>
  <c r="AS210" i="27"/>
  <c r="AU207" i="27"/>
  <c r="AT207" i="27"/>
  <c r="AS206" i="27"/>
  <c r="AT213" i="27"/>
  <c r="AU213" i="27" s="1"/>
  <c r="AS212" i="27"/>
  <c r="AT209" i="27"/>
  <c r="AU209" i="27" s="1"/>
  <c r="CV200" i="27"/>
  <c r="CJ200" i="27"/>
  <c r="BX200" i="27"/>
  <c r="BL200" i="27"/>
  <c r="AZ200" i="27"/>
  <c r="CY200" i="27"/>
  <c r="CM200" i="27"/>
  <c r="CA200" i="27"/>
  <c r="BO200" i="27"/>
  <c r="BC200" i="27"/>
  <c r="DB200" i="27"/>
  <c r="CP200" i="27"/>
  <c r="CD200" i="27"/>
  <c r="BR200" i="27"/>
  <c r="BF200" i="27"/>
  <c r="CS200" i="27"/>
  <c r="CG200" i="27"/>
  <c r="BU200" i="27"/>
  <c r="BI200" i="27"/>
  <c r="AW200" i="27"/>
  <c r="AK200" i="27"/>
  <c r="U198" i="27"/>
  <c r="U196" i="27"/>
  <c r="U194" i="27"/>
  <c r="AS192" i="27"/>
  <c r="CY187" i="27"/>
  <c r="CM187" i="27"/>
  <c r="CA187" i="27"/>
  <c r="BO187" i="27"/>
  <c r="BC187" i="27"/>
  <c r="CV187" i="27"/>
  <c r="CJ187" i="27"/>
  <c r="BX187" i="27"/>
  <c r="BL187" i="27"/>
  <c r="AZ187" i="27"/>
  <c r="CS187" i="27"/>
  <c r="CG187" i="27"/>
  <c r="BU187" i="27"/>
  <c r="BI187" i="27"/>
  <c r="AW187" i="27"/>
  <c r="AK187" i="27"/>
  <c r="DB187" i="27"/>
  <c r="CP187" i="27"/>
  <c r="CD187" i="27"/>
  <c r="BR187" i="27"/>
  <c r="BF187" i="27"/>
  <c r="AS197" i="27"/>
  <c r="CY191" i="27"/>
  <c r="CM191" i="27"/>
  <c r="CA191" i="27"/>
  <c r="BO191" i="27"/>
  <c r="BC191" i="27"/>
  <c r="CS191" i="27"/>
  <c r="CG191" i="27"/>
  <c r="BU191" i="27"/>
  <c r="BI191" i="27"/>
  <c r="AW191" i="27"/>
  <c r="CV191" i="27"/>
  <c r="CJ191" i="27"/>
  <c r="BX191" i="27"/>
  <c r="BL191" i="27"/>
  <c r="AZ191" i="27"/>
  <c r="CP191" i="27"/>
  <c r="BR191" i="27"/>
  <c r="AK191" i="27"/>
  <c r="DB191" i="27"/>
  <c r="CD191" i="27"/>
  <c r="BF191" i="27"/>
  <c r="AS186" i="27"/>
  <c r="AS188" i="27"/>
  <c r="AS178" i="27"/>
  <c r="AS164" i="27"/>
  <c r="AT155" i="27"/>
  <c r="AU155" i="27" s="1"/>
  <c r="AT153" i="27"/>
  <c r="AU153" i="27" s="1"/>
  <c r="AT149" i="27"/>
  <c r="AU149" i="27" s="1"/>
  <c r="AT147" i="27"/>
  <c r="AU147" i="27" s="1"/>
  <c r="AS163" i="27"/>
  <c r="U153" i="27"/>
  <c r="CY142" i="27"/>
  <c r="CM142" i="27"/>
  <c r="CA142" i="27"/>
  <c r="BO142" i="27"/>
  <c r="BC142" i="27"/>
  <c r="CV142" i="27"/>
  <c r="CJ142" i="27"/>
  <c r="BX142" i="27"/>
  <c r="BL142" i="27"/>
  <c r="AZ142" i="27"/>
  <c r="DB142" i="27"/>
  <c r="CP142" i="27"/>
  <c r="CD142" i="27"/>
  <c r="BR142" i="27"/>
  <c r="BF142" i="27"/>
  <c r="CS142" i="27"/>
  <c r="CG142" i="27"/>
  <c r="BU142" i="27"/>
  <c r="BI142" i="27"/>
  <c r="AW142" i="27"/>
  <c r="AK142" i="27"/>
  <c r="AS158" i="27"/>
  <c r="AS150" i="27"/>
  <c r="AS131" i="27"/>
  <c r="AS130" i="27"/>
  <c r="AS133" i="27"/>
  <c r="AS117" i="27"/>
  <c r="AS110" i="27"/>
  <c r="AS145" i="27"/>
  <c r="AS141" i="27"/>
  <c r="AS136" i="27"/>
  <c r="AS120" i="27"/>
  <c r="CY115" i="27"/>
  <c r="CM115" i="27"/>
  <c r="CA115" i="27"/>
  <c r="BO115" i="27"/>
  <c r="BC115" i="27"/>
  <c r="DB115" i="27"/>
  <c r="CP115" i="27"/>
  <c r="CD115" i="27"/>
  <c r="BR115" i="27"/>
  <c r="BF115" i="27"/>
  <c r="AK115" i="27"/>
  <c r="CV115" i="27"/>
  <c r="CJ115" i="27"/>
  <c r="BX115" i="27"/>
  <c r="BL115" i="27"/>
  <c r="AZ115" i="27"/>
  <c r="CS115" i="27"/>
  <c r="BU115" i="27"/>
  <c r="AW115" i="27"/>
  <c r="CG115" i="27"/>
  <c r="BI115" i="27"/>
  <c r="CS81" i="27"/>
  <c r="CG81" i="27"/>
  <c r="BU81" i="27"/>
  <c r="BI81" i="27"/>
  <c r="AW81" i="27"/>
  <c r="CV81" i="27"/>
  <c r="CJ81" i="27"/>
  <c r="BX81" i="27"/>
  <c r="BL81" i="27"/>
  <c r="AZ81" i="27"/>
  <c r="DB81" i="27"/>
  <c r="CP81" i="27"/>
  <c r="CD81" i="27"/>
  <c r="BR81" i="27"/>
  <c r="BF81" i="27"/>
  <c r="AK81" i="27"/>
  <c r="CM81" i="27"/>
  <c r="BO81" i="27"/>
  <c r="CY81" i="27"/>
  <c r="CA81" i="27"/>
  <c r="BC81" i="27"/>
  <c r="AT73" i="27"/>
  <c r="AU73" i="27" s="1"/>
  <c r="AS102" i="27"/>
  <c r="AS98" i="27"/>
  <c r="AS94" i="27"/>
  <c r="AS86" i="27"/>
  <c r="U73" i="27"/>
  <c r="CY76" i="27"/>
  <c r="CM76" i="27"/>
  <c r="CA76" i="27"/>
  <c r="BO76" i="27"/>
  <c r="BC76" i="27"/>
  <c r="CV76" i="27"/>
  <c r="CJ76" i="27"/>
  <c r="BX76" i="27"/>
  <c r="BL76" i="27"/>
  <c r="AZ76" i="27"/>
  <c r="DB76" i="27"/>
  <c r="CP76" i="27"/>
  <c r="CD76" i="27"/>
  <c r="BR76" i="27"/>
  <c r="BF76" i="27"/>
  <c r="CS76" i="27"/>
  <c r="CG76" i="27"/>
  <c r="BU76" i="27"/>
  <c r="BI76" i="27"/>
  <c r="AW76" i="27"/>
  <c r="AK76" i="27"/>
  <c r="AS64" i="27"/>
  <c r="AS71" i="27"/>
  <c r="AT54" i="27"/>
  <c r="AU54" i="27" s="1"/>
  <c r="AT52" i="27"/>
  <c r="AU52" i="27" s="1"/>
  <c r="AT50" i="27"/>
  <c r="AU50" i="27" s="1"/>
  <c r="AT48" i="27"/>
  <c r="AU48" i="27" s="1"/>
  <c r="AT46" i="27"/>
  <c r="AU46" i="27" s="1"/>
  <c r="AT44" i="27"/>
  <c r="AU44" i="27" s="1"/>
  <c r="AT42" i="27"/>
  <c r="AU42" i="27" s="1"/>
  <c r="AS57" i="27"/>
  <c r="AS35" i="27"/>
  <c r="AS27" i="27"/>
  <c r="AS23" i="27"/>
  <c r="AS19" i="27"/>
  <c r="AS21" i="27"/>
  <c r="AS259" i="27"/>
  <c r="CV249" i="27"/>
  <c r="CJ249" i="27"/>
  <c r="BX249" i="27"/>
  <c r="BL249" i="27"/>
  <c r="AZ249" i="27"/>
  <c r="CY249" i="27"/>
  <c r="CM249" i="27"/>
  <c r="CA249" i="27"/>
  <c r="BO249" i="27"/>
  <c r="BC249" i="27"/>
  <c r="DB249" i="27"/>
  <c r="CP249" i="27"/>
  <c r="CD249" i="27"/>
  <c r="BR249" i="27"/>
  <c r="BF249" i="27"/>
  <c r="AK249" i="27"/>
  <c r="CS249" i="27"/>
  <c r="BU249" i="27"/>
  <c r="AW249" i="27"/>
  <c r="CG249" i="27"/>
  <c r="BI249" i="27"/>
  <c r="AS246" i="27"/>
  <c r="AS243" i="27"/>
  <c r="AS230" i="27"/>
  <c r="AS234" i="27"/>
  <c r="U220" i="27"/>
  <c r="U211" i="27"/>
  <c r="U207" i="27"/>
  <c r="AS201" i="27"/>
  <c r="AS222" i="27"/>
  <c r="U213" i="27"/>
  <c r="U209" i="27"/>
  <c r="AS180" i="27"/>
  <c r="AS172" i="27"/>
  <c r="U155" i="27"/>
  <c r="U147" i="27"/>
  <c r="AS167" i="27"/>
  <c r="AS165" i="27"/>
  <c r="AS135" i="27"/>
  <c r="AS119" i="27"/>
  <c r="AS134" i="27"/>
  <c r="AS118" i="27"/>
  <c r="AS112" i="27"/>
  <c r="AS124" i="27"/>
  <c r="CY109" i="27"/>
  <c r="CM109" i="27"/>
  <c r="CA109" i="27"/>
  <c r="BO109" i="27"/>
  <c r="BC109" i="27"/>
  <c r="DB109" i="27"/>
  <c r="CP109" i="27"/>
  <c r="CD109" i="27"/>
  <c r="BR109" i="27"/>
  <c r="BF109" i="27"/>
  <c r="AK109" i="27"/>
  <c r="CV109" i="27"/>
  <c r="CJ109" i="27"/>
  <c r="BX109" i="27"/>
  <c r="BL109" i="27"/>
  <c r="AZ109" i="27"/>
  <c r="CS109" i="27"/>
  <c r="BU109" i="27"/>
  <c r="AW109" i="27"/>
  <c r="CG109" i="27"/>
  <c r="BI109" i="27"/>
  <c r="AS104" i="27"/>
  <c r="AS100" i="27"/>
  <c r="AS96" i="27"/>
  <c r="AS92" i="27"/>
  <c r="AS88" i="27"/>
  <c r="AS75" i="27"/>
  <c r="CY82" i="27"/>
  <c r="CM82" i="27"/>
  <c r="CA82" i="27"/>
  <c r="BO82" i="27"/>
  <c r="BC82" i="27"/>
  <c r="DB82" i="27"/>
  <c r="CP82" i="27"/>
  <c r="CD82" i="27"/>
  <c r="BR82" i="27"/>
  <c r="BF82" i="27"/>
  <c r="AK82" i="27"/>
  <c r="CV82" i="27"/>
  <c r="CJ82" i="27"/>
  <c r="BX82" i="27"/>
  <c r="BL82" i="27"/>
  <c r="AZ82" i="27"/>
  <c r="CG82" i="27"/>
  <c r="BI82" i="27"/>
  <c r="CS82" i="27"/>
  <c r="BU82" i="27"/>
  <c r="AW82" i="27"/>
  <c r="CY78" i="27"/>
  <c r="CM78" i="27"/>
  <c r="CA78" i="27"/>
  <c r="BO78" i="27"/>
  <c r="BC78" i="27"/>
  <c r="DB78" i="27"/>
  <c r="CP78" i="27"/>
  <c r="CD78" i="27"/>
  <c r="BR78" i="27"/>
  <c r="BF78" i="27"/>
  <c r="AK78" i="27"/>
  <c r="CV78" i="27"/>
  <c r="CJ78" i="27"/>
  <c r="BX78" i="27"/>
  <c r="BL78" i="27"/>
  <c r="AZ78" i="27"/>
  <c r="CG78" i="27"/>
  <c r="BI78" i="27"/>
  <c r="CS78" i="27"/>
  <c r="BU78" i="27"/>
  <c r="AW78" i="27"/>
  <c r="AS70" i="27"/>
  <c r="AS62" i="27"/>
  <c r="CY56" i="27"/>
  <c r="CM56" i="27"/>
  <c r="CA56" i="27"/>
  <c r="BO56" i="27"/>
  <c r="BC56" i="27"/>
  <c r="BC9" i="27" s="1"/>
  <c r="DB56" i="27"/>
  <c r="CP56" i="27"/>
  <c r="CD56" i="27"/>
  <c r="BR56" i="27"/>
  <c r="BF56" i="27"/>
  <c r="AK56" i="27"/>
  <c r="CS56" i="27"/>
  <c r="CG56" i="27"/>
  <c r="CG9" i="27" s="1"/>
  <c r="BU56" i="27"/>
  <c r="BI56" i="27"/>
  <c r="AW56" i="27"/>
  <c r="CV56" i="27"/>
  <c r="CV9" i="27" s="1"/>
  <c r="BX56" i="27"/>
  <c r="AZ56" i="27"/>
  <c r="CJ56" i="27"/>
  <c r="BL56" i="27"/>
  <c r="BL9" i="27" s="1"/>
  <c r="AS63" i="27"/>
  <c r="AS65" i="27"/>
  <c r="AS32" i="27"/>
  <c r="AS24" i="27"/>
  <c r="CJ9" i="27"/>
  <c r="AI9" i="27"/>
  <c r="AT17" i="27"/>
  <c r="AU17" i="27" s="1"/>
  <c r="AS34" i="27"/>
  <c r="AS26" i="27"/>
  <c r="AS37" i="27"/>
  <c r="AS29" i="27"/>
  <c r="AS14" i="27"/>
  <c r="AT74" i="27" l="1"/>
  <c r="AU74" i="27" s="1"/>
  <c r="U74" i="27"/>
  <c r="CD9" i="27"/>
  <c r="AS142" i="27"/>
  <c r="U142" i="27" s="1"/>
  <c r="AT159" i="27"/>
  <c r="AU159" i="27" s="1"/>
  <c r="BX9" i="27"/>
  <c r="BY259" i="27" s="1"/>
  <c r="J259" i="27" s="1"/>
  <c r="BU9" i="27"/>
  <c r="BV262" i="27" s="1"/>
  <c r="I262" i="27" s="1"/>
  <c r="BF9" i="27"/>
  <c r="DB9" i="27"/>
  <c r="CM9" i="27"/>
  <c r="AT151" i="27"/>
  <c r="AU151" i="27" s="1"/>
  <c r="AS260" i="27"/>
  <c r="U260" i="27" s="1"/>
  <c r="AS40" i="27"/>
  <c r="AS157" i="27"/>
  <c r="AS84" i="27"/>
  <c r="U84" i="27" s="1"/>
  <c r="CS9" i="27"/>
  <c r="AS109" i="27"/>
  <c r="AS205" i="27"/>
  <c r="BO9" i="27"/>
  <c r="AZ9" i="27"/>
  <c r="BI9" i="27"/>
  <c r="AK9" i="27"/>
  <c r="CP9" i="27"/>
  <c r="CQ261" i="27" s="1"/>
  <c r="P261" i="27" s="1"/>
  <c r="CA9" i="27"/>
  <c r="AS115" i="27"/>
  <c r="AS235" i="27"/>
  <c r="BY261" i="27"/>
  <c r="J261" i="27" s="1"/>
  <c r="BY260" i="27"/>
  <c r="J260" i="27" s="1"/>
  <c r="BY256" i="27"/>
  <c r="J256" i="27" s="1"/>
  <c r="BY258" i="27"/>
  <c r="J258" i="27" s="1"/>
  <c r="BY255" i="27"/>
  <c r="J255" i="27" s="1"/>
  <c r="BY248" i="27"/>
  <c r="J248" i="27" s="1"/>
  <c r="BY246" i="27"/>
  <c r="J246" i="27" s="1"/>
  <c r="BY251" i="27"/>
  <c r="J251" i="27" s="1"/>
  <c r="BY249" i="27"/>
  <c r="J249" i="27" s="1"/>
  <c r="BY241" i="27"/>
  <c r="J241" i="27" s="1"/>
  <c r="BY239" i="27"/>
  <c r="J239" i="27" s="1"/>
  <c r="BY240" i="27"/>
  <c r="J240" i="27" s="1"/>
  <c r="BY238" i="27"/>
  <c r="J238" i="27" s="1"/>
  <c r="BY235" i="27"/>
  <c r="J235" i="27" s="1"/>
  <c r="BY232" i="27"/>
  <c r="J232" i="27" s="1"/>
  <c r="BY233" i="27"/>
  <c r="J233" i="27" s="1"/>
  <c r="BY231" i="27"/>
  <c r="J231" i="27" s="1"/>
  <c r="BY234" i="27"/>
  <c r="J234" i="27" s="1"/>
  <c r="BY226" i="27"/>
  <c r="J226" i="27" s="1"/>
  <c r="BY221" i="27"/>
  <c r="J221" i="27" s="1"/>
  <c r="BY219" i="27"/>
  <c r="J219" i="27" s="1"/>
  <c r="BY222" i="27"/>
  <c r="J222" i="27" s="1"/>
  <c r="BY218" i="27"/>
  <c r="J218" i="27" s="1"/>
  <c r="BY220" i="27"/>
  <c r="J220" i="27" s="1"/>
  <c r="BY214" i="27"/>
  <c r="J214" i="27" s="1"/>
  <c r="BY208" i="27"/>
  <c r="J208" i="27" s="1"/>
  <c r="BY206" i="27"/>
  <c r="J206" i="27" s="1"/>
  <c r="BY209" i="27"/>
  <c r="J209" i="27" s="1"/>
  <c r="BY207" i="27"/>
  <c r="J207" i="27" s="1"/>
  <c r="BY201" i="27"/>
  <c r="J201" i="27" s="1"/>
  <c r="BY200" i="27"/>
  <c r="J200" i="27" s="1"/>
  <c r="BY194" i="27"/>
  <c r="J194" i="27" s="1"/>
  <c r="BY192" i="27"/>
  <c r="J192" i="27" s="1"/>
  <c r="BY186" i="27"/>
  <c r="J186" i="27" s="1"/>
  <c r="BY184" i="27"/>
  <c r="J184" i="27" s="1"/>
  <c r="BY199" i="27"/>
  <c r="J199" i="27" s="1"/>
  <c r="BY197" i="27"/>
  <c r="J197" i="27" s="1"/>
  <c r="BY191" i="27"/>
  <c r="J191" i="27" s="1"/>
  <c r="BY189" i="27"/>
  <c r="J189" i="27" s="1"/>
  <c r="BY181" i="27"/>
  <c r="J181" i="27" s="1"/>
  <c r="BY179" i="27"/>
  <c r="J179" i="27" s="1"/>
  <c r="BY173" i="27"/>
  <c r="J173" i="27" s="1"/>
  <c r="BY171" i="27"/>
  <c r="J171" i="27" s="1"/>
  <c r="BY165" i="27"/>
  <c r="J165" i="27" s="1"/>
  <c r="BY187" i="27"/>
  <c r="J187" i="27" s="1"/>
  <c r="BY178" i="27"/>
  <c r="J178" i="27" s="1"/>
  <c r="BY176" i="27"/>
  <c r="J176" i="27" s="1"/>
  <c r="BY170" i="27"/>
  <c r="J170" i="27" s="1"/>
  <c r="BY168" i="27"/>
  <c r="J168" i="27" s="1"/>
  <c r="BY159" i="27"/>
  <c r="J159" i="27" s="1"/>
  <c r="BY157" i="27"/>
  <c r="J157" i="27" s="1"/>
  <c r="BY151" i="27"/>
  <c r="J151" i="27" s="1"/>
  <c r="BY149" i="27"/>
  <c r="J149" i="27" s="1"/>
  <c r="BY143" i="27"/>
  <c r="J143" i="27" s="1"/>
  <c r="BY141" i="27"/>
  <c r="J141" i="27" s="1"/>
  <c r="BY160" i="27"/>
  <c r="J160" i="27" s="1"/>
  <c r="BY166" i="27"/>
  <c r="J166" i="27" s="1"/>
  <c r="BY154" i="27"/>
  <c r="J154" i="27" s="1"/>
  <c r="BY152" i="27"/>
  <c r="J152" i="27" s="1"/>
  <c r="BY146" i="27"/>
  <c r="J146" i="27" s="1"/>
  <c r="BY144" i="27"/>
  <c r="J144" i="27" s="1"/>
  <c r="BY132" i="27"/>
  <c r="J132" i="27" s="1"/>
  <c r="BY130" i="27"/>
  <c r="J130" i="27" s="1"/>
  <c r="BY124" i="27"/>
  <c r="J124" i="27" s="1"/>
  <c r="BY122" i="27"/>
  <c r="J122" i="27" s="1"/>
  <c r="BY116" i="27"/>
  <c r="J116" i="27" s="1"/>
  <c r="BY114" i="27"/>
  <c r="J114" i="27" s="1"/>
  <c r="BY108" i="27"/>
  <c r="J108" i="27" s="1"/>
  <c r="BY106" i="27"/>
  <c r="J106" i="27" s="1"/>
  <c r="BY135" i="27"/>
  <c r="J135" i="27" s="1"/>
  <c r="BY133" i="27"/>
  <c r="J133" i="27" s="1"/>
  <c r="BY127" i="27"/>
  <c r="J127" i="27" s="1"/>
  <c r="BY125" i="27"/>
  <c r="J125" i="27" s="1"/>
  <c r="BY119" i="27"/>
  <c r="J119" i="27" s="1"/>
  <c r="BY117" i="27"/>
  <c r="J117" i="27" s="1"/>
  <c r="BY138" i="27"/>
  <c r="J138" i="27" s="1"/>
  <c r="BY103" i="27"/>
  <c r="J103" i="27" s="1"/>
  <c r="BY97" i="27"/>
  <c r="J97" i="27" s="1"/>
  <c r="BY95" i="27"/>
  <c r="J95" i="27" s="1"/>
  <c r="BY89" i="27"/>
  <c r="J89" i="27" s="1"/>
  <c r="BY87" i="27"/>
  <c r="J87" i="27" s="1"/>
  <c r="BY81" i="27"/>
  <c r="J81" i="27" s="1"/>
  <c r="BY79" i="27"/>
  <c r="J79" i="27" s="1"/>
  <c r="BY73" i="27"/>
  <c r="J73" i="27" s="1"/>
  <c r="BY71" i="27"/>
  <c r="J71" i="27" s="1"/>
  <c r="BY111" i="27"/>
  <c r="J111" i="27" s="1"/>
  <c r="BY109" i="27"/>
  <c r="J109" i="27" s="1"/>
  <c r="BY104" i="27"/>
  <c r="J104" i="27" s="1"/>
  <c r="BY102" i="27"/>
  <c r="J102" i="27" s="1"/>
  <c r="BY96" i="27"/>
  <c r="J96" i="27" s="1"/>
  <c r="BY94" i="27"/>
  <c r="J94" i="27" s="1"/>
  <c r="BY88" i="27"/>
  <c r="J88" i="27" s="1"/>
  <c r="BY86" i="27"/>
  <c r="J86" i="27" s="1"/>
  <c r="BY80" i="27"/>
  <c r="J80" i="27" s="1"/>
  <c r="BY78" i="27"/>
  <c r="J78" i="27" s="1"/>
  <c r="BY67" i="27"/>
  <c r="J67" i="27" s="1"/>
  <c r="BY65" i="27"/>
  <c r="J65" i="27" s="1"/>
  <c r="BY59" i="27"/>
  <c r="J59" i="27" s="1"/>
  <c r="BY57" i="27"/>
  <c r="J57" i="27" s="1"/>
  <c r="BY51" i="27"/>
  <c r="J51" i="27" s="1"/>
  <c r="BY49" i="27"/>
  <c r="J49" i="27" s="1"/>
  <c r="BY43" i="27"/>
  <c r="J43" i="27" s="1"/>
  <c r="BY41" i="27"/>
  <c r="J41" i="27" s="1"/>
  <c r="BY70" i="27"/>
  <c r="J70" i="27" s="1"/>
  <c r="BY68" i="27"/>
  <c r="J68" i="27" s="1"/>
  <c r="BY62" i="27"/>
  <c r="J62" i="27" s="1"/>
  <c r="BY60" i="27"/>
  <c r="J60" i="27" s="1"/>
  <c r="BY54" i="27"/>
  <c r="J54" i="27" s="1"/>
  <c r="BY52" i="27"/>
  <c r="J52" i="27" s="1"/>
  <c r="BY46" i="27"/>
  <c r="J46" i="27" s="1"/>
  <c r="BY44" i="27"/>
  <c r="J44" i="27" s="1"/>
  <c r="BY38" i="27"/>
  <c r="J38" i="27" s="1"/>
  <c r="BY36" i="27"/>
  <c r="J36" i="27" s="1"/>
  <c r="BY30" i="27"/>
  <c r="J30" i="27" s="1"/>
  <c r="BY28" i="27"/>
  <c r="J28" i="27" s="1"/>
  <c r="BY22" i="27"/>
  <c r="J22" i="27" s="1"/>
  <c r="BY20" i="27"/>
  <c r="J20" i="27" s="1"/>
  <c r="BY14" i="27"/>
  <c r="J14" i="27" s="1"/>
  <c r="BY12" i="27"/>
  <c r="BY19" i="27"/>
  <c r="J19" i="27" s="1"/>
  <c r="BY39" i="27"/>
  <c r="J39" i="27" s="1"/>
  <c r="BY33" i="27"/>
  <c r="J33" i="27" s="1"/>
  <c r="BY31" i="27"/>
  <c r="J31" i="27" s="1"/>
  <c r="BY25" i="27"/>
  <c r="J25" i="27" s="1"/>
  <c r="BY13" i="27"/>
  <c r="J13" i="27" s="1"/>
  <c r="DC262" i="27"/>
  <c r="T262" i="27" s="1"/>
  <c r="DC260" i="27"/>
  <c r="T260" i="27" s="1"/>
  <c r="DC261" i="27"/>
  <c r="T261" i="27" s="1"/>
  <c r="DC259" i="27"/>
  <c r="T259" i="27" s="1"/>
  <c r="DC257" i="27"/>
  <c r="T257" i="27" s="1"/>
  <c r="DC255" i="27"/>
  <c r="T255" i="27" s="1"/>
  <c r="DC258" i="27"/>
  <c r="T258" i="27" s="1"/>
  <c r="DC252" i="27"/>
  <c r="T252" i="27" s="1"/>
  <c r="DC253" i="27"/>
  <c r="T253" i="27" s="1"/>
  <c r="DC256" i="27"/>
  <c r="T256" i="27" s="1"/>
  <c r="DC251" i="27"/>
  <c r="T251" i="27" s="1"/>
  <c r="DC249" i="27"/>
  <c r="T249" i="27" s="1"/>
  <c r="DC247" i="27"/>
  <c r="T247" i="27" s="1"/>
  <c r="DC245" i="27"/>
  <c r="T245" i="27" s="1"/>
  <c r="DC254" i="27"/>
  <c r="T254" i="27" s="1"/>
  <c r="DC244" i="27"/>
  <c r="T244" i="27" s="1"/>
  <c r="DC250" i="27"/>
  <c r="T250" i="27" s="1"/>
  <c r="DC248" i="27"/>
  <c r="T248" i="27" s="1"/>
  <c r="DC246" i="27"/>
  <c r="T246" i="27" s="1"/>
  <c r="DC243" i="27"/>
  <c r="T243" i="27" s="1"/>
  <c r="DC242" i="27"/>
  <c r="T242" i="27" s="1"/>
  <c r="DC240" i="27"/>
  <c r="T240" i="27" s="1"/>
  <c r="DC238" i="27"/>
  <c r="T238" i="27" s="1"/>
  <c r="DC241" i="27"/>
  <c r="T241" i="27" s="1"/>
  <c r="DC239" i="27"/>
  <c r="T239" i="27" s="1"/>
  <c r="DC237" i="27"/>
  <c r="T237" i="27" s="1"/>
  <c r="DC235" i="27"/>
  <c r="T235" i="27" s="1"/>
  <c r="DC236" i="27"/>
  <c r="T236" i="27" s="1"/>
  <c r="DC233" i="27"/>
  <c r="T233" i="27" s="1"/>
  <c r="DC231" i="27"/>
  <c r="T231" i="27" s="1"/>
  <c r="DC229" i="27"/>
  <c r="T229" i="27" s="1"/>
  <c r="DC234" i="27"/>
  <c r="T234" i="27" s="1"/>
  <c r="DC232" i="27"/>
  <c r="T232" i="27" s="1"/>
  <c r="DC230" i="27"/>
  <c r="T230" i="27" s="1"/>
  <c r="DC228" i="27"/>
  <c r="T228" i="27" s="1"/>
  <c r="DC226" i="27"/>
  <c r="T226" i="27" s="1"/>
  <c r="DC224" i="27"/>
  <c r="T224" i="27" s="1"/>
  <c r="DC222" i="27"/>
  <c r="T222" i="27" s="1"/>
  <c r="DC220" i="27"/>
  <c r="T220" i="27" s="1"/>
  <c r="DC218" i="27"/>
  <c r="T218" i="27" s="1"/>
  <c r="DC225" i="27"/>
  <c r="T225" i="27" s="1"/>
  <c r="DC227" i="27"/>
  <c r="T227" i="27" s="1"/>
  <c r="DC223" i="27"/>
  <c r="T223" i="27" s="1"/>
  <c r="DC221" i="27"/>
  <c r="T221" i="27" s="1"/>
  <c r="DC217" i="27"/>
  <c r="T217" i="27" s="1"/>
  <c r="DC214" i="27"/>
  <c r="T214" i="27" s="1"/>
  <c r="DC219" i="27"/>
  <c r="T219" i="27" s="1"/>
  <c r="DC213" i="27"/>
  <c r="T213" i="27" s="1"/>
  <c r="DC211" i="27"/>
  <c r="T211" i="27" s="1"/>
  <c r="DC209" i="27"/>
  <c r="T209" i="27" s="1"/>
  <c r="DC207" i="27"/>
  <c r="T207" i="27" s="1"/>
  <c r="DC205" i="27"/>
  <c r="T205" i="27" s="1"/>
  <c r="DC216" i="27"/>
  <c r="T216" i="27" s="1"/>
  <c r="DC215" i="27"/>
  <c r="T215" i="27" s="1"/>
  <c r="DC212" i="27"/>
  <c r="T212" i="27" s="1"/>
  <c r="DC210" i="27"/>
  <c r="T210" i="27" s="1"/>
  <c r="DC208" i="27"/>
  <c r="T208" i="27" s="1"/>
  <c r="DC206" i="27"/>
  <c r="T206" i="27" s="1"/>
  <c r="DC204" i="27"/>
  <c r="T204" i="27" s="1"/>
  <c r="DC202" i="27"/>
  <c r="T202" i="27" s="1"/>
  <c r="DC200" i="27"/>
  <c r="T200" i="27" s="1"/>
  <c r="DC199" i="27"/>
  <c r="T199" i="27" s="1"/>
  <c r="DC197" i="27"/>
  <c r="T197" i="27" s="1"/>
  <c r="DC195" i="27"/>
  <c r="T195" i="27" s="1"/>
  <c r="DC193" i="27"/>
  <c r="T193" i="27" s="1"/>
  <c r="DC191" i="27"/>
  <c r="T191" i="27" s="1"/>
  <c r="DC189" i="27"/>
  <c r="T189" i="27" s="1"/>
  <c r="DC187" i="27"/>
  <c r="T187" i="27" s="1"/>
  <c r="DC185" i="27"/>
  <c r="T185" i="27" s="1"/>
  <c r="DC183" i="27"/>
  <c r="T183" i="27" s="1"/>
  <c r="DC203" i="27"/>
  <c r="T203" i="27" s="1"/>
  <c r="DC201" i="27"/>
  <c r="T201" i="27" s="1"/>
  <c r="DC198" i="27"/>
  <c r="T198" i="27" s="1"/>
  <c r="DC196" i="27"/>
  <c r="T196" i="27" s="1"/>
  <c r="DC194" i="27"/>
  <c r="T194" i="27" s="1"/>
  <c r="DC192" i="27"/>
  <c r="T192" i="27" s="1"/>
  <c r="DC190" i="27"/>
  <c r="T190" i="27" s="1"/>
  <c r="DC188" i="27"/>
  <c r="T188" i="27" s="1"/>
  <c r="DC182" i="27"/>
  <c r="T182" i="27" s="1"/>
  <c r="DC180" i="27"/>
  <c r="T180" i="27" s="1"/>
  <c r="DC178" i="27"/>
  <c r="T178" i="27" s="1"/>
  <c r="DC176" i="27"/>
  <c r="T176" i="27" s="1"/>
  <c r="DC174" i="27"/>
  <c r="T174" i="27" s="1"/>
  <c r="DC172" i="27"/>
  <c r="T172" i="27" s="1"/>
  <c r="DC170" i="27"/>
  <c r="T170" i="27" s="1"/>
  <c r="DC168" i="27"/>
  <c r="T168" i="27" s="1"/>
  <c r="DC166" i="27"/>
  <c r="T166" i="27" s="1"/>
  <c r="DC164" i="27"/>
  <c r="T164" i="27" s="1"/>
  <c r="DC186" i="27"/>
  <c r="T186" i="27" s="1"/>
  <c r="DC184" i="27"/>
  <c r="T184" i="27" s="1"/>
  <c r="DC181" i="27"/>
  <c r="T181" i="27" s="1"/>
  <c r="DC179" i="27"/>
  <c r="T179" i="27" s="1"/>
  <c r="DC177" i="27"/>
  <c r="T177" i="27" s="1"/>
  <c r="DC175" i="27"/>
  <c r="T175" i="27" s="1"/>
  <c r="DC173" i="27"/>
  <c r="T173" i="27" s="1"/>
  <c r="DC171" i="27"/>
  <c r="T171" i="27" s="1"/>
  <c r="DC169" i="27"/>
  <c r="T169" i="27" s="1"/>
  <c r="DC167" i="27"/>
  <c r="T167" i="27" s="1"/>
  <c r="DC161" i="27"/>
  <c r="T161" i="27" s="1"/>
  <c r="DC160" i="27"/>
  <c r="T160" i="27" s="1"/>
  <c r="DC158" i="27"/>
  <c r="T158" i="27" s="1"/>
  <c r="DC156" i="27"/>
  <c r="T156" i="27" s="1"/>
  <c r="DC154" i="27"/>
  <c r="T154" i="27" s="1"/>
  <c r="DC152" i="27"/>
  <c r="T152" i="27" s="1"/>
  <c r="DC150" i="27"/>
  <c r="T150" i="27" s="1"/>
  <c r="DC148" i="27"/>
  <c r="T148" i="27" s="1"/>
  <c r="DC146" i="27"/>
  <c r="T146" i="27" s="1"/>
  <c r="DC144" i="27"/>
  <c r="T144" i="27" s="1"/>
  <c r="DC142" i="27"/>
  <c r="T142" i="27" s="1"/>
  <c r="DC140" i="27"/>
  <c r="T140" i="27" s="1"/>
  <c r="DC159" i="27"/>
  <c r="T159" i="27" s="1"/>
  <c r="DC157" i="27"/>
  <c r="T157" i="27" s="1"/>
  <c r="DC155" i="27"/>
  <c r="T155" i="27" s="1"/>
  <c r="DC153" i="27"/>
  <c r="T153" i="27" s="1"/>
  <c r="DC151" i="27"/>
  <c r="T151" i="27" s="1"/>
  <c r="DC149" i="27"/>
  <c r="T149" i="27" s="1"/>
  <c r="DC147" i="27"/>
  <c r="T147" i="27" s="1"/>
  <c r="DC145" i="27"/>
  <c r="T145" i="27" s="1"/>
  <c r="DC143" i="27"/>
  <c r="T143" i="27" s="1"/>
  <c r="DC165" i="27"/>
  <c r="T165" i="27" s="1"/>
  <c r="DC163" i="27"/>
  <c r="T163" i="27" s="1"/>
  <c r="DC162" i="27"/>
  <c r="T162" i="27" s="1"/>
  <c r="DC141" i="27"/>
  <c r="T141" i="27" s="1"/>
  <c r="DC137" i="27"/>
  <c r="T137" i="27" s="1"/>
  <c r="DC135" i="27"/>
  <c r="T135" i="27" s="1"/>
  <c r="DC133" i="27"/>
  <c r="T133" i="27" s="1"/>
  <c r="DC131" i="27"/>
  <c r="T131" i="27" s="1"/>
  <c r="DC129" i="27"/>
  <c r="T129" i="27" s="1"/>
  <c r="DC127" i="27"/>
  <c r="T127" i="27" s="1"/>
  <c r="DC125" i="27"/>
  <c r="T125" i="27" s="1"/>
  <c r="DC123" i="27"/>
  <c r="T123" i="27" s="1"/>
  <c r="DC121" i="27"/>
  <c r="T121" i="27" s="1"/>
  <c r="DC119" i="27"/>
  <c r="T119" i="27" s="1"/>
  <c r="DC117" i="27"/>
  <c r="T117" i="27" s="1"/>
  <c r="DC115" i="27"/>
  <c r="T115" i="27" s="1"/>
  <c r="DC113" i="27"/>
  <c r="T113" i="27" s="1"/>
  <c r="DC111" i="27"/>
  <c r="T111" i="27" s="1"/>
  <c r="DC109" i="27"/>
  <c r="T109" i="27" s="1"/>
  <c r="DC107" i="27"/>
  <c r="T107" i="27" s="1"/>
  <c r="DC105" i="27"/>
  <c r="T105" i="27" s="1"/>
  <c r="DC139" i="27"/>
  <c r="T139" i="27" s="1"/>
  <c r="DC138" i="27"/>
  <c r="T138" i="27" s="1"/>
  <c r="DC136" i="27"/>
  <c r="T136" i="27" s="1"/>
  <c r="DC134" i="27"/>
  <c r="T134" i="27" s="1"/>
  <c r="DC132" i="27"/>
  <c r="T132" i="27" s="1"/>
  <c r="DC130" i="27"/>
  <c r="T130" i="27" s="1"/>
  <c r="DC128" i="27"/>
  <c r="T128" i="27" s="1"/>
  <c r="DC126" i="27"/>
  <c r="T126" i="27" s="1"/>
  <c r="DC124" i="27"/>
  <c r="T124" i="27" s="1"/>
  <c r="DC122" i="27"/>
  <c r="T122" i="27" s="1"/>
  <c r="DC120" i="27"/>
  <c r="T120" i="27" s="1"/>
  <c r="DC118" i="27"/>
  <c r="T118" i="27" s="1"/>
  <c r="DC102" i="27"/>
  <c r="T102" i="27" s="1"/>
  <c r="DC100" i="27"/>
  <c r="T100" i="27" s="1"/>
  <c r="DC98" i="27"/>
  <c r="T98" i="27" s="1"/>
  <c r="DC96" i="27"/>
  <c r="T96" i="27" s="1"/>
  <c r="DC94" i="27"/>
  <c r="T94" i="27" s="1"/>
  <c r="DC92" i="27"/>
  <c r="T92" i="27" s="1"/>
  <c r="DC90" i="27"/>
  <c r="T90" i="27" s="1"/>
  <c r="DC88" i="27"/>
  <c r="T88" i="27" s="1"/>
  <c r="DC86" i="27"/>
  <c r="T86" i="27" s="1"/>
  <c r="DC84" i="27"/>
  <c r="T84" i="27" s="1"/>
  <c r="DC82" i="27"/>
  <c r="T82" i="27" s="1"/>
  <c r="DC80" i="27"/>
  <c r="T80" i="27" s="1"/>
  <c r="DC78" i="27"/>
  <c r="T78" i="27" s="1"/>
  <c r="DC76" i="27"/>
  <c r="T76" i="27" s="1"/>
  <c r="DC74" i="27"/>
  <c r="T74" i="27" s="1"/>
  <c r="DC72" i="27"/>
  <c r="T72" i="27" s="1"/>
  <c r="DC104" i="27"/>
  <c r="T104" i="27" s="1"/>
  <c r="DC116" i="27"/>
  <c r="T116" i="27" s="1"/>
  <c r="DC114" i="27"/>
  <c r="T114" i="27" s="1"/>
  <c r="DC112" i="27"/>
  <c r="T112" i="27" s="1"/>
  <c r="DC110" i="27"/>
  <c r="T110" i="27" s="1"/>
  <c r="DC108" i="27"/>
  <c r="T108" i="27" s="1"/>
  <c r="DC106" i="27"/>
  <c r="T106" i="27" s="1"/>
  <c r="DC103" i="27"/>
  <c r="T103" i="27" s="1"/>
  <c r="DC101" i="27"/>
  <c r="T101" i="27" s="1"/>
  <c r="DC99" i="27"/>
  <c r="T99" i="27" s="1"/>
  <c r="DC97" i="27"/>
  <c r="T97" i="27" s="1"/>
  <c r="DC95" i="27"/>
  <c r="T95" i="27" s="1"/>
  <c r="DC93" i="27"/>
  <c r="T93" i="27" s="1"/>
  <c r="DC91" i="27"/>
  <c r="T91" i="27" s="1"/>
  <c r="DC89" i="27"/>
  <c r="T89" i="27" s="1"/>
  <c r="DC87" i="27"/>
  <c r="T87" i="27" s="1"/>
  <c r="DC85" i="27"/>
  <c r="T85" i="27" s="1"/>
  <c r="DC83" i="27"/>
  <c r="T83" i="27" s="1"/>
  <c r="DC81" i="27"/>
  <c r="T81" i="27" s="1"/>
  <c r="DC79" i="27"/>
  <c r="T79" i="27" s="1"/>
  <c r="DC75" i="27"/>
  <c r="T75" i="27" s="1"/>
  <c r="DC73" i="27"/>
  <c r="T73" i="27" s="1"/>
  <c r="DC70" i="27"/>
  <c r="T70" i="27" s="1"/>
  <c r="DC68" i="27"/>
  <c r="T68" i="27" s="1"/>
  <c r="DC66" i="27"/>
  <c r="T66" i="27" s="1"/>
  <c r="DC64" i="27"/>
  <c r="T64" i="27" s="1"/>
  <c r="DC62" i="27"/>
  <c r="T62" i="27" s="1"/>
  <c r="DC60" i="27"/>
  <c r="T60" i="27" s="1"/>
  <c r="DC58" i="27"/>
  <c r="T58" i="27" s="1"/>
  <c r="DC56" i="27"/>
  <c r="T56" i="27" s="1"/>
  <c r="DC54" i="27"/>
  <c r="T54" i="27" s="1"/>
  <c r="DC52" i="27"/>
  <c r="T52" i="27" s="1"/>
  <c r="DC50" i="27"/>
  <c r="T50" i="27" s="1"/>
  <c r="DC48" i="27"/>
  <c r="T48" i="27" s="1"/>
  <c r="DC46" i="27"/>
  <c r="T46" i="27" s="1"/>
  <c r="DC44" i="27"/>
  <c r="T44" i="27" s="1"/>
  <c r="DC42" i="27"/>
  <c r="T42" i="27" s="1"/>
  <c r="DC40" i="27"/>
  <c r="T40" i="27" s="1"/>
  <c r="DC77" i="27"/>
  <c r="T77" i="27" s="1"/>
  <c r="DC71" i="27"/>
  <c r="T71" i="27" s="1"/>
  <c r="DC69" i="27"/>
  <c r="T69" i="27" s="1"/>
  <c r="DC67" i="27"/>
  <c r="T67" i="27" s="1"/>
  <c r="DC65" i="27"/>
  <c r="T65" i="27" s="1"/>
  <c r="DC63" i="27"/>
  <c r="T63" i="27" s="1"/>
  <c r="DC61" i="27"/>
  <c r="T61" i="27" s="1"/>
  <c r="DC59" i="27"/>
  <c r="T59" i="27" s="1"/>
  <c r="DC57" i="27"/>
  <c r="T57" i="27" s="1"/>
  <c r="DC55" i="27"/>
  <c r="T55" i="27" s="1"/>
  <c r="DC53" i="27"/>
  <c r="T53" i="27" s="1"/>
  <c r="DC51" i="27"/>
  <c r="T51" i="27" s="1"/>
  <c r="DC49" i="27"/>
  <c r="T49" i="27" s="1"/>
  <c r="DC47" i="27"/>
  <c r="T47" i="27" s="1"/>
  <c r="DC45" i="27"/>
  <c r="T45" i="27" s="1"/>
  <c r="DC43" i="27"/>
  <c r="T43" i="27" s="1"/>
  <c r="DC41" i="27"/>
  <c r="T41" i="27" s="1"/>
  <c r="DC39" i="27"/>
  <c r="T39" i="27" s="1"/>
  <c r="DC37" i="27"/>
  <c r="T37" i="27" s="1"/>
  <c r="DC35" i="27"/>
  <c r="T35" i="27" s="1"/>
  <c r="DC33" i="27"/>
  <c r="T33" i="27" s="1"/>
  <c r="DC31" i="27"/>
  <c r="T31" i="27" s="1"/>
  <c r="DC29" i="27"/>
  <c r="T29" i="27" s="1"/>
  <c r="DC27" i="27"/>
  <c r="T27" i="27" s="1"/>
  <c r="DC25" i="27"/>
  <c r="T25" i="27" s="1"/>
  <c r="DC23" i="27"/>
  <c r="T23" i="27" s="1"/>
  <c r="DC21" i="27"/>
  <c r="T21" i="27" s="1"/>
  <c r="DC19" i="27"/>
  <c r="T19" i="27" s="1"/>
  <c r="DC17" i="27"/>
  <c r="T17" i="27" s="1"/>
  <c r="DC15" i="27"/>
  <c r="T15" i="27" s="1"/>
  <c r="DC13" i="27"/>
  <c r="T13" i="27" s="1"/>
  <c r="DC20" i="27"/>
  <c r="T20" i="27" s="1"/>
  <c r="DC14" i="27"/>
  <c r="T14" i="27" s="1"/>
  <c r="DC22" i="27"/>
  <c r="T22" i="27" s="1"/>
  <c r="DC12" i="27"/>
  <c r="DC38" i="27"/>
  <c r="T38" i="27" s="1"/>
  <c r="DC36" i="27"/>
  <c r="T36" i="27" s="1"/>
  <c r="DC34" i="27"/>
  <c r="T34" i="27" s="1"/>
  <c r="DC32" i="27"/>
  <c r="T32" i="27" s="1"/>
  <c r="DC30" i="27"/>
  <c r="T30" i="27" s="1"/>
  <c r="DC28" i="27"/>
  <c r="T28" i="27" s="1"/>
  <c r="DC26" i="27"/>
  <c r="T26" i="27" s="1"/>
  <c r="DC24" i="27"/>
  <c r="T24" i="27" s="1"/>
  <c r="DC18" i="27"/>
  <c r="T18" i="27" s="1"/>
  <c r="DC16" i="27"/>
  <c r="T16" i="27" s="1"/>
  <c r="CT262" i="27"/>
  <c r="Q262" i="27" s="1"/>
  <c r="CT260" i="27"/>
  <c r="Q260" i="27" s="1"/>
  <c r="CT261" i="27"/>
  <c r="Q261" i="27" s="1"/>
  <c r="CT259" i="27"/>
  <c r="Q259" i="27" s="1"/>
  <c r="CT256" i="27"/>
  <c r="Q256" i="27" s="1"/>
  <c r="CT254" i="27"/>
  <c r="Q254" i="27" s="1"/>
  <c r="CT258" i="27"/>
  <c r="Q258" i="27" s="1"/>
  <c r="CT257" i="27"/>
  <c r="Q257" i="27" s="1"/>
  <c r="CT253" i="27"/>
  <c r="Q253" i="27" s="1"/>
  <c r="CT255" i="27"/>
  <c r="Q255" i="27" s="1"/>
  <c r="CT250" i="27"/>
  <c r="Q250" i="27" s="1"/>
  <c r="CT248" i="27"/>
  <c r="Q248" i="27" s="1"/>
  <c r="CT246" i="27"/>
  <c r="Q246" i="27" s="1"/>
  <c r="CT251" i="27"/>
  <c r="Q251" i="27" s="1"/>
  <c r="CT249" i="27"/>
  <c r="Q249" i="27" s="1"/>
  <c r="CT247" i="27"/>
  <c r="Q247" i="27" s="1"/>
  <c r="CT244" i="27"/>
  <c r="Q244" i="27" s="1"/>
  <c r="CT252" i="27"/>
  <c r="Q252" i="27" s="1"/>
  <c r="CT245" i="27"/>
  <c r="Q245" i="27" s="1"/>
  <c r="CT243" i="27"/>
  <c r="Q243" i="27" s="1"/>
  <c r="CT241" i="27"/>
  <c r="Q241" i="27" s="1"/>
  <c r="CT240" i="27"/>
  <c r="Q240" i="27" s="1"/>
  <c r="CT238" i="27"/>
  <c r="Q238" i="27" s="1"/>
  <c r="CT236" i="27"/>
  <c r="Q236" i="27" s="1"/>
  <c r="CT234" i="27"/>
  <c r="Q234" i="27" s="1"/>
  <c r="CT242" i="27"/>
  <c r="Q242" i="27" s="1"/>
  <c r="CT239" i="27"/>
  <c r="Q239" i="27" s="1"/>
  <c r="CT237" i="27"/>
  <c r="Q237" i="27" s="1"/>
  <c r="CT235" i="27"/>
  <c r="Q235" i="27" s="1"/>
  <c r="CT233" i="27"/>
  <c r="Q233" i="27" s="1"/>
  <c r="CT231" i="27"/>
  <c r="Q231" i="27" s="1"/>
  <c r="CT229" i="27"/>
  <c r="Q229" i="27" s="1"/>
  <c r="CT227" i="27"/>
  <c r="Q227" i="27" s="1"/>
  <c r="CT225" i="27"/>
  <c r="Q225" i="27" s="1"/>
  <c r="CT232" i="27"/>
  <c r="Q232" i="27" s="1"/>
  <c r="CT230" i="27"/>
  <c r="Q230" i="27" s="1"/>
  <c r="CT228" i="27"/>
  <c r="Q228" i="27" s="1"/>
  <c r="CT226" i="27"/>
  <c r="Q226" i="27" s="1"/>
  <c r="CT224" i="27"/>
  <c r="Q224" i="27" s="1"/>
  <c r="CT222" i="27"/>
  <c r="Q222" i="27" s="1"/>
  <c r="CT220" i="27"/>
  <c r="Q220" i="27" s="1"/>
  <c r="CT218" i="27"/>
  <c r="Q218" i="27" s="1"/>
  <c r="CT216" i="27"/>
  <c r="Q216" i="27" s="1"/>
  <c r="CT223" i="27"/>
  <c r="Q223" i="27" s="1"/>
  <c r="CT214" i="27"/>
  <c r="Q214" i="27" s="1"/>
  <c r="CT212" i="27"/>
  <c r="Q212" i="27" s="1"/>
  <c r="CT210" i="27"/>
  <c r="Q210" i="27" s="1"/>
  <c r="CT208" i="27"/>
  <c r="Q208" i="27" s="1"/>
  <c r="CT206" i="27"/>
  <c r="Q206" i="27" s="1"/>
  <c r="CT204" i="27"/>
  <c r="Q204" i="27" s="1"/>
  <c r="CT221" i="27"/>
  <c r="Q221" i="27" s="1"/>
  <c r="CT217" i="27"/>
  <c r="Q217" i="27" s="1"/>
  <c r="CT215" i="27"/>
  <c r="Q215" i="27" s="1"/>
  <c r="CT213" i="27"/>
  <c r="Q213" i="27" s="1"/>
  <c r="CT211" i="27"/>
  <c r="Q211" i="27" s="1"/>
  <c r="CT209" i="27"/>
  <c r="Q209" i="27" s="1"/>
  <c r="CT207" i="27"/>
  <c r="Q207" i="27" s="1"/>
  <c r="CT205" i="27"/>
  <c r="Q205" i="27" s="1"/>
  <c r="CT203" i="27"/>
  <c r="Q203" i="27" s="1"/>
  <c r="CT201" i="27"/>
  <c r="Q201" i="27" s="1"/>
  <c r="CT219" i="27"/>
  <c r="Q219" i="27" s="1"/>
  <c r="CT199" i="27"/>
  <c r="Q199" i="27" s="1"/>
  <c r="CT197" i="27"/>
  <c r="Q197" i="27" s="1"/>
  <c r="CT195" i="27"/>
  <c r="Q195" i="27" s="1"/>
  <c r="CT193" i="27"/>
  <c r="Q193" i="27" s="1"/>
  <c r="CT200" i="27"/>
  <c r="Q200" i="27" s="1"/>
  <c r="CT202" i="27"/>
  <c r="Q202" i="27" s="1"/>
  <c r="CT198" i="27"/>
  <c r="Q198" i="27" s="1"/>
  <c r="CT196" i="27"/>
  <c r="Q196" i="27" s="1"/>
  <c r="CT194" i="27"/>
  <c r="Q194" i="27" s="1"/>
  <c r="CT192" i="27"/>
  <c r="Q192" i="27" s="1"/>
  <c r="CT190" i="27"/>
  <c r="Q190" i="27" s="1"/>
  <c r="CT188" i="27"/>
  <c r="Q188" i="27" s="1"/>
  <c r="CT186" i="27"/>
  <c r="Q186" i="27" s="1"/>
  <c r="CT189" i="27"/>
  <c r="Q189" i="27" s="1"/>
  <c r="CT182" i="27"/>
  <c r="Q182" i="27" s="1"/>
  <c r="CT180" i="27"/>
  <c r="Q180" i="27" s="1"/>
  <c r="CT178" i="27"/>
  <c r="Q178" i="27" s="1"/>
  <c r="CT176" i="27"/>
  <c r="Q176" i="27" s="1"/>
  <c r="CT174" i="27"/>
  <c r="Q174" i="27" s="1"/>
  <c r="CT172" i="27"/>
  <c r="Q172" i="27" s="1"/>
  <c r="CT170" i="27"/>
  <c r="Q170" i="27" s="1"/>
  <c r="CT168" i="27"/>
  <c r="Q168" i="27" s="1"/>
  <c r="CT185" i="27"/>
  <c r="Q185" i="27" s="1"/>
  <c r="CT184" i="27"/>
  <c r="Q184" i="27" s="1"/>
  <c r="CT183" i="27"/>
  <c r="Q183" i="27" s="1"/>
  <c r="CT191" i="27"/>
  <c r="Q191" i="27" s="1"/>
  <c r="CT187" i="27"/>
  <c r="Q187" i="27" s="1"/>
  <c r="CT181" i="27"/>
  <c r="Q181" i="27" s="1"/>
  <c r="CT179" i="27"/>
  <c r="Q179" i="27" s="1"/>
  <c r="CT177" i="27"/>
  <c r="Q177" i="27" s="1"/>
  <c r="CT175" i="27"/>
  <c r="Q175" i="27" s="1"/>
  <c r="CT173" i="27"/>
  <c r="Q173" i="27" s="1"/>
  <c r="CT171" i="27"/>
  <c r="Q171" i="27" s="1"/>
  <c r="CT169" i="27"/>
  <c r="Q169" i="27" s="1"/>
  <c r="CT167" i="27"/>
  <c r="Q167" i="27" s="1"/>
  <c r="CT165" i="27"/>
  <c r="Q165" i="27" s="1"/>
  <c r="CT163" i="27"/>
  <c r="Q163" i="27" s="1"/>
  <c r="CT161" i="27"/>
  <c r="Q161" i="27" s="1"/>
  <c r="CT166" i="27"/>
  <c r="Q166" i="27" s="1"/>
  <c r="CT158" i="27"/>
  <c r="Q158" i="27" s="1"/>
  <c r="CT156" i="27"/>
  <c r="Q156" i="27" s="1"/>
  <c r="CT154" i="27"/>
  <c r="Q154" i="27" s="1"/>
  <c r="CT152" i="27"/>
  <c r="Q152" i="27" s="1"/>
  <c r="CT150" i="27"/>
  <c r="Q150" i="27" s="1"/>
  <c r="CT148" i="27"/>
  <c r="Q148" i="27" s="1"/>
  <c r="CT146" i="27"/>
  <c r="Q146" i="27" s="1"/>
  <c r="CT162" i="27"/>
  <c r="Q162" i="27" s="1"/>
  <c r="CT164" i="27"/>
  <c r="Q164" i="27" s="1"/>
  <c r="CT160" i="27"/>
  <c r="Q160" i="27" s="1"/>
  <c r="CT159" i="27"/>
  <c r="Q159" i="27" s="1"/>
  <c r="CT157" i="27"/>
  <c r="Q157" i="27" s="1"/>
  <c r="CT155" i="27"/>
  <c r="Q155" i="27" s="1"/>
  <c r="CT153" i="27"/>
  <c r="Q153" i="27" s="1"/>
  <c r="CT151" i="27"/>
  <c r="Q151" i="27" s="1"/>
  <c r="CT149" i="27"/>
  <c r="Q149" i="27" s="1"/>
  <c r="CT147" i="27"/>
  <c r="Q147" i="27" s="1"/>
  <c r="CT145" i="27"/>
  <c r="Q145" i="27" s="1"/>
  <c r="CT143" i="27"/>
  <c r="Q143" i="27" s="1"/>
  <c r="CT141" i="27"/>
  <c r="Q141" i="27" s="1"/>
  <c r="CT139" i="27"/>
  <c r="Q139" i="27" s="1"/>
  <c r="CT140" i="27"/>
  <c r="Q140" i="27" s="1"/>
  <c r="CT142" i="27"/>
  <c r="Q142" i="27" s="1"/>
  <c r="CT138" i="27"/>
  <c r="Q138" i="27" s="1"/>
  <c r="CT137" i="27"/>
  <c r="Q137" i="27" s="1"/>
  <c r="CT135" i="27"/>
  <c r="Q135" i="27" s="1"/>
  <c r="CT133" i="27"/>
  <c r="Q133" i="27" s="1"/>
  <c r="CT131" i="27"/>
  <c r="Q131" i="27" s="1"/>
  <c r="CT129" i="27"/>
  <c r="Q129" i="27" s="1"/>
  <c r="CT127" i="27"/>
  <c r="Q127" i="27" s="1"/>
  <c r="CT125" i="27"/>
  <c r="Q125" i="27" s="1"/>
  <c r="CT123" i="27"/>
  <c r="Q123" i="27" s="1"/>
  <c r="CT121" i="27"/>
  <c r="Q121" i="27" s="1"/>
  <c r="CT119" i="27"/>
  <c r="Q119" i="27" s="1"/>
  <c r="CT117" i="27"/>
  <c r="Q117" i="27" s="1"/>
  <c r="CT115" i="27"/>
  <c r="Q115" i="27" s="1"/>
  <c r="CT113" i="27"/>
  <c r="Q113" i="27" s="1"/>
  <c r="CT111" i="27"/>
  <c r="Q111" i="27" s="1"/>
  <c r="CT109" i="27"/>
  <c r="Q109" i="27" s="1"/>
  <c r="CT107" i="27"/>
  <c r="Q107" i="27" s="1"/>
  <c r="CT105" i="27"/>
  <c r="Q105" i="27" s="1"/>
  <c r="CT144" i="27"/>
  <c r="Q144" i="27" s="1"/>
  <c r="CT136" i="27"/>
  <c r="Q136" i="27" s="1"/>
  <c r="CT134" i="27"/>
  <c r="Q134" i="27" s="1"/>
  <c r="CT132" i="27"/>
  <c r="Q132" i="27" s="1"/>
  <c r="CT130" i="27"/>
  <c r="Q130" i="27" s="1"/>
  <c r="CT128" i="27"/>
  <c r="Q128" i="27" s="1"/>
  <c r="CT126" i="27"/>
  <c r="Q126" i="27" s="1"/>
  <c r="CT124" i="27"/>
  <c r="Q124" i="27" s="1"/>
  <c r="CT122" i="27"/>
  <c r="Q122" i="27" s="1"/>
  <c r="CT120" i="27"/>
  <c r="Q120" i="27" s="1"/>
  <c r="CT118" i="27"/>
  <c r="Q118" i="27" s="1"/>
  <c r="CT116" i="27"/>
  <c r="Q116" i="27" s="1"/>
  <c r="CT114" i="27"/>
  <c r="Q114" i="27" s="1"/>
  <c r="CT112" i="27"/>
  <c r="Q112" i="27" s="1"/>
  <c r="CT110" i="27"/>
  <c r="Q110" i="27" s="1"/>
  <c r="CT108" i="27"/>
  <c r="Q108" i="27" s="1"/>
  <c r="CT106" i="27"/>
  <c r="Q106" i="27" s="1"/>
  <c r="CT104" i="27"/>
  <c r="Q104" i="27" s="1"/>
  <c r="CT102" i="27"/>
  <c r="Q102" i="27" s="1"/>
  <c r="CT100" i="27"/>
  <c r="Q100" i="27" s="1"/>
  <c r="CT98" i="27"/>
  <c r="Q98" i="27" s="1"/>
  <c r="CT96" i="27"/>
  <c r="Q96" i="27" s="1"/>
  <c r="CT94" i="27"/>
  <c r="Q94" i="27" s="1"/>
  <c r="CT92" i="27"/>
  <c r="Q92" i="27" s="1"/>
  <c r="CT90" i="27"/>
  <c r="Q90" i="27" s="1"/>
  <c r="CT88" i="27"/>
  <c r="Q88" i="27" s="1"/>
  <c r="CT86" i="27"/>
  <c r="Q86" i="27" s="1"/>
  <c r="CT84" i="27"/>
  <c r="Q84" i="27" s="1"/>
  <c r="CT82" i="27"/>
  <c r="Q82" i="27" s="1"/>
  <c r="CT80" i="27"/>
  <c r="Q80" i="27" s="1"/>
  <c r="CT78" i="27"/>
  <c r="Q78" i="27" s="1"/>
  <c r="CT103" i="27"/>
  <c r="Q103" i="27" s="1"/>
  <c r="CT101" i="27"/>
  <c r="Q101" i="27" s="1"/>
  <c r="CT99" i="27"/>
  <c r="Q99" i="27" s="1"/>
  <c r="CT97" i="27"/>
  <c r="Q97" i="27" s="1"/>
  <c r="CT95" i="27"/>
  <c r="Q95" i="27" s="1"/>
  <c r="CT93" i="27"/>
  <c r="Q93" i="27" s="1"/>
  <c r="CT91" i="27"/>
  <c r="Q91" i="27" s="1"/>
  <c r="CT89" i="27"/>
  <c r="Q89" i="27" s="1"/>
  <c r="CT87" i="27"/>
  <c r="Q87" i="27" s="1"/>
  <c r="CT85" i="27"/>
  <c r="Q85" i="27" s="1"/>
  <c r="CT83" i="27"/>
  <c r="Q83" i="27" s="1"/>
  <c r="CT81" i="27"/>
  <c r="Q81" i="27" s="1"/>
  <c r="CT79" i="27"/>
  <c r="Q79" i="27" s="1"/>
  <c r="CT77" i="27"/>
  <c r="Q77" i="27" s="1"/>
  <c r="CT75" i="27"/>
  <c r="Q75" i="27" s="1"/>
  <c r="CT69" i="27"/>
  <c r="Q69" i="27" s="1"/>
  <c r="CT67" i="27"/>
  <c r="Q67" i="27" s="1"/>
  <c r="CT65" i="27"/>
  <c r="Q65" i="27" s="1"/>
  <c r="CT63" i="27"/>
  <c r="Q63" i="27" s="1"/>
  <c r="CT61" i="27"/>
  <c r="Q61" i="27" s="1"/>
  <c r="CT59" i="27"/>
  <c r="Q59" i="27" s="1"/>
  <c r="CT57" i="27"/>
  <c r="Q57" i="27" s="1"/>
  <c r="CT74" i="27"/>
  <c r="Q74" i="27" s="1"/>
  <c r="CT73" i="27"/>
  <c r="Q73" i="27" s="1"/>
  <c r="CT72" i="27"/>
  <c r="Q72" i="27" s="1"/>
  <c r="CT76" i="27"/>
  <c r="Q76" i="27" s="1"/>
  <c r="CT70" i="27"/>
  <c r="Q70" i="27" s="1"/>
  <c r="CT68" i="27"/>
  <c r="Q68" i="27" s="1"/>
  <c r="CT66" i="27"/>
  <c r="Q66" i="27" s="1"/>
  <c r="CT64" i="27"/>
  <c r="Q64" i="27" s="1"/>
  <c r="CT62" i="27"/>
  <c r="Q62" i="27" s="1"/>
  <c r="CT60" i="27"/>
  <c r="Q60" i="27" s="1"/>
  <c r="CT58" i="27"/>
  <c r="Q58" i="27" s="1"/>
  <c r="CT56" i="27"/>
  <c r="Q56" i="27" s="1"/>
  <c r="CT71" i="27"/>
  <c r="Q71" i="27" s="1"/>
  <c r="CT54" i="27"/>
  <c r="Q54" i="27" s="1"/>
  <c r="CT53" i="27"/>
  <c r="Q53" i="27" s="1"/>
  <c r="CT52" i="27"/>
  <c r="Q52" i="27" s="1"/>
  <c r="CT51" i="27"/>
  <c r="Q51" i="27" s="1"/>
  <c r="CT50" i="27"/>
  <c r="Q50" i="27" s="1"/>
  <c r="CT49" i="27"/>
  <c r="Q49" i="27" s="1"/>
  <c r="CT48" i="27"/>
  <c r="Q48" i="27" s="1"/>
  <c r="CT47" i="27"/>
  <c r="Q47" i="27" s="1"/>
  <c r="CT46" i="27"/>
  <c r="Q46" i="27" s="1"/>
  <c r="CT45" i="27"/>
  <c r="Q45" i="27" s="1"/>
  <c r="CT44" i="27"/>
  <c r="Q44" i="27" s="1"/>
  <c r="CT43" i="27"/>
  <c r="Q43" i="27" s="1"/>
  <c r="CT42" i="27"/>
  <c r="Q42" i="27" s="1"/>
  <c r="CT41" i="27"/>
  <c r="Q41" i="27" s="1"/>
  <c r="CT40" i="27"/>
  <c r="Q40" i="27" s="1"/>
  <c r="CT39" i="27"/>
  <c r="Q39" i="27" s="1"/>
  <c r="CT37" i="27"/>
  <c r="Q37" i="27" s="1"/>
  <c r="CT35" i="27"/>
  <c r="Q35" i="27" s="1"/>
  <c r="CT33" i="27"/>
  <c r="Q33" i="27" s="1"/>
  <c r="CT31" i="27"/>
  <c r="Q31" i="27" s="1"/>
  <c r="CT29" i="27"/>
  <c r="Q29" i="27" s="1"/>
  <c r="CT27" i="27"/>
  <c r="Q27" i="27" s="1"/>
  <c r="CT25" i="27"/>
  <c r="Q25" i="27" s="1"/>
  <c r="CT23" i="27"/>
  <c r="Q23" i="27" s="1"/>
  <c r="CT21" i="27"/>
  <c r="Q21" i="27" s="1"/>
  <c r="CT19" i="27"/>
  <c r="Q19" i="27" s="1"/>
  <c r="CT17" i="27"/>
  <c r="Q17" i="27" s="1"/>
  <c r="CT15" i="27"/>
  <c r="Q15" i="27" s="1"/>
  <c r="CT13" i="27"/>
  <c r="Q13" i="27" s="1"/>
  <c r="CT55" i="27"/>
  <c r="Q55" i="27" s="1"/>
  <c r="CT38" i="27"/>
  <c r="Q38" i="27" s="1"/>
  <c r="CT36" i="27"/>
  <c r="Q36" i="27" s="1"/>
  <c r="CT34" i="27"/>
  <c r="Q34" i="27" s="1"/>
  <c r="CT32" i="27"/>
  <c r="Q32" i="27" s="1"/>
  <c r="CT30" i="27"/>
  <c r="Q30" i="27" s="1"/>
  <c r="CT28" i="27"/>
  <c r="Q28" i="27" s="1"/>
  <c r="CT26" i="27"/>
  <c r="Q26" i="27" s="1"/>
  <c r="CT24" i="27"/>
  <c r="Q24" i="27" s="1"/>
  <c r="CT22" i="27"/>
  <c r="Q22" i="27" s="1"/>
  <c r="CT20" i="27"/>
  <c r="Q20" i="27" s="1"/>
  <c r="CT18" i="27"/>
  <c r="Q18" i="27" s="1"/>
  <c r="CT16" i="27"/>
  <c r="Q16" i="27" s="1"/>
  <c r="CT14" i="27"/>
  <c r="Q14" i="27" s="1"/>
  <c r="CT12" i="27"/>
  <c r="CE261" i="27"/>
  <c r="L261" i="27" s="1"/>
  <c r="CE259" i="27"/>
  <c r="L259" i="27" s="1"/>
  <c r="CE258" i="27"/>
  <c r="L258" i="27" s="1"/>
  <c r="CE256" i="27"/>
  <c r="L256" i="27" s="1"/>
  <c r="CE249" i="27"/>
  <c r="L249" i="27" s="1"/>
  <c r="CE244" i="27"/>
  <c r="L244" i="27" s="1"/>
  <c r="CE243" i="27"/>
  <c r="L243" i="27" s="1"/>
  <c r="CE242" i="27"/>
  <c r="L242" i="27" s="1"/>
  <c r="CE239" i="27"/>
  <c r="L239" i="27" s="1"/>
  <c r="CE237" i="27"/>
  <c r="L237" i="27" s="1"/>
  <c r="CE233" i="27"/>
  <c r="L233" i="27" s="1"/>
  <c r="CE229" i="27"/>
  <c r="L229" i="27" s="1"/>
  <c r="CE228" i="27"/>
  <c r="L228" i="27" s="1"/>
  <c r="CE226" i="27"/>
  <c r="L226" i="27" s="1"/>
  <c r="CE218" i="27"/>
  <c r="L218" i="27" s="1"/>
  <c r="CE227" i="27"/>
  <c r="L227" i="27" s="1"/>
  <c r="CE217" i="27"/>
  <c r="L217" i="27" s="1"/>
  <c r="CE213" i="27"/>
  <c r="L213" i="27" s="1"/>
  <c r="CE205" i="27"/>
  <c r="L205" i="27" s="1"/>
  <c r="CE216" i="27"/>
  <c r="L216" i="27" s="1"/>
  <c r="CE210" i="27"/>
  <c r="L210" i="27" s="1"/>
  <c r="CE208" i="27"/>
  <c r="L208" i="27" s="1"/>
  <c r="CE200" i="27"/>
  <c r="L200" i="27" s="1"/>
  <c r="CE197" i="27"/>
  <c r="L197" i="27" s="1"/>
  <c r="CE189" i="27"/>
  <c r="L189" i="27" s="1"/>
  <c r="CE187" i="27"/>
  <c r="L187" i="27" s="1"/>
  <c r="CE201" i="27"/>
  <c r="L201" i="27" s="1"/>
  <c r="CE198" i="27"/>
  <c r="L198" i="27" s="1"/>
  <c r="CE190" i="27"/>
  <c r="L190" i="27" s="1"/>
  <c r="CE182" i="27"/>
  <c r="L182" i="27" s="1"/>
  <c r="CE174" i="27"/>
  <c r="L174" i="27" s="1"/>
  <c r="CE172" i="27"/>
  <c r="L172" i="27" s="1"/>
  <c r="CE164" i="27"/>
  <c r="L164" i="27" s="1"/>
  <c r="CE186" i="27"/>
  <c r="L186" i="27" s="1"/>
  <c r="CE177" i="27"/>
  <c r="L177" i="27" s="1"/>
  <c r="CE173" i="27"/>
  <c r="L173" i="27" s="1"/>
  <c r="CE161" i="27"/>
  <c r="L161" i="27" s="1"/>
  <c r="CE160" i="27"/>
  <c r="L160" i="27" s="1"/>
  <c r="CE152" i="27"/>
  <c r="L152" i="27" s="1"/>
  <c r="CE150" i="27"/>
  <c r="L150" i="27" s="1"/>
  <c r="CE142" i="27"/>
  <c r="L142" i="27" s="1"/>
  <c r="CE159" i="27"/>
  <c r="L159" i="27" s="1"/>
  <c r="CE151" i="27"/>
  <c r="L151" i="27" s="1"/>
  <c r="CE149" i="27"/>
  <c r="L149" i="27" s="1"/>
  <c r="CE163" i="27"/>
  <c r="L163" i="27" s="1"/>
  <c r="CE162" i="27"/>
  <c r="L162" i="27" s="1"/>
  <c r="CE133" i="27"/>
  <c r="L133" i="27" s="1"/>
  <c r="CE129" i="27"/>
  <c r="L129" i="27" s="1"/>
  <c r="CE121" i="27"/>
  <c r="L121" i="27" s="1"/>
  <c r="CE119" i="27"/>
  <c r="L119" i="27" s="1"/>
  <c r="CE111" i="27"/>
  <c r="L111" i="27" s="1"/>
  <c r="CE109" i="27"/>
  <c r="L109" i="27" s="1"/>
  <c r="CE139" i="27"/>
  <c r="L139" i="27" s="1"/>
  <c r="CE136" i="27"/>
  <c r="L136" i="27" s="1"/>
  <c r="CE128" i="27"/>
  <c r="L128" i="27" s="1"/>
  <c r="CE126" i="27"/>
  <c r="L126" i="27" s="1"/>
  <c r="CE118" i="27"/>
  <c r="L118" i="27" s="1"/>
  <c r="CE104" i="27"/>
  <c r="L104" i="27" s="1"/>
  <c r="CE96" i="27"/>
  <c r="L96" i="27" s="1"/>
  <c r="CE92" i="27"/>
  <c r="L92" i="27" s="1"/>
  <c r="CE84" i="27"/>
  <c r="L84" i="27" s="1"/>
  <c r="CE82" i="27"/>
  <c r="L82" i="27" s="1"/>
  <c r="CE74" i="27"/>
  <c r="L74" i="27" s="1"/>
  <c r="CE72" i="27"/>
  <c r="L72" i="27" s="1"/>
  <c r="CE110" i="27"/>
  <c r="L110" i="27" s="1"/>
  <c r="CE106" i="27"/>
  <c r="L106" i="27" s="1"/>
  <c r="CE97" i="27"/>
  <c r="L97" i="27" s="1"/>
  <c r="CE95" i="27"/>
  <c r="L95" i="27" s="1"/>
  <c r="CE87" i="27"/>
  <c r="L87" i="27" s="1"/>
  <c r="CE85" i="27"/>
  <c r="L85" i="27" s="1"/>
  <c r="CE75" i="27"/>
  <c r="L75" i="27" s="1"/>
  <c r="CE70" i="27"/>
  <c r="L70" i="27" s="1"/>
  <c r="CE62" i="27"/>
  <c r="L62" i="27" s="1"/>
  <c r="CE60" i="27"/>
  <c r="L60" i="27" s="1"/>
  <c r="CE52" i="27"/>
  <c r="L52" i="27" s="1"/>
  <c r="CE50" i="27"/>
  <c r="L50" i="27" s="1"/>
  <c r="CE42" i="27"/>
  <c r="L42" i="27" s="1"/>
  <c r="CE77" i="27"/>
  <c r="L77" i="27" s="1"/>
  <c r="CE65" i="27"/>
  <c r="L65" i="27" s="1"/>
  <c r="CE63" i="27"/>
  <c r="L63" i="27" s="1"/>
  <c r="CE55" i="27"/>
  <c r="L55" i="27" s="1"/>
  <c r="CE53" i="27"/>
  <c r="L53" i="27" s="1"/>
  <c r="CE45" i="27"/>
  <c r="L45" i="27" s="1"/>
  <c r="CE41" i="27"/>
  <c r="L41" i="27" s="1"/>
  <c r="CE33" i="27"/>
  <c r="L33" i="27" s="1"/>
  <c r="CE31" i="27"/>
  <c r="L31" i="27" s="1"/>
  <c r="CE23" i="27"/>
  <c r="L23" i="27" s="1"/>
  <c r="CE21" i="27"/>
  <c r="L21" i="27" s="1"/>
  <c r="CE13" i="27"/>
  <c r="L13" i="27" s="1"/>
  <c r="CE16" i="27"/>
  <c r="L16" i="27" s="1"/>
  <c r="CE36" i="27"/>
  <c r="L36" i="27" s="1"/>
  <c r="CE34" i="27"/>
  <c r="L34" i="27" s="1"/>
  <c r="CE26" i="27"/>
  <c r="L26" i="27" s="1"/>
  <c r="CE24" i="27"/>
  <c r="L24" i="27" s="1"/>
  <c r="BP259" i="27"/>
  <c r="G259" i="27" s="1"/>
  <c r="BP260" i="27"/>
  <c r="G260" i="27" s="1"/>
  <c r="BP254" i="27"/>
  <c r="G254" i="27" s="1"/>
  <c r="BP256" i="27"/>
  <c r="G256" i="27" s="1"/>
  <c r="BP249" i="27"/>
  <c r="G249" i="27" s="1"/>
  <c r="BP247" i="27"/>
  <c r="G247" i="27" s="1"/>
  <c r="BP245" i="27"/>
  <c r="G245" i="27" s="1"/>
  <c r="BP244" i="27"/>
  <c r="G244" i="27" s="1"/>
  <c r="BP237" i="27"/>
  <c r="G237" i="27" s="1"/>
  <c r="BP235" i="27"/>
  <c r="G235" i="27" s="1"/>
  <c r="BP232" i="27"/>
  <c r="G232" i="27" s="1"/>
  <c r="BP230" i="27"/>
  <c r="G230" i="27" s="1"/>
  <c r="BP233" i="27"/>
  <c r="G233" i="27" s="1"/>
  <c r="BP229" i="27"/>
  <c r="G229" i="27" s="1"/>
  <c r="BP219" i="27"/>
  <c r="G219" i="27" s="1"/>
  <c r="BP217" i="27"/>
  <c r="G217" i="27" s="1"/>
  <c r="BP222" i="27"/>
  <c r="G222" i="27" s="1"/>
  <c r="BP213" i="27"/>
  <c r="G213" i="27" s="1"/>
  <c r="BP205" i="27"/>
  <c r="G205" i="27" s="1"/>
  <c r="BP218" i="27"/>
  <c r="G218" i="27" s="1"/>
  <c r="BP208" i="27"/>
  <c r="G208" i="27" s="1"/>
  <c r="BP206" i="27"/>
  <c r="G206" i="27" s="1"/>
  <c r="BP220" i="27"/>
  <c r="G220" i="27" s="1"/>
  <c r="BP216" i="27"/>
  <c r="G216" i="27" s="1"/>
  <c r="BP194" i="27"/>
  <c r="G194" i="27" s="1"/>
  <c r="BP199" i="27"/>
  <c r="G199" i="27" s="1"/>
  <c r="BP191" i="27"/>
  <c r="G191" i="27" s="1"/>
  <c r="BP189" i="27"/>
  <c r="G189" i="27" s="1"/>
  <c r="BP190" i="27"/>
  <c r="G190" i="27" s="1"/>
  <c r="BP183" i="27"/>
  <c r="G183" i="27" s="1"/>
  <c r="BP175" i="27"/>
  <c r="G175" i="27" s="1"/>
  <c r="BP171" i="27"/>
  <c r="G171" i="27" s="1"/>
  <c r="BP182" i="27"/>
  <c r="G182" i="27" s="1"/>
  <c r="BP180" i="27"/>
  <c r="G180" i="27" s="1"/>
  <c r="BP172" i="27"/>
  <c r="G172" i="27" s="1"/>
  <c r="BP170" i="27"/>
  <c r="G170" i="27" s="1"/>
  <c r="BP162" i="27"/>
  <c r="G162" i="27" s="1"/>
  <c r="BP161" i="27"/>
  <c r="G161" i="27" s="1"/>
  <c r="BP155" i="27"/>
  <c r="G155" i="27" s="1"/>
  <c r="BP153" i="27"/>
  <c r="G153" i="27" s="1"/>
  <c r="BP167" i="27"/>
  <c r="G167" i="27" s="1"/>
  <c r="BP163" i="27"/>
  <c r="G163" i="27" s="1"/>
  <c r="BP152" i="27"/>
  <c r="G152" i="27" s="1"/>
  <c r="BP148" i="27"/>
  <c r="G148" i="27" s="1"/>
  <c r="BP140" i="27"/>
  <c r="G140" i="27" s="1"/>
  <c r="BP138" i="27"/>
  <c r="G138" i="27" s="1"/>
  <c r="BP130" i="27"/>
  <c r="G130" i="27" s="1"/>
  <c r="BP128" i="27"/>
  <c r="G128" i="27" s="1"/>
  <c r="BP120" i="27"/>
  <c r="G120" i="27" s="1"/>
  <c r="BP116" i="27"/>
  <c r="G116" i="27" s="1"/>
  <c r="BP108" i="27"/>
  <c r="G108" i="27" s="1"/>
  <c r="BP106" i="27"/>
  <c r="G106" i="27" s="1"/>
  <c r="BP143" i="27"/>
  <c r="G143" i="27" s="1"/>
  <c r="BP137" i="27"/>
  <c r="G137" i="27" s="1"/>
  <c r="BP129" i="27"/>
  <c r="G129" i="27" s="1"/>
  <c r="BP125" i="27"/>
  <c r="G125" i="27" s="1"/>
  <c r="BP117" i="27"/>
  <c r="G117" i="27" s="1"/>
  <c r="BP115" i="27"/>
  <c r="G115" i="27" s="1"/>
  <c r="BP107" i="27"/>
  <c r="G107" i="27" s="1"/>
  <c r="BP105" i="27"/>
  <c r="G105" i="27" s="1"/>
  <c r="BP97" i="27"/>
  <c r="G97" i="27" s="1"/>
  <c r="BP93" i="27"/>
  <c r="G93" i="27" s="1"/>
  <c r="BP85" i="27"/>
  <c r="G85" i="27" s="1"/>
  <c r="BP83" i="27"/>
  <c r="G83" i="27" s="1"/>
  <c r="BP102" i="27"/>
  <c r="G102" i="27" s="1"/>
  <c r="BP100" i="27"/>
  <c r="G100" i="27" s="1"/>
  <c r="BP92" i="27"/>
  <c r="G92" i="27" s="1"/>
  <c r="BP90" i="27"/>
  <c r="G90" i="27" s="1"/>
  <c r="BP84" i="27"/>
  <c r="G84" i="27" s="1"/>
  <c r="BP82" i="27"/>
  <c r="G82" i="27" s="1"/>
  <c r="BP76" i="27"/>
  <c r="G76" i="27" s="1"/>
  <c r="BP74" i="27"/>
  <c r="G74" i="27" s="1"/>
  <c r="BP70" i="27"/>
  <c r="G70" i="27" s="1"/>
  <c r="BP68" i="27"/>
  <c r="G68" i="27" s="1"/>
  <c r="BP62" i="27"/>
  <c r="G62" i="27" s="1"/>
  <c r="BP60" i="27"/>
  <c r="G60" i="27" s="1"/>
  <c r="BP72" i="27"/>
  <c r="G72" i="27" s="1"/>
  <c r="BP69" i="27"/>
  <c r="G69" i="27" s="1"/>
  <c r="BP63" i="27"/>
  <c r="G63" i="27" s="1"/>
  <c r="BP61" i="27"/>
  <c r="G61" i="27" s="1"/>
  <c r="BP55" i="27"/>
  <c r="G55" i="27" s="1"/>
  <c r="BP75" i="27"/>
  <c r="G75" i="27" s="1"/>
  <c r="BP53" i="27"/>
  <c r="G53" i="27" s="1"/>
  <c r="BP52" i="27"/>
  <c r="G52" i="27" s="1"/>
  <c r="BP49" i="27"/>
  <c r="G49" i="27" s="1"/>
  <c r="BP48" i="27"/>
  <c r="G48" i="27" s="1"/>
  <c r="BP45" i="27"/>
  <c r="G45" i="27" s="1"/>
  <c r="BP44" i="27"/>
  <c r="G44" i="27" s="1"/>
  <c r="BP41" i="27"/>
  <c r="G41" i="27" s="1"/>
  <c r="BP40" i="27"/>
  <c r="G40" i="27" s="1"/>
  <c r="BP34" i="27"/>
  <c r="G34" i="27" s="1"/>
  <c r="BP32" i="27"/>
  <c r="G32" i="27" s="1"/>
  <c r="BP26" i="27"/>
  <c r="G26" i="27" s="1"/>
  <c r="BP24" i="27"/>
  <c r="G24" i="27" s="1"/>
  <c r="BP18" i="27"/>
  <c r="G18" i="27" s="1"/>
  <c r="BP16" i="27"/>
  <c r="G16" i="27" s="1"/>
  <c r="BP39" i="27"/>
  <c r="G39" i="27" s="1"/>
  <c r="BP37" i="27"/>
  <c r="G37" i="27" s="1"/>
  <c r="BP31" i="27"/>
  <c r="G31" i="27" s="1"/>
  <c r="BP29" i="27"/>
  <c r="G29" i="27" s="1"/>
  <c r="BP23" i="27"/>
  <c r="G23" i="27" s="1"/>
  <c r="BP21" i="27"/>
  <c r="G21" i="27" s="1"/>
  <c r="BP15" i="27"/>
  <c r="G15" i="27" s="1"/>
  <c r="BP13" i="27"/>
  <c r="G13" i="27" s="1"/>
  <c r="BA220" i="27"/>
  <c r="B220" i="27" s="1"/>
  <c r="BA213" i="27"/>
  <c r="B213" i="27" s="1"/>
  <c r="BA211" i="27"/>
  <c r="B211" i="27" s="1"/>
  <c r="BA209" i="27"/>
  <c r="B209" i="27" s="1"/>
  <c r="BA207" i="27"/>
  <c r="B207" i="27" s="1"/>
  <c r="BA198" i="27"/>
  <c r="B198" i="27" s="1"/>
  <c r="BA196" i="27"/>
  <c r="B196" i="27" s="1"/>
  <c r="BA194" i="27"/>
  <c r="B194" i="27" s="1"/>
  <c r="BA162" i="27"/>
  <c r="B162" i="27" s="1"/>
  <c r="BA159" i="27"/>
  <c r="B159" i="27" s="1"/>
  <c r="BA155" i="27"/>
  <c r="B155" i="27" s="1"/>
  <c r="BA153" i="27"/>
  <c r="B153" i="27" s="1"/>
  <c r="BA151" i="27"/>
  <c r="B151" i="27" s="1"/>
  <c r="BA149" i="27"/>
  <c r="B149" i="27" s="1"/>
  <c r="BA147" i="27"/>
  <c r="B147" i="27" s="1"/>
  <c r="BA139" i="27"/>
  <c r="B139" i="27" s="1"/>
  <c r="BA73" i="27"/>
  <c r="B73" i="27" s="1"/>
  <c r="BA105" i="27"/>
  <c r="B105" i="27" s="1"/>
  <c r="BA47" i="27"/>
  <c r="B47" i="27" s="1"/>
  <c r="BA72" i="27"/>
  <c r="B72" i="27" s="1"/>
  <c r="BA74" i="27"/>
  <c r="B74" i="27" s="1"/>
  <c r="BA54" i="27"/>
  <c r="B54" i="27" s="1"/>
  <c r="BA52" i="27"/>
  <c r="B52" i="27" s="1"/>
  <c r="BA50" i="27"/>
  <c r="B50" i="27" s="1"/>
  <c r="BA48" i="27"/>
  <c r="B48" i="27" s="1"/>
  <c r="BA46" i="27"/>
  <c r="B46" i="27" s="1"/>
  <c r="BA44" i="27"/>
  <c r="B44" i="27" s="1"/>
  <c r="BA42" i="27"/>
  <c r="B42" i="27" s="1"/>
  <c r="BA17" i="27"/>
  <c r="B17" i="27" s="1"/>
  <c r="BJ262" i="27"/>
  <c r="E262" i="27" s="1"/>
  <c r="BJ260" i="27"/>
  <c r="E260" i="27" s="1"/>
  <c r="BJ261" i="27"/>
  <c r="E261" i="27" s="1"/>
  <c r="BJ259" i="27"/>
  <c r="E259" i="27" s="1"/>
  <c r="BJ256" i="27"/>
  <c r="E256" i="27" s="1"/>
  <c r="BJ257" i="27"/>
  <c r="E257" i="27" s="1"/>
  <c r="BJ258" i="27"/>
  <c r="E258" i="27" s="1"/>
  <c r="BJ250" i="27"/>
  <c r="E250" i="27" s="1"/>
  <c r="BJ248" i="27"/>
  <c r="E248" i="27" s="1"/>
  <c r="BJ246" i="27"/>
  <c r="E246" i="27" s="1"/>
  <c r="BJ255" i="27"/>
  <c r="E255" i="27" s="1"/>
  <c r="BJ254" i="27"/>
  <c r="E254" i="27" s="1"/>
  <c r="BJ253" i="27"/>
  <c r="E253" i="27" s="1"/>
  <c r="BJ252" i="27"/>
  <c r="E252" i="27" s="1"/>
  <c r="BJ251" i="27"/>
  <c r="E251" i="27" s="1"/>
  <c r="BJ249" i="27"/>
  <c r="E249" i="27" s="1"/>
  <c r="BJ247" i="27"/>
  <c r="E247" i="27" s="1"/>
  <c r="BJ244" i="27"/>
  <c r="E244" i="27" s="1"/>
  <c r="BJ245" i="27"/>
  <c r="E245" i="27" s="1"/>
  <c r="BJ243" i="27"/>
  <c r="E243" i="27" s="1"/>
  <c r="BJ242" i="27"/>
  <c r="E242" i="27" s="1"/>
  <c r="BJ240" i="27"/>
  <c r="E240" i="27" s="1"/>
  <c r="BJ238" i="27"/>
  <c r="E238" i="27" s="1"/>
  <c r="BJ236" i="27"/>
  <c r="E236" i="27" s="1"/>
  <c r="BJ234" i="27"/>
  <c r="E234" i="27" s="1"/>
  <c r="BJ241" i="27"/>
  <c r="E241" i="27" s="1"/>
  <c r="BJ239" i="27"/>
  <c r="E239" i="27" s="1"/>
  <c r="BJ237" i="27"/>
  <c r="E237" i="27" s="1"/>
  <c r="BJ235" i="27"/>
  <c r="E235" i="27" s="1"/>
  <c r="BJ233" i="27"/>
  <c r="E233" i="27" s="1"/>
  <c r="BJ231" i="27"/>
  <c r="E231" i="27" s="1"/>
  <c r="BJ229" i="27"/>
  <c r="E229" i="27" s="1"/>
  <c r="BJ227" i="27"/>
  <c r="E227" i="27" s="1"/>
  <c r="BJ225" i="27"/>
  <c r="E225" i="27" s="1"/>
  <c r="BJ232" i="27"/>
  <c r="E232" i="27" s="1"/>
  <c r="BJ230" i="27"/>
  <c r="E230" i="27" s="1"/>
  <c r="BJ228" i="27"/>
  <c r="E228" i="27" s="1"/>
  <c r="BJ224" i="27"/>
  <c r="E224" i="27" s="1"/>
  <c r="BJ222" i="27"/>
  <c r="E222" i="27" s="1"/>
  <c r="BJ220" i="27"/>
  <c r="E220" i="27" s="1"/>
  <c r="BJ218" i="27"/>
  <c r="E218" i="27" s="1"/>
  <c r="BJ216" i="27"/>
  <c r="E216" i="27" s="1"/>
  <c r="BJ226" i="27"/>
  <c r="E226" i="27" s="1"/>
  <c r="BJ223" i="27"/>
  <c r="E223" i="27" s="1"/>
  <c r="BJ215" i="27"/>
  <c r="E215" i="27" s="1"/>
  <c r="BJ214" i="27"/>
  <c r="E214" i="27" s="1"/>
  <c r="BJ212" i="27"/>
  <c r="E212" i="27" s="1"/>
  <c r="BJ210" i="27"/>
  <c r="E210" i="27" s="1"/>
  <c r="BJ208" i="27"/>
  <c r="E208" i="27" s="1"/>
  <c r="BJ206" i="27"/>
  <c r="E206" i="27" s="1"/>
  <c r="BJ204" i="27"/>
  <c r="E204" i="27" s="1"/>
  <c r="BJ217" i="27"/>
  <c r="E217" i="27" s="1"/>
  <c r="BJ213" i="27"/>
  <c r="E213" i="27" s="1"/>
  <c r="BJ211" i="27"/>
  <c r="E211" i="27" s="1"/>
  <c r="BJ209" i="27"/>
  <c r="E209" i="27" s="1"/>
  <c r="BJ207" i="27"/>
  <c r="E207" i="27" s="1"/>
  <c r="BJ205" i="27"/>
  <c r="E205" i="27" s="1"/>
  <c r="BJ203" i="27"/>
  <c r="E203" i="27" s="1"/>
  <c r="BJ201" i="27"/>
  <c r="E201" i="27" s="1"/>
  <c r="BJ221" i="27"/>
  <c r="E221" i="27" s="1"/>
  <c r="BJ219" i="27"/>
  <c r="E219" i="27" s="1"/>
  <c r="BJ199" i="27"/>
  <c r="E199" i="27" s="1"/>
  <c r="BJ197" i="27"/>
  <c r="E197" i="27" s="1"/>
  <c r="BJ195" i="27"/>
  <c r="E195" i="27" s="1"/>
  <c r="BJ193" i="27"/>
  <c r="E193" i="27" s="1"/>
  <c r="BJ200" i="27"/>
  <c r="E200" i="27" s="1"/>
  <c r="BJ202" i="27"/>
  <c r="E202" i="27" s="1"/>
  <c r="BJ198" i="27"/>
  <c r="E198" i="27" s="1"/>
  <c r="BJ196" i="27"/>
  <c r="E196" i="27" s="1"/>
  <c r="BJ194" i="27"/>
  <c r="E194" i="27" s="1"/>
  <c r="BJ192" i="27"/>
  <c r="E192" i="27" s="1"/>
  <c r="BJ190" i="27"/>
  <c r="E190" i="27" s="1"/>
  <c r="BJ188" i="27"/>
  <c r="E188" i="27" s="1"/>
  <c r="BJ186" i="27"/>
  <c r="E186" i="27" s="1"/>
  <c r="BJ184" i="27"/>
  <c r="E184" i="27" s="1"/>
  <c r="BJ191" i="27"/>
  <c r="E191" i="27" s="1"/>
  <c r="BJ182" i="27"/>
  <c r="E182" i="27" s="1"/>
  <c r="BJ180" i="27"/>
  <c r="E180" i="27" s="1"/>
  <c r="BJ178" i="27"/>
  <c r="E178" i="27" s="1"/>
  <c r="BJ176" i="27"/>
  <c r="E176" i="27" s="1"/>
  <c r="BJ174" i="27"/>
  <c r="E174" i="27" s="1"/>
  <c r="BJ172" i="27"/>
  <c r="E172" i="27" s="1"/>
  <c r="BJ170" i="27"/>
  <c r="E170" i="27" s="1"/>
  <c r="BJ189" i="27"/>
  <c r="E189" i="27" s="1"/>
  <c r="BJ185" i="27"/>
  <c r="E185" i="27" s="1"/>
  <c r="BJ187" i="27"/>
  <c r="E187" i="27" s="1"/>
  <c r="BJ183" i="27"/>
  <c r="E183" i="27" s="1"/>
  <c r="BJ181" i="27"/>
  <c r="E181" i="27" s="1"/>
  <c r="BJ179" i="27"/>
  <c r="E179" i="27" s="1"/>
  <c r="BJ177" i="27"/>
  <c r="E177" i="27" s="1"/>
  <c r="BJ175" i="27"/>
  <c r="E175" i="27" s="1"/>
  <c r="BJ173" i="27"/>
  <c r="E173" i="27" s="1"/>
  <c r="BJ171" i="27"/>
  <c r="E171" i="27" s="1"/>
  <c r="BJ169" i="27"/>
  <c r="E169" i="27" s="1"/>
  <c r="BJ167" i="27"/>
  <c r="E167" i="27" s="1"/>
  <c r="BJ165" i="27"/>
  <c r="E165" i="27" s="1"/>
  <c r="BJ163" i="27"/>
  <c r="E163" i="27" s="1"/>
  <c r="BJ161" i="27"/>
  <c r="E161" i="27" s="1"/>
  <c r="BJ168" i="27"/>
  <c r="E168" i="27" s="1"/>
  <c r="BJ166" i="27"/>
  <c r="E166" i="27" s="1"/>
  <c r="BJ162" i="27"/>
  <c r="E162" i="27" s="1"/>
  <c r="BJ160" i="27"/>
  <c r="E160" i="27" s="1"/>
  <c r="BJ158" i="27"/>
  <c r="E158" i="27" s="1"/>
  <c r="BJ156" i="27"/>
  <c r="E156" i="27" s="1"/>
  <c r="BJ154" i="27"/>
  <c r="E154" i="27" s="1"/>
  <c r="BJ152" i="27"/>
  <c r="E152" i="27" s="1"/>
  <c r="BJ150" i="27"/>
  <c r="E150" i="27" s="1"/>
  <c r="BJ148" i="27"/>
  <c r="E148" i="27" s="1"/>
  <c r="BJ164" i="27"/>
  <c r="E164" i="27" s="1"/>
  <c r="BJ159" i="27"/>
  <c r="E159" i="27" s="1"/>
  <c r="BJ157" i="27"/>
  <c r="E157" i="27" s="1"/>
  <c r="BJ155" i="27"/>
  <c r="E155" i="27" s="1"/>
  <c r="BJ153" i="27"/>
  <c r="E153" i="27" s="1"/>
  <c r="BJ151" i="27"/>
  <c r="E151" i="27" s="1"/>
  <c r="BJ149" i="27"/>
  <c r="E149" i="27" s="1"/>
  <c r="BJ147" i="27"/>
  <c r="E147" i="27" s="1"/>
  <c r="BJ145" i="27"/>
  <c r="E145" i="27" s="1"/>
  <c r="BJ143" i="27"/>
  <c r="E143" i="27" s="1"/>
  <c r="BJ141" i="27"/>
  <c r="E141" i="27" s="1"/>
  <c r="BJ139" i="27"/>
  <c r="E139" i="27" s="1"/>
  <c r="BJ144" i="27"/>
  <c r="E144" i="27" s="1"/>
  <c r="BJ140" i="27"/>
  <c r="E140" i="27" s="1"/>
  <c r="BJ142" i="27"/>
  <c r="E142" i="27" s="1"/>
  <c r="BJ137" i="27"/>
  <c r="E137" i="27" s="1"/>
  <c r="BJ135" i="27"/>
  <c r="E135" i="27" s="1"/>
  <c r="BJ133" i="27"/>
  <c r="E133" i="27" s="1"/>
  <c r="BJ131" i="27"/>
  <c r="E131" i="27" s="1"/>
  <c r="BJ129" i="27"/>
  <c r="E129" i="27" s="1"/>
  <c r="BJ127" i="27"/>
  <c r="E127" i="27" s="1"/>
  <c r="BJ125" i="27"/>
  <c r="E125" i="27" s="1"/>
  <c r="BJ123" i="27"/>
  <c r="E123" i="27" s="1"/>
  <c r="BJ121" i="27"/>
  <c r="E121" i="27" s="1"/>
  <c r="BJ119" i="27"/>
  <c r="E119" i="27" s="1"/>
  <c r="BJ117" i="27"/>
  <c r="E117" i="27" s="1"/>
  <c r="BJ115" i="27"/>
  <c r="E115" i="27" s="1"/>
  <c r="BJ113" i="27"/>
  <c r="E113" i="27" s="1"/>
  <c r="BJ111" i="27"/>
  <c r="E111" i="27" s="1"/>
  <c r="BJ109" i="27"/>
  <c r="E109" i="27" s="1"/>
  <c r="BJ107" i="27"/>
  <c r="E107" i="27" s="1"/>
  <c r="BJ105" i="27"/>
  <c r="E105" i="27" s="1"/>
  <c r="BJ146" i="27"/>
  <c r="E146" i="27" s="1"/>
  <c r="BJ138" i="27"/>
  <c r="E138" i="27" s="1"/>
  <c r="BJ136" i="27"/>
  <c r="E136" i="27" s="1"/>
  <c r="BJ134" i="27"/>
  <c r="E134" i="27" s="1"/>
  <c r="BJ132" i="27"/>
  <c r="E132" i="27" s="1"/>
  <c r="BJ130" i="27"/>
  <c r="E130" i="27" s="1"/>
  <c r="BJ128" i="27"/>
  <c r="E128" i="27" s="1"/>
  <c r="BJ126" i="27"/>
  <c r="E126" i="27" s="1"/>
  <c r="BJ124" i="27"/>
  <c r="E124" i="27" s="1"/>
  <c r="BJ122" i="27"/>
  <c r="E122" i="27" s="1"/>
  <c r="BJ120" i="27"/>
  <c r="E120" i="27" s="1"/>
  <c r="BJ118" i="27"/>
  <c r="E118" i="27" s="1"/>
  <c r="BJ116" i="27"/>
  <c r="E116" i="27" s="1"/>
  <c r="BJ114" i="27"/>
  <c r="E114" i="27" s="1"/>
  <c r="BJ112" i="27"/>
  <c r="E112" i="27" s="1"/>
  <c r="BJ110" i="27"/>
  <c r="E110" i="27" s="1"/>
  <c r="BJ108" i="27"/>
  <c r="E108" i="27" s="1"/>
  <c r="BJ106" i="27"/>
  <c r="E106" i="27" s="1"/>
  <c r="BJ104" i="27"/>
  <c r="E104" i="27" s="1"/>
  <c r="BJ102" i="27"/>
  <c r="E102" i="27" s="1"/>
  <c r="BJ100" i="27"/>
  <c r="E100" i="27" s="1"/>
  <c r="BJ98" i="27"/>
  <c r="E98" i="27" s="1"/>
  <c r="BJ96" i="27"/>
  <c r="E96" i="27" s="1"/>
  <c r="BJ94" i="27"/>
  <c r="E94" i="27" s="1"/>
  <c r="BJ92" i="27"/>
  <c r="E92" i="27" s="1"/>
  <c r="BJ90" i="27"/>
  <c r="E90" i="27" s="1"/>
  <c r="BJ88" i="27"/>
  <c r="E88" i="27" s="1"/>
  <c r="BJ86" i="27"/>
  <c r="E86" i="27" s="1"/>
  <c r="BJ84" i="27"/>
  <c r="E84" i="27" s="1"/>
  <c r="BJ82" i="27"/>
  <c r="E82" i="27" s="1"/>
  <c r="BJ80" i="27"/>
  <c r="E80" i="27" s="1"/>
  <c r="BJ78" i="27"/>
  <c r="E78" i="27" s="1"/>
  <c r="BJ103" i="27"/>
  <c r="E103" i="27" s="1"/>
  <c r="BJ101" i="27"/>
  <c r="E101" i="27" s="1"/>
  <c r="BJ99" i="27"/>
  <c r="E99" i="27" s="1"/>
  <c r="BJ97" i="27"/>
  <c r="E97" i="27" s="1"/>
  <c r="BJ95" i="27"/>
  <c r="E95" i="27" s="1"/>
  <c r="BJ93" i="27"/>
  <c r="E93" i="27" s="1"/>
  <c r="BJ91" i="27"/>
  <c r="E91" i="27" s="1"/>
  <c r="BJ89" i="27"/>
  <c r="E89" i="27" s="1"/>
  <c r="BJ87" i="27"/>
  <c r="E87" i="27" s="1"/>
  <c r="BJ85" i="27"/>
  <c r="E85" i="27" s="1"/>
  <c r="BJ83" i="27"/>
  <c r="E83" i="27" s="1"/>
  <c r="BJ81" i="27"/>
  <c r="E81" i="27" s="1"/>
  <c r="BJ79" i="27"/>
  <c r="E79" i="27" s="1"/>
  <c r="BJ77" i="27"/>
  <c r="E77" i="27" s="1"/>
  <c r="BJ75" i="27"/>
  <c r="E75" i="27" s="1"/>
  <c r="BJ69" i="27"/>
  <c r="E69" i="27" s="1"/>
  <c r="BJ67" i="27"/>
  <c r="E67" i="27" s="1"/>
  <c r="BJ65" i="27"/>
  <c r="E65" i="27" s="1"/>
  <c r="BJ63" i="27"/>
  <c r="E63" i="27" s="1"/>
  <c r="BJ61" i="27"/>
  <c r="E61" i="27" s="1"/>
  <c r="BJ59" i="27"/>
  <c r="E59" i="27" s="1"/>
  <c r="BJ57" i="27"/>
  <c r="E57" i="27" s="1"/>
  <c r="BJ74" i="27"/>
  <c r="E74" i="27" s="1"/>
  <c r="BJ71" i="27"/>
  <c r="E71" i="27" s="1"/>
  <c r="BJ76" i="27"/>
  <c r="E76" i="27" s="1"/>
  <c r="BJ70" i="27"/>
  <c r="E70" i="27" s="1"/>
  <c r="BJ68" i="27"/>
  <c r="E68" i="27" s="1"/>
  <c r="BJ66" i="27"/>
  <c r="E66" i="27" s="1"/>
  <c r="BJ64" i="27"/>
  <c r="E64" i="27" s="1"/>
  <c r="BJ62" i="27"/>
  <c r="E62" i="27" s="1"/>
  <c r="BJ60" i="27"/>
  <c r="E60" i="27" s="1"/>
  <c r="BJ58" i="27"/>
  <c r="E58" i="27" s="1"/>
  <c r="BJ56" i="27"/>
  <c r="E56" i="27" s="1"/>
  <c r="BJ73" i="27"/>
  <c r="E73" i="27" s="1"/>
  <c r="BJ72" i="27"/>
  <c r="E72" i="27" s="1"/>
  <c r="BJ55" i="27"/>
  <c r="E55" i="27" s="1"/>
  <c r="BJ54" i="27"/>
  <c r="E54" i="27" s="1"/>
  <c r="BJ53" i="27"/>
  <c r="E53" i="27" s="1"/>
  <c r="BJ52" i="27"/>
  <c r="E52" i="27" s="1"/>
  <c r="BJ51" i="27"/>
  <c r="E51" i="27" s="1"/>
  <c r="BJ50" i="27"/>
  <c r="E50" i="27" s="1"/>
  <c r="BJ49" i="27"/>
  <c r="E49" i="27" s="1"/>
  <c r="BJ48" i="27"/>
  <c r="E48" i="27" s="1"/>
  <c r="BJ47" i="27"/>
  <c r="E47" i="27" s="1"/>
  <c r="BJ46" i="27"/>
  <c r="E46" i="27" s="1"/>
  <c r="BJ45" i="27"/>
  <c r="E45" i="27" s="1"/>
  <c r="BJ44" i="27"/>
  <c r="E44" i="27" s="1"/>
  <c r="BJ43" i="27"/>
  <c r="E43" i="27" s="1"/>
  <c r="BJ42" i="27"/>
  <c r="E42" i="27" s="1"/>
  <c r="BJ41" i="27"/>
  <c r="E41" i="27" s="1"/>
  <c r="BJ40" i="27"/>
  <c r="E40" i="27" s="1"/>
  <c r="BJ39" i="27"/>
  <c r="E39" i="27" s="1"/>
  <c r="BJ37" i="27"/>
  <c r="E37" i="27" s="1"/>
  <c r="BJ35" i="27"/>
  <c r="E35" i="27" s="1"/>
  <c r="BJ33" i="27"/>
  <c r="E33" i="27" s="1"/>
  <c r="BJ31" i="27"/>
  <c r="E31" i="27" s="1"/>
  <c r="BJ29" i="27"/>
  <c r="E29" i="27" s="1"/>
  <c r="BJ27" i="27"/>
  <c r="E27" i="27" s="1"/>
  <c r="BJ25" i="27"/>
  <c r="E25" i="27" s="1"/>
  <c r="BJ23" i="27"/>
  <c r="E23" i="27" s="1"/>
  <c r="BJ21" i="27"/>
  <c r="E21" i="27" s="1"/>
  <c r="BJ19" i="27"/>
  <c r="E19" i="27" s="1"/>
  <c r="BJ17" i="27"/>
  <c r="E17" i="27" s="1"/>
  <c r="BJ15" i="27"/>
  <c r="E15" i="27" s="1"/>
  <c r="BJ13" i="27"/>
  <c r="E13" i="27" s="1"/>
  <c r="BJ38" i="27"/>
  <c r="E38" i="27" s="1"/>
  <c r="BJ36" i="27"/>
  <c r="E36" i="27" s="1"/>
  <c r="BJ34" i="27"/>
  <c r="E34" i="27" s="1"/>
  <c r="BJ32" i="27"/>
  <c r="E32" i="27" s="1"/>
  <c r="BJ30" i="27"/>
  <c r="E30" i="27" s="1"/>
  <c r="BJ28" i="27"/>
  <c r="E28" i="27" s="1"/>
  <c r="BJ26" i="27"/>
  <c r="E26" i="27" s="1"/>
  <c r="BJ24" i="27"/>
  <c r="E24" i="27" s="1"/>
  <c r="BJ22" i="27"/>
  <c r="E22" i="27" s="1"/>
  <c r="BJ20" i="27"/>
  <c r="E20" i="27" s="1"/>
  <c r="BJ18" i="27"/>
  <c r="E18" i="27" s="1"/>
  <c r="BJ16" i="27"/>
  <c r="E16" i="27" s="1"/>
  <c r="BJ14" i="27"/>
  <c r="E14" i="27" s="1"/>
  <c r="BJ12" i="27"/>
  <c r="CQ262" i="27"/>
  <c r="P262" i="27" s="1"/>
  <c r="CQ260" i="27"/>
  <c r="P260" i="27" s="1"/>
  <c r="CQ258" i="27"/>
  <c r="P258" i="27" s="1"/>
  <c r="CQ259" i="27"/>
  <c r="P259" i="27" s="1"/>
  <c r="CQ257" i="27"/>
  <c r="P257" i="27" s="1"/>
  <c r="CQ252" i="27"/>
  <c r="P252" i="27" s="1"/>
  <c r="CQ256" i="27"/>
  <c r="P256" i="27" s="1"/>
  <c r="CQ254" i="27"/>
  <c r="P254" i="27" s="1"/>
  <c r="CQ251" i="27"/>
  <c r="P251" i="27" s="1"/>
  <c r="CQ249" i="27"/>
  <c r="P249" i="27" s="1"/>
  <c r="CQ247" i="27"/>
  <c r="P247" i="27" s="1"/>
  <c r="CQ248" i="27"/>
  <c r="P248" i="27" s="1"/>
  <c r="CQ244" i="27"/>
  <c r="P244" i="27" s="1"/>
  <c r="CQ246" i="27"/>
  <c r="P246" i="27" s="1"/>
  <c r="CQ240" i="27"/>
  <c r="P240" i="27" s="1"/>
  <c r="CQ238" i="27"/>
  <c r="P238" i="27" s="1"/>
  <c r="CQ245" i="27"/>
  <c r="P245" i="27" s="1"/>
  <c r="CQ239" i="27"/>
  <c r="P239" i="27" s="1"/>
  <c r="CQ237" i="27"/>
  <c r="P237" i="27" s="1"/>
  <c r="CQ235" i="27"/>
  <c r="P235" i="27" s="1"/>
  <c r="CQ233" i="27"/>
  <c r="P233" i="27" s="1"/>
  <c r="CQ231" i="27"/>
  <c r="P231" i="27" s="1"/>
  <c r="CQ229" i="27"/>
  <c r="P229" i="27" s="1"/>
  <c r="CQ236" i="27"/>
  <c r="P236" i="27" s="1"/>
  <c r="CQ232" i="27"/>
  <c r="P232" i="27" s="1"/>
  <c r="CQ230" i="27"/>
  <c r="P230" i="27" s="1"/>
  <c r="CQ226" i="27"/>
  <c r="P226" i="27" s="1"/>
  <c r="CQ227" i="27"/>
  <c r="P227" i="27" s="1"/>
  <c r="CQ224" i="27"/>
  <c r="P224" i="27" s="1"/>
  <c r="CQ220" i="27"/>
  <c r="P220" i="27" s="1"/>
  <c r="CQ218" i="27"/>
  <c r="P218" i="27" s="1"/>
  <c r="CQ225" i="27"/>
  <c r="P225" i="27" s="1"/>
  <c r="CQ221" i="27"/>
  <c r="P221" i="27" s="1"/>
  <c r="CQ217" i="27"/>
  <c r="P217" i="27" s="1"/>
  <c r="CQ219" i="27"/>
  <c r="P219" i="27" s="1"/>
  <c r="CQ215" i="27"/>
  <c r="P215" i="27" s="1"/>
  <c r="CQ213" i="27"/>
  <c r="P213" i="27" s="1"/>
  <c r="CQ211" i="27"/>
  <c r="P211" i="27" s="1"/>
  <c r="CQ207" i="27"/>
  <c r="P207" i="27" s="1"/>
  <c r="CQ205" i="27"/>
  <c r="P205" i="27" s="1"/>
  <c r="CQ214" i="27"/>
  <c r="P214" i="27" s="1"/>
  <c r="CQ210" i="27"/>
  <c r="P210" i="27" s="1"/>
  <c r="CQ208" i="27"/>
  <c r="P208" i="27" s="1"/>
  <c r="CQ206" i="27"/>
  <c r="P206" i="27" s="1"/>
  <c r="CQ202" i="27"/>
  <c r="P202" i="27" s="1"/>
  <c r="CQ200" i="27"/>
  <c r="P200" i="27" s="1"/>
  <c r="CQ199" i="27"/>
  <c r="P199" i="27" s="1"/>
  <c r="CQ195" i="27"/>
  <c r="P195" i="27" s="1"/>
  <c r="CQ193" i="27"/>
  <c r="P193" i="27" s="1"/>
  <c r="CQ191" i="27"/>
  <c r="P191" i="27" s="1"/>
  <c r="CQ187" i="27"/>
  <c r="P187" i="27" s="1"/>
  <c r="CQ185" i="27"/>
  <c r="P185" i="27" s="1"/>
  <c r="CQ183" i="27"/>
  <c r="P183" i="27" s="1"/>
  <c r="CQ198" i="27"/>
  <c r="P198" i="27" s="1"/>
  <c r="CQ196" i="27"/>
  <c r="P196" i="27" s="1"/>
  <c r="CQ194" i="27"/>
  <c r="P194" i="27" s="1"/>
  <c r="CQ190" i="27"/>
  <c r="P190" i="27" s="1"/>
  <c r="CQ188" i="27"/>
  <c r="P188" i="27" s="1"/>
  <c r="CQ203" i="27"/>
  <c r="P203" i="27" s="1"/>
  <c r="CQ182" i="27"/>
  <c r="P182" i="27" s="1"/>
  <c r="CQ180" i="27"/>
  <c r="P180" i="27" s="1"/>
  <c r="CQ178" i="27"/>
  <c r="P178" i="27" s="1"/>
  <c r="CQ174" i="27"/>
  <c r="P174" i="27" s="1"/>
  <c r="CQ172" i="27"/>
  <c r="P172" i="27" s="1"/>
  <c r="CQ170" i="27"/>
  <c r="P170" i="27" s="1"/>
  <c r="CQ166" i="27"/>
  <c r="P166" i="27" s="1"/>
  <c r="CQ164" i="27"/>
  <c r="P164" i="27" s="1"/>
  <c r="CQ186" i="27"/>
  <c r="P186" i="27" s="1"/>
  <c r="CQ179" i="27"/>
  <c r="P179" i="27" s="1"/>
  <c r="CQ177" i="27"/>
  <c r="P177" i="27" s="1"/>
  <c r="CQ175" i="27"/>
  <c r="P175" i="27" s="1"/>
  <c r="CQ171" i="27"/>
  <c r="P171" i="27" s="1"/>
  <c r="CQ169" i="27"/>
  <c r="P169" i="27" s="1"/>
  <c r="CQ167" i="27"/>
  <c r="P167" i="27" s="1"/>
  <c r="CQ156" i="27"/>
  <c r="P156" i="27" s="1"/>
  <c r="CQ154" i="27"/>
  <c r="P154" i="27" s="1"/>
  <c r="CQ152" i="27"/>
  <c r="P152" i="27" s="1"/>
  <c r="CQ148" i="27"/>
  <c r="P148" i="27" s="1"/>
  <c r="CQ146" i="27"/>
  <c r="P146" i="27" s="1"/>
  <c r="CQ144" i="27"/>
  <c r="P144" i="27" s="1"/>
  <c r="CQ140" i="27"/>
  <c r="P140" i="27" s="1"/>
  <c r="CQ163" i="27"/>
  <c r="P163" i="27" s="1"/>
  <c r="CQ162" i="27"/>
  <c r="P162" i="27" s="1"/>
  <c r="CQ160" i="27"/>
  <c r="P160" i="27" s="1"/>
  <c r="CQ159" i="27"/>
  <c r="P159" i="27" s="1"/>
  <c r="CQ157" i="27"/>
  <c r="P157" i="27" s="1"/>
  <c r="CQ153" i="27"/>
  <c r="P153" i="27" s="1"/>
  <c r="CQ151" i="27"/>
  <c r="P151" i="27" s="1"/>
  <c r="CQ149" i="27"/>
  <c r="P149" i="27" s="1"/>
  <c r="CQ145" i="27"/>
  <c r="P145" i="27" s="1"/>
  <c r="CQ143" i="27"/>
  <c r="P143" i="27" s="1"/>
  <c r="CQ165" i="27"/>
  <c r="P165" i="27" s="1"/>
  <c r="CQ139" i="27"/>
  <c r="P139" i="27" s="1"/>
  <c r="CQ138" i="27"/>
  <c r="P138" i="27" s="1"/>
  <c r="CQ137" i="27"/>
  <c r="P137" i="27" s="1"/>
  <c r="CQ133" i="27"/>
  <c r="P133" i="27" s="1"/>
  <c r="CQ131" i="27"/>
  <c r="P131" i="27" s="1"/>
  <c r="CQ129" i="27"/>
  <c r="P129" i="27" s="1"/>
  <c r="CQ125" i="27"/>
  <c r="P125" i="27" s="1"/>
  <c r="CQ123" i="27"/>
  <c r="P123" i="27" s="1"/>
  <c r="CQ121" i="27"/>
  <c r="P121" i="27" s="1"/>
  <c r="CQ117" i="27"/>
  <c r="P117" i="27" s="1"/>
  <c r="CQ115" i="27"/>
  <c r="P115" i="27" s="1"/>
  <c r="CQ113" i="27"/>
  <c r="P113" i="27" s="1"/>
  <c r="CQ109" i="27"/>
  <c r="P109" i="27" s="1"/>
  <c r="CQ107" i="27"/>
  <c r="P107" i="27" s="1"/>
  <c r="CQ105" i="27"/>
  <c r="P105" i="27" s="1"/>
  <c r="CQ134" i="27"/>
  <c r="P134" i="27" s="1"/>
  <c r="CQ132" i="27"/>
  <c r="P132" i="27" s="1"/>
  <c r="CQ130" i="27"/>
  <c r="P130" i="27" s="1"/>
  <c r="CQ126" i="27"/>
  <c r="P126" i="27" s="1"/>
  <c r="CQ124" i="27"/>
  <c r="P124" i="27" s="1"/>
  <c r="CQ122" i="27"/>
  <c r="P122" i="27" s="1"/>
  <c r="CQ118" i="27"/>
  <c r="P118" i="27" s="1"/>
  <c r="CQ116" i="27"/>
  <c r="P116" i="27" s="1"/>
  <c r="CQ114" i="27"/>
  <c r="P114" i="27" s="1"/>
  <c r="CQ110" i="27"/>
  <c r="P110" i="27" s="1"/>
  <c r="CQ108" i="27"/>
  <c r="P108" i="27" s="1"/>
  <c r="CQ106" i="27"/>
  <c r="P106" i="27" s="1"/>
  <c r="CQ102" i="27"/>
  <c r="P102" i="27" s="1"/>
  <c r="CQ100" i="27"/>
  <c r="P100" i="27" s="1"/>
  <c r="CQ98" i="27"/>
  <c r="P98" i="27" s="1"/>
  <c r="CQ94" i="27"/>
  <c r="P94" i="27" s="1"/>
  <c r="CQ92" i="27"/>
  <c r="P92" i="27" s="1"/>
  <c r="CQ90" i="27"/>
  <c r="P90" i="27" s="1"/>
  <c r="CQ86" i="27"/>
  <c r="P86" i="27" s="1"/>
  <c r="CQ84" i="27"/>
  <c r="P84" i="27" s="1"/>
  <c r="CQ82" i="27"/>
  <c r="P82" i="27" s="1"/>
  <c r="CQ78" i="27"/>
  <c r="P78" i="27" s="1"/>
  <c r="CQ76" i="27"/>
  <c r="P76" i="27" s="1"/>
  <c r="CQ74" i="27"/>
  <c r="P74" i="27" s="1"/>
  <c r="CQ103" i="27"/>
  <c r="P103" i="27" s="1"/>
  <c r="CQ101" i="27"/>
  <c r="P101" i="27" s="1"/>
  <c r="CQ99" i="27"/>
  <c r="P99" i="27" s="1"/>
  <c r="CQ95" i="27"/>
  <c r="P95" i="27" s="1"/>
  <c r="CQ93" i="27"/>
  <c r="P93" i="27" s="1"/>
  <c r="CQ91" i="27"/>
  <c r="P91" i="27" s="1"/>
  <c r="CQ87" i="27"/>
  <c r="P87" i="27" s="1"/>
  <c r="CQ75" i="27"/>
  <c r="P75" i="27" s="1"/>
  <c r="CQ71" i="27"/>
  <c r="P71" i="27" s="1"/>
  <c r="CQ68" i="27"/>
  <c r="P68" i="27" s="1"/>
  <c r="CQ66" i="27"/>
  <c r="P66" i="27" s="1"/>
  <c r="CQ64" i="27"/>
  <c r="P64" i="27" s="1"/>
  <c r="CQ60" i="27"/>
  <c r="P60" i="27" s="1"/>
  <c r="CQ58" i="27"/>
  <c r="P58" i="27" s="1"/>
  <c r="CQ56" i="27"/>
  <c r="P56" i="27" s="1"/>
  <c r="CQ52" i="27"/>
  <c r="P52" i="27" s="1"/>
  <c r="CQ50" i="27"/>
  <c r="P50" i="27" s="1"/>
  <c r="CQ48" i="27"/>
  <c r="P48" i="27" s="1"/>
  <c r="CQ44" i="27"/>
  <c r="P44" i="27" s="1"/>
  <c r="CQ42" i="27"/>
  <c r="P42" i="27" s="1"/>
  <c r="CQ40" i="27"/>
  <c r="P40" i="27" s="1"/>
  <c r="CQ83" i="27"/>
  <c r="P83" i="27" s="1"/>
  <c r="CQ81" i="27"/>
  <c r="P81" i="27" s="1"/>
  <c r="CQ79" i="27"/>
  <c r="P79" i="27" s="1"/>
  <c r="CQ73" i="27"/>
  <c r="P73" i="27" s="1"/>
  <c r="CQ69" i="27"/>
  <c r="P69" i="27" s="1"/>
  <c r="CQ67" i="27"/>
  <c r="P67" i="27" s="1"/>
  <c r="CQ63" i="27"/>
  <c r="P63" i="27" s="1"/>
  <c r="CQ61" i="27"/>
  <c r="P61" i="27" s="1"/>
  <c r="CQ59" i="27"/>
  <c r="P59" i="27" s="1"/>
  <c r="CQ55" i="27"/>
  <c r="P55" i="27" s="1"/>
  <c r="CQ53" i="27"/>
  <c r="P53" i="27" s="1"/>
  <c r="CQ51" i="27"/>
  <c r="P51" i="27" s="1"/>
  <c r="CQ47" i="27"/>
  <c r="P47" i="27" s="1"/>
  <c r="CQ45" i="27"/>
  <c r="P45" i="27" s="1"/>
  <c r="CQ43" i="27"/>
  <c r="P43" i="27" s="1"/>
  <c r="CQ39" i="27"/>
  <c r="P39" i="27" s="1"/>
  <c r="CQ37" i="27"/>
  <c r="P37" i="27" s="1"/>
  <c r="CQ35" i="27"/>
  <c r="P35" i="27" s="1"/>
  <c r="CQ31" i="27"/>
  <c r="P31" i="27" s="1"/>
  <c r="CQ29" i="27"/>
  <c r="P29" i="27" s="1"/>
  <c r="CQ27" i="27"/>
  <c r="P27" i="27" s="1"/>
  <c r="CQ23" i="27"/>
  <c r="P23" i="27" s="1"/>
  <c r="CQ21" i="27"/>
  <c r="P21" i="27" s="1"/>
  <c r="CQ19" i="27"/>
  <c r="P19" i="27" s="1"/>
  <c r="CQ15" i="27"/>
  <c r="P15" i="27" s="1"/>
  <c r="CQ13" i="27"/>
  <c r="P13" i="27" s="1"/>
  <c r="CQ12" i="27"/>
  <c r="CQ14" i="27"/>
  <c r="P14" i="27" s="1"/>
  <c r="CQ38" i="27"/>
  <c r="P38" i="27" s="1"/>
  <c r="CQ36" i="27"/>
  <c r="P36" i="27" s="1"/>
  <c r="CQ32" i="27"/>
  <c r="P32" i="27" s="1"/>
  <c r="CQ30" i="27"/>
  <c r="P30" i="27" s="1"/>
  <c r="CQ28" i="27"/>
  <c r="P28" i="27" s="1"/>
  <c r="CQ24" i="27"/>
  <c r="P24" i="27" s="1"/>
  <c r="CQ22" i="27"/>
  <c r="P22" i="27" s="1"/>
  <c r="CQ18" i="27"/>
  <c r="P18" i="27" s="1"/>
  <c r="CB261" i="27"/>
  <c r="K261" i="27" s="1"/>
  <c r="CB259" i="27"/>
  <c r="K259" i="27" s="1"/>
  <c r="CB262" i="27"/>
  <c r="K262" i="27" s="1"/>
  <c r="CB260" i="27"/>
  <c r="K260" i="27" s="1"/>
  <c r="CB258" i="27"/>
  <c r="K258" i="27" s="1"/>
  <c r="CB257" i="27"/>
  <c r="K257" i="27" s="1"/>
  <c r="CB255" i="27"/>
  <c r="K255" i="27" s="1"/>
  <c r="CB254" i="27"/>
  <c r="K254" i="27" s="1"/>
  <c r="CB251" i="27"/>
  <c r="K251" i="27" s="1"/>
  <c r="CB249" i="27"/>
  <c r="K249" i="27" s="1"/>
  <c r="CB247" i="27"/>
  <c r="K247" i="27" s="1"/>
  <c r="CB256" i="27"/>
  <c r="K256" i="27" s="1"/>
  <c r="CB253" i="27"/>
  <c r="K253" i="27" s="1"/>
  <c r="CB252" i="27"/>
  <c r="K252" i="27" s="1"/>
  <c r="CB250" i="27"/>
  <c r="K250" i="27" s="1"/>
  <c r="CB248" i="27"/>
  <c r="K248" i="27" s="1"/>
  <c r="CB246" i="27"/>
  <c r="K246" i="27" s="1"/>
  <c r="CB245" i="27"/>
  <c r="K245" i="27" s="1"/>
  <c r="CB243" i="27"/>
  <c r="K243" i="27" s="1"/>
  <c r="CB244" i="27"/>
  <c r="K244" i="27" s="1"/>
  <c r="CB242" i="27"/>
  <c r="K242" i="27" s="1"/>
  <c r="CB241" i="27"/>
  <c r="K241" i="27" s="1"/>
  <c r="CB239" i="27"/>
  <c r="K239" i="27" s="1"/>
  <c r="CB237" i="27"/>
  <c r="K237" i="27" s="1"/>
  <c r="CB235" i="27"/>
  <c r="K235" i="27" s="1"/>
  <c r="CB240" i="27"/>
  <c r="K240" i="27" s="1"/>
  <c r="CB238" i="27"/>
  <c r="K238" i="27" s="1"/>
  <c r="CB236" i="27"/>
  <c r="K236" i="27" s="1"/>
  <c r="CB234" i="27"/>
  <c r="K234" i="27" s="1"/>
  <c r="CB232" i="27"/>
  <c r="K232" i="27" s="1"/>
  <c r="CB230" i="27"/>
  <c r="K230" i="27" s="1"/>
  <c r="CB228" i="27"/>
  <c r="K228" i="27" s="1"/>
  <c r="CB226" i="27"/>
  <c r="K226" i="27" s="1"/>
  <c r="CB233" i="27"/>
  <c r="K233" i="27" s="1"/>
  <c r="CB231" i="27"/>
  <c r="K231" i="27" s="1"/>
  <c r="CB229" i="27"/>
  <c r="K229" i="27" s="1"/>
  <c r="CB227" i="27"/>
  <c r="K227" i="27" s="1"/>
  <c r="CB225" i="27"/>
  <c r="K225" i="27" s="1"/>
  <c r="CB223" i="27"/>
  <c r="K223" i="27" s="1"/>
  <c r="CB221" i="27"/>
  <c r="K221" i="27" s="1"/>
  <c r="CB219" i="27"/>
  <c r="K219" i="27" s="1"/>
  <c r="CB217" i="27"/>
  <c r="K217" i="27" s="1"/>
  <c r="CB215" i="27"/>
  <c r="K215" i="27" s="1"/>
  <c r="CB224" i="27"/>
  <c r="K224" i="27" s="1"/>
  <c r="CB222" i="27"/>
  <c r="K222" i="27" s="1"/>
  <c r="CB213" i="27"/>
  <c r="K213" i="27" s="1"/>
  <c r="CB211" i="27"/>
  <c r="K211" i="27" s="1"/>
  <c r="CB209" i="27"/>
  <c r="K209" i="27" s="1"/>
  <c r="CB207" i="27"/>
  <c r="K207" i="27" s="1"/>
  <c r="CB205" i="27"/>
  <c r="K205" i="27" s="1"/>
  <c r="CB203" i="27"/>
  <c r="K203" i="27" s="1"/>
  <c r="CB216" i="27"/>
  <c r="K216" i="27" s="1"/>
  <c r="CB218" i="27"/>
  <c r="K218" i="27" s="1"/>
  <c r="CB214" i="27"/>
  <c r="K214" i="27" s="1"/>
  <c r="CB212" i="27"/>
  <c r="K212" i="27" s="1"/>
  <c r="CB210" i="27"/>
  <c r="K210" i="27" s="1"/>
  <c r="CB208" i="27"/>
  <c r="K208" i="27" s="1"/>
  <c r="CB206" i="27"/>
  <c r="K206" i="27" s="1"/>
  <c r="CB204" i="27"/>
  <c r="K204" i="27" s="1"/>
  <c r="CB202" i="27"/>
  <c r="K202" i="27" s="1"/>
  <c r="CB200" i="27"/>
  <c r="K200" i="27" s="1"/>
  <c r="CB220" i="27"/>
  <c r="K220" i="27" s="1"/>
  <c r="CB201" i="27"/>
  <c r="K201" i="27" s="1"/>
  <c r="CB198" i="27"/>
  <c r="K198" i="27" s="1"/>
  <c r="CB196" i="27"/>
  <c r="K196" i="27" s="1"/>
  <c r="CB194" i="27"/>
  <c r="K194" i="27" s="1"/>
  <c r="CB192" i="27"/>
  <c r="K192" i="27" s="1"/>
  <c r="CB199" i="27"/>
  <c r="K199" i="27" s="1"/>
  <c r="CB197" i="27"/>
  <c r="K197" i="27" s="1"/>
  <c r="CB195" i="27"/>
  <c r="K195" i="27" s="1"/>
  <c r="CB193" i="27"/>
  <c r="K193" i="27" s="1"/>
  <c r="CB191" i="27"/>
  <c r="K191" i="27" s="1"/>
  <c r="CB189" i="27"/>
  <c r="K189" i="27" s="1"/>
  <c r="CB187" i="27"/>
  <c r="K187" i="27" s="1"/>
  <c r="CB185" i="27"/>
  <c r="K185" i="27" s="1"/>
  <c r="CB188" i="27"/>
  <c r="K188" i="27" s="1"/>
  <c r="CB186" i="27"/>
  <c r="K186" i="27" s="1"/>
  <c r="CB184" i="27"/>
  <c r="K184" i="27" s="1"/>
  <c r="CB183" i="27"/>
  <c r="K183" i="27" s="1"/>
  <c r="CB181" i="27"/>
  <c r="K181" i="27" s="1"/>
  <c r="CB179" i="27"/>
  <c r="K179" i="27" s="1"/>
  <c r="CB177" i="27"/>
  <c r="K177" i="27" s="1"/>
  <c r="CB175" i="27"/>
  <c r="K175" i="27" s="1"/>
  <c r="CB173" i="27"/>
  <c r="K173" i="27" s="1"/>
  <c r="CB171" i="27"/>
  <c r="K171" i="27" s="1"/>
  <c r="CB169" i="27"/>
  <c r="K169" i="27" s="1"/>
  <c r="CB190" i="27"/>
  <c r="K190" i="27" s="1"/>
  <c r="CB182" i="27"/>
  <c r="K182" i="27" s="1"/>
  <c r="CB180" i="27"/>
  <c r="K180" i="27" s="1"/>
  <c r="CB178" i="27"/>
  <c r="K178" i="27" s="1"/>
  <c r="CB176" i="27"/>
  <c r="K176" i="27" s="1"/>
  <c r="CB174" i="27"/>
  <c r="K174" i="27" s="1"/>
  <c r="CB172" i="27"/>
  <c r="K172" i="27" s="1"/>
  <c r="CB170" i="27"/>
  <c r="K170" i="27" s="1"/>
  <c r="CB168" i="27"/>
  <c r="K168" i="27" s="1"/>
  <c r="CB166" i="27"/>
  <c r="K166" i="27" s="1"/>
  <c r="CB164" i="27"/>
  <c r="K164" i="27" s="1"/>
  <c r="CB162" i="27"/>
  <c r="K162" i="27" s="1"/>
  <c r="CB160" i="27"/>
  <c r="K160" i="27" s="1"/>
  <c r="CB165" i="27"/>
  <c r="K165" i="27" s="1"/>
  <c r="CB163" i="27"/>
  <c r="K163" i="27" s="1"/>
  <c r="CB159" i="27"/>
  <c r="K159" i="27" s="1"/>
  <c r="CB157" i="27"/>
  <c r="K157" i="27" s="1"/>
  <c r="CB155" i="27"/>
  <c r="K155" i="27" s="1"/>
  <c r="CB153" i="27"/>
  <c r="K153" i="27" s="1"/>
  <c r="CB151" i="27"/>
  <c r="K151" i="27" s="1"/>
  <c r="CB149" i="27"/>
  <c r="K149" i="27" s="1"/>
  <c r="CB147" i="27"/>
  <c r="K147" i="27" s="1"/>
  <c r="CB167" i="27"/>
  <c r="K167" i="27" s="1"/>
  <c r="CB161" i="27"/>
  <c r="K161" i="27" s="1"/>
  <c r="CB158" i="27"/>
  <c r="K158" i="27" s="1"/>
  <c r="CB156" i="27"/>
  <c r="K156" i="27" s="1"/>
  <c r="CB154" i="27"/>
  <c r="K154" i="27" s="1"/>
  <c r="CB152" i="27"/>
  <c r="K152" i="27" s="1"/>
  <c r="CB150" i="27"/>
  <c r="K150" i="27" s="1"/>
  <c r="CB148" i="27"/>
  <c r="K148" i="27" s="1"/>
  <c r="CB146" i="27"/>
  <c r="K146" i="27" s="1"/>
  <c r="CB144" i="27"/>
  <c r="K144" i="27" s="1"/>
  <c r="CB142" i="27"/>
  <c r="K142" i="27" s="1"/>
  <c r="CB140" i="27"/>
  <c r="K140" i="27" s="1"/>
  <c r="CB138" i="27"/>
  <c r="K138" i="27" s="1"/>
  <c r="CB139" i="27"/>
  <c r="K139" i="27" s="1"/>
  <c r="CB145" i="27"/>
  <c r="K145" i="27" s="1"/>
  <c r="CB136" i="27"/>
  <c r="K136" i="27" s="1"/>
  <c r="CB134" i="27"/>
  <c r="K134" i="27" s="1"/>
  <c r="CB132" i="27"/>
  <c r="K132" i="27" s="1"/>
  <c r="CB130" i="27"/>
  <c r="K130" i="27" s="1"/>
  <c r="CB128" i="27"/>
  <c r="K128" i="27" s="1"/>
  <c r="CB126" i="27"/>
  <c r="K126" i="27" s="1"/>
  <c r="CB124" i="27"/>
  <c r="K124" i="27" s="1"/>
  <c r="CB122" i="27"/>
  <c r="K122" i="27" s="1"/>
  <c r="CB120" i="27"/>
  <c r="K120" i="27" s="1"/>
  <c r="CB118" i="27"/>
  <c r="K118" i="27" s="1"/>
  <c r="CB116" i="27"/>
  <c r="K116" i="27" s="1"/>
  <c r="CB114" i="27"/>
  <c r="K114" i="27" s="1"/>
  <c r="CB112" i="27"/>
  <c r="K112" i="27" s="1"/>
  <c r="CB110" i="27"/>
  <c r="K110" i="27" s="1"/>
  <c r="CB108" i="27"/>
  <c r="K108" i="27" s="1"/>
  <c r="CB106" i="27"/>
  <c r="K106" i="27" s="1"/>
  <c r="CB141" i="27"/>
  <c r="K141" i="27" s="1"/>
  <c r="CB143" i="27"/>
  <c r="K143" i="27" s="1"/>
  <c r="CB137" i="27"/>
  <c r="K137" i="27" s="1"/>
  <c r="CB135" i="27"/>
  <c r="K135" i="27" s="1"/>
  <c r="CB133" i="27"/>
  <c r="K133" i="27" s="1"/>
  <c r="CB131" i="27"/>
  <c r="K131" i="27" s="1"/>
  <c r="CB129" i="27"/>
  <c r="K129" i="27" s="1"/>
  <c r="CB127" i="27"/>
  <c r="K127" i="27" s="1"/>
  <c r="CB125" i="27"/>
  <c r="K125" i="27" s="1"/>
  <c r="CB123" i="27"/>
  <c r="K123" i="27" s="1"/>
  <c r="CB121" i="27"/>
  <c r="K121" i="27" s="1"/>
  <c r="CB119" i="27"/>
  <c r="K119" i="27" s="1"/>
  <c r="CB117" i="27"/>
  <c r="K117" i="27" s="1"/>
  <c r="CB115" i="27"/>
  <c r="K115" i="27" s="1"/>
  <c r="CB113" i="27"/>
  <c r="K113" i="27" s="1"/>
  <c r="CB111" i="27"/>
  <c r="K111" i="27" s="1"/>
  <c r="CB109" i="27"/>
  <c r="K109" i="27" s="1"/>
  <c r="CB107" i="27"/>
  <c r="K107" i="27" s="1"/>
  <c r="CB105" i="27"/>
  <c r="K105" i="27" s="1"/>
  <c r="CB103" i="27"/>
  <c r="K103" i="27" s="1"/>
  <c r="CB101" i="27"/>
  <c r="K101" i="27" s="1"/>
  <c r="CB99" i="27"/>
  <c r="K99" i="27" s="1"/>
  <c r="CB97" i="27"/>
  <c r="K97" i="27" s="1"/>
  <c r="CB95" i="27"/>
  <c r="K95" i="27" s="1"/>
  <c r="CB93" i="27"/>
  <c r="K93" i="27" s="1"/>
  <c r="CB91" i="27"/>
  <c r="K91" i="27" s="1"/>
  <c r="CB89" i="27"/>
  <c r="K89" i="27" s="1"/>
  <c r="CB87" i="27"/>
  <c r="K87" i="27" s="1"/>
  <c r="CB85" i="27"/>
  <c r="K85" i="27" s="1"/>
  <c r="CB83" i="27"/>
  <c r="K83" i="27" s="1"/>
  <c r="CB81" i="27"/>
  <c r="K81" i="27" s="1"/>
  <c r="CB79" i="27"/>
  <c r="K79" i="27" s="1"/>
  <c r="CB104" i="27"/>
  <c r="K104" i="27" s="1"/>
  <c r="CB102" i="27"/>
  <c r="K102" i="27" s="1"/>
  <c r="CB100" i="27"/>
  <c r="K100" i="27" s="1"/>
  <c r="CB98" i="27"/>
  <c r="K98" i="27" s="1"/>
  <c r="CB96" i="27"/>
  <c r="K96" i="27" s="1"/>
  <c r="CB94" i="27"/>
  <c r="K94" i="27" s="1"/>
  <c r="CB92" i="27"/>
  <c r="K92" i="27" s="1"/>
  <c r="CB90" i="27"/>
  <c r="K90" i="27" s="1"/>
  <c r="CB88" i="27"/>
  <c r="K88" i="27" s="1"/>
  <c r="CB86" i="27"/>
  <c r="K86" i="27" s="1"/>
  <c r="CB84" i="27"/>
  <c r="K84" i="27" s="1"/>
  <c r="CB82" i="27"/>
  <c r="K82" i="27" s="1"/>
  <c r="CB80" i="27"/>
  <c r="K80" i="27" s="1"/>
  <c r="CB78" i="27"/>
  <c r="K78" i="27" s="1"/>
  <c r="CB76" i="27"/>
  <c r="K76" i="27" s="1"/>
  <c r="CB74" i="27"/>
  <c r="K74" i="27" s="1"/>
  <c r="CB77" i="27"/>
  <c r="K77" i="27" s="1"/>
  <c r="CB73" i="27"/>
  <c r="K73" i="27" s="1"/>
  <c r="CB72" i="27"/>
  <c r="K72" i="27" s="1"/>
  <c r="CB70" i="27"/>
  <c r="K70" i="27" s="1"/>
  <c r="CB68" i="27"/>
  <c r="K68" i="27" s="1"/>
  <c r="CB66" i="27"/>
  <c r="K66" i="27" s="1"/>
  <c r="CB64" i="27"/>
  <c r="K64" i="27" s="1"/>
  <c r="CB62" i="27"/>
  <c r="K62" i="27" s="1"/>
  <c r="CB60" i="27"/>
  <c r="K60" i="27" s="1"/>
  <c r="CB58" i="27"/>
  <c r="K58" i="27" s="1"/>
  <c r="CB71" i="27"/>
  <c r="K71" i="27" s="1"/>
  <c r="CB69" i="27"/>
  <c r="K69" i="27" s="1"/>
  <c r="CB67" i="27"/>
  <c r="K67" i="27" s="1"/>
  <c r="CB65" i="27"/>
  <c r="K65" i="27" s="1"/>
  <c r="CB63" i="27"/>
  <c r="K63" i="27" s="1"/>
  <c r="CB61" i="27"/>
  <c r="K61" i="27" s="1"/>
  <c r="CB59" i="27"/>
  <c r="K59" i="27" s="1"/>
  <c r="CB57" i="27"/>
  <c r="K57" i="27" s="1"/>
  <c r="CB55" i="27"/>
  <c r="K55" i="27" s="1"/>
  <c r="CB75" i="27"/>
  <c r="K75" i="27" s="1"/>
  <c r="CB54" i="27"/>
  <c r="K54" i="27" s="1"/>
  <c r="CB53" i="27"/>
  <c r="K53" i="27" s="1"/>
  <c r="CB52" i="27"/>
  <c r="K52" i="27" s="1"/>
  <c r="CB51" i="27"/>
  <c r="K51" i="27" s="1"/>
  <c r="CB50" i="27"/>
  <c r="K50" i="27" s="1"/>
  <c r="CB49" i="27"/>
  <c r="K49" i="27" s="1"/>
  <c r="CB48" i="27"/>
  <c r="K48" i="27" s="1"/>
  <c r="CB47" i="27"/>
  <c r="K47" i="27" s="1"/>
  <c r="CB46" i="27"/>
  <c r="K46" i="27" s="1"/>
  <c r="CB45" i="27"/>
  <c r="K45" i="27" s="1"/>
  <c r="CB44" i="27"/>
  <c r="K44" i="27" s="1"/>
  <c r="CB43" i="27"/>
  <c r="K43" i="27" s="1"/>
  <c r="CB42" i="27"/>
  <c r="K42" i="27" s="1"/>
  <c r="CB41" i="27"/>
  <c r="K41" i="27" s="1"/>
  <c r="CB40" i="27"/>
  <c r="K40" i="27" s="1"/>
  <c r="CB38" i="27"/>
  <c r="K38" i="27" s="1"/>
  <c r="CB36" i="27"/>
  <c r="K36" i="27" s="1"/>
  <c r="CB34" i="27"/>
  <c r="K34" i="27" s="1"/>
  <c r="CB32" i="27"/>
  <c r="K32" i="27" s="1"/>
  <c r="CB30" i="27"/>
  <c r="K30" i="27" s="1"/>
  <c r="CB28" i="27"/>
  <c r="K28" i="27" s="1"/>
  <c r="CB26" i="27"/>
  <c r="K26" i="27" s="1"/>
  <c r="CB24" i="27"/>
  <c r="K24" i="27" s="1"/>
  <c r="CB22" i="27"/>
  <c r="K22" i="27" s="1"/>
  <c r="CB20" i="27"/>
  <c r="K20" i="27" s="1"/>
  <c r="CB18" i="27"/>
  <c r="K18" i="27" s="1"/>
  <c r="CB16" i="27"/>
  <c r="K16" i="27" s="1"/>
  <c r="CB14" i="27"/>
  <c r="K14" i="27" s="1"/>
  <c r="CB12" i="27"/>
  <c r="CB56" i="27"/>
  <c r="K56" i="27" s="1"/>
  <c r="CB39" i="27"/>
  <c r="K39" i="27" s="1"/>
  <c r="CB37" i="27"/>
  <c r="K37" i="27" s="1"/>
  <c r="CB35" i="27"/>
  <c r="K35" i="27" s="1"/>
  <c r="CB33" i="27"/>
  <c r="K33" i="27" s="1"/>
  <c r="CB31" i="27"/>
  <c r="K31" i="27" s="1"/>
  <c r="CB29" i="27"/>
  <c r="K29" i="27" s="1"/>
  <c r="CB27" i="27"/>
  <c r="K27" i="27" s="1"/>
  <c r="CB25" i="27"/>
  <c r="K25" i="27" s="1"/>
  <c r="CB23" i="27"/>
  <c r="K23" i="27" s="1"/>
  <c r="CB21" i="27"/>
  <c r="K21" i="27" s="1"/>
  <c r="CB19" i="27"/>
  <c r="K19" i="27" s="1"/>
  <c r="CB17" i="27"/>
  <c r="K17" i="27" s="1"/>
  <c r="CB15" i="27"/>
  <c r="K15" i="27" s="1"/>
  <c r="CB13" i="27"/>
  <c r="K13" i="27" s="1"/>
  <c r="BV260" i="27"/>
  <c r="I260" i="27" s="1"/>
  <c r="BV261" i="27"/>
  <c r="I261" i="27" s="1"/>
  <c r="BV259" i="27"/>
  <c r="I259" i="27" s="1"/>
  <c r="BV254" i="27"/>
  <c r="I254" i="27" s="1"/>
  <c r="BV258" i="27"/>
  <c r="I258" i="27" s="1"/>
  <c r="BV257" i="27"/>
  <c r="I257" i="27" s="1"/>
  <c r="BV250" i="27"/>
  <c r="I250" i="27" s="1"/>
  <c r="BV248" i="27"/>
  <c r="I248" i="27" s="1"/>
  <c r="BV246" i="27"/>
  <c r="I246" i="27" s="1"/>
  <c r="BV251" i="27"/>
  <c r="I251" i="27" s="1"/>
  <c r="BV249" i="27"/>
  <c r="I249" i="27" s="1"/>
  <c r="BV252" i="27"/>
  <c r="I252" i="27" s="1"/>
  <c r="BV244" i="27"/>
  <c r="I244" i="27" s="1"/>
  <c r="BV245" i="27"/>
  <c r="I245" i="27" s="1"/>
  <c r="BV243" i="27"/>
  <c r="I243" i="27" s="1"/>
  <c r="BV238" i="27"/>
  <c r="I238" i="27" s="1"/>
  <c r="BV236" i="27"/>
  <c r="I236" i="27" s="1"/>
  <c r="BV234" i="27"/>
  <c r="I234" i="27" s="1"/>
  <c r="BV241" i="27"/>
  <c r="I241" i="27" s="1"/>
  <c r="BV239" i="27"/>
  <c r="I239" i="27" s="1"/>
  <c r="BV237" i="27"/>
  <c r="I237" i="27" s="1"/>
  <c r="BV233" i="27"/>
  <c r="I233" i="27" s="1"/>
  <c r="BV231" i="27"/>
  <c r="I231" i="27" s="1"/>
  <c r="BV229" i="27"/>
  <c r="I229" i="27" s="1"/>
  <c r="BV225" i="27"/>
  <c r="I225" i="27" s="1"/>
  <c r="BV232" i="27"/>
  <c r="I232" i="27" s="1"/>
  <c r="BV230" i="27"/>
  <c r="I230" i="27" s="1"/>
  <c r="BV224" i="27"/>
  <c r="I224" i="27" s="1"/>
  <c r="BV222" i="27"/>
  <c r="I222" i="27" s="1"/>
  <c r="BV220" i="27"/>
  <c r="I220" i="27" s="1"/>
  <c r="BV216" i="27"/>
  <c r="I216" i="27" s="1"/>
  <c r="BV226" i="27"/>
  <c r="I226" i="27" s="1"/>
  <c r="BV223" i="27"/>
  <c r="I223" i="27" s="1"/>
  <c r="BV212" i="27"/>
  <c r="I212" i="27" s="1"/>
  <c r="BV210" i="27"/>
  <c r="I210" i="27" s="1"/>
  <c r="BV208" i="27"/>
  <c r="I208" i="27" s="1"/>
  <c r="BV204" i="27"/>
  <c r="I204" i="27" s="1"/>
  <c r="BV221" i="27"/>
  <c r="I221" i="27" s="1"/>
  <c r="BV217" i="27"/>
  <c r="I217" i="27" s="1"/>
  <c r="BV213" i="27"/>
  <c r="I213" i="27" s="1"/>
  <c r="BV211" i="27"/>
  <c r="I211" i="27" s="1"/>
  <c r="BV209" i="27"/>
  <c r="I209" i="27" s="1"/>
  <c r="BV205" i="27"/>
  <c r="I205" i="27" s="1"/>
  <c r="BV203" i="27"/>
  <c r="I203" i="27" s="1"/>
  <c r="BV201" i="27"/>
  <c r="I201" i="27" s="1"/>
  <c r="BV199" i="27"/>
  <c r="I199" i="27" s="1"/>
  <c r="BV197" i="27"/>
  <c r="I197" i="27" s="1"/>
  <c r="BV195" i="27"/>
  <c r="I195" i="27" s="1"/>
  <c r="BV200" i="27"/>
  <c r="I200" i="27" s="1"/>
  <c r="BV202" i="27"/>
  <c r="I202" i="27" s="1"/>
  <c r="BV198" i="27"/>
  <c r="I198" i="27" s="1"/>
  <c r="BV194" i="27"/>
  <c r="I194" i="27" s="1"/>
  <c r="BV192" i="27"/>
  <c r="I192" i="27" s="1"/>
  <c r="BV190" i="27"/>
  <c r="I190" i="27" s="1"/>
  <c r="BV186" i="27"/>
  <c r="I186" i="27" s="1"/>
  <c r="BV189" i="27"/>
  <c r="I189" i="27" s="1"/>
  <c r="BV182" i="27"/>
  <c r="I182" i="27" s="1"/>
  <c r="BV178" i="27"/>
  <c r="I178" i="27" s="1"/>
  <c r="BV176" i="27"/>
  <c r="I176" i="27" s="1"/>
  <c r="BV174" i="27"/>
  <c r="I174" i="27" s="1"/>
  <c r="BV170" i="27"/>
  <c r="I170" i="27" s="1"/>
  <c r="BV168" i="27"/>
  <c r="I168" i="27" s="1"/>
  <c r="BV185" i="27"/>
  <c r="I185" i="27" s="1"/>
  <c r="BV191" i="27"/>
  <c r="I191" i="27" s="1"/>
  <c r="BV187" i="27"/>
  <c r="I187" i="27" s="1"/>
  <c r="BV183" i="27"/>
  <c r="I183" i="27" s="1"/>
  <c r="BV179" i="27"/>
  <c r="I179" i="27" s="1"/>
  <c r="BV177" i="27"/>
  <c r="I177" i="27" s="1"/>
  <c r="BV175" i="27"/>
  <c r="I175" i="27" s="1"/>
  <c r="BV171" i="27"/>
  <c r="I171" i="27" s="1"/>
  <c r="BV169" i="27"/>
  <c r="I169" i="27" s="1"/>
  <c r="BV167" i="27"/>
  <c r="I167" i="27" s="1"/>
  <c r="BV163" i="27"/>
  <c r="I163" i="27" s="1"/>
  <c r="BV161" i="27"/>
  <c r="I161" i="27" s="1"/>
  <c r="BV166" i="27"/>
  <c r="I166" i="27" s="1"/>
  <c r="BV156" i="27"/>
  <c r="I156" i="27" s="1"/>
  <c r="BV154" i="27"/>
  <c r="I154" i="27" s="1"/>
  <c r="BV152" i="27"/>
  <c r="I152" i="27" s="1"/>
  <c r="BV148" i="27"/>
  <c r="I148" i="27" s="1"/>
  <c r="BV162" i="27"/>
  <c r="I162" i="27" s="1"/>
  <c r="BV164" i="27"/>
  <c r="I164" i="27" s="1"/>
  <c r="BV159" i="27"/>
  <c r="I159" i="27" s="1"/>
  <c r="BV157" i="27"/>
  <c r="I157" i="27" s="1"/>
  <c r="BV155" i="27"/>
  <c r="I155" i="27" s="1"/>
  <c r="BV151" i="27"/>
  <c r="I151" i="27" s="1"/>
  <c r="BV149" i="27"/>
  <c r="I149" i="27" s="1"/>
  <c r="BV147" i="27"/>
  <c r="I147" i="27" s="1"/>
  <c r="BV143" i="27"/>
  <c r="I143" i="27" s="1"/>
  <c r="BV141" i="27"/>
  <c r="I141" i="27" s="1"/>
  <c r="BV139" i="27"/>
  <c r="I139" i="27" s="1"/>
  <c r="BV146" i="27"/>
  <c r="I146" i="27" s="1"/>
  <c r="BV142" i="27"/>
  <c r="I142" i="27" s="1"/>
  <c r="BV138" i="27"/>
  <c r="I138" i="27" s="1"/>
  <c r="BV135" i="27"/>
  <c r="I135" i="27" s="1"/>
  <c r="BV133" i="27"/>
  <c r="I133" i="27" s="1"/>
  <c r="BV131" i="27"/>
  <c r="I131" i="27" s="1"/>
  <c r="BV127" i="27"/>
  <c r="I127" i="27" s="1"/>
  <c r="BV125" i="27"/>
  <c r="I125" i="27" s="1"/>
  <c r="BV123" i="27"/>
  <c r="I123" i="27" s="1"/>
  <c r="BV119" i="27"/>
  <c r="I119" i="27" s="1"/>
  <c r="BV117" i="27"/>
  <c r="I117" i="27" s="1"/>
  <c r="BV115" i="27"/>
  <c r="I115" i="27" s="1"/>
  <c r="BV111" i="27"/>
  <c r="I111" i="27" s="1"/>
  <c r="BV109" i="27"/>
  <c r="I109" i="27" s="1"/>
  <c r="BV107" i="27"/>
  <c r="I107" i="27" s="1"/>
  <c r="BV144" i="27"/>
  <c r="I144" i="27" s="1"/>
  <c r="BV136" i="27"/>
  <c r="I136" i="27" s="1"/>
  <c r="BV134" i="27"/>
  <c r="I134" i="27" s="1"/>
  <c r="BV130" i="27"/>
  <c r="I130" i="27" s="1"/>
  <c r="BV128" i="27"/>
  <c r="I128" i="27" s="1"/>
  <c r="BV126" i="27"/>
  <c r="I126" i="27" s="1"/>
  <c r="BV122" i="27"/>
  <c r="I122" i="27" s="1"/>
  <c r="BV120" i="27"/>
  <c r="I120" i="27" s="1"/>
  <c r="BV118" i="27"/>
  <c r="I118" i="27" s="1"/>
  <c r="BV114" i="27"/>
  <c r="I114" i="27" s="1"/>
  <c r="BV112" i="27"/>
  <c r="I112" i="27" s="1"/>
  <c r="BV110" i="27"/>
  <c r="I110" i="27" s="1"/>
  <c r="BV106" i="27"/>
  <c r="I106" i="27" s="1"/>
  <c r="BV104" i="27"/>
  <c r="I104" i="27" s="1"/>
  <c r="BV102" i="27"/>
  <c r="I102" i="27" s="1"/>
  <c r="BV98" i="27"/>
  <c r="I98" i="27" s="1"/>
  <c r="BV96" i="27"/>
  <c r="I96" i="27" s="1"/>
  <c r="BV94" i="27"/>
  <c r="I94" i="27" s="1"/>
  <c r="BV90" i="27"/>
  <c r="I90" i="27" s="1"/>
  <c r="BV88" i="27"/>
  <c r="I88" i="27" s="1"/>
  <c r="BV86" i="27"/>
  <c r="I86" i="27" s="1"/>
  <c r="BV82" i="27"/>
  <c r="I82" i="27" s="1"/>
  <c r="BV80" i="27"/>
  <c r="I80" i="27" s="1"/>
  <c r="BV78" i="27"/>
  <c r="I78" i="27" s="1"/>
  <c r="BV101" i="27"/>
  <c r="I101" i="27" s="1"/>
  <c r="BV99" i="27"/>
  <c r="I99" i="27" s="1"/>
  <c r="BV97" i="27"/>
  <c r="I97" i="27" s="1"/>
  <c r="BV93" i="27"/>
  <c r="I93" i="27" s="1"/>
  <c r="BV91" i="27"/>
  <c r="I91" i="27" s="1"/>
  <c r="BV89" i="27"/>
  <c r="I89" i="27" s="1"/>
  <c r="BV85" i="27"/>
  <c r="I85" i="27" s="1"/>
  <c r="BV83" i="27"/>
  <c r="I83" i="27" s="1"/>
  <c r="BV81" i="27"/>
  <c r="I81" i="27" s="1"/>
  <c r="BV77" i="27"/>
  <c r="I77" i="27" s="1"/>
  <c r="BV75" i="27"/>
  <c r="I75" i="27" s="1"/>
  <c r="BV69" i="27"/>
  <c r="I69" i="27" s="1"/>
  <c r="BV65" i="27"/>
  <c r="I65" i="27" s="1"/>
  <c r="BV63" i="27"/>
  <c r="I63" i="27" s="1"/>
  <c r="BV61" i="27"/>
  <c r="I61" i="27" s="1"/>
  <c r="BV57" i="27"/>
  <c r="I57" i="27" s="1"/>
  <c r="BV74" i="27"/>
  <c r="I74" i="27" s="1"/>
  <c r="BV73" i="27"/>
  <c r="I73" i="27" s="1"/>
  <c r="BV76" i="27"/>
  <c r="I76" i="27" s="1"/>
  <c r="BV70" i="27"/>
  <c r="I70" i="27" s="1"/>
  <c r="BV68" i="27"/>
  <c r="I68" i="27" s="1"/>
  <c r="BV64" i="27"/>
  <c r="I64" i="27" s="1"/>
  <c r="BV62" i="27"/>
  <c r="I62" i="27" s="1"/>
  <c r="BV60" i="27"/>
  <c r="I60" i="27" s="1"/>
  <c r="BV56" i="27"/>
  <c r="I56" i="27" s="1"/>
  <c r="BV71" i="27"/>
  <c r="I71" i="27" s="1"/>
  <c r="BV54" i="27"/>
  <c r="I54" i="27" s="1"/>
  <c r="BV52" i="27"/>
  <c r="I52" i="27" s="1"/>
  <c r="BV51" i="27"/>
  <c r="I51" i="27" s="1"/>
  <c r="BV50" i="27"/>
  <c r="I50" i="27" s="1"/>
  <c r="BV48" i="27"/>
  <c r="I48" i="27" s="1"/>
  <c r="BV47" i="27"/>
  <c r="I47" i="27" s="1"/>
  <c r="BV46" i="27"/>
  <c r="I46" i="27" s="1"/>
  <c r="BV44" i="27"/>
  <c r="I44" i="27" s="1"/>
  <c r="BV43" i="27"/>
  <c r="I43" i="27" s="1"/>
  <c r="BV42" i="27"/>
  <c r="I42" i="27" s="1"/>
  <c r="BV40" i="27"/>
  <c r="I40" i="27" s="1"/>
  <c r="BV39" i="27"/>
  <c r="I39" i="27" s="1"/>
  <c r="BV37" i="27"/>
  <c r="I37" i="27" s="1"/>
  <c r="BV33" i="27"/>
  <c r="I33" i="27" s="1"/>
  <c r="BV31" i="27"/>
  <c r="I31" i="27" s="1"/>
  <c r="BV29" i="27"/>
  <c r="I29" i="27" s="1"/>
  <c r="BV25" i="27"/>
  <c r="I25" i="27" s="1"/>
  <c r="BV23" i="27"/>
  <c r="I23" i="27" s="1"/>
  <c r="BV21" i="27"/>
  <c r="I21" i="27" s="1"/>
  <c r="BV17" i="27"/>
  <c r="I17" i="27" s="1"/>
  <c r="BV15" i="27"/>
  <c r="I15" i="27" s="1"/>
  <c r="BV13" i="27"/>
  <c r="I13" i="27" s="1"/>
  <c r="BV38" i="27"/>
  <c r="I38" i="27" s="1"/>
  <c r="BV36" i="27"/>
  <c r="I36" i="27" s="1"/>
  <c r="BV34" i="27"/>
  <c r="I34" i="27" s="1"/>
  <c r="BV30" i="27"/>
  <c r="I30" i="27" s="1"/>
  <c r="BV28" i="27"/>
  <c r="I28" i="27" s="1"/>
  <c r="BV26" i="27"/>
  <c r="I26" i="27" s="1"/>
  <c r="BV22" i="27"/>
  <c r="I22" i="27" s="1"/>
  <c r="BV20" i="27"/>
  <c r="I20" i="27" s="1"/>
  <c r="BV18" i="27"/>
  <c r="I18" i="27" s="1"/>
  <c r="BV14" i="27"/>
  <c r="I14" i="27" s="1"/>
  <c r="BV12" i="27"/>
  <c r="CN261" i="27"/>
  <c r="O261" i="27" s="1"/>
  <c r="CN259" i="27"/>
  <c r="O259" i="27" s="1"/>
  <c r="CN262" i="27"/>
  <c r="O262" i="27" s="1"/>
  <c r="CN260" i="27"/>
  <c r="O260" i="27" s="1"/>
  <c r="CN258" i="27"/>
  <c r="O258" i="27" s="1"/>
  <c r="CN257" i="27"/>
  <c r="O257" i="27" s="1"/>
  <c r="CN255" i="27"/>
  <c r="O255" i="27" s="1"/>
  <c r="CN254" i="27"/>
  <c r="O254" i="27" s="1"/>
  <c r="CN253" i="27"/>
  <c r="O253" i="27" s="1"/>
  <c r="CN252" i="27"/>
  <c r="O252" i="27" s="1"/>
  <c r="CN251" i="27"/>
  <c r="O251" i="27" s="1"/>
  <c r="CN249" i="27"/>
  <c r="O249" i="27" s="1"/>
  <c r="CN247" i="27"/>
  <c r="O247" i="27" s="1"/>
  <c r="CN256" i="27"/>
  <c r="O256" i="27" s="1"/>
  <c r="CN250" i="27"/>
  <c r="O250" i="27" s="1"/>
  <c r="CN248" i="27"/>
  <c r="O248" i="27" s="1"/>
  <c r="CN246" i="27"/>
  <c r="O246" i="27" s="1"/>
  <c r="CN245" i="27"/>
  <c r="O245" i="27" s="1"/>
  <c r="CN243" i="27"/>
  <c r="O243" i="27" s="1"/>
  <c r="CN244" i="27"/>
  <c r="O244" i="27" s="1"/>
  <c r="CN242" i="27"/>
  <c r="O242" i="27" s="1"/>
  <c r="CN241" i="27"/>
  <c r="O241" i="27" s="1"/>
  <c r="CN239" i="27"/>
  <c r="O239" i="27" s="1"/>
  <c r="CN237" i="27"/>
  <c r="O237" i="27" s="1"/>
  <c r="CN235" i="27"/>
  <c r="O235" i="27" s="1"/>
  <c r="CN240" i="27"/>
  <c r="O240" i="27" s="1"/>
  <c r="CN238" i="27"/>
  <c r="O238" i="27" s="1"/>
  <c r="CN236" i="27"/>
  <c r="O236" i="27" s="1"/>
  <c r="CN234" i="27"/>
  <c r="O234" i="27" s="1"/>
  <c r="CN232" i="27"/>
  <c r="O232" i="27" s="1"/>
  <c r="CN230" i="27"/>
  <c r="O230" i="27" s="1"/>
  <c r="CN228" i="27"/>
  <c r="O228" i="27" s="1"/>
  <c r="CN226" i="27"/>
  <c r="O226" i="27" s="1"/>
  <c r="CN233" i="27"/>
  <c r="O233" i="27" s="1"/>
  <c r="CN231" i="27"/>
  <c r="O231" i="27" s="1"/>
  <c r="CN229" i="27"/>
  <c r="O229" i="27" s="1"/>
  <c r="CN227" i="27"/>
  <c r="O227" i="27" s="1"/>
  <c r="CN223" i="27"/>
  <c r="O223" i="27" s="1"/>
  <c r="CN221" i="27"/>
  <c r="O221" i="27" s="1"/>
  <c r="CN219" i="27"/>
  <c r="O219" i="27" s="1"/>
  <c r="CN217" i="27"/>
  <c r="O217" i="27" s="1"/>
  <c r="CN215" i="27"/>
  <c r="O215" i="27" s="1"/>
  <c r="CN225" i="27"/>
  <c r="O225" i="27" s="1"/>
  <c r="CN224" i="27"/>
  <c r="O224" i="27" s="1"/>
  <c r="CN222" i="27"/>
  <c r="O222" i="27" s="1"/>
  <c r="CN213" i="27"/>
  <c r="O213" i="27" s="1"/>
  <c r="CN211" i="27"/>
  <c r="O211" i="27" s="1"/>
  <c r="CN209" i="27"/>
  <c r="O209" i="27" s="1"/>
  <c r="CN207" i="27"/>
  <c r="O207" i="27" s="1"/>
  <c r="CN205" i="27"/>
  <c r="O205" i="27" s="1"/>
  <c r="CN203" i="27"/>
  <c r="O203" i="27" s="1"/>
  <c r="CN218" i="27"/>
  <c r="O218" i="27" s="1"/>
  <c r="CN214" i="27"/>
  <c r="O214" i="27" s="1"/>
  <c r="CN212" i="27"/>
  <c r="O212" i="27" s="1"/>
  <c r="CN210" i="27"/>
  <c r="O210" i="27" s="1"/>
  <c r="CN208" i="27"/>
  <c r="O208" i="27" s="1"/>
  <c r="CN206" i="27"/>
  <c r="O206" i="27" s="1"/>
  <c r="CN204" i="27"/>
  <c r="O204" i="27" s="1"/>
  <c r="CN202" i="27"/>
  <c r="O202" i="27" s="1"/>
  <c r="CN200" i="27"/>
  <c r="O200" i="27" s="1"/>
  <c r="CN220" i="27"/>
  <c r="O220" i="27" s="1"/>
  <c r="CN216" i="27"/>
  <c r="O216" i="27" s="1"/>
  <c r="CN201" i="27"/>
  <c r="O201" i="27" s="1"/>
  <c r="CN198" i="27"/>
  <c r="O198" i="27" s="1"/>
  <c r="CN196" i="27"/>
  <c r="O196" i="27" s="1"/>
  <c r="CN194" i="27"/>
  <c r="O194" i="27" s="1"/>
  <c r="CN192" i="27"/>
  <c r="O192" i="27" s="1"/>
  <c r="CN199" i="27"/>
  <c r="O199" i="27" s="1"/>
  <c r="CN197" i="27"/>
  <c r="O197" i="27" s="1"/>
  <c r="CN195" i="27"/>
  <c r="O195" i="27" s="1"/>
  <c r="CN193" i="27"/>
  <c r="O193" i="27" s="1"/>
  <c r="CN191" i="27"/>
  <c r="O191" i="27" s="1"/>
  <c r="CN189" i="27"/>
  <c r="O189" i="27" s="1"/>
  <c r="CN187" i="27"/>
  <c r="O187" i="27" s="1"/>
  <c r="CN185" i="27"/>
  <c r="O185" i="27" s="1"/>
  <c r="CN186" i="27"/>
  <c r="O186" i="27" s="1"/>
  <c r="CN190" i="27"/>
  <c r="O190" i="27" s="1"/>
  <c r="CN181" i="27"/>
  <c r="O181" i="27" s="1"/>
  <c r="CN179" i="27"/>
  <c r="O179" i="27" s="1"/>
  <c r="CN177" i="27"/>
  <c r="O177" i="27" s="1"/>
  <c r="CN175" i="27"/>
  <c r="O175" i="27" s="1"/>
  <c r="CN173" i="27"/>
  <c r="O173" i="27" s="1"/>
  <c r="CN171" i="27"/>
  <c r="O171" i="27" s="1"/>
  <c r="CN169" i="27"/>
  <c r="O169" i="27" s="1"/>
  <c r="CN188" i="27"/>
  <c r="O188" i="27" s="1"/>
  <c r="CN184" i="27"/>
  <c r="O184" i="27" s="1"/>
  <c r="CN183" i="27"/>
  <c r="O183" i="27" s="1"/>
  <c r="CN182" i="27"/>
  <c r="O182" i="27" s="1"/>
  <c r="CN180" i="27"/>
  <c r="O180" i="27" s="1"/>
  <c r="CN178" i="27"/>
  <c r="O178" i="27" s="1"/>
  <c r="CN176" i="27"/>
  <c r="O176" i="27" s="1"/>
  <c r="CN174" i="27"/>
  <c r="O174" i="27" s="1"/>
  <c r="CN172" i="27"/>
  <c r="O172" i="27" s="1"/>
  <c r="CN170" i="27"/>
  <c r="O170" i="27" s="1"/>
  <c r="CN168" i="27"/>
  <c r="O168" i="27" s="1"/>
  <c r="CN166" i="27"/>
  <c r="O166" i="27" s="1"/>
  <c r="CN164" i="27"/>
  <c r="O164" i="27" s="1"/>
  <c r="CN162" i="27"/>
  <c r="O162" i="27" s="1"/>
  <c r="CN160" i="27"/>
  <c r="O160" i="27" s="1"/>
  <c r="CN161" i="27"/>
  <c r="O161" i="27" s="1"/>
  <c r="CN165" i="27"/>
  <c r="O165" i="27" s="1"/>
  <c r="CN159" i="27"/>
  <c r="O159" i="27" s="1"/>
  <c r="CN157" i="27"/>
  <c r="O157" i="27" s="1"/>
  <c r="CN155" i="27"/>
  <c r="O155" i="27" s="1"/>
  <c r="CN153" i="27"/>
  <c r="O153" i="27" s="1"/>
  <c r="CN151" i="27"/>
  <c r="O151" i="27" s="1"/>
  <c r="CN149" i="27"/>
  <c r="O149" i="27" s="1"/>
  <c r="CN147" i="27"/>
  <c r="O147" i="27" s="1"/>
  <c r="CN167" i="27"/>
  <c r="O167" i="27" s="1"/>
  <c r="CN163" i="27"/>
  <c r="O163" i="27" s="1"/>
  <c r="CN158" i="27"/>
  <c r="O158" i="27" s="1"/>
  <c r="CN156" i="27"/>
  <c r="O156" i="27" s="1"/>
  <c r="CN154" i="27"/>
  <c r="O154" i="27" s="1"/>
  <c r="CN152" i="27"/>
  <c r="O152" i="27" s="1"/>
  <c r="CN150" i="27"/>
  <c r="O150" i="27" s="1"/>
  <c r="CN148" i="27"/>
  <c r="O148" i="27" s="1"/>
  <c r="CN146" i="27"/>
  <c r="O146" i="27" s="1"/>
  <c r="CN144" i="27"/>
  <c r="O144" i="27" s="1"/>
  <c r="CN142" i="27"/>
  <c r="O142" i="27" s="1"/>
  <c r="CN140" i="27"/>
  <c r="O140" i="27" s="1"/>
  <c r="CN138" i="27"/>
  <c r="O138" i="27" s="1"/>
  <c r="CN143" i="27"/>
  <c r="O143" i="27" s="1"/>
  <c r="CN136" i="27"/>
  <c r="O136" i="27" s="1"/>
  <c r="CN134" i="27"/>
  <c r="O134" i="27" s="1"/>
  <c r="CN132" i="27"/>
  <c r="O132" i="27" s="1"/>
  <c r="CN130" i="27"/>
  <c r="O130" i="27" s="1"/>
  <c r="CN128" i="27"/>
  <c r="O128" i="27" s="1"/>
  <c r="CN126" i="27"/>
  <c r="O126" i="27" s="1"/>
  <c r="CN124" i="27"/>
  <c r="O124" i="27" s="1"/>
  <c r="CN122" i="27"/>
  <c r="O122" i="27" s="1"/>
  <c r="CN120" i="27"/>
  <c r="O120" i="27" s="1"/>
  <c r="CN118" i="27"/>
  <c r="O118" i="27" s="1"/>
  <c r="CN116" i="27"/>
  <c r="O116" i="27" s="1"/>
  <c r="CN114" i="27"/>
  <c r="O114" i="27" s="1"/>
  <c r="CN112" i="27"/>
  <c r="O112" i="27" s="1"/>
  <c r="CN110" i="27"/>
  <c r="O110" i="27" s="1"/>
  <c r="CN108" i="27"/>
  <c r="O108" i="27" s="1"/>
  <c r="CN106" i="27"/>
  <c r="O106" i="27" s="1"/>
  <c r="CN141" i="27"/>
  <c r="O141" i="27" s="1"/>
  <c r="CN139" i="27"/>
  <c r="O139" i="27" s="1"/>
  <c r="CN145" i="27"/>
  <c r="O145" i="27" s="1"/>
  <c r="CN137" i="27"/>
  <c r="O137" i="27" s="1"/>
  <c r="CN135" i="27"/>
  <c r="O135" i="27" s="1"/>
  <c r="CN133" i="27"/>
  <c r="O133" i="27" s="1"/>
  <c r="CN131" i="27"/>
  <c r="O131" i="27" s="1"/>
  <c r="CN129" i="27"/>
  <c r="O129" i="27" s="1"/>
  <c r="CN127" i="27"/>
  <c r="O127" i="27" s="1"/>
  <c r="CN125" i="27"/>
  <c r="O125" i="27" s="1"/>
  <c r="CN123" i="27"/>
  <c r="O123" i="27" s="1"/>
  <c r="CN121" i="27"/>
  <c r="O121" i="27" s="1"/>
  <c r="CN119" i="27"/>
  <c r="O119" i="27" s="1"/>
  <c r="CN117" i="27"/>
  <c r="O117" i="27" s="1"/>
  <c r="CN115" i="27"/>
  <c r="O115" i="27" s="1"/>
  <c r="CN113" i="27"/>
  <c r="O113" i="27" s="1"/>
  <c r="CN111" i="27"/>
  <c r="O111" i="27" s="1"/>
  <c r="CN109" i="27"/>
  <c r="O109" i="27" s="1"/>
  <c r="CN107" i="27"/>
  <c r="O107" i="27" s="1"/>
  <c r="CN105" i="27"/>
  <c r="O105" i="27" s="1"/>
  <c r="CN103" i="27"/>
  <c r="O103" i="27" s="1"/>
  <c r="CN101" i="27"/>
  <c r="O101" i="27" s="1"/>
  <c r="CN99" i="27"/>
  <c r="O99" i="27" s="1"/>
  <c r="CN97" i="27"/>
  <c r="O97" i="27" s="1"/>
  <c r="CN95" i="27"/>
  <c r="O95" i="27" s="1"/>
  <c r="CN93" i="27"/>
  <c r="O93" i="27" s="1"/>
  <c r="CN91" i="27"/>
  <c r="O91" i="27" s="1"/>
  <c r="CN89" i="27"/>
  <c r="O89" i="27" s="1"/>
  <c r="CN87" i="27"/>
  <c r="O87" i="27" s="1"/>
  <c r="CN85" i="27"/>
  <c r="O85" i="27" s="1"/>
  <c r="CN83" i="27"/>
  <c r="O83" i="27" s="1"/>
  <c r="CN81" i="27"/>
  <c r="O81" i="27" s="1"/>
  <c r="CN79" i="27"/>
  <c r="O79" i="27" s="1"/>
  <c r="CN104" i="27"/>
  <c r="O104" i="27" s="1"/>
  <c r="CN102" i="27"/>
  <c r="O102" i="27" s="1"/>
  <c r="CN100" i="27"/>
  <c r="O100" i="27" s="1"/>
  <c r="CN98" i="27"/>
  <c r="O98" i="27" s="1"/>
  <c r="CN96" i="27"/>
  <c r="O96" i="27" s="1"/>
  <c r="CN94" i="27"/>
  <c r="O94" i="27" s="1"/>
  <c r="CN92" i="27"/>
  <c r="O92" i="27" s="1"/>
  <c r="CN90" i="27"/>
  <c r="O90" i="27" s="1"/>
  <c r="CN88" i="27"/>
  <c r="O88" i="27" s="1"/>
  <c r="CN86" i="27"/>
  <c r="O86" i="27" s="1"/>
  <c r="CN84" i="27"/>
  <c r="O84" i="27" s="1"/>
  <c r="CN82" i="27"/>
  <c r="O82" i="27" s="1"/>
  <c r="CN80" i="27"/>
  <c r="O80" i="27" s="1"/>
  <c r="CN78" i="27"/>
  <c r="O78" i="27" s="1"/>
  <c r="CN76" i="27"/>
  <c r="O76" i="27" s="1"/>
  <c r="CN74" i="27"/>
  <c r="O74" i="27" s="1"/>
  <c r="CN77" i="27"/>
  <c r="O77" i="27" s="1"/>
  <c r="CN71" i="27"/>
  <c r="O71" i="27" s="1"/>
  <c r="CN70" i="27"/>
  <c r="O70" i="27" s="1"/>
  <c r="CN68" i="27"/>
  <c r="O68" i="27" s="1"/>
  <c r="CN66" i="27"/>
  <c r="O66" i="27" s="1"/>
  <c r="CN64" i="27"/>
  <c r="O64" i="27" s="1"/>
  <c r="CN62" i="27"/>
  <c r="O62" i="27" s="1"/>
  <c r="CN60" i="27"/>
  <c r="O60" i="27" s="1"/>
  <c r="CN58" i="27"/>
  <c r="O58" i="27" s="1"/>
  <c r="CN73" i="27"/>
  <c r="O73" i="27" s="1"/>
  <c r="CN72" i="27"/>
  <c r="O72" i="27" s="1"/>
  <c r="CN69" i="27"/>
  <c r="O69" i="27" s="1"/>
  <c r="CN67" i="27"/>
  <c r="O67" i="27" s="1"/>
  <c r="CN65" i="27"/>
  <c r="O65" i="27" s="1"/>
  <c r="CN63" i="27"/>
  <c r="O63" i="27" s="1"/>
  <c r="CN61" i="27"/>
  <c r="O61" i="27" s="1"/>
  <c r="CN59" i="27"/>
  <c r="O59" i="27" s="1"/>
  <c r="CN57" i="27"/>
  <c r="O57" i="27" s="1"/>
  <c r="CN55" i="27"/>
  <c r="O55" i="27" s="1"/>
  <c r="CN75" i="27"/>
  <c r="O75" i="27" s="1"/>
  <c r="CN56" i="27"/>
  <c r="O56" i="27" s="1"/>
  <c r="CN54" i="27"/>
  <c r="O54" i="27" s="1"/>
  <c r="CN53" i="27"/>
  <c r="O53" i="27" s="1"/>
  <c r="CN52" i="27"/>
  <c r="O52" i="27" s="1"/>
  <c r="CN51" i="27"/>
  <c r="O51" i="27" s="1"/>
  <c r="CN50" i="27"/>
  <c r="O50" i="27" s="1"/>
  <c r="CN49" i="27"/>
  <c r="O49" i="27" s="1"/>
  <c r="CN48" i="27"/>
  <c r="O48" i="27" s="1"/>
  <c r="CN47" i="27"/>
  <c r="O47" i="27" s="1"/>
  <c r="CN46" i="27"/>
  <c r="O46" i="27" s="1"/>
  <c r="CN45" i="27"/>
  <c r="O45" i="27" s="1"/>
  <c r="CN44" i="27"/>
  <c r="O44" i="27" s="1"/>
  <c r="CN43" i="27"/>
  <c r="O43" i="27" s="1"/>
  <c r="CN42" i="27"/>
  <c r="O42" i="27" s="1"/>
  <c r="CN41" i="27"/>
  <c r="O41" i="27" s="1"/>
  <c r="CN40" i="27"/>
  <c r="O40" i="27" s="1"/>
  <c r="CN38" i="27"/>
  <c r="O38" i="27" s="1"/>
  <c r="CN36" i="27"/>
  <c r="O36" i="27" s="1"/>
  <c r="CN34" i="27"/>
  <c r="O34" i="27" s="1"/>
  <c r="CN32" i="27"/>
  <c r="O32" i="27" s="1"/>
  <c r="CN30" i="27"/>
  <c r="O30" i="27" s="1"/>
  <c r="CN28" i="27"/>
  <c r="O28" i="27" s="1"/>
  <c r="CN26" i="27"/>
  <c r="O26" i="27" s="1"/>
  <c r="CN24" i="27"/>
  <c r="O24" i="27" s="1"/>
  <c r="CN22" i="27"/>
  <c r="O22" i="27" s="1"/>
  <c r="CN20" i="27"/>
  <c r="O20" i="27" s="1"/>
  <c r="CN18" i="27"/>
  <c r="O18" i="27" s="1"/>
  <c r="CN16" i="27"/>
  <c r="O16" i="27" s="1"/>
  <c r="CN14" i="27"/>
  <c r="O14" i="27" s="1"/>
  <c r="CN12" i="27"/>
  <c r="CN39" i="27"/>
  <c r="O39" i="27" s="1"/>
  <c r="CN37" i="27"/>
  <c r="O37" i="27" s="1"/>
  <c r="CN35" i="27"/>
  <c r="O35" i="27" s="1"/>
  <c r="CN33" i="27"/>
  <c r="O33" i="27" s="1"/>
  <c r="CN31" i="27"/>
  <c r="O31" i="27" s="1"/>
  <c r="CN29" i="27"/>
  <c r="O29" i="27" s="1"/>
  <c r="CN27" i="27"/>
  <c r="O27" i="27" s="1"/>
  <c r="CN25" i="27"/>
  <c r="O25" i="27" s="1"/>
  <c r="CN23" i="27"/>
  <c r="O23" i="27" s="1"/>
  <c r="CN21" i="27"/>
  <c r="O21" i="27" s="1"/>
  <c r="CN19" i="27"/>
  <c r="O19" i="27" s="1"/>
  <c r="CN17" i="27"/>
  <c r="O17" i="27" s="1"/>
  <c r="CN15" i="27"/>
  <c r="O15" i="27" s="1"/>
  <c r="CN13" i="27"/>
  <c r="O13" i="27" s="1"/>
  <c r="BG220" i="27"/>
  <c r="D220" i="27" s="1"/>
  <c r="BG213" i="27"/>
  <c r="D213" i="27" s="1"/>
  <c r="BG211" i="27"/>
  <c r="D211" i="27" s="1"/>
  <c r="BG209" i="27"/>
  <c r="D209" i="27" s="1"/>
  <c r="BG207" i="27"/>
  <c r="D207" i="27" s="1"/>
  <c r="BG198" i="27"/>
  <c r="D198" i="27" s="1"/>
  <c r="BG196" i="27"/>
  <c r="D196" i="27" s="1"/>
  <c r="BG194" i="27"/>
  <c r="D194" i="27" s="1"/>
  <c r="BG167" i="27"/>
  <c r="D167" i="27" s="1"/>
  <c r="BG159" i="27"/>
  <c r="D159" i="27" s="1"/>
  <c r="BG155" i="27"/>
  <c r="D155" i="27" s="1"/>
  <c r="BG153" i="27"/>
  <c r="D153" i="27" s="1"/>
  <c r="BG149" i="27"/>
  <c r="D149" i="27" s="1"/>
  <c r="BG147" i="27"/>
  <c r="D147" i="27" s="1"/>
  <c r="BG105" i="27"/>
  <c r="D105" i="27" s="1"/>
  <c r="BG139" i="27"/>
  <c r="D139" i="27" s="1"/>
  <c r="BG74" i="27"/>
  <c r="D74" i="27" s="1"/>
  <c r="BG72" i="27"/>
  <c r="D72" i="27" s="1"/>
  <c r="BG73" i="27"/>
  <c r="D73" i="27" s="1"/>
  <c r="BG54" i="27"/>
  <c r="D54" i="27" s="1"/>
  <c r="BG52" i="27"/>
  <c r="D52" i="27" s="1"/>
  <c r="BG50" i="27"/>
  <c r="D50" i="27" s="1"/>
  <c r="BG48" i="27"/>
  <c r="D48" i="27" s="1"/>
  <c r="BG46" i="27"/>
  <c r="D46" i="27" s="1"/>
  <c r="BG44" i="27"/>
  <c r="D44" i="27" s="1"/>
  <c r="BG42" i="27"/>
  <c r="D42" i="27" s="1"/>
  <c r="BG47" i="27"/>
  <c r="D47" i="27" s="1"/>
  <c r="BG17" i="27"/>
  <c r="D17" i="27" s="1"/>
  <c r="BM261" i="27"/>
  <c r="F261" i="27" s="1"/>
  <c r="BM259" i="27"/>
  <c r="F259" i="27" s="1"/>
  <c r="BM262" i="27"/>
  <c r="F262" i="27" s="1"/>
  <c r="BM260" i="27"/>
  <c r="F260" i="27" s="1"/>
  <c r="BM258" i="27"/>
  <c r="F258" i="27" s="1"/>
  <c r="BM256" i="27"/>
  <c r="F256" i="27" s="1"/>
  <c r="BM254" i="27"/>
  <c r="F254" i="27" s="1"/>
  <c r="BM253" i="27"/>
  <c r="F253" i="27" s="1"/>
  <c r="BM255" i="27"/>
  <c r="F255" i="27" s="1"/>
  <c r="BM257" i="27"/>
  <c r="F257" i="27" s="1"/>
  <c r="BM250" i="27"/>
  <c r="F250" i="27" s="1"/>
  <c r="BM248" i="27"/>
  <c r="F248" i="27" s="1"/>
  <c r="BM246" i="27"/>
  <c r="F246" i="27" s="1"/>
  <c r="BM252" i="27"/>
  <c r="F252" i="27" s="1"/>
  <c r="BM251" i="27"/>
  <c r="F251" i="27" s="1"/>
  <c r="BM249" i="27"/>
  <c r="F249" i="27" s="1"/>
  <c r="BM245" i="27"/>
  <c r="F245" i="27" s="1"/>
  <c r="BM247" i="27"/>
  <c r="F247" i="27" s="1"/>
  <c r="BM243" i="27"/>
  <c r="F243" i="27" s="1"/>
  <c r="BM241" i="27"/>
  <c r="F241" i="27" s="1"/>
  <c r="BM239" i="27"/>
  <c r="F239" i="27" s="1"/>
  <c r="BM237" i="27"/>
  <c r="F237" i="27" s="1"/>
  <c r="BM244" i="27"/>
  <c r="F244" i="27" s="1"/>
  <c r="BM240" i="27"/>
  <c r="F240" i="27" s="1"/>
  <c r="BM238" i="27"/>
  <c r="F238" i="27" s="1"/>
  <c r="BM236" i="27"/>
  <c r="F236" i="27" s="1"/>
  <c r="BM242" i="27"/>
  <c r="F242" i="27" s="1"/>
  <c r="BM232" i="27"/>
  <c r="F232" i="27" s="1"/>
  <c r="BM230" i="27"/>
  <c r="F230" i="27" s="1"/>
  <c r="BM228" i="27"/>
  <c r="F228" i="27" s="1"/>
  <c r="BM234" i="27"/>
  <c r="F234" i="27" s="1"/>
  <c r="BM235" i="27"/>
  <c r="F235" i="27" s="1"/>
  <c r="BM233" i="27"/>
  <c r="F233" i="27" s="1"/>
  <c r="BM231" i="27"/>
  <c r="F231" i="27" s="1"/>
  <c r="BM229" i="27"/>
  <c r="F229" i="27" s="1"/>
  <c r="BM227" i="27"/>
  <c r="F227" i="27" s="1"/>
  <c r="BM226" i="27"/>
  <c r="F226" i="27" s="1"/>
  <c r="BM223" i="27"/>
  <c r="F223" i="27" s="1"/>
  <c r="BM221" i="27"/>
  <c r="F221" i="27" s="1"/>
  <c r="BM219" i="27"/>
  <c r="F219" i="27" s="1"/>
  <c r="BM217" i="27"/>
  <c r="F217" i="27" s="1"/>
  <c r="BM225" i="27"/>
  <c r="F225" i="27" s="1"/>
  <c r="BM224" i="27"/>
  <c r="F224" i="27" s="1"/>
  <c r="BM222" i="27"/>
  <c r="F222" i="27" s="1"/>
  <c r="BM218" i="27"/>
  <c r="F218" i="27" s="1"/>
  <c r="BM220" i="27"/>
  <c r="F220" i="27" s="1"/>
  <c r="BM214" i="27"/>
  <c r="F214" i="27" s="1"/>
  <c r="BM212" i="27"/>
  <c r="F212" i="27" s="1"/>
  <c r="BM210" i="27"/>
  <c r="F210" i="27" s="1"/>
  <c r="BM208" i="27"/>
  <c r="F208" i="27" s="1"/>
  <c r="BM206" i="27"/>
  <c r="F206" i="27" s="1"/>
  <c r="BM216" i="27"/>
  <c r="F216" i="27" s="1"/>
  <c r="BM215" i="27"/>
  <c r="F215" i="27" s="1"/>
  <c r="BM213" i="27"/>
  <c r="F213" i="27" s="1"/>
  <c r="BM211" i="27"/>
  <c r="F211" i="27" s="1"/>
  <c r="BM209" i="27"/>
  <c r="F209" i="27" s="1"/>
  <c r="BM207" i="27"/>
  <c r="F207" i="27" s="1"/>
  <c r="BM205" i="27"/>
  <c r="F205" i="27" s="1"/>
  <c r="BM203" i="27"/>
  <c r="F203" i="27" s="1"/>
  <c r="BM201" i="27"/>
  <c r="F201" i="27" s="1"/>
  <c r="BM200" i="27"/>
  <c r="F200" i="27" s="1"/>
  <c r="BM198" i="27"/>
  <c r="F198" i="27" s="1"/>
  <c r="BM196" i="27"/>
  <c r="F196" i="27" s="1"/>
  <c r="BM194" i="27"/>
  <c r="F194" i="27" s="1"/>
  <c r="BM192" i="27"/>
  <c r="F192" i="27" s="1"/>
  <c r="BM190" i="27"/>
  <c r="F190" i="27" s="1"/>
  <c r="BM188" i="27"/>
  <c r="F188" i="27" s="1"/>
  <c r="BM186" i="27"/>
  <c r="F186" i="27" s="1"/>
  <c r="BM184" i="27"/>
  <c r="F184" i="27" s="1"/>
  <c r="BM202" i="27"/>
  <c r="F202" i="27" s="1"/>
  <c r="BM199" i="27"/>
  <c r="F199" i="27" s="1"/>
  <c r="BM197" i="27"/>
  <c r="F197" i="27" s="1"/>
  <c r="BM195" i="27"/>
  <c r="F195" i="27" s="1"/>
  <c r="BM193" i="27"/>
  <c r="F193" i="27" s="1"/>
  <c r="BM191" i="27"/>
  <c r="F191" i="27" s="1"/>
  <c r="BM189" i="27"/>
  <c r="F189" i="27" s="1"/>
  <c r="BM204" i="27"/>
  <c r="F204" i="27" s="1"/>
  <c r="BM185" i="27"/>
  <c r="F185" i="27" s="1"/>
  <c r="BM183" i="27"/>
  <c r="F183" i="27" s="1"/>
  <c r="BM181" i="27"/>
  <c r="F181" i="27" s="1"/>
  <c r="BM179" i="27"/>
  <c r="F179" i="27" s="1"/>
  <c r="BM177" i="27"/>
  <c r="F177" i="27" s="1"/>
  <c r="BM175" i="27"/>
  <c r="F175" i="27" s="1"/>
  <c r="BM173" i="27"/>
  <c r="F173" i="27" s="1"/>
  <c r="BM171" i="27"/>
  <c r="F171" i="27" s="1"/>
  <c r="BM169" i="27"/>
  <c r="F169" i="27" s="1"/>
  <c r="BM167" i="27"/>
  <c r="F167" i="27" s="1"/>
  <c r="BM165" i="27"/>
  <c r="F165" i="27" s="1"/>
  <c r="BM187" i="27"/>
  <c r="F187" i="27" s="1"/>
  <c r="BM182" i="27"/>
  <c r="F182" i="27" s="1"/>
  <c r="BM180" i="27"/>
  <c r="F180" i="27" s="1"/>
  <c r="BM178" i="27"/>
  <c r="F178" i="27" s="1"/>
  <c r="BM176" i="27"/>
  <c r="F176" i="27" s="1"/>
  <c r="BM174" i="27"/>
  <c r="F174" i="27" s="1"/>
  <c r="BM172" i="27"/>
  <c r="F172" i="27" s="1"/>
  <c r="BM170" i="27"/>
  <c r="F170" i="27" s="1"/>
  <c r="BM168" i="27"/>
  <c r="F168" i="27" s="1"/>
  <c r="BM159" i="27"/>
  <c r="F159" i="27" s="1"/>
  <c r="BM157" i="27"/>
  <c r="F157" i="27" s="1"/>
  <c r="BM155" i="27"/>
  <c r="F155" i="27" s="1"/>
  <c r="BM153" i="27"/>
  <c r="F153" i="27" s="1"/>
  <c r="BM151" i="27"/>
  <c r="F151" i="27" s="1"/>
  <c r="BM149" i="27"/>
  <c r="F149" i="27" s="1"/>
  <c r="BM147" i="27"/>
  <c r="F147" i="27" s="1"/>
  <c r="BM145" i="27"/>
  <c r="F145" i="27" s="1"/>
  <c r="BM143" i="27"/>
  <c r="F143" i="27" s="1"/>
  <c r="BM141" i="27"/>
  <c r="F141" i="27" s="1"/>
  <c r="BM164" i="27"/>
  <c r="F164" i="27" s="1"/>
  <c r="BM166" i="27"/>
  <c r="F166" i="27" s="1"/>
  <c r="BM163" i="27"/>
  <c r="F163" i="27" s="1"/>
  <c r="BM162" i="27"/>
  <c r="F162" i="27" s="1"/>
  <c r="BM158" i="27"/>
  <c r="F158" i="27" s="1"/>
  <c r="BM156" i="27"/>
  <c r="F156" i="27" s="1"/>
  <c r="BM154" i="27"/>
  <c r="F154" i="27" s="1"/>
  <c r="BM152" i="27"/>
  <c r="F152" i="27" s="1"/>
  <c r="BM150" i="27"/>
  <c r="F150" i="27" s="1"/>
  <c r="BM148" i="27"/>
  <c r="F148" i="27" s="1"/>
  <c r="BM146" i="27"/>
  <c r="F146" i="27" s="1"/>
  <c r="BM144" i="27"/>
  <c r="F144" i="27" s="1"/>
  <c r="BM161" i="27"/>
  <c r="F161" i="27" s="1"/>
  <c r="BM160" i="27"/>
  <c r="F160" i="27" s="1"/>
  <c r="BM136" i="27"/>
  <c r="F136" i="27" s="1"/>
  <c r="BM134" i="27"/>
  <c r="F134" i="27" s="1"/>
  <c r="BM132" i="27"/>
  <c r="F132" i="27" s="1"/>
  <c r="BM130" i="27"/>
  <c r="F130" i="27" s="1"/>
  <c r="BM128" i="27"/>
  <c r="F128" i="27" s="1"/>
  <c r="BM126" i="27"/>
  <c r="F126" i="27" s="1"/>
  <c r="BM124" i="27"/>
  <c r="F124" i="27" s="1"/>
  <c r="BM122" i="27"/>
  <c r="F122" i="27" s="1"/>
  <c r="BM120" i="27"/>
  <c r="F120" i="27" s="1"/>
  <c r="BM118" i="27"/>
  <c r="F118" i="27" s="1"/>
  <c r="BM116" i="27"/>
  <c r="F116" i="27" s="1"/>
  <c r="BM114" i="27"/>
  <c r="F114" i="27" s="1"/>
  <c r="BM112" i="27"/>
  <c r="F112" i="27" s="1"/>
  <c r="BM110" i="27"/>
  <c r="F110" i="27" s="1"/>
  <c r="BM108" i="27"/>
  <c r="F108" i="27" s="1"/>
  <c r="BM106" i="27"/>
  <c r="F106" i="27" s="1"/>
  <c r="BM139" i="27"/>
  <c r="F139" i="27" s="1"/>
  <c r="BM138" i="27"/>
  <c r="F138" i="27" s="1"/>
  <c r="BM140" i="27"/>
  <c r="F140" i="27" s="1"/>
  <c r="BM137" i="27"/>
  <c r="F137" i="27" s="1"/>
  <c r="BM135" i="27"/>
  <c r="F135" i="27" s="1"/>
  <c r="BM133" i="27"/>
  <c r="F133" i="27" s="1"/>
  <c r="BM131" i="27"/>
  <c r="F131" i="27" s="1"/>
  <c r="BM129" i="27"/>
  <c r="F129" i="27" s="1"/>
  <c r="BM127" i="27"/>
  <c r="F127" i="27" s="1"/>
  <c r="BM125" i="27"/>
  <c r="F125" i="27" s="1"/>
  <c r="BM123" i="27"/>
  <c r="F123" i="27" s="1"/>
  <c r="BM121" i="27"/>
  <c r="F121" i="27" s="1"/>
  <c r="BM119" i="27"/>
  <c r="F119" i="27" s="1"/>
  <c r="BM117" i="27"/>
  <c r="F117" i="27" s="1"/>
  <c r="BM142" i="27"/>
  <c r="F142" i="27" s="1"/>
  <c r="BM115" i="27"/>
  <c r="F115" i="27" s="1"/>
  <c r="BM113" i="27"/>
  <c r="F113" i="27" s="1"/>
  <c r="BM111" i="27"/>
  <c r="F111" i="27" s="1"/>
  <c r="BM109" i="27"/>
  <c r="F109" i="27" s="1"/>
  <c r="BM107" i="27"/>
  <c r="F107" i="27" s="1"/>
  <c r="BM105" i="27"/>
  <c r="F105" i="27" s="1"/>
  <c r="BM103" i="27"/>
  <c r="F103" i="27" s="1"/>
  <c r="BM101" i="27"/>
  <c r="F101" i="27" s="1"/>
  <c r="BM99" i="27"/>
  <c r="F99" i="27" s="1"/>
  <c r="BM97" i="27"/>
  <c r="F97" i="27" s="1"/>
  <c r="BM95" i="27"/>
  <c r="F95" i="27" s="1"/>
  <c r="BM93" i="27"/>
  <c r="F93" i="27" s="1"/>
  <c r="BM91" i="27"/>
  <c r="F91" i="27" s="1"/>
  <c r="BM89" i="27"/>
  <c r="F89" i="27" s="1"/>
  <c r="BM87" i="27"/>
  <c r="F87" i="27" s="1"/>
  <c r="BM85" i="27"/>
  <c r="F85" i="27" s="1"/>
  <c r="BM83" i="27"/>
  <c r="F83" i="27" s="1"/>
  <c r="BM81" i="27"/>
  <c r="F81" i="27" s="1"/>
  <c r="BM79" i="27"/>
  <c r="F79" i="27" s="1"/>
  <c r="BM77" i="27"/>
  <c r="F77" i="27" s="1"/>
  <c r="BM75" i="27"/>
  <c r="F75" i="27" s="1"/>
  <c r="BM73" i="27"/>
  <c r="F73" i="27" s="1"/>
  <c r="BM71" i="27"/>
  <c r="F71" i="27" s="1"/>
  <c r="BM104" i="27"/>
  <c r="F104" i="27" s="1"/>
  <c r="BM102" i="27"/>
  <c r="F102" i="27" s="1"/>
  <c r="BM100" i="27"/>
  <c r="F100" i="27" s="1"/>
  <c r="BM98" i="27"/>
  <c r="F98" i="27" s="1"/>
  <c r="BM96" i="27"/>
  <c r="F96" i="27" s="1"/>
  <c r="BM94" i="27"/>
  <c r="F94" i="27" s="1"/>
  <c r="BM92" i="27"/>
  <c r="F92" i="27" s="1"/>
  <c r="BM90" i="27"/>
  <c r="F90" i="27" s="1"/>
  <c r="BM88" i="27"/>
  <c r="F88" i="27" s="1"/>
  <c r="BM86" i="27"/>
  <c r="F86" i="27" s="1"/>
  <c r="BM76" i="27"/>
  <c r="F76" i="27" s="1"/>
  <c r="BM72" i="27"/>
  <c r="F72" i="27" s="1"/>
  <c r="BM69" i="27"/>
  <c r="F69" i="27" s="1"/>
  <c r="BM67" i="27"/>
  <c r="F67" i="27" s="1"/>
  <c r="BM65" i="27"/>
  <c r="F65" i="27" s="1"/>
  <c r="BM63" i="27"/>
  <c r="F63" i="27" s="1"/>
  <c r="BM61" i="27"/>
  <c r="F61" i="27" s="1"/>
  <c r="BM59" i="27"/>
  <c r="F59" i="27" s="1"/>
  <c r="BM57" i="27"/>
  <c r="F57" i="27" s="1"/>
  <c r="BM55" i="27"/>
  <c r="F55" i="27" s="1"/>
  <c r="BM53" i="27"/>
  <c r="F53" i="27" s="1"/>
  <c r="BM51" i="27"/>
  <c r="F51" i="27" s="1"/>
  <c r="BM49" i="27"/>
  <c r="F49" i="27" s="1"/>
  <c r="BM47" i="27"/>
  <c r="F47" i="27" s="1"/>
  <c r="BM45" i="27"/>
  <c r="F45" i="27" s="1"/>
  <c r="BM43" i="27"/>
  <c r="F43" i="27" s="1"/>
  <c r="BM41" i="27"/>
  <c r="F41" i="27" s="1"/>
  <c r="BM84" i="27"/>
  <c r="F84" i="27" s="1"/>
  <c r="BM82" i="27"/>
  <c r="F82" i="27" s="1"/>
  <c r="BM80" i="27"/>
  <c r="F80" i="27" s="1"/>
  <c r="BM78" i="27"/>
  <c r="F78" i="27" s="1"/>
  <c r="BM74" i="27"/>
  <c r="F74" i="27" s="1"/>
  <c r="BM70" i="27"/>
  <c r="F70" i="27" s="1"/>
  <c r="BM68" i="27"/>
  <c r="F68" i="27" s="1"/>
  <c r="BM66" i="27"/>
  <c r="F66" i="27" s="1"/>
  <c r="BM64" i="27"/>
  <c r="F64" i="27" s="1"/>
  <c r="BM62" i="27"/>
  <c r="F62" i="27" s="1"/>
  <c r="BM60" i="27"/>
  <c r="F60" i="27" s="1"/>
  <c r="BM58" i="27"/>
  <c r="F58" i="27" s="1"/>
  <c r="BM56" i="27"/>
  <c r="F56" i="27" s="1"/>
  <c r="BM54" i="27"/>
  <c r="F54" i="27" s="1"/>
  <c r="BM52" i="27"/>
  <c r="F52" i="27" s="1"/>
  <c r="BM50" i="27"/>
  <c r="F50" i="27" s="1"/>
  <c r="BM48" i="27"/>
  <c r="F48" i="27" s="1"/>
  <c r="BM46" i="27"/>
  <c r="F46" i="27" s="1"/>
  <c r="BM44" i="27"/>
  <c r="F44" i="27" s="1"/>
  <c r="BM42" i="27"/>
  <c r="F42" i="27" s="1"/>
  <c r="BM40" i="27"/>
  <c r="F40" i="27" s="1"/>
  <c r="BM38" i="27"/>
  <c r="F38" i="27" s="1"/>
  <c r="BM36" i="27"/>
  <c r="F36" i="27" s="1"/>
  <c r="BM34" i="27"/>
  <c r="F34" i="27" s="1"/>
  <c r="BM32" i="27"/>
  <c r="F32" i="27" s="1"/>
  <c r="BM30" i="27"/>
  <c r="F30" i="27" s="1"/>
  <c r="BM28" i="27"/>
  <c r="F28" i="27" s="1"/>
  <c r="BM26" i="27"/>
  <c r="F26" i="27" s="1"/>
  <c r="BM24" i="27"/>
  <c r="F24" i="27" s="1"/>
  <c r="BM22" i="27"/>
  <c r="F22" i="27" s="1"/>
  <c r="BM20" i="27"/>
  <c r="F20" i="27" s="1"/>
  <c r="BM18" i="27"/>
  <c r="F18" i="27" s="1"/>
  <c r="BM16" i="27"/>
  <c r="F16" i="27" s="1"/>
  <c r="BM14" i="27"/>
  <c r="F14" i="27" s="1"/>
  <c r="BM12" i="27"/>
  <c r="BM21" i="27"/>
  <c r="F21" i="27" s="1"/>
  <c r="BM19" i="27"/>
  <c r="F19" i="27" s="1"/>
  <c r="BM17" i="27"/>
  <c r="F17" i="27" s="1"/>
  <c r="BM13" i="27"/>
  <c r="F13" i="27" s="1"/>
  <c r="BM39" i="27"/>
  <c r="F39" i="27" s="1"/>
  <c r="BM37" i="27"/>
  <c r="F37" i="27" s="1"/>
  <c r="BM35" i="27"/>
  <c r="F35" i="27" s="1"/>
  <c r="BM33" i="27"/>
  <c r="F33" i="27" s="1"/>
  <c r="BM31" i="27"/>
  <c r="F31" i="27" s="1"/>
  <c r="BM29" i="27"/>
  <c r="F29" i="27" s="1"/>
  <c r="BM27" i="27"/>
  <c r="F27" i="27" s="1"/>
  <c r="BM25" i="27"/>
  <c r="F25" i="27" s="1"/>
  <c r="BM23" i="27"/>
  <c r="F23" i="27" s="1"/>
  <c r="BM15" i="27"/>
  <c r="F15" i="27" s="1"/>
  <c r="CW261" i="27"/>
  <c r="R261" i="27" s="1"/>
  <c r="CW259" i="27"/>
  <c r="R259" i="27" s="1"/>
  <c r="CW262" i="27"/>
  <c r="R262" i="27" s="1"/>
  <c r="CW260" i="27"/>
  <c r="R260" i="27" s="1"/>
  <c r="CW256" i="27"/>
  <c r="R256" i="27" s="1"/>
  <c r="CW254" i="27"/>
  <c r="R254" i="27" s="1"/>
  <c r="CW258" i="27"/>
  <c r="R258" i="27" s="1"/>
  <c r="CW253" i="27"/>
  <c r="R253" i="27" s="1"/>
  <c r="CW257" i="27"/>
  <c r="R257" i="27" s="1"/>
  <c r="CW252" i="27"/>
  <c r="R252" i="27" s="1"/>
  <c r="CW250" i="27"/>
  <c r="R250" i="27" s="1"/>
  <c r="CW248" i="27"/>
  <c r="R248" i="27" s="1"/>
  <c r="CW246" i="27"/>
  <c r="R246" i="27" s="1"/>
  <c r="CW255" i="27"/>
  <c r="R255" i="27" s="1"/>
  <c r="CW245" i="27"/>
  <c r="R245" i="27" s="1"/>
  <c r="CW251" i="27"/>
  <c r="R251" i="27" s="1"/>
  <c r="CW249" i="27"/>
  <c r="R249" i="27" s="1"/>
  <c r="CW247" i="27"/>
  <c r="R247" i="27" s="1"/>
  <c r="CW243" i="27"/>
  <c r="R243" i="27" s="1"/>
  <c r="CW239" i="27"/>
  <c r="R239" i="27" s="1"/>
  <c r="CW237" i="27"/>
  <c r="R237" i="27" s="1"/>
  <c r="CW242" i="27"/>
  <c r="R242" i="27" s="1"/>
  <c r="CW241" i="27"/>
  <c r="R241" i="27" s="1"/>
  <c r="CW240" i="27"/>
  <c r="R240" i="27" s="1"/>
  <c r="CW238" i="27"/>
  <c r="R238" i="27" s="1"/>
  <c r="CW236" i="27"/>
  <c r="R236" i="27" s="1"/>
  <c r="CW244" i="27"/>
  <c r="R244" i="27" s="1"/>
  <c r="CW235" i="27"/>
  <c r="R235" i="27" s="1"/>
  <c r="CW232" i="27"/>
  <c r="R232" i="27" s="1"/>
  <c r="CW230" i="27"/>
  <c r="R230" i="27" s="1"/>
  <c r="CW228" i="27"/>
  <c r="R228" i="27" s="1"/>
  <c r="CW234" i="27"/>
  <c r="R234" i="27" s="1"/>
  <c r="CW233" i="27"/>
  <c r="R233" i="27" s="1"/>
  <c r="CW231" i="27"/>
  <c r="R231" i="27" s="1"/>
  <c r="CW229" i="27"/>
  <c r="R229" i="27" s="1"/>
  <c r="CW227" i="27"/>
  <c r="R227" i="27" s="1"/>
  <c r="CW225" i="27"/>
  <c r="R225" i="27" s="1"/>
  <c r="CW223" i="27"/>
  <c r="R223" i="27" s="1"/>
  <c r="CW221" i="27"/>
  <c r="R221" i="27" s="1"/>
  <c r="CW219" i="27"/>
  <c r="R219" i="27" s="1"/>
  <c r="CW217" i="27"/>
  <c r="R217" i="27" s="1"/>
  <c r="CW226" i="27"/>
  <c r="R226" i="27" s="1"/>
  <c r="CW224" i="27"/>
  <c r="R224" i="27" s="1"/>
  <c r="CW222" i="27"/>
  <c r="R222" i="27" s="1"/>
  <c r="CW220" i="27"/>
  <c r="R220" i="27" s="1"/>
  <c r="CW218" i="27"/>
  <c r="R218" i="27" s="1"/>
  <c r="CW216" i="27"/>
  <c r="R216" i="27" s="1"/>
  <c r="CW215" i="27"/>
  <c r="R215" i="27" s="1"/>
  <c r="CW214" i="27"/>
  <c r="R214" i="27" s="1"/>
  <c r="CW212" i="27"/>
  <c r="R212" i="27" s="1"/>
  <c r="CW210" i="27"/>
  <c r="R210" i="27" s="1"/>
  <c r="CW208" i="27"/>
  <c r="R208" i="27" s="1"/>
  <c r="CW206" i="27"/>
  <c r="R206" i="27" s="1"/>
  <c r="CW213" i="27"/>
  <c r="R213" i="27" s="1"/>
  <c r="CW211" i="27"/>
  <c r="R211" i="27" s="1"/>
  <c r="CW209" i="27"/>
  <c r="R209" i="27" s="1"/>
  <c r="CW207" i="27"/>
  <c r="R207" i="27" s="1"/>
  <c r="CW205" i="27"/>
  <c r="R205" i="27" s="1"/>
  <c r="CW203" i="27"/>
  <c r="R203" i="27" s="1"/>
  <c r="CW201" i="27"/>
  <c r="R201" i="27" s="1"/>
  <c r="CW200" i="27"/>
  <c r="R200" i="27" s="1"/>
  <c r="CW198" i="27"/>
  <c r="R198" i="27" s="1"/>
  <c r="CW196" i="27"/>
  <c r="R196" i="27" s="1"/>
  <c r="CW194" i="27"/>
  <c r="R194" i="27" s="1"/>
  <c r="CW192" i="27"/>
  <c r="R192" i="27" s="1"/>
  <c r="CW190" i="27"/>
  <c r="R190" i="27" s="1"/>
  <c r="CW188" i="27"/>
  <c r="R188" i="27" s="1"/>
  <c r="CW186" i="27"/>
  <c r="R186" i="27" s="1"/>
  <c r="CW184" i="27"/>
  <c r="R184" i="27" s="1"/>
  <c r="CW204" i="27"/>
  <c r="R204" i="27" s="1"/>
  <c r="CW202" i="27"/>
  <c r="R202" i="27" s="1"/>
  <c r="CW199" i="27"/>
  <c r="R199" i="27" s="1"/>
  <c r="CW197" i="27"/>
  <c r="R197" i="27" s="1"/>
  <c r="CW195" i="27"/>
  <c r="R195" i="27" s="1"/>
  <c r="CW193" i="27"/>
  <c r="R193" i="27" s="1"/>
  <c r="CW191" i="27"/>
  <c r="R191" i="27" s="1"/>
  <c r="CW189" i="27"/>
  <c r="R189" i="27" s="1"/>
  <c r="CW185" i="27"/>
  <c r="R185" i="27" s="1"/>
  <c r="CW181" i="27"/>
  <c r="R181" i="27" s="1"/>
  <c r="CW179" i="27"/>
  <c r="R179" i="27" s="1"/>
  <c r="CW177" i="27"/>
  <c r="R177" i="27" s="1"/>
  <c r="CW175" i="27"/>
  <c r="R175" i="27" s="1"/>
  <c r="CW173" i="27"/>
  <c r="R173" i="27" s="1"/>
  <c r="CW171" i="27"/>
  <c r="R171" i="27" s="1"/>
  <c r="CW169" i="27"/>
  <c r="R169" i="27" s="1"/>
  <c r="CW167" i="27"/>
  <c r="R167" i="27" s="1"/>
  <c r="CW165" i="27"/>
  <c r="R165" i="27" s="1"/>
  <c r="CW187" i="27"/>
  <c r="R187" i="27" s="1"/>
  <c r="CW182" i="27"/>
  <c r="R182" i="27" s="1"/>
  <c r="CW180" i="27"/>
  <c r="R180" i="27" s="1"/>
  <c r="CW178" i="27"/>
  <c r="R178" i="27" s="1"/>
  <c r="CW176" i="27"/>
  <c r="R176" i="27" s="1"/>
  <c r="CW174" i="27"/>
  <c r="R174" i="27" s="1"/>
  <c r="CW172" i="27"/>
  <c r="R172" i="27" s="1"/>
  <c r="CW170" i="27"/>
  <c r="R170" i="27" s="1"/>
  <c r="CW168" i="27"/>
  <c r="R168" i="27" s="1"/>
  <c r="CW183" i="27"/>
  <c r="R183" i="27" s="1"/>
  <c r="CW163" i="27"/>
  <c r="R163" i="27" s="1"/>
  <c r="CW162" i="27"/>
  <c r="R162" i="27" s="1"/>
  <c r="CW159" i="27"/>
  <c r="R159" i="27" s="1"/>
  <c r="CW157" i="27"/>
  <c r="R157" i="27" s="1"/>
  <c r="CW155" i="27"/>
  <c r="R155" i="27" s="1"/>
  <c r="CW153" i="27"/>
  <c r="R153" i="27" s="1"/>
  <c r="CW151" i="27"/>
  <c r="R151" i="27" s="1"/>
  <c r="CW149" i="27"/>
  <c r="R149" i="27" s="1"/>
  <c r="CW147" i="27"/>
  <c r="R147" i="27" s="1"/>
  <c r="CW145" i="27"/>
  <c r="R145" i="27" s="1"/>
  <c r="CW143" i="27"/>
  <c r="R143" i="27" s="1"/>
  <c r="CW141" i="27"/>
  <c r="R141" i="27" s="1"/>
  <c r="CW164" i="27"/>
  <c r="R164" i="27" s="1"/>
  <c r="CW161" i="27"/>
  <c r="R161" i="27" s="1"/>
  <c r="CW160" i="27"/>
  <c r="R160" i="27" s="1"/>
  <c r="CW166" i="27"/>
  <c r="R166" i="27" s="1"/>
  <c r="CW158" i="27"/>
  <c r="R158" i="27" s="1"/>
  <c r="CW156" i="27"/>
  <c r="R156" i="27" s="1"/>
  <c r="CW154" i="27"/>
  <c r="R154" i="27" s="1"/>
  <c r="CW152" i="27"/>
  <c r="R152" i="27" s="1"/>
  <c r="CW150" i="27"/>
  <c r="R150" i="27" s="1"/>
  <c r="CW148" i="27"/>
  <c r="R148" i="27" s="1"/>
  <c r="CW146" i="27"/>
  <c r="R146" i="27" s="1"/>
  <c r="CW144" i="27"/>
  <c r="R144" i="27" s="1"/>
  <c r="CW136" i="27"/>
  <c r="R136" i="27" s="1"/>
  <c r="CW134" i="27"/>
  <c r="R134" i="27" s="1"/>
  <c r="CW132" i="27"/>
  <c r="R132" i="27" s="1"/>
  <c r="CW130" i="27"/>
  <c r="R130" i="27" s="1"/>
  <c r="CW128" i="27"/>
  <c r="R128" i="27" s="1"/>
  <c r="CW126" i="27"/>
  <c r="R126" i="27" s="1"/>
  <c r="CW124" i="27"/>
  <c r="R124" i="27" s="1"/>
  <c r="CW122" i="27"/>
  <c r="R122" i="27" s="1"/>
  <c r="CW120" i="27"/>
  <c r="R120" i="27" s="1"/>
  <c r="CW118" i="27"/>
  <c r="R118" i="27" s="1"/>
  <c r="CW116" i="27"/>
  <c r="R116" i="27" s="1"/>
  <c r="CW114" i="27"/>
  <c r="R114" i="27" s="1"/>
  <c r="CW112" i="27"/>
  <c r="R112" i="27" s="1"/>
  <c r="CW110" i="27"/>
  <c r="R110" i="27" s="1"/>
  <c r="CW108" i="27"/>
  <c r="R108" i="27" s="1"/>
  <c r="CW106" i="27"/>
  <c r="R106" i="27" s="1"/>
  <c r="CW104" i="27"/>
  <c r="R104" i="27" s="1"/>
  <c r="CW140" i="27"/>
  <c r="R140" i="27" s="1"/>
  <c r="CW137" i="27"/>
  <c r="R137" i="27" s="1"/>
  <c r="CW135" i="27"/>
  <c r="R135" i="27" s="1"/>
  <c r="CW133" i="27"/>
  <c r="R133" i="27" s="1"/>
  <c r="CW131" i="27"/>
  <c r="R131" i="27" s="1"/>
  <c r="CW129" i="27"/>
  <c r="R129" i="27" s="1"/>
  <c r="CW127" i="27"/>
  <c r="R127" i="27" s="1"/>
  <c r="CW125" i="27"/>
  <c r="R125" i="27" s="1"/>
  <c r="CW123" i="27"/>
  <c r="R123" i="27" s="1"/>
  <c r="CW121" i="27"/>
  <c r="R121" i="27" s="1"/>
  <c r="CW119" i="27"/>
  <c r="R119" i="27" s="1"/>
  <c r="CW117" i="27"/>
  <c r="R117" i="27" s="1"/>
  <c r="CW142" i="27"/>
  <c r="R142" i="27" s="1"/>
  <c r="CW139" i="27"/>
  <c r="R139" i="27" s="1"/>
  <c r="CW138" i="27"/>
  <c r="R138" i="27" s="1"/>
  <c r="CW103" i="27"/>
  <c r="R103" i="27" s="1"/>
  <c r="CW101" i="27"/>
  <c r="R101" i="27" s="1"/>
  <c r="CW99" i="27"/>
  <c r="R99" i="27" s="1"/>
  <c r="CW97" i="27"/>
  <c r="R97" i="27" s="1"/>
  <c r="CW95" i="27"/>
  <c r="R95" i="27" s="1"/>
  <c r="CW93" i="27"/>
  <c r="R93" i="27" s="1"/>
  <c r="CW91" i="27"/>
  <c r="R91" i="27" s="1"/>
  <c r="CW89" i="27"/>
  <c r="R89" i="27" s="1"/>
  <c r="CW87" i="27"/>
  <c r="R87" i="27" s="1"/>
  <c r="CW85" i="27"/>
  <c r="R85" i="27" s="1"/>
  <c r="CW83" i="27"/>
  <c r="R83" i="27" s="1"/>
  <c r="CW81" i="27"/>
  <c r="R81" i="27" s="1"/>
  <c r="CW79" i="27"/>
  <c r="R79" i="27" s="1"/>
  <c r="CW77" i="27"/>
  <c r="R77" i="27" s="1"/>
  <c r="CW75" i="27"/>
  <c r="R75" i="27" s="1"/>
  <c r="CW73" i="27"/>
  <c r="R73" i="27" s="1"/>
  <c r="CW71" i="27"/>
  <c r="R71" i="27" s="1"/>
  <c r="CW115" i="27"/>
  <c r="R115" i="27" s="1"/>
  <c r="CW113" i="27"/>
  <c r="R113" i="27" s="1"/>
  <c r="CW111" i="27"/>
  <c r="R111" i="27" s="1"/>
  <c r="CW109" i="27"/>
  <c r="R109" i="27" s="1"/>
  <c r="CW107" i="27"/>
  <c r="R107" i="27" s="1"/>
  <c r="CW105" i="27"/>
  <c r="R105" i="27" s="1"/>
  <c r="CW102" i="27"/>
  <c r="R102" i="27" s="1"/>
  <c r="CW100" i="27"/>
  <c r="R100" i="27" s="1"/>
  <c r="CW98" i="27"/>
  <c r="R98" i="27" s="1"/>
  <c r="CW96" i="27"/>
  <c r="R96" i="27" s="1"/>
  <c r="CW94" i="27"/>
  <c r="R94" i="27" s="1"/>
  <c r="CW92" i="27"/>
  <c r="R92" i="27" s="1"/>
  <c r="CW90" i="27"/>
  <c r="R90" i="27" s="1"/>
  <c r="CW88" i="27"/>
  <c r="R88" i="27" s="1"/>
  <c r="CW86" i="27"/>
  <c r="R86" i="27" s="1"/>
  <c r="CW84" i="27"/>
  <c r="R84" i="27" s="1"/>
  <c r="CW82" i="27"/>
  <c r="R82" i="27" s="1"/>
  <c r="CW80" i="27"/>
  <c r="R80" i="27" s="1"/>
  <c r="CW78" i="27"/>
  <c r="R78" i="27" s="1"/>
  <c r="CW76" i="27"/>
  <c r="R76" i="27" s="1"/>
  <c r="CW69" i="27"/>
  <c r="R69" i="27" s="1"/>
  <c r="CW67" i="27"/>
  <c r="R67" i="27" s="1"/>
  <c r="CW65" i="27"/>
  <c r="R65" i="27" s="1"/>
  <c r="CW63" i="27"/>
  <c r="R63" i="27" s="1"/>
  <c r="CW61" i="27"/>
  <c r="R61" i="27" s="1"/>
  <c r="CW59" i="27"/>
  <c r="R59" i="27" s="1"/>
  <c r="CW57" i="27"/>
  <c r="R57" i="27" s="1"/>
  <c r="CW55" i="27"/>
  <c r="R55" i="27" s="1"/>
  <c r="CW53" i="27"/>
  <c r="R53" i="27" s="1"/>
  <c r="CW51" i="27"/>
  <c r="R51" i="27" s="1"/>
  <c r="CW49" i="27"/>
  <c r="R49" i="27" s="1"/>
  <c r="CW47" i="27"/>
  <c r="R47" i="27" s="1"/>
  <c r="CW45" i="27"/>
  <c r="R45" i="27" s="1"/>
  <c r="CW43" i="27"/>
  <c r="R43" i="27" s="1"/>
  <c r="CW41" i="27"/>
  <c r="R41" i="27" s="1"/>
  <c r="CW72" i="27"/>
  <c r="R72" i="27" s="1"/>
  <c r="CW74" i="27"/>
  <c r="R74" i="27" s="1"/>
  <c r="CW70" i="27"/>
  <c r="R70" i="27" s="1"/>
  <c r="CW68" i="27"/>
  <c r="R68" i="27" s="1"/>
  <c r="CW66" i="27"/>
  <c r="R66" i="27" s="1"/>
  <c r="CW64" i="27"/>
  <c r="R64" i="27" s="1"/>
  <c r="CW62" i="27"/>
  <c r="R62" i="27" s="1"/>
  <c r="CW60" i="27"/>
  <c r="R60" i="27" s="1"/>
  <c r="CW58" i="27"/>
  <c r="R58" i="27" s="1"/>
  <c r="CW56" i="27"/>
  <c r="R56" i="27" s="1"/>
  <c r="CW54" i="27"/>
  <c r="R54" i="27" s="1"/>
  <c r="CW52" i="27"/>
  <c r="R52" i="27" s="1"/>
  <c r="CW50" i="27"/>
  <c r="R50" i="27" s="1"/>
  <c r="CW48" i="27"/>
  <c r="R48" i="27" s="1"/>
  <c r="CW46" i="27"/>
  <c r="R46" i="27" s="1"/>
  <c r="CW44" i="27"/>
  <c r="R44" i="27" s="1"/>
  <c r="CW42" i="27"/>
  <c r="R42" i="27" s="1"/>
  <c r="CW40" i="27"/>
  <c r="R40" i="27" s="1"/>
  <c r="CW38" i="27"/>
  <c r="R38" i="27" s="1"/>
  <c r="CW36" i="27"/>
  <c r="R36" i="27" s="1"/>
  <c r="CW34" i="27"/>
  <c r="R34" i="27" s="1"/>
  <c r="CW32" i="27"/>
  <c r="R32" i="27" s="1"/>
  <c r="CW30" i="27"/>
  <c r="R30" i="27" s="1"/>
  <c r="CW28" i="27"/>
  <c r="R28" i="27" s="1"/>
  <c r="CW26" i="27"/>
  <c r="R26" i="27" s="1"/>
  <c r="CW24" i="27"/>
  <c r="R24" i="27" s="1"/>
  <c r="CW22" i="27"/>
  <c r="R22" i="27" s="1"/>
  <c r="CW20" i="27"/>
  <c r="R20" i="27" s="1"/>
  <c r="CW18" i="27"/>
  <c r="R18" i="27" s="1"/>
  <c r="CW16" i="27"/>
  <c r="R16" i="27" s="1"/>
  <c r="CW14" i="27"/>
  <c r="R14" i="27" s="1"/>
  <c r="CW12" i="27"/>
  <c r="CW21" i="27"/>
  <c r="R21" i="27" s="1"/>
  <c r="CW13" i="27"/>
  <c r="R13" i="27" s="1"/>
  <c r="CW23" i="27"/>
  <c r="R23" i="27" s="1"/>
  <c r="CW19" i="27"/>
  <c r="R19" i="27" s="1"/>
  <c r="CW17" i="27"/>
  <c r="R17" i="27" s="1"/>
  <c r="CW15" i="27"/>
  <c r="R15" i="27" s="1"/>
  <c r="CW39" i="27"/>
  <c r="R39" i="27" s="1"/>
  <c r="CW37" i="27"/>
  <c r="R37" i="27" s="1"/>
  <c r="CW35" i="27"/>
  <c r="R35" i="27" s="1"/>
  <c r="CW33" i="27"/>
  <c r="R33" i="27" s="1"/>
  <c r="CW31" i="27"/>
  <c r="R31" i="27" s="1"/>
  <c r="CW29" i="27"/>
  <c r="R29" i="27" s="1"/>
  <c r="CW27" i="27"/>
  <c r="R27" i="27" s="1"/>
  <c r="CW25" i="27"/>
  <c r="R25" i="27" s="1"/>
  <c r="CH262" i="27"/>
  <c r="M262" i="27" s="1"/>
  <c r="CH260" i="27"/>
  <c r="M260" i="27" s="1"/>
  <c r="CH261" i="27"/>
  <c r="M261" i="27" s="1"/>
  <c r="CH259" i="27"/>
  <c r="M259" i="27" s="1"/>
  <c r="CH256" i="27"/>
  <c r="M256" i="27" s="1"/>
  <c r="CH254" i="27"/>
  <c r="M254" i="27" s="1"/>
  <c r="CH258" i="27"/>
  <c r="M258" i="27" s="1"/>
  <c r="CH257" i="27"/>
  <c r="M257" i="27" s="1"/>
  <c r="CH255" i="27"/>
  <c r="M255" i="27" s="1"/>
  <c r="CH250" i="27"/>
  <c r="M250" i="27" s="1"/>
  <c r="CH248" i="27"/>
  <c r="M248" i="27" s="1"/>
  <c r="CH246" i="27"/>
  <c r="M246" i="27" s="1"/>
  <c r="CH253" i="27"/>
  <c r="M253" i="27" s="1"/>
  <c r="CH252" i="27"/>
  <c r="M252" i="27" s="1"/>
  <c r="CH251" i="27"/>
  <c r="M251" i="27" s="1"/>
  <c r="CH249" i="27"/>
  <c r="M249" i="27" s="1"/>
  <c r="CH247" i="27"/>
  <c r="M247" i="27" s="1"/>
  <c r="CH244" i="27"/>
  <c r="M244" i="27" s="1"/>
  <c r="CH245" i="27"/>
  <c r="M245" i="27" s="1"/>
  <c r="CH243" i="27"/>
  <c r="M243" i="27" s="1"/>
  <c r="CH242" i="27"/>
  <c r="M242" i="27" s="1"/>
  <c r="CH240" i="27"/>
  <c r="M240" i="27" s="1"/>
  <c r="CH238" i="27"/>
  <c r="M238" i="27" s="1"/>
  <c r="CH236" i="27"/>
  <c r="M236" i="27" s="1"/>
  <c r="CH234" i="27"/>
  <c r="M234" i="27" s="1"/>
  <c r="CH241" i="27"/>
  <c r="M241" i="27" s="1"/>
  <c r="CH239" i="27"/>
  <c r="M239" i="27" s="1"/>
  <c r="CH237" i="27"/>
  <c r="M237" i="27" s="1"/>
  <c r="CH235" i="27"/>
  <c r="M235" i="27" s="1"/>
  <c r="CH233" i="27"/>
  <c r="M233" i="27" s="1"/>
  <c r="CH231" i="27"/>
  <c r="M231" i="27" s="1"/>
  <c r="CH229" i="27"/>
  <c r="M229" i="27" s="1"/>
  <c r="CH227" i="27"/>
  <c r="M227" i="27" s="1"/>
  <c r="CH225" i="27"/>
  <c r="M225" i="27" s="1"/>
  <c r="CH232" i="27"/>
  <c r="M232" i="27" s="1"/>
  <c r="CH230" i="27"/>
  <c r="M230" i="27" s="1"/>
  <c r="CH228" i="27"/>
  <c r="M228" i="27" s="1"/>
  <c r="CH224" i="27"/>
  <c r="M224" i="27" s="1"/>
  <c r="CH222" i="27"/>
  <c r="M222" i="27" s="1"/>
  <c r="CH220" i="27"/>
  <c r="M220" i="27" s="1"/>
  <c r="CH218" i="27"/>
  <c r="M218" i="27" s="1"/>
  <c r="CH216" i="27"/>
  <c r="M216" i="27" s="1"/>
  <c r="CH226" i="27"/>
  <c r="M226" i="27" s="1"/>
  <c r="CH223" i="27"/>
  <c r="M223" i="27" s="1"/>
  <c r="CH215" i="27"/>
  <c r="M215" i="27" s="1"/>
  <c r="CH214" i="27"/>
  <c r="M214" i="27" s="1"/>
  <c r="CH212" i="27"/>
  <c r="M212" i="27" s="1"/>
  <c r="CH210" i="27"/>
  <c r="M210" i="27" s="1"/>
  <c r="CH208" i="27"/>
  <c r="M208" i="27" s="1"/>
  <c r="CH206" i="27"/>
  <c r="M206" i="27" s="1"/>
  <c r="CH204" i="27"/>
  <c r="M204" i="27" s="1"/>
  <c r="CH217" i="27"/>
  <c r="M217" i="27" s="1"/>
  <c r="CH213" i="27"/>
  <c r="M213" i="27" s="1"/>
  <c r="CH211" i="27"/>
  <c r="M211" i="27" s="1"/>
  <c r="CH209" i="27"/>
  <c r="M209" i="27" s="1"/>
  <c r="CH207" i="27"/>
  <c r="M207" i="27" s="1"/>
  <c r="CH205" i="27"/>
  <c r="M205" i="27" s="1"/>
  <c r="CH203" i="27"/>
  <c r="M203" i="27" s="1"/>
  <c r="CH201" i="27"/>
  <c r="M201" i="27" s="1"/>
  <c r="CH221" i="27"/>
  <c r="M221" i="27" s="1"/>
  <c r="CH219" i="27"/>
  <c r="M219" i="27" s="1"/>
  <c r="CH199" i="27"/>
  <c r="M199" i="27" s="1"/>
  <c r="CH197" i="27"/>
  <c r="M197" i="27" s="1"/>
  <c r="CH195" i="27"/>
  <c r="M195" i="27" s="1"/>
  <c r="CH193" i="27"/>
  <c r="M193" i="27" s="1"/>
  <c r="CH200" i="27"/>
  <c r="M200" i="27" s="1"/>
  <c r="CH202" i="27"/>
  <c r="M202" i="27" s="1"/>
  <c r="CH198" i="27"/>
  <c r="M198" i="27" s="1"/>
  <c r="CH196" i="27"/>
  <c r="M196" i="27" s="1"/>
  <c r="CH194" i="27"/>
  <c r="M194" i="27" s="1"/>
  <c r="CH192" i="27"/>
  <c r="M192" i="27" s="1"/>
  <c r="CH190" i="27"/>
  <c r="M190" i="27" s="1"/>
  <c r="CH188" i="27"/>
  <c r="M188" i="27" s="1"/>
  <c r="CH186" i="27"/>
  <c r="M186" i="27" s="1"/>
  <c r="CH184" i="27"/>
  <c r="M184" i="27" s="1"/>
  <c r="CH183" i="27"/>
  <c r="M183" i="27" s="1"/>
  <c r="CH191" i="27"/>
  <c r="M191" i="27" s="1"/>
  <c r="CH182" i="27"/>
  <c r="M182" i="27" s="1"/>
  <c r="CH180" i="27"/>
  <c r="M180" i="27" s="1"/>
  <c r="CH178" i="27"/>
  <c r="M178" i="27" s="1"/>
  <c r="CH176" i="27"/>
  <c r="M176" i="27" s="1"/>
  <c r="CH174" i="27"/>
  <c r="M174" i="27" s="1"/>
  <c r="CH172" i="27"/>
  <c r="M172" i="27" s="1"/>
  <c r="CH170" i="27"/>
  <c r="M170" i="27" s="1"/>
  <c r="CH168" i="27"/>
  <c r="M168" i="27" s="1"/>
  <c r="CH189" i="27"/>
  <c r="M189" i="27" s="1"/>
  <c r="CH185" i="27"/>
  <c r="M185" i="27" s="1"/>
  <c r="CH187" i="27"/>
  <c r="M187" i="27" s="1"/>
  <c r="CH181" i="27"/>
  <c r="M181" i="27" s="1"/>
  <c r="CH179" i="27"/>
  <c r="M179" i="27" s="1"/>
  <c r="CH177" i="27"/>
  <c r="M177" i="27" s="1"/>
  <c r="CH175" i="27"/>
  <c r="M175" i="27" s="1"/>
  <c r="CH173" i="27"/>
  <c r="M173" i="27" s="1"/>
  <c r="CH171" i="27"/>
  <c r="M171" i="27" s="1"/>
  <c r="CH169" i="27"/>
  <c r="M169" i="27" s="1"/>
  <c r="CH167" i="27"/>
  <c r="M167" i="27" s="1"/>
  <c r="CH165" i="27"/>
  <c r="M165" i="27" s="1"/>
  <c r="CH163" i="27"/>
  <c r="M163" i="27" s="1"/>
  <c r="CH161" i="27"/>
  <c r="M161" i="27" s="1"/>
  <c r="CH166" i="27"/>
  <c r="M166" i="27" s="1"/>
  <c r="CH162" i="27"/>
  <c r="M162" i="27" s="1"/>
  <c r="CH160" i="27"/>
  <c r="M160" i="27" s="1"/>
  <c r="CH158" i="27"/>
  <c r="M158" i="27" s="1"/>
  <c r="CH156" i="27"/>
  <c r="M156" i="27" s="1"/>
  <c r="CH154" i="27"/>
  <c r="M154" i="27" s="1"/>
  <c r="CH152" i="27"/>
  <c r="M152" i="27" s="1"/>
  <c r="CH150" i="27"/>
  <c r="M150" i="27" s="1"/>
  <c r="CH148" i="27"/>
  <c r="M148" i="27" s="1"/>
  <c r="CH164" i="27"/>
  <c r="M164" i="27" s="1"/>
  <c r="CH159" i="27"/>
  <c r="M159" i="27" s="1"/>
  <c r="CH157" i="27"/>
  <c r="M157" i="27" s="1"/>
  <c r="CH155" i="27"/>
  <c r="M155" i="27" s="1"/>
  <c r="CH153" i="27"/>
  <c r="M153" i="27" s="1"/>
  <c r="CH151" i="27"/>
  <c r="M151" i="27" s="1"/>
  <c r="CH149" i="27"/>
  <c r="M149" i="27" s="1"/>
  <c r="CH147" i="27"/>
  <c r="M147" i="27" s="1"/>
  <c r="CH145" i="27"/>
  <c r="M145" i="27" s="1"/>
  <c r="CH143" i="27"/>
  <c r="M143" i="27" s="1"/>
  <c r="CH141" i="27"/>
  <c r="M141" i="27" s="1"/>
  <c r="CH139" i="27"/>
  <c r="M139" i="27" s="1"/>
  <c r="CH144" i="27"/>
  <c r="M144" i="27" s="1"/>
  <c r="CH140" i="27"/>
  <c r="M140" i="27" s="1"/>
  <c r="CH142" i="27"/>
  <c r="M142" i="27" s="1"/>
  <c r="CH137" i="27"/>
  <c r="M137" i="27" s="1"/>
  <c r="CH135" i="27"/>
  <c r="M135" i="27" s="1"/>
  <c r="CH133" i="27"/>
  <c r="M133" i="27" s="1"/>
  <c r="CH131" i="27"/>
  <c r="M131" i="27" s="1"/>
  <c r="CH129" i="27"/>
  <c r="M129" i="27" s="1"/>
  <c r="CH127" i="27"/>
  <c r="M127" i="27" s="1"/>
  <c r="CH125" i="27"/>
  <c r="M125" i="27" s="1"/>
  <c r="CH123" i="27"/>
  <c r="M123" i="27" s="1"/>
  <c r="CH121" i="27"/>
  <c r="M121" i="27" s="1"/>
  <c r="CH119" i="27"/>
  <c r="M119" i="27" s="1"/>
  <c r="CH117" i="27"/>
  <c r="M117" i="27" s="1"/>
  <c r="CH115" i="27"/>
  <c r="M115" i="27" s="1"/>
  <c r="CH113" i="27"/>
  <c r="M113" i="27" s="1"/>
  <c r="CH111" i="27"/>
  <c r="M111" i="27" s="1"/>
  <c r="CH109" i="27"/>
  <c r="M109" i="27" s="1"/>
  <c r="CH107" i="27"/>
  <c r="M107" i="27" s="1"/>
  <c r="CH105" i="27"/>
  <c r="M105" i="27" s="1"/>
  <c r="CH146" i="27"/>
  <c r="M146" i="27" s="1"/>
  <c r="CH138" i="27"/>
  <c r="M138" i="27" s="1"/>
  <c r="CH136" i="27"/>
  <c r="M136" i="27" s="1"/>
  <c r="CH134" i="27"/>
  <c r="M134" i="27" s="1"/>
  <c r="CH132" i="27"/>
  <c r="M132" i="27" s="1"/>
  <c r="CH130" i="27"/>
  <c r="M130" i="27" s="1"/>
  <c r="CH128" i="27"/>
  <c r="M128" i="27" s="1"/>
  <c r="CH126" i="27"/>
  <c r="M126" i="27" s="1"/>
  <c r="CH124" i="27"/>
  <c r="M124" i="27" s="1"/>
  <c r="CH122" i="27"/>
  <c r="M122" i="27" s="1"/>
  <c r="CH120" i="27"/>
  <c r="M120" i="27" s="1"/>
  <c r="CH118" i="27"/>
  <c r="M118" i="27" s="1"/>
  <c r="CH116" i="27"/>
  <c r="M116" i="27" s="1"/>
  <c r="CH114" i="27"/>
  <c r="M114" i="27" s="1"/>
  <c r="CH112" i="27"/>
  <c r="M112" i="27" s="1"/>
  <c r="CH110" i="27"/>
  <c r="M110" i="27" s="1"/>
  <c r="CH108" i="27"/>
  <c r="M108" i="27" s="1"/>
  <c r="CH106" i="27"/>
  <c r="M106" i="27" s="1"/>
  <c r="CH104" i="27"/>
  <c r="M104" i="27" s="1"/>
  <c r="CH102" i="27"/>
  <c r="M102" i="27" s="1"/>
  <c r="CH100" i="27"/>
  <c r="M100" i="27" s="1"/>
  <c r="CH98" i="27"/>
  <c r="M98" i="27" s="1"/>
  <c r="CH96" i="27"/>
  <c r="M96" i="27" s="1"/>
  <c r="CH94" i="27"/>
  <c r="M94" i="27" s="1"/>
  <c r="CH92" i="27"/>
  <c r="M92" i="27" s="1"/>
  <c r="CH90" i="27"/>
  <c r="M90" i="27" s="1"/>
  <c r="CH88" i="27"/>
  <c r="M88" i="27" s="1"/>
  <c r="CH86" i="27"/>
  <c r="M86" i="27" s="1"/>
  <c r="CH84" i="27"/>
  <c r="M84" i="27" s="1"/>
  <c r="CH82" i="27"/>
  <c r="M82" i="27" s="1"/>
  <c r="CH80" i="27"/>
  <c r="M80" i="27" s="1"/>
  <c r="CH78" i="27"/>
  <c r="M78" i="27" s="1"/>
  <c r="CH103" i="27"/>
  <c r="M103" i="27" s="1"/>
  <c r="CH101" i="27"/>
  <c r="M101" i="27" s="1"/>
  <c r="CH99" i="27"/>
  <c r="M99" i="27" s="1"/>
  <c r="CH97" i="27"/>
  <c r="M97" i="27" s="1"/>
  <c r="CH95" i="27"/>
  <c r="M95" i="27" s="1"/>
  <c r="CH93" i="27"/>
  <c r="M93" i="27" s="1"/>
  <c r="CH91" i="27"/>
  <c r="M91" i="27" s="1"/>
  <c r="CH89" i="27"/>
  <c r="M89" i="27" s="1"/>
  <c r="CH87" i="27"/>
  <c r="M87" i="27" s="1"/>
  <c r="CH85" i="27"/>
  <c r="M85" i="27" s="1"/>
  <c r="CH83" i="27"/>
  <c r="M83" i="27" s="1"/>
  <c r="CH81" i="27"/>
  <c r="M81" i="27" s="1"/>
  <c r="CH79" i="27"/>
  <c r="M79" i="27" s="1"/>
  <c r="CH77" i="27"/>
  <c r="M77" i="27" s="1"/>
  <c r="CH75" i="27"/>
  <c r="M75" i="27" s="1"/>
  <c r="CH69" i="27"/>
  <c r="M69" i="27" s="1"/>
  <c r="CH67" i="27"/>
  <c r="M67" i="27" s="1"/>
  <c r="CH65" i="27"/>
  <c r="M65" i="27" s="1"/>
  <c r="CH63" i="27"/>
  <c r="M63" i="27" s="1"/>
  <c r="CH61" i="27"/>
  <c r="M61" i="27" s="1"/>
  <c r="CH59" i="27"/>
  <c r="M59" i="27" s="1"/>
  <c r="CH57" i="27"/>
  <c r="M57" i="27" s="1"/>
  <c r="CH74" i="27"/>
  <c r="M74" i="27" s="1"/>
  <c r="CH71" i="27"/>
  <c r="M71" i="27" s="1"/>
  <c r="CH76" i="27"/>
  <c r="M76" i="27" s="1"/>
  <c r="CH70" i="27"/>
  <c r="M70" i="27" s="1"/>
  <c r="CH68" i="27"/>
  <c r="M68" i="27" s="1"/>
  <c r="CH66" i="27"/>
  <c r="M66" i="27" s="1"/>
  <c r="CH64" i="27"/>
  <c r="M64" i="27" s="1"/>
  <c r="CH62" i="27"/>
  <c r="M62" i="27" s="1"/>
  <c r="CH60" i="27"/>
  <c r="M60" i="27" s="1"/>
  <c r="CH58" i="27"/>
  <c r="M58" i="27" s="1"/>
  <c r="CH56" i="27"/>
  <c r="M56" i="27" s="1"/>
  <c r="CH73" i="27"/>
  <c r="M73" i="27" s="1"/>
  <c r="CH72" i="27"/>
  <c r="M72" i="27" s="1"/>
  <c r="CH55" i="27"/>
  <c r="M55" i="27" s="1"/>
  <c r="CH54" i="27"/>
  <c r="M54" i="27" s="1"/>
  <c r="CH53" i="27"/>
  <c r="M53" i="27" s="1"/>
  <c r="CH52" i="27"/>
  <c r="M52" i="27" s="1"/>
  <c r="CH51" i="27"/>
  <c r="M51" i="27" s="1"/>
  <c r="CH50" i="27"/>
  <c r="M50" i="27" s="1"/>
  <c r="CH49" i="27"/>
  <c r="M49" i="27" s="1"/>
  <c r="CH48" i="27"/>
  <c r="M48" i="27" s="1"/>
  <c r="CH47" i="27"/>
  <c r="M47" i="27" s="1"/>
  <c r="CH46" i="27"/>
  <c r="M46" i="27" s="1"/>
  <c r="CH45" i="27"/>
  <c r="M45" i="27" s="1"/>
  <c r="CH44" i="27"/>
  <c r="M44" i="27" s="1"/>
  <c r="CH43" i="27"/>
  <c r="M43" i="27" s="1"/>
  <c r="CH42" i="27"/>
  <c r="M42" i="27" s="1"/>
  <c r="CH41" i="27"/>
  <c r="M41" i="27" s="1"/>
  <c r="CH40" i="27"/>
  <c r="M40" i="27" s="1"/>
  <c r="CH39" i="27"/>
  <c r="M39" i="27" s="1"/>
  <c r="CH37" i="27"/>
  <c r="M37" i="27" s="1"/>
  <c r="CH35" i="27"/>
  <c r="M35" i="27" s="1"/>
  <c r="CH33" i="27"/>
  <c r="M33" i="27" s="1"/>
  <c r="CH31" i="27"/>
  <c r="M31" i="27" s="1"/>
  <c r="CH29" i="27"/>
  <c r="M29" i="27" s="1"/>
  <c r="CH27" i="27"/>
  <c r="M27" i="27" s="1"/>
  <c r="CH25" i="27"/>
  <c r="M25" i="27" s="1"/>
  <c r="CH23" i="27"/>
  <c r="M23" i="27" s="1"/>
  <c r="CH21" i="27"/>
  <c r="M21" i="27" s="1"/>
  <c r="CH19" i="27"/>
  <c r="M19" i="27" s="1"/>
  <c r="CH17" i="27"/>
  <c r="M17" i="27" s="1"/>
  <c r="CH15" i="27"/>
  <c r="M15" i="27" s="1"/>
  <c r="CH13" i="27"/>
  <c r="M13" i="27" s="1"/>
  <c r="CH38" i="27"/>
  <c r="M38" i="27" s="1"/>
  <c r="CH36" i="27"/>
  <c r="M36" i="27" s="1"/>
  <c r="CH34" i="27"/>
  <c r="M34" i="27" s="1"/>
  <c r="CH32" i="27"/>
  <c r="M32" i="27" s="1"/>
  <c r="CH30" i="27"/>
  <c r="M30" i="27" s="1"/>
  <c r="CH28" i="27"/>
  <c r="M28" i="27" s="1"/>
  <c r="CH26" i="27"/>
  <c r="M26" i="27" s="1"/>
  <c r="CH24" i="27"/>
  <c r="M24" i="27" s="1"/>
  <c r="CH22" i="27"/>
  <c r="M22" i="27" s="1"/>
  <c r="CH20" i="27"/>
  <c r="M20" i="27" s="1"/>
  <c r="CH18" i="27"/>
  <c r="M18" i="27" s="1"/>
  <c r="CH16" i="27"/>
  <c r="M16" i="27" s="1"/>
  <c r="CH14" i="27"/>
  <c r="M14" i="27" s="1"/>
  <c r="CH12" i="27"/>
  <c r="AT63" i="27"/>
  <c r="BA63" i="27" s="1"/>
  <c r="B63" i="27" s="1"/>
  <c r="U63" i="27"/>
  <c r="AT26" i="27"/>
  <c r="BA26" i="27" s="1"/>
  <c r="B26" i="27" s="1"/>
  <c r="U26" i="27"/>
  <c r="BD213" i="27"/>
  <c r="C213" i="27" s="1"/>
  <c r="BD211" i="27"/>
  <c r="C211" i="27" s="1"/>
  <c r="BD209" i="27"/>
  <c r="C209" i="27" s="1"/>
  <c r="BD207" i="27"/>
  <c r="C207" i="27" s="1"/>
  <c r="BD210" i="27"/>
  <c r="C210" i="27" s="1"/>
  <c r="BD220" i="27"/>
  <c r="C220" i="27" s="1"/>
  <c r="BD198" i="27"/>
  <c r="C198" i="27" s="1"/>
  <c r="BD196" i="27"/>
  <c r="C196" i="27" s="1"/>
  <c r="BD194" i="27"/>
  <c r="C194" i="27" s="1"/>
  <c r="BD188" i="27"/>
  <c r="C188" i="27" s="1"/>
  <c r="BD159" i="27"/>
  <c r="C159" i="27" s="1"/>
  <c r="BD155" i="27"/>
  <c r="C155" i="27" s="1"/>
  <c r="BD153" i="27"/>
  <c r="C153" i="27" s="1"/>
  <c r="BD149" i="27"/>
  <c r="C149" i="27" s="1"/>
  <c r="BD147" i="27"/>
  <c r="C147" i="27" s="1"/>
  <c r="BD167" i="27"/>
  <c r="C167" i="27" s="1"/>
  <c r="BD139" i="27"/>
  <c r="C139" i="27" s="1"/>
  <c r="BD125" i="27"/>
  <c r="C125" i="27" s="1"/>
  <c r="BD105" i="27"/>
  <c r="C105" i="27" s="1"/>
  <c r="BD104" i="27"/>
  <c r="C104" i="27" s="1"/>
  <c r="BD88" i="27"/>
  <c r="C88" i="27" s="1"/>
  <c r="BD74" i="27"/>
  <c r="C74" i="27" s="1"/>
  <c r="BD73" i="27"/>
  <c r="C73" i="27" s="1"/>
  <c r="BD72" i="27"/>
  <c r="C72" i="27" s="1"/>
  <c r="BD63" i="27"/>
  <c r="C63" i="27" s="1"/>
  <c r="BD54" i="27"/>
  <c r="C54" i="27" s="1"/>
  <c r="BD52" i="27"/>
  <c r="C52" i="27" s="1"/>
  <c r="BD50" i="27"/>
  <c r="C50" i="27" s="1"/>
  <c r="BD48" i="27"/>
  <c r="C48" i="27" s="1"/>
  <c r="BD47" i="27"/>
  <c r="C47" i="27" s="1"/>
  <c r="BD46" i="27"/>
  <c r="C46" i="27" s="1"/>
  <c r="BD44" i="27"/>
  <c r="C44" i="27" s="1"/>
  <c r="BD42" i="27"/>
  <c r="C42" i="27" s="1"/>
  <c r="BD26" i="27"/>
  <c r="C26" i="27" s="1"/>
  <c r="BD17" i="27"/>
  <c r="C17" i="27" s="1"/>
  <c r="AT32" i="27"/>
  <c r="BA32" i="27" s="1"/>
  <c r="B32" i="27" s="1"/>
  <c r="U32" i="27"/>
  <c r="AS56" i="27"/>
  <c r="AS78" i="27"/>
  <c r="AT88" i="27"/>
  <c r="BA88" i="27" s="1"/>
  <c r="B88" i="27" s="1"/>
  <c r="U88" i="27"/>
  <c r="AT104" i="27"/>
  <c r="BA104" i="27" s="1"/>
  <c r="B104" i="27" s="1"/>
  <c r="U104" i="27"/>
  <c r="AT112" i="27"/>
  <c r="BA112" i="27" s="1"/>
  <c r="B112" i="27" s="1"/>
  <c r="U112" i="27"/>
  <c r="AT134" i="27"/>
  <c r="BG134" i="27" s="1"/>
  <c r="D134" i="27" s="1"/>
  <c r="U134" i="27"/>
  <c r="AT167" i="27"/>
  <c r="BA167" i="27" s="1"/>
  <c r="B167" i="27" s="1"/>
  <c r="AU167" i="27"/>
  <c r="U167" i="27"/>
  <c r="AT180" i="27"/>
  <c r="BA180" i="27" s="1"/>
  <c r="B180" i="27" s="1"/>
  <c r="U180" i="27"/>
  <c r="AT222" i="27"/>
  <c r="AU222" i="27" s="1"/>
  <c r="U222" i="27"/>
  <c r="AT252" i="27"/>
  <c r="BG252" i="27" s="1"/>
  <c r="D252" i="27" s="1"/>
  <c r="U252" i="27"/>
  <c r="AT23" i="27"/>
  <c r="BG23" i="27" s="1"/>
  <c r="D23" i="27" s="1"/>
  <c r="U23" i="27"/>
  <c r="AT64" i="27"/>
  <c r="BD64" i="27" s="1"/>
  <c r="C64" i="27" s="1"/>
  <c r="U64" i="27"/>
  <c r="AT86" i="27"/>
  <c r="BA86" i="27" s="1"/>
  <c r="B86" i="27" s="1"/>
  <c r="U86" i="27"/>
  <c r="AT102" i="27"/>
  <c r="AU102" i="27" s="1"/>
  <c r="U102" i="27"/>
  <c r="AS81" i="27"/>
  <c r="AT136" i="27"/>
  <c r="BA136" i="27" s="1"/>
  <c r="B136" i="27" s="1"/>
  <c r="U136" i="27"/>
  <c r="AT117" i="27"/>
  <c r="BG117" i="27" s="1"/>
  <c r="D117" i="27" s="1"/>
  <c r="U117" i="27"/>
  <c r="AT150" i="27"/>
  <c r="BA150" i="27" s="1"/>
  <c r="B150" i="27" s="1"/>
  <c r="U150" i="27"/>
  <c r="AT152" i="27"/>
  <c r="BG152" i="27" s="1"/>
  <c r="D152" i="27" s="1"/>
  <c r="U152" i="27"/>
  <c r="AT188" i="27"/>
  <c r="AU188" i="27" s="1"/>
  <c r="U188" i="27"/>
  <c r="AT197" i="27"/>
  <c r="BA197" i="27" s="1"/>
  <c r="B197" i="27" s="1"/>
  <c r="U197" i="27"/>
  <c r="AS187" i="27"/>
  <c r="AS200" i="27"/>
  <c r="AT210" i="27"/>
  <c r="BG210" i="27" s="1"/>
  <c r="D210" i="27" s="1"/>
  <c r="U210" i="27"/>
  <c r="AS202" i="27"/>
  <c r="AT217" i="27"/>
  <c r="BA217" i="27" s="1"/>
  <c r="B217" i="27" s="1"/>
  <c r="U217" i="27"/>
  <c r="AS221" i="27"/>
  <c r="AT239" i="27"/>
  <c r="BG239" i="27" s="1"/>
  <c r="D239" i="27" s="1"/>
  <c r="U239" i="27"/>
  <c r="AT236" i="27"/>
  <c r="BG236" i="27" s="1"/>
  <c r="D236" i="27" s="1"/>
  <c r="AU236" i="27"/>
  <c r="U236" i="27"/>
  <c r="AS242" i="27"/>
  <c r="AS244" i="27"/>
  <c r="AT22" i="27"/>
  <c r="AU22" i="27" s="1"/>
  <c r="U22" i="27"/>
  <c r="AT20" i="27"/>
  <c r="BG20" i="27" s="1"/>
  <c r="D20" i="27" s="1"/>
  <c r="U20" i="27"/>
  <c r="AT45" i="27"/>
  <c r="BA45" i="27" s="1"/>
  <c r="B45" i="27" s="1"/>
  <c r="U45" i="27"/>
  <c r="AT53" i="27"/>
  <c r="BA53" i="27" s="1"/>
  <c r="B53" i="27" s="1"/>
  <c r="U53" i="27"/>
  <c r="AT66" i="27"/>
  <c r="BA66" i="27" s="1"/>
  <c r="B66" i="27" s="1"/>
  <c r="U66" i="27"/>
  <c r="AT89" i="27"/>
  <c r="BD89" i="27" s="1"/>
  <c r="C89" i="27" s="1"/>
  <c r="U89" i="27"/>
  <c r="AT116" i="27"/>
  <c r="BD116" i="27" s="1"/>
  <c r="C116" i="27" s="1"/>
  <c r="U116" i="27"/>
  <c r="AT154" i="27"/>
  <c r="AU154" i="27" s="1"/>
  <c r="U154" i="27"/>
  <c r="AS166" i="27"/>
  <c r="AT176" i="27"/>
  <c r="BG176" i="27" s="1"/>
  <c r="D176" i="27" s="1"/>
  <c r="U176" i="27"/>
  <c r="U160" i="27"/>
  <c r="AT160" i="27"/>
  <c r="BG160" i="27" s="1"/>
  <c r="D160" i="27" s="1"/>
  <c r="AS204" i="27"/>
  <c r="AS219" i="27"/>
  <c r="AT232" i="27"/>
  <c r="BA232" i="27" s="1"/>
  <c r="B232" i="27" s="1"/>
  <c r="U232" i="27"/>
  <c r="AS257" i="27"/>
  <c r="AT15" i="27"/>
  <c r="BG15" i="27" s="1"/>
  <c r="D15" i="27" s="1"/>
  <c r="U15" i="27"/>
  <c r="AW9" i="27"/>
  <c r="AT61" i="27"/>
  <c r="BA61" i="27" s="1"/>
  <c r="B61" i="27" s="1"/>
  <c r="U61" i="27"/>
  <c r="AT87" i="27"/>
  <c r="BG87" i="27" s="1"/>
  <c r="D87" i="27" s="1"/>
  <c r="U87" i="27"/>
  <c r="AT103" i="27"/>
  <c r="BG103" i="27" s="1"/>
  <c r="D103" i="27" s="1"/>
  <c r="U103" i="27"/>
  <c r="AU125" i="27"/>
  <c r="AT125" i="27"/>
  <c r="BG125" i="27" s="1"/>
  <c r="D125" i="27" s="1"/>
  <c r="U125" i="27"/>
  <c r="AT123" i="27"/>
  <c r="BA123" i="27" s="1"/>
  <c r="B123" i="27" s="1"/>
  <c r="U123" i="27"/>
  <c r="AT193" i="27"/>
  <c r="BA193" i="27" s="1"/>
  <c r="B193" i="27" s="1"/>
  <c r="U193" i="27"/>
  <c r="AT171" i="27"/>
  <c r="BG171" i="27" s="1"/>
  <c r="D171" i="27" s="1"/>
  <c r="U171" i="27"/>
  <c r="AT179" i="27"/>
  <c r="BG179" i="27" s="1"/>
  <c r="D179" i="27" s="1"/>
  <c r="U179" i="27"/>
  <c r="AT203" i="27"/>
  <c r="BA203" i="27" s="1"/>
  <c r="B203" i="27" s="1"/>
  <c r="AU203" i="27"/>
  <c r="U203" i="27"/>
  <c r="AT227" i="27"/>
  <c r="BG227" i="27" s="1"/>
  <c r="D227" i="27" s="1"/>
  <c r="U227" i="27"/>
  <c r="AS247" i="27"/>
  <c r="AT253" i="27"/>
  <c r="BA253" i="27" s="1"/>
  <c r="B253" i="27" s="1"/>
  <c r="U253" i="27"/>
  <c r="CK261" i="27"/>
  <c r="N261" i="27" s="1"/>
  <c r="CK259" i="27"/>
  <c r="N259" i="27" s="1"/>
  <c r="CK262" i="27"/>
  <c r="N262" i="27" s="1"/>
  <c r="CK260" i="27"/>
  <c r="N260" i="27" s="1"/>
  <c r="CK258" i="27"/>
  <c r="N258" i="27" s="1"/>
  <c r="CK256" i="27"/>
  <c r="N256" i="27" s="1"/>
  <c r="CK254" i="27"/>
  <c r="N254" i="27" s="1"/>
  <c r="CK253" i="27"/>
  <c r="N253" i="27" s="1"/>
  <c r="CK257" i="27"/>
  <c r="N257" i="27" s="1"/>
  <c r="CK255" i="27"/>
  <c r="N255" i="27" s="1"/>
  <c r="CK250" i="27"/>
  <c r="N250" i="27" s="1"/>
  <c r="CK248" i="27"/>
  <c r="N248" i="27" s="1"/>
  <c r="CK246" i="27"/>
  <c r="N246" i="27" s="1"/>
  <c r="CK252" i="27"/>
  <c r="N252" i="27" s="1"/>
  <c r="CK251" i="27"/>
  <c r="N251" i="27" s="1"/>
  <c r="CK249" i="27"/>
  <c r="N249" i="27" s="1"/>
  <c r="CK245" i="27"/>
  <c r="N245" i="27" s="1"/>
  <c r="CK247" i="27"/>
  <c r="N247" i="27" s="1"/>
  <c r="CK243" i="27"/>
  <c r="N243" i="27" s="1"/>
  <c r="CK241" i="27"/>
  <c r="N241" i="27" s="1"/>
  <c r="CK239" i="27"/>
  <c r="N239" i="27" s="1"/>
  <c r="CK237" i="27"/>
  <c r="N237" i="27" s="1"/>
  <c r="CK244" i="27"/>
  <c r="N244" i="27" s="1"/>
  <c r="CK240" i="27"/>
  <c r="N240" i="27" s="1"/>
  <c r="CK238" i="27"/>
  <c r="N238" i="27" s="1"/>
  <c r="CK236" i="27"/>
  <c r="N236" i="27" s="1"/>
  <c r="CK242" i="27"/>
  <c r="N242" i="27" s="1"/>
  <c r="CK232" i="27"/>
  <c r="N232" i="27" s="1"/>
  <c r="CK230" i="27"/>
  <c r="N230" i="27" s="1"/>
  <c r="CK228" i="27"/>
  <c r="N228" i="27" s="1"/>
  <c r="CK234" i="27"/>
  <c r="N234" i="27" s="1"/>
  <c r="CK235" i="27"/>
  <c r="N235" i="27" s="1"/>
  <c r="CK233" i="27"/>
  <c r="N233" i="27" s="1"/>
  <c r="CK231" i="27"/>
  <c r="N231" i="27" s="1"/>
  <c r="CK229" i="27"/>
  <c r="N229" i="27" s="1"/>
  <c r="CK227" i="27"/>
  <c r="N227" i="27" s="1"/>
  <c r="CK226" i="27"/>
  <c r="N226" i="27" s="1"/>
  <c r="CK223" i="27"/>
  <c r="N223" i="27" s="1"/>
  <c r="CK221" i="27"/>
  <c r="N221" i="27" s="1"/>
  <c r="CK219" i="27"/>
  <c r="N219" i="27" s="1"/>
  <c r="CK217" i="27"/>
  <c r="N217" i="27" s="1"/>
  <c r="CK225" i="27"/>
  <c r="N225" i="27" s="1"/>
  <c r="CK224" i="27"/>
  <c r="N224" i="27" s="1"/>
  <c r="CK222" i="27"/>
  <c r="N222" i="27" s="1"/>
  <c r="CK218" i="27"/>
  <c r="N218" i="27" s="1"/>
  <c r="CK220" i="27"/>
  <c r="N220" i="27" s="1"/>
  <c r="CK214" i="27"/>
  <c r="N214" i="27" s="1"/>
  <c r="CK212" i="27"/>
  <c r="N212" i="27" s="1"/>
  <c r="CK210" i="27"/>
  <c r="N210" i="27" s="1"/>
  <c r="CK208" i="27"/>
  <c r="N208" i="27" s="1"/>
  <c r="CK206" i="27"/>
  <c r="N206" i="27" s="1"/>
  <c r="CK216" i="27"/>
  <c r="N216" i="27" s="1"/>
  <c r="CK215" i="27"/>
  <c r="N215" i="27" s="1"/>
  <c r="CK213" i="27"/>
  <c r="N213" i="27" s="1"/>
  <c r="CK211" i="27"/>
  <c r="N211" i="27" s="1"/>
  <c r="CK209" i="27"/>
  <c r="N209" i="27" s="1"/>
  <c r="CK207" i="27"/>
  <c r="N207" i="27" s="1"/>
  <c r="CK205" i="27"/>
  <c r="N205" i="27" s="1"/>
  <c r="CK203" i="27"/>
  <c r="N203" i="27" s="1"/>
  <c r="CK201" i="27"/>
  <c r="N201" i="27" s="1"/>
  <c r="CK200" i="27"/>
  <c r="N200" i="27" s="1"/>
  <c r="CK198" i="27"/>
  <c r="N198" i="27" s="1"/>
  <c r="CK196" i="27"/>
  <c r="N196" i="27" s="1"/>
  <c r="CK194" i="27"/>
  <c r="N194" i="27" s="1"/>
  <c r="CK192" i="27"/>
  <c r="N192" i="27" s="1"/>
  <c r="CK190" i="27"/>
  <c r="N190" i="27" s="1"/>
  <c r="CK188" i="27"/>
  <c r="N188" i="27" s="1"/>
  <c r="CK186" i="27"/>
  <c r="N186" i="27" s="1"/>
  <c r="CK184" i="27"/>
  <c r="N184" i="27" s="1"/>
  <c r="CK202" i="27"/>
  <c r="N202" i="27" s="1"/>
  <c r="CK199" i="27"/>
  <c r="N199" i="27" s="1"/>
  <c r="CK197" i="27"/>
  <c r="N197" i="27" s="1"/>
  <c r="CK195" i="27"/>
  <c r="N195" i="27" s="1"/>
  <c r="CK193" i="27"/>
  <c r="N193" i="27" s="1"/>
  <c r="CK191" i="27"/>
  <c r="N191" i="27" s="1"/>
  <c r="CK189" i="27"/>
  <c r="N189" i="27" s="1"/>
  <c r="CK204" i="27"/>
  <c r="N204" i="27" s="1"/>
  <c r="CK185" i="27"/>
  <c r="N185" i="27" s="1"/>
  <c r="CK181" i="27"/>
  <c r="N181" i="27" s="1"/>
  <c r="CK179" i="27"/>
  <c r="N179" i="27" s="1"/>
  <c r="CK177" i="27"/>
  <c r="N177" i="27" s="1"/>
  <c r="CK175" i="27"/>
  <c r="N175" i="27" s="1"/>
  <c r="CK173" i="27"/>
  <c r="N173" i="27" s="1"/>
  <c r="CK171" i="27"/>
  <c r="N171" i="27" s="1"/>
  <c r="CK169" i="27"/>
  <c r="N169" i="27" s="1"/>
  <c r="CK167" i="27"/>
  <c r="N167" i="27" s="1"/>
  <c r="CK165" i="27"/>
  <c r="N165" i="27" s="1"/>
  <c r="CK187" i="27"/>
  <c r="N187" i="27" s="1"/>
  <c r="CK183" i="27"/>
  <c r="N183" i="27" s="1"/>
  <c r="CK182" i="27"/>
  <c r="N182" i="27" s="1"/>
  <c r="CK180" i="27"/>
  <c r="N180" i="27" s="1"/>
  <c r="CK178" i="27"/>
  <c r="N178" i="27" s="1"/>
  <c r="CK176" i="27"/>
  <c r="N176" i="27" s="1"/>
  <c r="CK174" i="27"/>
  <c r="N174" i="27" s="1"/>
  <c r="CK172" i="27"/>
  <c r="N172" i="27" s="1"/>
  <c r="CK170" i="27"/>
  <c r="N170" i="27" s="1"/>
  <c r="CK168" i="27"/>
  <c r="N168" i="27" s="1"/>
  <c r="CK159" i="27"/>
  <c r="N159" i="27" s="1"/>
  <c r="CK157" i="27"/>
  <c r="N157" i="27" s="1"/>
  <c r="CK155" i="27"/>
  <c r="N155" i="27" s="1"/>
  <c r="CK153" i="27"/>
  <c r="N153" i="27" s="1"/>
  <c r="CK151" i="27"/>
  <c r="N151" i="27" s="1"/>
  <c r="CK149" i="27"/>
  <c r="N149" i="27" s="1"/>
  <c r="CK147" i="27"/>
  <c r="N147" i="27" s="1"/>
  <c r="CK145" i="27"/>
  <c r="N145" i="27" s="1"/>
  <c r="CK143" i="27"/>
  <c r="N143" i="27" s="1"/>
  <c r="CK141" i="27"/>
  <c r="N141" i="27" s="1"/>
  <c r="CK164" i="27"/>
  <c r="N164" i="27" s="1"/>
  <c r="CK166" i="27"/>
  <c r="N166" i="27" s="1"/>
  <c r="CK163" i="27"/>
  <c r="N163" i="27" s="1"/>
  <c r="CK162" i="27"/>
  <c r="N162" i="27" s="1"/>
  <c r="CK158" i="27"/>
  <c r="N158" i="27" s="1"/>
  <c r="CK156" i="27"/>
  <c r="N156" i="27" s="1"/>
  <c r="CK154" i="27"/>
  <c r="N154" i="27" s="1"/>
  <c r="CK152" i="27"/>
  <c r="N152" i="27" s="1"/>
  <c r="CK150" i="27"/>
  <c r="N150" i="27" s="1"/>
  <c r="CK148" i="27"/>
  <c r="N148" i="27" s="1"/>
  <c r="CK146" i="27"/>
  <c r="N146" i="27" s="1"/>
  <c r="CK144" i="27"/>
  <c r="N144" i="27" s="1"/>
  <c r="CK161" i="27"/>
  <c r="N161" i="27" s="1"/>
  <c r="CK160" i="27"/>
  <c r="N160" i="27" s="1"/>
  <c r="CK136" i="27"/>
  <c r="N136" i="27" s="1"/>
  <c r="CK134" i="27"/>
  <c r="N134" i="27" s="1"/>
  <c r="CK132" i="27"/>
  <c r="N132" i="27" s="1"/>
  <c r="CK130" i="27"/>
  <c r="N130" i="27" s="1"/>
  <c r="CK128" i="27"/>
  <c r="N128" i="27" s="1"/>
  <c r="CK126" i="27"/>
  <c r="N126" i="27" s="1"/>
  <c r="CK124" i="27"/>
  <c r="N124" i="27" s="1"/>
  <c r="CK122" i="27"/>
  <c r="N122" i="27" s="1"/>
  <c r="CK120" i="27"/>
  <c r="N120" i="27" s="1"/>
  <c r="CK118" i="27"/>
  <c r="N118" i="27" s="1"/>
  <c r="CK116" i="27"/>
  <c r="N116" i="27" s="1"/>
  <c r="CK114" i="27"/>
  <c r="N114" i="27" s="1"/>
  <c r="CK112" i="27"/>
  <c r="N112" i="27" s="1"/>
  <c r="CK110" i="27"/>
  <c r="N110" i="27" s="1"/>
  <c r="CK108" i="27"/>
  <c r="N108" i="27" s="1"/>
  <c r="CK106" i="27"/>
  <c r="N106" i="27" s="1"/>
  <c r="CK139" i="27"/>
  <c r="N139" i="27" s="1"/>
  <c r="CK138" i="27"/>
  <c r="N138" i="27" s="1"/>
  <c r="CK140" i="27"/>
  <c r="N140" i="27" s="1"/>
  <c r="CK137" i="27"/>
  <c r="N137" i="27" s="1"/>
  <c r="CK135" i="27"/>
  <c r="N135" i="27" s="1"/>
  <c r="CK133" i="27"/>
  <c r="N133" i="27" s="1"/>
  <c r="CK131" i="27"/>
  <c r="N131" i="27" s="1"/>
  <c r="CK129" i="27"/>
  <c r="N129" i="27" s="1"/>
  <c r="CK127" i="27"/>
  <c r="N127" i="27" s="1"/>
  <c r="CK125" i="27"/>
  <c r="N125" i="27" s="1"/>
  <c r="CK123" i="27"/>
  <c r="N123" i="27" s="1"/>
  <c r="CK121" i="27"/>
  <c r="N121" i="27" s="1"/>
  <c r="CK119" i="27"/>
  <c r="N119" i="27" s="1"/>
  <c r="CK117" i="27"/>
  <c r="N117" i="27" s="1"/>
  <c r="CK142" i="27"/>
  <c r="N142" i="27" s="1"/>
  <c r="CK115" i="27"/>
  <c r="N115" i="27" s="1"/>
  <c r="CK113" i="27"/>
  <c r="N113" i="27" s="1"/>
  <c r="CK111" i="27"/>
  <c r="N111" i="27" s="1"/>
  <c r="CK109" i="27"/>
  <c r="N109" i="27" s="1"/>
  <c r="CK107" i="27"/>
  <c r="N107" i="27" s="1"/>
  <c r="CK105" i="27"/>
  <c r="N105" i="27" s="1"/>
  <c r="CK103" i="27"/>
  <c r="N103" i="27" s="1"/>
  <c r="CK101" i="27"/>
  <c r="N101" i="27" s="1"/>
  <c r="CK99" i="27"/>
  <c r="N99" i="27" s="1"/>
  <c r="CK97" i="27"/>
  <c r="N97" i="27" s="1"/>
  <c r="CK95" i="27"/>
  <c r="N95" i="27" s="1"/>
  <c r="CK93" i="27"/>
  <c r="N93" i="27" s="1"/>
  <c r="CK91" i="27"/>
  <c r="N91" i="27" s="1"/>
  <c r="CK89" i="27"/>
  <c r="N89" i="27" s="1"/>
  <c r="CK87" i="27"/>
  <c r="N87" i="27" s="1"/>
  <c r="CK85" i="27"/>
  <c r="N85" i="27" s="1"/>
  <c r="CK83" i="27"/>
  <c r="N83" i="27" s="1"/>
  <c r="CK81" i="27"/>
  <c r="N81" i="27" s="1"/>
  <c r="CK79" i="27"/>
  <c r="N79" i="27" s="1"/>
  <c r="CK77" i="27"/>
  <c r="N77" i="27" s="1"/>
  <c r="CK75" i="27"/>
  <c r="N75" i="27" s="1"/>
  <c r="CK73" i="27"/>
  <c r="N73" i="27" s="1"/>
  <c r="CK71" i="27"/>
  <c r="N71" i="27" s="1"/>
  <c r="CK104" i="27"/>
  <c r="N104" i="27" s="1"/>
  <c r="CK102" i="27"/>
  <c r="N102" i="27" s="1"/>
  <c r="CK100" i="27"/>
  <c r="N100" i="27" s="1"/>
  <c r="CK98" i="27"/>
  <c r="N98" i="27" s="1"/>
  <c r="CK96" i="27"/>
  <c r="N96" i="27" s="1"/>
  <c r="CK94" i="27"/>
  <c r="N94" i="27" s="1"/>
  <c r="CK92" i="27"/>
  <c r="N92" i="27" s="1"/>
  <c r="CK90" i="27"/>
  <c r="N90" i="27" s="1"/>
  <c r="CK88" i="27"/>
  <c r="N88" i="27" s="1"/>
  <c r="CK86" i="27"/>
  <c r="N86" i="27" s="1"/>
  <c r="CK76" i="27"/>
  <c r="N76" i="27" s="1"/>
  <c r="CK72" i="27"/>
  <c r="N72" i="27" s="1"/>
  <c r="CK69" i="27"/>
  <c r="N69" i="27" s="1"/>
  <c r="CK67" i="27"/>
  <c r="N67" i="27" s="1"/>
  <c r="CK65" i="27"/>
  <c r="N65" i="27" s="1"/>
  <c r="CK63" i="27"/>
  <c r="N63" i="27" s="1"/>
  <c r="CK61" i="27"/>
  <c r="N61" i="27" s="1"/>
  <c r="CK59" i="27"/>
  <c r="N59" i="27" s="1"/>
  <c r="CK57" i="27"/>
  <c r="N57" i="27" s="1"/>
  <c r="CK55" i="27"/>
  <c r="N55" i="27" s="1"/>
  <c r="CK53" i="27"/>
  <c r="N53" i="27" s="1"/>
  <c r="CK51" i="27"/>
  <c r="N51" i="27" s="1"/>
  <c r="CK49" i="27"/>
  <c r="N49" i="27" s="1"/>
  <c r="CK47" i="27"/>
  <c r="N47" i="27" s="1"/>
  <c r="CK45" i="27"/>
  <c r="N45" i="27" s="1"/>
  <c r="CK43" i="27"/>
  <c r="N43" i="27" s="1"/>
  <c r="CK41" i="27"/>
  <c r="N41" i="27" s="1"/>
  <c r="CK84" i="27"/>
  <c r="N84" i="27" s="1"/>
  <c r="CK82" i="27"/>
  <c r="N82" i="27" s="1"/>
  <c r="CK80" i="27"/>
  <c r="N80" i="27" s="1"/>
  <c r="CK78" i="27"/>
  <c r="N78" i="27" s="1"/>
  <c r="CK74" i="27"/>
  <c r="N74" i="27" s="1"/>
  <c r="CK70" i="27"/>
  <c r="N70" i="27" s="1"/>
  <c r="CK68" i="27"/>
  <c r="N68" i="27" s="1"/>
  <c r="CK66" i="27"/>
  <c r="N66" i="27" s="1"/>
  <c r="CK64" i="27"/>
  <c r="N64" i="27" s="1"/>
  <c r="CK62" i="27"/>
  <c r="N62" i="27" s="1"/>
  <c r="CK60" i="27"/>
  <c r="N60" i="27" s="1"/>
  <c r="CK58" i="27"/>
  <c r="N58" i="27" s="1"/>
  <c r="CK56" i="27"/>
  <c r="N56" i="27" s="1"/>
  <c r="CK54" i="27"/>
  <c r="N54" i="27" s="1"/>
  <c r="CK52" i="27"/>
  <c r="N52" i="27" s="1"/>
  <c r="CK50" i="27"/>
  <c r="N50" i="27" s="1"/>
  <c r="CK48" i="27"/>
  <c r="N48" i="27" s="1"/>
  <c r="CK46" i="27"/>
  <c r="N46" i="27" s="1"/>
  <c r="CK44" i="27"/>
  <c r="N44" i="27" s="1"/>
  <c r="CK42" i="27"/>
  <c r="N42" i="27" s="1"/>
  <c r="CK40" i="27"/>
  <c r="N40" i="27" s="1"/>
  <c r="CK38" i="27"/>
  <c r="N38" i="27" s="1"/>
  <c r="CK36" i="27"/>
  <c r="N36" i="27" s="1"/>
  <c r="CK34" i="27"/>
  <c r="N34" i="27" s="1"/>
  <c r="CK32" i="27"/>
  <c r="N32" i="27" s="1"/>
  <c r="CK30" i="27"/>
  <c r="N30" i="27" s="1"/>
  <c r="CK28" i="27"/>
  <c r="N28" i="27" s="1"/>
  <c r="CK26" i="27"/>
  <c r="N26" i="27" s="1"/>
  <c r="CK24" i="27"/>
  <c r="N24" i="27" s="1"/>
  <c r="CK22" i="27"/>
  <c r="N22" i="27" s="1"/>
  <c r="CK20" i="27"/>
  <c r="N20" i="27" s="1"/>
  <c r="CK18" i="27"/>
  <c r="N18" i="27" s="1"/>
  <c r="CK16" i="27"/>
  <c r="N16" i="27" s="1"/>
  <c r="CK14" i="27"/>
  <c r="N14" i="27" s="1"/>
  <c r="CK12" i="27"/>
  <c r="CK21" i="27"/>
  <c r="N21" i="27" s="1"/>
  <c r="CK17" i="27"/>
  <c r="N17" i="27" s="1"/>
  <c r="CK13" i="27"/>
  <c r="N13" i="27" s="1"/>
  <c r="CK39" i="27"/>
  <c r="N39" i="27" s="1"/>
  <c r="CK37" i="27"/>
  <c r="N37" i="27" s="1"/>
  <c r="CK35" i="27"/>
  <c r="N35" i="27" s="1"/>
  <c r="CK33" i="27"/>
  <c r="N33" i="27" s="1"/>
  <c r="CK31" i="27"/>
  <c r="N31" i="27" s="1"/>
  <c r="CK29" i="27"/>
  <c r="N29" i="27" s="1"/>
  <c r="CK27" i="27"/>
  <c r="N27" i="27" s="1"/>
  <c r="CK25" i="27"/>
  <c r="N25" i="27" s="1"/>
  <c r="CK23" i="27"/>
  <c r="N23" i="27" s="1"/>
  <c r="CK19" i="27"/>
  <c r="N19" i="27" s="1"/>
  <c r="CK15" i="27"/>
  <c r="N15" i="27" s="1"/>
  <c r="AT14" i="27"/>
  <c r="BD14" i="27" s="1"/>
  <c r="C14" i="27" s="1"/>
  <c r="U14" i="27"/>
  <c r="AT34" i="27"/>
  <c r="BA34" i="27" s="1"/>
  <c r="B34" i="27" s="1"/>
  <c r="U34" i="27"/>
  <c r="BS262" i="27"/>
  <c r="H262" i="27" s="1"/>
  <c r="BS260" i="27"/>
  <c r="H260" i="27" s="1"/>
  <c r="BS261" i="27"/>
  <c r="H261" i="27" s="1"/>
  <c r="BS258" i="27"/>
  <c r="H258" i="27" s="1"/>
  <c r="BS259" i="27"/>
  <c r="H259" i="27" s="1"/>
  <c r="BS257" i="27"/>
  <c r="H257" i="27" s="1"/>
  <c r="BS255" i="27"/>
  <c r="H255" i="27" s="1"/>
  <c r="BS252" i="27"/>
  <c r="H252" i="27" s="1"/>
  <c r="BS254" i="27"/>
  <c r="H254" i="27" s="1"/>
  <c r="BS253" i="27"/>
  <c r="H253" i="27" s="1"/>
  <c r="BS251" i="27"/>
  <c r="H251" i="27" s="1"/>
  <c r="BS249" i="27"/>
  <c r="H249" i="27" s="1"/>
  <c r="BS247" i="27"/>
  <c r="H247" i="27" s="1"/>
  <c r="BS256" i="27"/>
  <c r="H256" i="27" s="1"/>
  <c r="BS250" i="27"/>
  <c r="H250" i="27" s="1"/>
  <c r="BS248" i="27"/>
  <c r="H248" i="27" s="1"/>
  <c r="BS244" i="27"/>
  <c r="H244" i="27" s="1"/>
  <c r="BS246" i="27"/>
  <c r="H246" i="27" s="1"/>
  <c r="BS243" i="27"/>
  <c r="H243" i="27" s="1"/>
  <c r="BS240" i="27"/>
  <c r="H240" i="27" s="1"/>
  <c r="BS238" i="27"/>
  <c r="H238" i="27" s="1"/>
  <c r="BS245" i="27"/>
  <c r="H245" i="27" s="1"/>
  <c r="BS242" i="27"/>
  <c r="H242" i="27" s="1"/>
  <c r="BS241" i="27"/>
  <c r="H241" i="27" s="1"/>
  <c r="BS239" i="27"/>
  <c r="H239" i="27" s="1"/>
  <c r="BS237" i="27"/>
  <c r="H237" i="27" s="1"/>
  <c r="BS235" i="27"/>
  <c r="H235" i="27" s="1"/>
  <c r="BS234" i="27"/>
  <c r="H234" i="27" s="1"/>
  <c r="BS233" i="27"/>
  <c r="H233" i="27" s="1"/>
  <c r="BS231" i="27"/>
  <c r="H231" i="27" s="1"/>
  <c r="BS229" i="27"/>
  <c r="H229" i="27" s="1"/>
  <c r="BS236" i="27"/>
  <c r="H236" i="27" s="1"/>
  <c r="BS232" i="27"/>
  <c r="H232" i="27" s="1"/>
  <c r="BS230" i="27"/>
  <c r="H230" i="27" s="1"/>
  <c r="BS228" i="27"/>
  <c r="H228" i="27" s="1"/>
  <c r="BS226" i="27"/>
  <c r="H226" i="27" s="1"/>
  <c r="BS227" i="27"/>
  <c r="H227" i="27" s="1"/>
  <c r="BS224" i="27"/>
  <c r="H224" i="27" s="1"/>
  <c r="BS222" i="27"/>
  <c r="H222" i="27" s="1"/>
  <c r="BS220" i="27"/>
  <c r="H220" i="27" s="1"/>
  <c r="BS218" i="27"/>
  <c r="H218" i="27" s="1"/>
  <c r="BS225" i="27"/>
  <c r="H225" i="27" s="1"/>
  <c r="BS223" i="27"/>
  <c r="H223" i="27" s="1"/>
  <c r="BS221" i="27"/>
  <c r="H221" i="27" s="1"/>
  <c r="BS217" i="27"/>
  <c r="H217" i="27" s="1"/>
  <c r="BS219" i="27"/>
  <c r="H219" i="27" s="1"/>
  <c r="BS216" i="27"/>
  <c r="H216" i="27" s="1"/>
  <c r="BS215" i="27"/>
  <c r="H215" i="27" s="1"/>
  <c r="BS213" i="27"/>
  <c r="H213" i="27" s="1"/>
  <c r="BS211" i="27"/>
  <c r="H211" i="27" s="1"/>
  <c r="BS209" i="27"/>
  <c r="H209" i="27" s="1"/>
  <c r="BS207" i="27"/>
  <c r="H207" i="27" s="1"/>
  <c r="BS205" i="27"/>
  <c r="H205" i="27" s="1"/>
  <c r="BS214" i="27"/>
  <c r="H214" i="27" s="1"/>
  <c r="BS212" i="27"/>
  <c r="H212" i="27" s="1"/>
  <c r="BS210" i="27"/>
  <c r="H210" i="27" s="1"/>
  <c r="BS208" i="27"/>
  <c r="H208" i="27" s="1"/>
  <c r="BS206" i="27"/>
  <c r="H206" i="27" s="1"/>
  <c r="BS204" i="27"/>
  <c r="H204" i="27" s="1"/>
  <c r="BS202" i="27"/>
  <c r="H202" i="27" s="1"/>
  <c r="BS200" i="27"/>
  <c r="H200" i="27" s="1"/>
  <c r="BS199" i="27"/>
  <c r="H199" i="27" s="1"/>
  <c r="BS197" i="27"/>
  <c r="H197" i="27" s="1"/>
  <c r="BS195" i="27"/>
  <c r="H195" i="27" s="1"/>
  <c r="BS193" i="27"/>
  <c r="H193" i="27" s="1"/>
  <c r="BS191" i="27"/>
  <c r="H191" i="27" s="1"/>
  <c r="BS189" i="27"/>
  <c r="H189" i="27" s="1"/>
  <c r="BS187" i="27"/>
  <c r="H187" i="27" s="1"/>
  <c r="BS185" i="27"/>
  <c r="H185" i="27" s="1"/>
  <c r="BS201" i="27"/>
  <c r="H201" i="27" s="1"/>
  <c r="BS198" i="27"/>
  <c r="H198" i="27" s="1"/>
  <c r="BS196" i="27"/>
  <c r="H196" i="27" s="1"/>
  <c r="BS194" i="27"/>
  <c r="H194" i="27" s="1"/>
  <c r="BS192" i="27"/>
  <c r="H192" i="27" s="1"/>
  <c r="BS190" i="27"/>
  <c r="H190" i="27" s="1"/>
  <c r="BS188" i="27"/>
  <c r="H188" i="27" s="1"/>
  <c r="BS203" i="27"/>
  <c r="H203" i="27" s="1"/>
  <c r="BS184" i="27"/>
  <c r="H184" i="27" s="1"/>
  <c r="BS182" i="27"/>
  <c r="H182" i="27" s="1"/>
  <c r="BS180" i="27"/>
  <c r="H180" i="27" s="1"/>
  <c r="BS178" i="27"/>
  <c r="H178" i="27" s="1"/>
  <c r="BS176" i="27"/>
  <c r="H176" i="27" s="1"/>
  <c r="BS174" i="27"/>
  <c r="H174" i="27" s="1"/>
  <c r="BS172" i="27"/>
  <c r="H172" i="27" s="1"/>
  <c r="BS170" i="27"/>
  <c r="H170" i="27" s="1"/>
  <c r="BS168" i="27"/>
  <c r="H168" i="27" s="1"/>
  <c r="BS166" i="27"/>
  <c r="H166" i="27" s="1"/>
  <c r="BS164" i="27"/>
  <c r="H164" i="27" s="1"/>
  <c r="BS186" i="27"/>
  <c r="H186" i="27" s="1"/>
  <c r="BS183" i="27"/>
  <c r="H183" i="27" s="1"/>
  <c r="BS181" i="27"/>
  <c r="H181" i="27" s="1"/>
  <c r="BS179" i="27"/>
  <c r="H179" i="27" s="1"/>
  <c r="BS177" i="27"/>
  <c r="H177" i="27" s="1"/>
  <c r="BS175" i="27"/>
  <c r="H175" i="27" s="1"/>
  <c r="BS173" i="27"/>
  <c r="H173" i="27" s="1"/>
  <c r="BS171" i="27"/>
  <c r="H171" i="27" s="1"/>
  <c r="BS169" i="27"/>
  <c r="H169" i="27" s="1"/>
  <c r="BS167" i="27"/>
  <c r="H167" i="27" s="1"/>
  <c r="BS158" i="27"/>
  <c r="H158" i="27" s="1"/>
  <c r="BS156" i="27"/>
  <c r="H156" i="27" s="1"/>
  <c r="BS154" i="27"/>
  <c r="H154" i="27" s="1"/>
  <c r="BS152" i="27"/>
  <c r="H152" i="27" s="1"/>
  <c r="BS150" i="27"/>
  <c r="H150" i="27" s="1"/>
  <c r="BS148" i="27"/>
  <c r="H148" i="27" s="1"/>
  <c r="BS146" i="27"/>
  <c r="H146" i="27" s="1"/>
  <c r="BS144" i="27"/>
  <c r="H144" i="27" s="1"/>
  <c r="BS142" i="27"/>
  <c r="H142" i="27" s="1"/>
  <c r="BS140" i="27"/>
  <c r="H140" i="27" s="1"/>
  <c r="BS163" i="27"/>
  <c r="H163" i="27" s="1"/>
  <c r="BS162" i="27"/>
  <c r="H162" i="27" s="1"/>
  <c r="BS161" i="27"/>
  <c r="H161" i="27" s="1"/>
  <c r="BS160" i="27"/>
  <c r="H160" i="27" s="1"/>
  <c r="BS159" i="27"/>
  <c r="H159" i="27" s="1"/>
  <c r="BS157" i="27"/>
  <c r="H157" i="27" s="1"/>
  <c r="BS155" i="27"/>
  <c r="H155" i="27" s="1"/>
  <c r="BS153" i="27"/>
  <c r="H153" i="27" s="1"/>
  <c r="BS151" i="27"/>
  <c r="H151" i="27" s="1"/>
  <c r="BS149" i="27"/>
  <c r="H149" i="27" s="1"/>
  <c r="BS147" i="27"/>
  <c r="H147" i="27" s="1"/>
  <c r="BS145" i="27"/>
  <c r="H145" i="27" s="1"/>
  <c r="BS165" i="27"/>
  <c r="H165" i="27" s="1"/>
  <c r="BS141" i="27"/>
  <c r="H141" i="27" s="1"/>
  <c r="BS139" i="27"/>
  <c r="H139" i="27" s="1"/>
  <c r="BS138" i="27"/>
  <c r="H138" i="27" s="1"/>
  <c r="BS137" i="27"/>
  <c r="H137" i="27" s="1"/>
  <c r="BS135" i="27"/>
  <c r="H135" i="27" s="1"/>
  <c r="BS133" i="27"/>
  <c r="H133" i="27" s="1"/>
  <c r="BS131" i="27"/>
  <c r="H131" i="27" s="1"/>
  <c r="BS129" i="27"/>
  <c r="H129" i="27" s="1"/>
  <c r="BS127" i="27"/>
  <c r="H127" i="27" s="1"/>
  <c r="BS125" i="27"/>
  <c r="H125" i="27" s="1"/>
  <c r="BS123" i="27"/>
  <c r="H123" i="27" s="1"/>
  <c r="BS121" i="27"/>
  <c r="H121" i="27" s="1"/>
  <c r="BS119" i="27"/>
  <c r="H119" i="27" s="1"/>
  <c r="BS117" i="27"/>
  <c r="H117" i="27" s="1"/>
  <c r="BS115" i="27"/>
  <c r="H115" i="27" s="1"/>
  <c r="BS113" i="27"/>
  <c r="H113" i="27" s="1"/>
  <c r="BS111" i="27"/>
  <c r="H111" i="27" s="1"/>
  <c r="BS109" i="27"/>
  <c r="H109" i="27" s="1"/>
  <c r="BS107" i="27"/>
  <c r="H107" i="27" s="1"/>
  <c r="BS105" i="27"/>
  <c r="H105" i="27" s="1"/>
  <c r="BS143" i="27"/>
  <c r="H143" i="27" s="1"/>
  <c r="BS136" i="27"/>
  <c r="H136" i="27" s="1"/>
  <c r="BS134" i="27"/>
  <c r="H134" i="27" s="1"/>
  <c r="BS132" i="27"/>
  <c r="H132" i="27" s="1"/>
  <c r="BS130" i="27"/>
  <c r="H130" i="27" s="1"/>
  <c r="BS128" i="27"/>
  <c r="H128" i="27" s="1"/>
  <c r="BS126" i="27"/>
  <c r="H126" i="27" s="1"/>
  <c r="BS124" i="27"/>
  <c r="H124" i="27" s="1"/>
  <c r="BS122" i="27"/>
  <c r="H122" i="27" s="1"/>
  <c r="BS120" i="27"/>
  <c r="H120" i="27" s="1"/>
  <c r="BS118" i="27"/>
  <c r="H118" i="27" s="1"/>
  <c r="BS116" i="27"/>
  <c r="H116" i="27" s="1"/>
  <c r="BS114" i="27"/>
  <c r="H114" i="27" s="1"/>
  <c r="BS112" i="27"/>
  <c r="H112" i="27" s="1"/>
  <c r="BS110" i="27"/>
  <c r="H110" i="27" s="1"/>
  <c r="BS108" i="27"/>
  <c r="H108" i="27" s="1"/>
  <c r="BS106" i="27"/>
  <c r="H106" i="27" s="1"/>
  <c r="BS104" i="27"/>
  <c r="H104" i="27" s="1"/>
  <c r="BS102" i="27"/>
  <c r="H102" i="27" s="1"/>
  <c r="BS100" i="27"/>
  <c r="H100" i="27" s="1"/>
  <c r="BS98" i="27"/>
  <c r="H98" i="27" s="1"/>
  <c r="BS96" i="27"/>
  <c r="H96" i="27" s="1"/>
  <c r="BS94" i="27"/>
  <c r="H94" i="27" s="1"/>
  <c r="BS92" i="27"/>
  <c r="H92" i="27" s="1"/>
  <c r="BS90" i="27"/>
  <c r="H90" i="27" s="1"/>
  <c r="BS88" i="27"/>
  <c r="H88" i="27" s="1"/>
  <c r="BS86" i="27"/>
  <c r="H86" i="27" s="1"/>
  <c r="BS84" i="27"/>
  <c r="H84" i="27" s="1"/>
  <c r="BS82" i="27"/>
  <c r="H82" i="27" s="1"/>
  <c r="BS80" i="27"/>
  <c r="H80" i="27" s="1"/>
  <c r="BS78" i="27"/>
  <c r="H78" i="27" s="1"/>
  <c r="BS76" i="27"/>
  <c r="H76" i="27" s="1"/>
  <c r="BS74" i="27"/>
  <c r="H74" i="27" s="1"/>
  <c r="BS72" i="27"/>
  <c r="H72" i="27" s="1"/>
  <c r="BS103" i="27"/>
  <c r="H103" i="27" s="1"/>
  <c r="BS101" i="27"/>
  <c r="H101" i="27" s="1"/>
  <c r="BS99" i="27"/>
  <c r="H99" i="27" s="1"/>
  <c r="BS97" i="27"/>
  <c r="H97" i="27" s="1"/>
  <c r="BS95" i="27"/>
  <c r="H95" i="27" s="1"/>
  <c r="BS93" i="27"/>
  <c r="H93" i="27" s="1"/>
  <c r="BS91" i="27"/>
  <c r="H91" i="27" s="1"/>
  <c r="BS89" i="27"/>
  <c r="H89" i="27" s="1"/>
  <c r="BS87" i="27"/>
  <c r="H87" i="27" s="1"/>
  <c r="BS75" i="27"/>
  <c r="H75" i="27" s="1"/>
  <c r="BS71" i="27"/>
  <c r="H71" i="27" s="1"/>
  <c r="BS70" i="27"/>
  <c r="H70" i="27" s="1"/>
  <c r="BS68" i="27"/>
  <c r="H68" i="27" s="1"/>
  <c r="BS66" i="27"/>
  <c r="H66" i="27" s="1"/>
  <c r="BS64" i="27"/>
  <c r="H64" i="27" s="1"/>
  <c r="BS62" i="27"/>
  <c r="H62" i="27" s="1"/>
  <c r="BS60" i="27"/>
  <c r="H60" i="27" s="1"/>
  <c r="BS58" i="27"/>
  <c r="H58" i="27" s="1"/>
  <c r="BS56" i="27"/>
  <c r="H56" i="27" s="1"/>
  <c r="BS54" i="27"/>
  <c r="H54" i="27" s="1"/>
  <c r="BS52" i="27"/>
  <c r="H52" i="27" s="1"/>
  <c r="BS50" i="27"/>
  <c r="H50" i="27" s="1"/>
  <c r="BS48" i="27"/>
  <c r="H48" i="27" s="1"/>
  <c r="BS46" i="27"/>
  <c r="H46" i="27" s="1"/>
  <c r="BS44" i="27"/>
  <c r="H44" i="27" s="1"/>
  <c r="BS42" i="27"/>
  <c r="H42" i="27" s="1"/>
  <c r="BS40" i="27"/>
  <c r="H40" i="27" s="1"/>
  <c r="BS85" i="27"/>
  <c r="H85" i="27" s="1"/>
  <c r="BS83" i="27"/>
  <c r="H83" i="27" s="1"/>
  <c r="BS81" i="27"/>
  <c r="H81" i="27" s="1"/>
  <c r="BS79" i="27"/>
  <c r="H79" i="27" s="1"/>
  <c r="BS77" i="27"/>
  <c r="H77" i="27" s="1"/>
  <c r="BS73" i="27"/>
  <c r="H73" i="27" s="1"/>
  <c r="BS69" i="27"/>
  <c r="H69" i="27" s="1"/>
  <c r="BS67" i="27"/>
  <c r="H67" i="27" s="1"/>
  <c r="BS65" i="27"/>
  <c r="H65" i="27" s="1"/>
  <c r="BS63" i="27"/>
  <c r="H63" i="27" s="1"/>
  <c r="BS61" i="27"/>
  <c r="H61" i="27" s="1"/>
  <c r="BS59" i="27"/>
  <c r="H59" i="27" s="1"/>
  <c r="BS57" i="27"/>
  <c r="H57" i="27" s="1"/>
  <c r="BS55" i="27"/>
  <c r="H55" i="27" s="1"/>
  <c r="BS53" i="27"/>
  <c r="H53" i="27" s="1"/>
  <c r="BS51" i="27"/>
  <c r="H51" i="27" s="1"/>
  <c r="BS49" i="27"/>
  <c r="H49" i="27" s="1"/>
  <c r="BS47" i="27"/>
  <c r="H47" i="27" s="1"/>
  <c r="BS45" i="27"/>
  <c r="H45" i="27" s="1"/>
  <c r="BS43" i="27"/>
  <c r="H43" i="27" s="1"/>
  <c r="BS41" i="27"/>
  <c r="H41" i="27" s="1"/>
  <c r="BS39" i="27"/>
  <c r="H39" i="27" s="1"/>
  <c r="BS37" i="27"/>
  <c r="H37" i="27" s="1"/>
  <c r="BS35" i="27"/>
  <c r="H35" i="27" s="1"/>
  <c r="BS33" i="27"/>
  <c r="H33" i="27" s="1"/>
  <c r="BS31" i="27"/>
  <c r="H31" i="27" s="1"/>
  <c r="BS29" i="27"/>
  <c r="H29" i="27" s="1"/>
  <c r="BS27" i="27"/>
  <c r="H27" i="27" s="1"/>
  <c r="BS25" i="27"/>
  <c r="H25" i="27" s="1"/>
  <c r="BS23" i="27"/>
  <c r="H23" i="27" s="1"/>
  <c r="BS21" i="27"/>
  <c r="H21" i="27" s="1"/>
  <c r="BS19" i="27"/>
  <c r="H19" i="27" s="1"/>
  <c r="BS17" i="27"/>
  <c r="H17" i="27" s="1"/>
  <c r="BS15" i="27"/>
  <c r="H15" i="27" s="1"/>
  <c r="BS13" i="27"/>
  <c r="H13" i="27" s="1"/>
  <c r="BS22" i="27"/>
  <c r="H22" i="27" s="1"/>
  <c r="BS18" i="27"/>
  <c r="H18" i="27" s="1"/>
  <c r="BS16" i="27"/>
  <c r="H16" i="27" s="1"/>
  <c r="BS14" i="27"/>
  <c r="H14" i="27" s="1"/>
  <c r="BS12" i="27"/>
  <c r="BS38" i="27"/>
  <c r="H38" i="27" s="1"/>
  <c r="BS36" i="27"/>
  <c r="H36" i="27" s="1"/>
  <c r="BS34" i="27"/>
  <c r="H34" i="27" s="1"/>
  <c r="BS32" i="27"/>
  <c r="H32" i="27" s="1"/>
  <c r="BS30" i="27"/>
  <c r="H30" i="27" s="1"/>
  <c r="BS28" i="27"/>
  <c r="H28" i="27" s="1"/>
  <c r="BS26" i="27"/>
  <c r="H26" i="27" s="1"/>
  <c r="BS24" i="27"/>
  <c r="H24" i="27" s="1"/>
  <c r="BS20" i="27"/>
  <c r="H20" i="27" s="1"/>
  <c r="AT65" i="27"/>
  <c r="BA65" i="27" s="1"/>
  <c r="B65" i="27" s="1"/>
  <c r="AU65" i="27"/>
  <c r="U65" i="27"/>
  <c r="AU62" i="27"/>
  <c r="AT62" i="27"/>
  <c r="BD62" i="27" s="1"/>
  <c r="C62" i="27" s="1"/>
  <c r="U62" i="27"/>
  <c r="AS82" i="27"/>
  <c r="AU92" i="27"/>
  <c r="AT92" i="27"/>
  <c r="BD92" i="27" s="1"/>
  <c r="C92" i="27" s="1"/>
  <c r="U92" i="27"/>
  <c r="AT121" i="27"/>
  <c r="BD121" i="27" s="1"/>
  <c r="C121" i="27" s="1"/>
  <c r="U121" i="27"/>
  <c r="AT119" i="27"/>
  <c r="BG119" i="27" s="1"/>
  <c r="D119" i="27" s="1"/>
  <c r="U119" i="27"/>
  <c r="AT201" i="27"/>
  <c r="BD201" i="27" s="1"/>
  <c r="C201" i="27" s="1"/>
  <c r="U201" i="27"/>
  <c r="AT234" i="27"/>
  <c r="BG234" i="27" s="1"/>
  <c r="D234" i="27" s="1"/>
  <c r="U234" i="27"/>
  <c r="AT246" i="27"/>
  <c r="BG246" i="27" s="1"/>
  <c r="D246" i="27" s="1"/>
  <c r="AU246" i="27"/>
  <c r="U246" i="27"/>
  <c r="AS249" i="27"/>
  <c r="AT259" i="27"/>
  <c r="BA259" i="27" s="1"/>
  <c r="B259" i="27" s="1"/>
  <c r="AU259" i="27"/>
  <c r="U259" i="27"/>
  <c r="AT27" i="27"/>
  <c r="BA27" i="27" s="1"/>
  <c r="B27" i="27" s="1"/>
  <c r="U27" i="27"/>
  <c r="AT57" i="27"/>
  <c r="BA57" i="27" s="1"/>
  <c r="B57" i="27" s="1"/>
  <c r="AU57" i="27"/>
  <c r="U57" i="27"/>
  <c r="AT90" i="27"/>
  <c r="BG90" i="27" s="1"/>
  <c r="D90" i="27" s="1"/>
  <c r="U90" i="27"/>
  <c r="AT141" i="27"/>
  <c r="BG141" i="27" s="1"/>
  <c r="D141" i="27" s="1"/>
  <c r="AU141" i="27"/>
  <c r="U141" i="27"/>
  <c r="AT133" i="27"/>
  <c r="AU133" i="27" s="1"/>
  <c r="U133" i="27"/>
  <c r="AT158" i="27"/>
  <c r="BA158" i="27" s="1"/>
  <c r="B158" i="27" s="1"/>
  <c r="U158" i="27"/>
  <c r="AU164" i="27"/>
  <c r="AT164" i="27"/>
  <c r="BA164" i="27" s="1"/>
  <c r="B164" i="27" s="1"/>
  <c r="U164" i="27"/>
  <c r="AT186" i="27"/>
  <c r="BG186" i="27" s="1"/>
  <c r="D186" i="27" s="1"/>
  <c r="AU186" i="27"/>
  <c r="U186" i="27"/>
  <c r="AT206" i="27"/>
  <c r="BD206" i="27" s="1"/>
  <c r="C206" i="27" s="1"/>
  <c r="AU206" i="27"/>
  <c r="U206" i="27"/>
  <c r="AT240" i="27"/>
  <c r="BG240" i="27" s="1"/>
  <c r="D240" i="27" s="1"/>
  <c r="U240" i="27"/>
  <c r="AT238" i="27"/>
  <c r="BA238" i="27" s="1"/>
  <c r="B238" i="27" s="1"/>
  <c r="U238" i="27"/>
  <c r="AT25" i="27"/>
  <c r="BA25" i="27" s="1"/>
  <c r="B25" i="27" s="1"/>
  <c r="U25" i="27"/>
  <c r="AT30" i="27"/>
  <c r="AU30" i="27" s="1"/>
  <c r="U30" i="27"/>
  <c r="AT28" i="27"/>
  <c r="BG28" i="27" s="1"/>
  <c r="D28" i="27" s="1"/>
  <c r="U28" i="27"/>
  <c r="AU47" i="27"/>
  <c r="AT47" i="27"/>
  <c r="U47" i="27"/>
  <c r="AT69" i="27"/>
  <c r="BA69" i="27" s="1"/>
  <c r="B69" i="27" s="1"/>
  <c r="AU69" i="27"/>
  <c r="U69" i="27"/>
  <c r="AS80" i="27"/>
  <c r="AT79" i="27"/>
  <c r="BG79" i="27" s="1"/>
  <c r="D79" i="27" s="1"/>
  <c r="AU79" i="27"/>
  <c r="U79" i="27"/>
  <c r="AT93" i="27"/>
  <c r="BA93" i="27" s="1"/>
  <c r="B93" i="27" s="1"/>
  <c r="U93" i="27"/>
  <c r="AT129" i="27"/>
  <c r="BD129" i="27" s="1"/>
  <c r="C129" i="27" s="1"/>
  <c r="U129" i="27"/>
  <c r="AT161" i="27"/>
  <c r="BD161" i="27" s="1"/>
  <c r="C161" i="27" s="1"/>
  <c r="U161" i="27"/>
  <c r="AT174" i="27"/>
  <c r="BA174" i="27" s="1"/>
  <c r="B174" i="27" s="1"/>
  <c r="U174" i="27"/>
  <c r="AS189" i="27"/>
  <c r="AT225" i="27"/>
  <c r="BA225" i="27" s="1"/>
  <c r="B225" i="27" s="1"/>
  <c r="U225" i="27"/>
  <c r="AT229" i="27"/>
  <c r="AU229" i="27" s="1"/>
  <c r="U229" i="27"/>
  <c r="AS251" i="27"/>
  <c r="AT254" i="27"/>
  <c r="BA254" i="27" s="1"/>
  <c r="B254" i="27" s="1"/>
  <c r="U254" i="27"/>
  <c r="AT39" i="27"/>
  <c r="BG39" i="27" s="1"/>
  <c r="D39" i="27" s="1"/>
  <c r="U39" i="27"/>
  <c r="AU12" i="27"/>
  <c r="AT12" i="27"/>
  <c r="BD12" i="27" s="1"/>
  <c r="U12" i="27"/>
  <c r="AT36" i="27"/>
  <c r="BG36" i="27" s="1"/>
  <c r="D36" i="27" s="1"/>
  <c r="U36" i="27"/>
  <c r="AT77" i="27"/>
  <c r="BA77" i="27" s="1"/>
  <c r="B77" i="27" s="1"/>
  <c r="AU77" i="27"/>
  <c r="U77" i="27"/>
  <c r="AT91" i="27"/>
  <c r="AU91" i="27" s="1"/>
  <c r="U91" i="27"/>
  <c r="AS111" i="27"/>
  <c r="AT128" i="27"/>
  <c r="BA128" i="27" s="1"/>
  <c r="B128" i="27" s="1"/>
  <c r="U128" i="27"/>
  <c r="AT148" i="27"/>
  <c r="BA148" i="27" s="1"/>
  <c r="B148" i="27" s="1"/>
  <c r="U148" i="27"/>
  <c r="AS138" i="27"/>
  <c r="AT162" i="27"/>
  <c r="BD162" i="27" s="1"/>
  <c r="C162" i="27" s="1"/>
  <c r="U162" i="27"/>
  <c r="AT199" i="27"/>
  <c r="BA199" i="27" s="1"/>
  <c r="B199" i="27" s="1"/>
  <c r="U199" i="27"/>
  <c r="AT173" i="27"/>
  <c r="AU173" i="27" s="1"/>
  <c r="U173" i="27"/>
  <c r="AT181" i="27"/>
  <c r="AU181" i="27" s="1"/>
  <c r="U181" i="27"/>
  <c r="AT216" i="27"/>
  <c r="BA216" i="27" s="1"/>
  <c r="B216" i="27" s="1"/>
  <c r="AU216" i="27"/>
  <c r="U216" i="27"/>
  <c r="AT228" i="27"/>
  <c r="BA228" i="27" s="1"/>
  <c r="B228" i="27" s="1"/>
  <c r="U228" i="27"/>
  <c r="AT262" i="27"/>
  <c r="BA262" i="27" s="1"/>
  <c r="B262" i="27" s="1"/>
  <c r="U262" i="27"/>
  <c r="AS258" i="27"/>
  <c r="AT13" i="27"/>
  <c r="BG13" i="27" s="1"/>
  <c r="D13" i="27" s="1"/>
  <c r="U13" i="27"/>
  <c r="AT96" i="27"/>
  <c r="BA96" i="27" s="1"/>
  <c r="B96" i="27" s="1"/>
  <c r="U96" i="27"/>
  <c r="AT137" i="27"/>
  <c r="BD137" i="27" s="1"/>
  <c r="C137" i="27" s="1"/>
  <c r="U137" i="27"/>
  <c r="AT135" i="27"/>
  <c r="BG135" i="27" s="1"/>
  <c r="D135" i="27" s="1"/>
  <c r="U135" i="27"/>
  <c r="AT230" i="27"/>
  <c r="BA230" i="27" s="1"/>
  <c r="B230" i="27" s="1"/>
  <c r="U230" i="27"/>
  <c r="AT256" i="27"/>
  <c r="AU256" i="27" s="1"/>
  <c r="U256" i="27"/>
  <c r="AT21" i="27"/>
  <c r="BA21" i="27" s="1"/>
  <c r="B21" i="27" s="1"/>
  <c r="U21" i="27"/>
  <c r="AT35" i="27"/>
  <c r="BA35" i="27" s="1"/>
  <c r="B35" i="27" s="1"/>
  <c r="U35" i="27"/>
  <c r="AT71" i="27"/>
  <c r="BA71" i="27" s="1"/>
  <c r="B71" i="27" s="1"/>
  <c r="AU71" i="27"/>
  <c r="U71" i="27"/>
  <c r="AS76" i="27"/>
  <c r="AT94" i="27"/>
  <c r="BA94" i="27" s="1"/>
  <c r="B94" i="27" s="1"/>
  <c r="U94" i="27"/>
  <c r="AT145" i="27"/>
  <c r="BA145" i="27" s="1"/>
  <c r="B145" i="27" s="1"/>
  <c r="U145" i="27"/>
  <c r="AT130" i="27"/>
  <c r="BD130" i="27" s="1"/>
  <c r="C130" i="27" s="1"/>
  <c r="U130" i="27"/>
  <c r="AT163" i="27"/>
  <c r="BA163" i="27" s="1"/>
  <c r="B163" i="27" s="1"/>
  <c r="U163" i="27"/>
  <c r="AT170" i="27"/>
  <c r="BG170" i="27" s="1"/>
  <c r="D170" i="27" s="1"/>
  <c r="U170" i="27"/>
  <c r="AS191" i="27"/>
  <c r="AT212" i="27"/>
  <c r="BA212" i="27" s="1"/>
  <c r="B212" i="27" s="1"/>
  <c r="AU212" i="27"/>
  <c r="U212" i="27"/>
  <c r="AS226" i="27"/>
  <c r="AT237" i="27"/>
  <c r="BA237" i="27" s="1"/>
  <c r="B237" i="27" s="1"/>
  <c r="U237" i="27"/>
  <c r="AT250" i="27"/>
  <c r="BA250" i="27" s="1"/>
  <c r="B250" i="27" s="1"/>
  <c r="U250" i="27"/>
  <c r="AT33" i="27"/>
  <c r="BA33" i="27" s="1"/>
  <c r="B33" i="27" s="1"/>
  <c r="U33" i="27"/>
  <c r="AT38" i="27"/>
  <c r="BD38" i="27" s="1"/>
  <c r="C38" i="27" s="1"/>
  <c r="U38" i="27"/>
  <c r="AT41" i="27"/>
  <c r="AU41" i="27" s="1"/>
  <c r="U41" i="27"/>
  <c r="AU49" i="27"/>
  <c r="AT49" i="27"/>
  <c r="BA49" i="27" s="1"/>
  <c r="B49" i="27" s="1"/>
  <c r="U49" i="27"/>
  <c r="AT59" i="27"/>
  <c r="BA59" i="27" s="1"/>
  <c r="B59" i="27" s="1"/>
  <c r="AU59" i="27"/>
  <c r="U59" i="27"/>
  <c r="AT97" i="27"/>
  <c r="BD97" i="27" s="1"/>
  <c r="C97" i="27" s="1"/>
  <c r="U97" i="27"/>
  <c r="AS113" i="27"/>
  <c r="AT132" i="27"/>
  <c r="BD132" i="27" s="1"/>
  <c r="C132" i="27" s="1"/>
  <c r="U132" i="27"/>
  <c r="AT126" i="27"/>
  <c r="BG126" i="27" s="1"/>
  <c r="D126" i="27" s="1"/>
  <c r="U126" i="27"/>
  <c r="AS144" i="27"/>
  <c r="AS143" i="27"/>
  <c r="AS146" i="27"/>
  <c r="AT182" i="27"/>
  <c r="BA182" i="27" s="1"/>
  <c r="B182" i="27" s="1"/>
  <c r="U182" i="27"/>
  <c r="AU218" i="27"/>
  <c r="AT218" i="27"/>
  <c r="BG218" i="27" s="1"/>
  <c r="D218" i="27" s="1"/>
  <c r="U218" i="27"/>
  <c r="AT231" i="27"/>
  <c r="BA231" i="27" s="1"/>
  <c r="B231" i="27" s="1"/>
  <c r="U231" i="27"/>
  <c r="AT248" i="27"/>
  <c r="BG248" i="27" s="1"/>
  <c r="D248" i="27" s="1"/>
  <c r="U248" i="27"/>
  <c r="AT261" i="27"/>
  <c r="BA261" i="27" s="1"/>
  <c r="B261" i="27" s="1"/>
  <c r="U261" i="27"/>
  <c r="AT31" i="27"/>
  <c r="BG31" i="27" s="1"/>
  <c r="D31" i="27" s="1"/>
  <c r="U31" i="27"/>
  <c r="AT60" i="27"/>
  <c r="BG60" i="27" s="1"/>
  <c r="D60" i="27" s="1"/>
  <c r="U60" i="27"/>
  <c r="AT95" i="27"/>
  <c r="BG95" i="27" s="1"/>
  <c r="D95" i="27" s="1"/>
  <c r="U95" i="27"/>
  <c r="AS85" i="27"/>
  <c r="AT106" i="27"/>
  <c r="BD106" i="27" s="1"/>
  <c r="C106" i="27" s="1"/>
  <c r="U106" i="27"/>
  <c r="AT156" i="27"/>
  <c r="BA156" i="27" s="1"/>
  <c r="B156" i="27" s="1"/>
  <c r="U156" i="27"/>
  <c r="AT190" i="27"/>
  <c r="BA190" i="27" s="1"/>
  <c r="B190" i="27" s="1"/>
  <c r="U190" i="27"/>
  <c r="AT175" i="27"/>
  <c r="BA175" i="27" s="1"/>
  <c r="B175" i="27" s="1"/>
  <c r="U175" i="27"/>
  <c r="AT183" i="27"/>
  <c r="BA183" i="27" s="1"/>
  <c r="B183" i="27" s="1"/>
  <c r="U183" i="27"/>
  <c r="AT215" i="27"/>
  <c r="BA215" i="27" s="1"/>
  <c r="B215" i="27" s="1"/>
  <c r="U215" i="27"/>
  <c r="AU235" i="27"/>
  <c r="AT235" i="27"/>
  <c r="BA235" i="27" s="1"/>
  <c r="B235" i="27" s="1"/>
  <c r="AT29" i="27"/>
  <c r="BG29" i="27" s="1"/>
  <c r="D29" i="27" s="1"/>
  <c r="U29" i="27"/>
  <c r="CZ261" i="27"/>
  <c r="S261" i="27" s="1"/>
  <c r="CZ259" i="27"/>
  <c r="S259" i="27" s="1"/>
  <c r="CZ262" i="27"/>
  <c r="S262" i="27" s="1"/>
  <c r="CZ260" i="27"/>
  <c r="S260" i="27" s="1"/>
  <c r="CZ258" i="27"/>
  <c r="S258" i="27" s="1"/>
  <c r="CZ257" i="27"/>
  <c r="S257" i="27" s="1"/>
  <c r="CZ255" i="27"/>
  <c r="S255" i="27" s="1"/>
  <c r="CZ254" i="27"/>
  <c r="S254" i="27" s="1"/>
  <c r="CZ256" i="27"/>
  <c r="S256" i="27" s="1"/>
  <c r="CZ251" i="27"/>
  <c r="S251" i="27" s="1"/>
  <c r="CZ249" i="27"/>
  <c r="S249" i="27" s="1"/>
  <c r="CZ247" i="27"/>
  <c r="S247" i="27" s="1"/>
  <c r="CZ245" i="27"/>
  <c r="S245" i="27" s="1"/>
  <c r="CZ253" i="27"/>
  <c r="S253" i="27" s="1"/>
  <c r="CZ252" i="27"/>
  <c r="S252" i="27" s="1"/>
  <c r="CZ250" i="27"/>
  <c r="S250" i="27" s="1"/>
  <c r="CZ248" i="27"/>
  <c r="S248" i="27" s="1"/>
  <c r="CZ246" i="27"/>
  <c r="S246" i="27" s="1"/>
  <c r="CZ243" i="27"/>
  <c r="S243" i="27" s="1"/>
  <c r="CZ244" i="27"/>
  <c r="S244" i="27" s="1"/>
  <c r="CZ242" i="27"/>
  <c r="S242" i="27" s="1"/>
  <c r="CZ239" i="27"/>
  <c r="S239" i="27" s="1"/>
  <c r="CZ237" i="27"/>
  <c r="S237" i="27" s="1"/>
  <c r="CZ235" i="27"/>
  <c r="S235" i="27" s="1"/>
  <c r="CZ241" i="27"/>
  <c r="S241" i="27" s="1"/>
  <c r="CZ240" i="27"/>
  <c r="S240" i="27" s="1"/>
  <c r="CZ238" i="27"/>
  <c r="S238" i="27" s="1"/>
  <c r="CZ236" i="27"/>
  <c r="S236" i="27" s="1"/>
  <c r="CZ234" i="27"/>
  <c r="S234" i="27" s="1"/>
  <c r="CZ232" i="27"/>
  <c r="S232" i="27" s="1"/>
  <c r="CZ230" i="27"/>
  <c r="S230" i="27" s="1"/>
  <c r="CZ228" i="27"/>
  <c r="S228" i="27" s="1"/>
  <c r="CZ226" i="27"/>
  <c r="S226" i="27" s="1"/>
  <c r="CZ233" i="27"/>
  <c r="S233" i="27" s="1"/>
  <c r="CZ231" i="27"/>
  <c r="S231" i="27" s="1"/>
  <c r="CZ229" i="27"/>
  <c r="S229" i="27" s="1"/>
  <c r="CZ227" i="27"/>
  <c r="S227" i="27" s="1"/>
  <c r="CZ223" i="27"/>
  <c r="S223" i="27" s="1"/>
  <c r="CZ221" i="27"/>
  <c r="S221" i="27" s="1"/>
  <c r="CZ219" i="27"/>
  <c r="S219" i="27" s="1"/>
  <c r="CZ217" i="27"/>
  <c r="S217" i="27" s="1"/>
  <c r="CZ215" i="27"/>
  <c r="S215" i="27" s="1"/>
  <c r="CZ225" i="27"/>
  <c r="S225" i="27" s="1"/>
  <c r="CZ224" i="27"/>
  <c r="S224" i="27" s="1"/>
  <c r="CZ222" i="27"/>
  <c r="S222" i="27" s="1"/>
  <c r="CZ213" i="27"/>
  <c r="S213" i="27" s="1"/>
  <c r="CZ211" i="27"/>
  <c r="S211" i="27" s="1"/>
  <c r="CZ209" i="27"/>
  <c r="S209" i="27" s="1"/>
  <c r="CZ207" i="27"/>
  <c r="S207" i="27" s="1"/>
  <c r="CZ205" i="27"/>
  <c r="S205" i="27" s="1"/>
  <c r="CZ203" i="27"/>
  <c r="S203" i="27" s="1"/>
  <c r="CZ220" i="27"/>
  <c r="S220" i="27" s="1"/>
  <c r="CZ216" i="27"/>
  <c r="S216" i="27" s="1"/>
  <c r="CZ218" i="27"/>
  <c r="S218" i="27" s="1"/>
  <c r="CZ214" i="27"/>
  <c r="S214" i="27" s="1"/>
  <c r="CZ212" i="27"/>
  <c r="S212" i="27" s="1"/>
  <c r="CZ210" i="27"/>
  <c r="S210" i="27" s="1"/>
  <c r="CZ208" i="27"/>
  <c r="S208" i="27" s="1"/>
  <c r="CZ206" i="27"/>
  <c r="S206" i="27" s="1"/>
  <c r="CZ204" i="27"/>
  <c r="S204" i="27" s="1"/>
  <c r="CZ202" i="27"/>
  <c r="S202" i="27" s="1"/>
  <c r="CZ200" i="27"/>
  <c r="S200" i="27" s="1"/>
  <c r="CZ201" i="27"/>
  <c r="S201" i="27" s="1"/>
  <c r="CZ198" i="27"/>
  <c r="S198" i="27" s="1"/>
  <c r="CZ196" i="27"/>
  <c r="S196" i="27" s="1"/>
  <c r="CZ194" i="27"/>
  <c r="S194" i="27" s="1"/>
  <c r="CZ192" i="27"/>
  <c r="S192" i="27" s="1"/>
  <c r="CZ199" i="27"/>
  <c r="S199" i="27" s="1"/>
  <c r="CZ197" i="27"/>
  <c r="S197" i="27" s="1"/>
  <c r="CZ195" i="27"/>
  <c r="S195" i="27" s="1"/>
  <c r="CZ193" i="27"/>
  <c r="S193" i="27" s="1"/>
  <c r="CZ191" i="27"/>
  <c r="S191" i="27" s="1"/>
  <c r="CZ189" i="27"/>
  <c r="S189" i="27" s="1"/>
  <c r="CZ187" i="27"/>
  <c r="S187" i="27" s="1"/>
  <c r="CZ185" i="27"/>
  <c r="S185" i="27" s="1"/>
  <c r="CZ188" i="27"/>
  <c r="S188" i="27" s="1"/>
  <c r="CZ186" i="27"/>
  <c r="S186" i="27" s="1"/>
  <c r="CZ184" i="27"/>
  <c r="S184" i="27" s="1"/>
  <c r="CZ183" i="27"/>
  <c r="S183" i="27" s="1"/>
  <c r="CZ181" i="27"/>
  <c r="S181" i="27" s="1"/>
  <c r="CZ179" i="27"/>
  <c r="S179" i="27" s="1"/>
  <c r="CZ177" i="27"/>
  <c r="S177" i="27" s="1"/>
  <c r="CZ175" i="27"/>
  <c r="S175" i="27" s="1"/>
  <c r="CZ173" i="27"/>
  <c r="S173" i="27" s="1"/>
  <c r="CZ171" i="27"/>
  <c r="S171" i="27" s="1"/>
  <c r="CZ169" i="27"/>
  <c r="S169" i="27" s="1"/>
  <c r="CZ190" i="27"/>
  <c r="S190" i="27" s="1"/>
  <c r="CZ182" i="27"/>
  <c r="S182" i="27" s="1"/>
  <c r="CZ180" i="27"/>
  <c r="S180" i="27" s="1"/>
  <c r="CZ178" i="27"/>
  <c r="S178" i="27" s="1"/>
  <c r="CZ176" i="27"/>
  <c r="S176" i="27" s="1"/>
  <c r="CZ174" i="27"/>
  <c r="S174" i="27" s="1"/>
  <c r="CZ172" i="27"/>
  <c r="S172" i="27" s="1"/>
  <c r="CZ170" i="27"/>
  <c r="S170" i="27" s="1"/>
  <c r="CZ168" i="27"/>
  <c r="S168" i="27" s="1"/>
  <c r="CZ166" i="27"/>
  <c r="S166" i="27" s="1"/>
  <c r="CZ164" i="27"/>
  <c r="S164" i="27" s="1"/>
  <c r="CZ162" i="27"/>
  <c r="S162" i="27" s="1"/>
  <c r="CZ160" i="27"/>
  <c r="S160" i="27" s="1"/>
  <c r="CZ165" i="27"/>
  <c r="S165" i="27" s="1"/>
  <c r="CZ163" i="27"/>
  <c r="S163" i="27" s="1"/>
  <c r="CZ159" i="27"/>
  <c r="S159" i="27" s="1"/>
  <c r="CZ157" i="27"/>
  <c r="S157" i="27" s="1"/>
  <c r="CZ155" i="27"/>
  <c r="S155" i="27" s="1"/>
  <c r="CZ153" i="27"/>
  <c r="S153" i="27" s="1"/>
  <c r="CZ151" i="27"/>
  <c r="S151" i="27" s="1"/>
  <c r="CZ149" i="27"/>
  <c r="S149" i="27" s="1"/>
  <c r="CZ147" i="27"/>
  <c r="S147" i="27" s="1"/>
  <c r="CZ167" i="27"/>
  <c r="S167" i="27" s="1"/>
  <c r="CZ161" i="27"/>
  <c r="S161" i="27" s="1"/>
  <c r="CZ158" i="27"/>
  <c r="S158" i="27" s="1"/>
  <c r="CZ156" i="27"/>
  <c r="S156" i="27" s="1"/>
  <c r="CZ154" i="27"/>
  <c r="S154" i="27" s="1"/>
  <c r="CZ152" i="27"/>
  <c r="S152" i="27" s="1"/>
  <c r="CZ150" i="27"/>
  <c r="S150" i="27" s="1"/>
  <c r="CZ148" i="27"/>
  <c r="S148" i="27" s="1"/>
  <c r="CZ146" i="27"/>
  <c r="S146" i="27" s="1"/>
  <c r="CZ144" i="27"/>
  <c r="S144" i="27" s="1"/>
  <c r="CZ142" i="27"/>
  <c r="S142" i="27" s="1"/>
  <c r="CZ140" i="27"/>
  <c r="S140" i="27" s="1"/>
  <c r="CZ138" i="27"/>
  <c r="S138" i="27" s="1"/>
  <c r="CZ139" i="27"/>
  <c r="S139" i="27" s="1"/>
  <c r="CZ145" i="27"/>
  <c r="S145" i="27" s="1"/>
  <c r="CZ136" i="27"/>
  <c r="S136" i="27" s="1"/>
  <c r="CZ134" i="27"/>
  <c r="S134" i="27" s="1"/>
  <c r="CZ132" i="27"/>
  <c r="S132" i="27" s="1"/>
  <c r="CZ130" i="27"/>
  <c r="S130" i="27" s="1"/>
  <c r="CZ128" i="27"/>
  <c r="S128" i="27" s="1"/>
  <c r="CZ126" i="27"/>
  <c r="S126" i="27" s="1"/>
  <c r="CZ124" i="27"/>
  <c r="S124" i="27" s="1"/>
  <c r="CZ122" i="27"/>
  <c r="S122" i="27" s="1"/>
  <c r="CZ120" i="27"/>
  <c r="S120" i="27" s="1"/>
  <c r="CZ118" i="27"/>
  <c r="S118" i="27" s="1"/>
  <c r="CZ116" i="27"/>
  <c r="S116" i="27" s="1"/>
  <c r="CZ114" i="27"/>
  <c r="S114" i="27" s="1"/>
  <c r="CZ112" i="27"/>
  <c r="S112" i="27" s="1"/>
  <c r="CZ110" i="27"/>
  <c r="S110" i="27" s="1"/>
  <c r="CZ108" i="27"/>
  <c r="S108" i="27" s="1"/>
  <c r="CZ106" i="27"/>
  <c r="S106" i="27" s="1"/>
  <c r="CZ143" i="27"/>
  <c r="S143" i="27" s="1"/>
  <c r="CZ141" i="27"/>
  <c r="S141" i="27" s="1"/>
  <c r="CZ137" i="27"/>
  <c r="S137" i="27" s="1"/>
  <c r="CZ135" i="27"/>
  <c r="S135" i="27" s="1"/>
  <c r="CZ133" i="27"/>
  <c r="S133" i="27" s="1"/>
  <c r="CZ131" i="27"/>
  <c r="S131" i="27" s="1"/>
  <c r="CZ129" i="27"/>
  <c r="S129" i="27" s="1"/>
  <c r="CZ127" i="27"/>
  <c r="S127" i="27" s="1"/>
  <c r="CZ125" i="27"/>
  <c r="S125" i="27" s="1"/>
  <c r="CZ123" i="27"/>
  <c r="S123" i="27" s="1"/>
  <c r="CZ121" i="27"/>
  <c r="S121" i="27" s="1"/>
  <c r="CZ119" i="27"/>
  <c r="S119" i="27" s="1"/>
  <c r="CZ117" i="27"/>
  <c r="S117" i="27" s="1"/>
  <c r="CZ115" i="27"/>
  <c r="S115" i="27" s="1"/>
  <c r="CZ113" i="27"/>
  <c r="S113" i="27" s="1"/>
  <c r="CZ111" i="27"/>
  <c r="S111" i="27" s="1"/>
  <c r="CZ109" i="27"/>
  <c r="S109" i="27" s="1"/>
  <c r="CZ107" i="27"/>
  <c r="S107" i="27" s="1"/>
  <c r="CZ105" i="27"/>
  <c r="S105" i="27" s="1"/>
  <c r="CZ104" i="27"/>
  <c r="S104" i="27" s="1"/>
  <c r="CZ103" i="27"/>
  <c r="S103" i="27" s="1"/>
  <c r="CZ101" i="27"/>
  <c r="S101" i="27" s="1"/>
  <c r="CZ99" i="27"/>
  <c r="S99" i="27" s="1"/>
  <c r="CZ97" i="27"/>
  <c r="S97" i="27" s="1"/>
  <c r="CZ95" i="27"/>
  <c r="S95" i="27" s="1"/>
  <c r="CZ93" i="27"/>
  <c r="S93" i="27" s="1"/>
  <c r="CZ91" i="27"/>
  <c r="S91" i="27" s="1"/>
  <c r="CZ89" i="27"/>
  <c r="S89" i="27" s="1"/>
  <c r="CZ87" i="27"/>
  <c r="S87" i="27" s="1"/>
  <c r="CZ85" i="27"/>
  <c r="S85" i="27" s="1"/>
  <c r="CZ83" i="27"/>
  <c r="S83" i="27" s="1"/>
  <c r="CZ81" i="27"/>
  <c r="S81" i="27" s="1"/>
  <c r="CZ79" i="27"/>
  <c r="S79" i="27" s="1"/>
  <c r="CZ102" i="27"/>
  <c r="S102" i="27" s="1"/>
  <c r="CZ100" i="27"/>
  <c r="S100" i="27" s="1"/>
  <c r="CZ98" i="27"/>
  <c r="S98" i="27" s="1"/>
  <c r="CZ96" i="27"/>
  <c r="S96" i="27" s="1"/>
  <c r="CZ94" i="27"/>
  <c r="S94" i="27" s="1"/>
  <c r="CZ92" i="27"/>
  <c r="S92" i="27" s="1"/>
  <c r="CZ90" i="27"/>
  <c r="S90" i="27" s="1"/>
  <c r="CZ88" i="27"/>
  <c r="S88" i="27" s="1"/>
  <c r="CZ86" i="27"/>
  <c r="S86" i="27" s="1"/>
  <c r="CZ84" i="27"/>
  <c r="S84" i="27" s="1"/>
  <c r="CZ82" i="27"/>
  <c r="S82" i="27" s="1"/>
  <c r="CZ80" i="27"/>
  <c r="S80" i="27" s="1"/>
  <c r="CZ78" i="27"/>
  <c r="S78" i="27" s="1"/>
  <c r="CZ76" i="27"/>
  <c r="S76" i="27" s="1"/>
  <c r="CZ74" i="27"/>
  <c r="S74" i="27" s="1"/>
  <c r="CZ77" i="27"/>
  <c r="S77" i="27" s="1"/>
  <c r="CZ73" i="27"/>
  <c r="S73" i="27" s="1"/>
  <c r="CZ72" i="27"/>
  <c r="S72" i="27" s="1"/>
  <c r="CZ70" i="27"/>
  <c r="S70" i="27" s="1"/>
  <c r="CZ68" i="27"/>
  <c r="S68" i="27" s="1"/>
  <c r="CZ66" i="27"/>
  <c r="S66" i="27" s="1"/>
  <c r="CZ64" i="27"/>
  <c r="S64" i="27" s="1"/>
  <c r="CZ62" i="27"/>
  <c r="S62" i="27" s="1"/>
  <c r="CZ60" i="27"/>
  <c r="S60" i="27" s="1"/>
  <c r="CZ58" i="27"/>
  <c r="S58" i="27" s="1"/>
  <c r="CZ71" i="27"/>
  <c r="S71" i="27" s="1"/>
  <c r="CZ69" i="27"/>
  <c r="S69" i="27" s="1"/>
  <c r="CZ67" i="27"/>
  <c r="S67" i="27" s="1"/>
  <c r="CZ65" i="27"/>
  <c r="S65" i="27" s="1"/>
  <c r="CZ63" i="27"/>
  <c r="S63" i="27" s="1"/>
  <c r="CZ61" i="27"/>
  <c r="S61" i="27" s="1"/>
  <c r="CZ59" i="27"/>
  <c r="S59" i="27" s="1"/>
  <c r="CZ57" i="27"/>
  <c r="S57" i="27" s="1"/>
  <c r="CZ55" i="27"/>
  <c r="S55" i="27" s="1"/>
  <c r="CZ75" i="27"/>
  <c r="S75" i="27" s="1"/>
  <c r="CZ54" i="27"/>
  <c r="S54" i="27" s="1"/>
  <c r="CZ53" i="27"/>
  <c r="S53" i="27" s="1"/>
  <c r="CZ52" i="27"/>
  <c r="S52" i="27" s="1"/>
  <c r="CZ51" i="27"/>
  <c r="S51" i="27" s="1"/>
  <c r="CZ50" i="27"/>
  <c r="S50" i="27" s="1"/>
  <c r="CZ49" i="27"/>
  <c r="S49" i="27" s="1"/>
  <c r="CZ48" i="27"/>
  <c r="S48" i="27" s="1"/>
  <c r="CZ47" i="27"/>
  <c r="S47" i="27" s="1"/>
  <c r="CZ46" i="27"/>
  <c r="S46" i="27" s="1"/>
  <c r="CZ45" i="27"/>
  <c r="S45" i="27" s="1"/>
  <c r="CZ44" i="27"/>
  <c r="S44" i="27" s="1"/>
  <c r="CZ43" i="27"/>
  <c r="S43" i="27" s="1"/>
  <c r="CZ42" i="27"/>
  <c r="S42" i="27" s="1"/>
  <c r="CZ41" i="27"/>
  <c r="S41" i="27" s="1"/>
  <c r="CZ40" i="27"/>
  <c r="S40" i="27" s="1"/>
  <c r="CZ38" i="27"/>
  <c r="S38" i="27" s="1"/>
  <c r="CZ36" i="27"/>
  <c r="S36" i="27" s="1"/>
  <c r="CZ34" i="27"/>
  <c r="S34" i="27" s="1"/>
  <c r="CZ32" i="27"/>
  <c r="S32" i="27" s="1"/>
  <c r="CZ30" i="27"/>
  <c r="S30" i="27" s="1"/>
  <c r="CZ28" i="27"/>
  <c r="S28" i="27" s="1"/>
  <c r="CZ26" i="27"/>
  <c r="S26" i="27" s="1"/>
  <c r="CZ24" i="27"/>
  <c r="S24" i="27" s="1"/>
  <c r="CZ22" i="27"/>
  <c r="S22" i="27" s="1"/>
  <c r="CZ20" i="27"/>
  <c r="S20" i="27" s="1"/>
  <c r="CZ18" i="27"/>
  <c r="S18" i="27" s="1"/>
  <c r="CZ16" i="27"/>
  <c r="S16" i="27" s="1"/>
  <c r="CZ14" i="27"/>
  <c r="S14" i="27" s="1"/>
  <c r="CZ12" i="27"/>
  <c r="CZ56" i="27"/>
  <c r="S56" i="27" s="1"/>
  <c r="CZ39" i="27"/>
  <c r="S39" i="27" s="1"/>
  <c r="CZ37" i="27"/>
  <c r="S37" i="27" s="1"/>
  <c r="CZ35" i="27"/>
  <c r="S35" i="27" s="1"/>
  <c r="CZ33" i="27"/>
  <c r="S33" i="27" s="1"/>
  <c r="CZ31" i="27"/>
  <c r="S31" i="27" s="1"/>
  <c r="CZ29" i="27"/>
  <c r="S29" i="27" s="1"/>
  <c r="CZ27" i="27"/>
  <c r="S27" i="27" s="1"/>
  <c r="CZ25" i="27"/>
  <c r="S25" i="27" s="1"/>
  <c r="CZ23" i="27"/>
  <c r="S23" i="27" s="1"/>
  <c r="CZ21" i="27"/>
  <c r="S21" i="27" s="1"/>
  <c r="CZ19" i="27"/>
  <c r="S19" i="27" s="1"/>
  <c r="CZ17" i="27"/>
  <c r="S17" i="27" s="1"/>
  <c r="CZ15" i="27"/>
  <c r="S15" i="27" s="1"/>
  <c r="CZ13" i="27"/>
  <c r="S13" i="27" s="1"/>
  <c r="AU70" i="27"/>
  <c r="AT70" i="27"/>
  <c r="BD70" i="27" s="1"/>
  <c r="C70" i="27" s="1"/>
  <c r="U70" i="27"/>
  <c r="AT37" i="27"/>
  <c r="BG37" i="27" s="1"/>
  <c r="D37" i="27" s="1"/>
  <c r="U37" i="27"/>
  <c r="AT24" i="27"/>
  <c r="BD24" i="27" s="1"/>
  <c r="C24" i="27" s="1"/>
  <c r="U24" i="27"/>
  <c r="AT75" i="27"/>
  <c r="BA75" i="27" s="1"/>
  <c r="B75" i="27" s="1"/>
  <c r="U75" i="27"/>
  <c r="AT100" i="27"/>
  <c r="BD100" i="27" s="1"/>
  <c r="C100" i="27" s="1"/>
  <c r="U100" i="27"/>
  <c r="AT109" i="27"/>
  <c r="BG109" i="27" s="1"/>
  <c r="D109" i="27" s="1"/>
  <c r="U109" i="27"/>
  <c r="AU124" i="27"/>
  <c r="AT124" i="27"/>
  <c r="BD124" i="27" s="1"/>
  <c r="C124" i="27" s="1"/>
  <c r="U124" i="27"/>
  <c r="AT118" i="27"/>
  <c r="BG118" i="27" s="1"/>
  <c r="D118" i="27" s="1"/>
  <c r="U118" i="27"/>
  <c r="AT165" i="27"/>
  <c r="BA165" i="27" s="1"/>
  <c r="B165" i="27" s="1"/>
  <c r="U165" i="27"/>
  <c r="AT172" i="27"/>
  <c r="BA172" i="27" s="1"/>
  <c r="B172" i="27" s="1"/>
  <c r="U172" i="27"/>
  <c r="AT243" i="27"/>
  <c r="BA243" i="27" s="1"/>
  <c r="B243" i="27" s="1"/>
  <c r="U243" i="27"/>
  <c r="AT19" i="27"/>
  <c r="BA19" i="27" s="1"/>
  <c r="B19" i="27" s="1"/>
  <c r="U19" i="27"/>
  <c r="AT67" i="27"/>
  <c r="BA67" i="27" s="1"/>
  <c r="B67" i="27" s="1"/>
  <c r="U67" i="27"/>
  <c r="AT98" i="27"/>
  <c r="BG98" i="27" s="1"/>
  <c r="D98" i="27" s="1"/>
  <c r="U98" i="27"/>
  <c r="AT115" i="27"/>
  <c r="BG115" i="27" s="1"/>
  <c r="D115" i="27" s="1"/>
  <c r="U115" i="27"/>
  <c r="AT120" i="27"/>
  <c r="BA120" i="27" s="1"/>
  <c r="B120" i="27" s="1"/>
  <c r="U120" i="27"/>
  <c r="AT110" i="27"/>
  <c r="BA110" i="27" s="1"/>
  <c r="B110" i="27" s="1"/>
  <c r="U110" i="27"/>
  <c r="AT131" i="27"/>
  <c r="BA131" i="27" s="1"/>
  <c r="B131" i="27" s="1"/>
  <c r="U131" i="27"/>
  <c r="AT142" i="27"/>
  <c r="BA142" i="27" s="1"/>
  <c r="B142" i="27" s="1"/>
  <c r="AU178" i="27"/>
  <c r="AT178" i="27"/>
  <c r="BG178" i="27" s="1"/>
  <c r="D178" i="27" s="1"/>
  <c r="U178" i="27"/>
  <c r="AT192" i="27"/>
  <c r="BD192" i="27" s="1"/>
  <c r="C192" i="27" s="1"/>
  <c r="U192" i="27"/>
  <c r="AT208" i="27"/>
  <c r="BG208" i="27" s="1"/>
  <c r="D208" i="27" s="1"/>
  <c r="U208" i="27"/>
  <c r="AT214" i="27"/>
  <c r="BD214" i="27" s="1"/>
  <c r="C214" i="27" s="1"/>
  <c r="AU214" i="27"/>
  <c r="U214" i="27"/>
  <c r="AT233" i="27"/>
  <c r="BD233" i="27" s="1"/>
  <c r="C233" i="27" s="1"/>
  <c r="U233" i="27"/>
  <c r="AT241" i="27"/>
  <c r="BD241" i="27" s="1"/>
  <c r="C241" i="27" s="1"/>
  <c r="U241" i="27"/>
  <c r="AT260" i="27"/>
  <c r="BA260" i="27" s="1"/>
  <c r="B260" i="27" s="1"/>
  <c r="AT16" i="27"/>
  <c r="BD16" i="27" s="1"/>
  <c r="C16" i="27" s="1"/>
  <c r="U16" i="27"/>
  <c r="AT43" i="27"/>
  <c r="BD43" i="27" s="1"/>
  <c r="C43" i="27" s="1"/>
  <c r="U43" i="27"/>
  <c r="AT51" i="27"/>
  <c r="BD51" i="27" s="1"/>
  <c r="C51" i="27" s="1"/>
  <c r="U51" i="27"/>
  <c r="AT58" i="27"/>
  <c r="BA58" i="27" s="1"/>
  <c r="B58" i="27" s="1"/>
  <c r="U58" i="27"/>
  <c r="AT84" i="27"/>
  <c r="BD84" i="27" s="1"/>
  <c r="C84" i="27" s="1"/>
  <c r="AS83" i="27"/>
  <c r="AT101" i="27"/>
  <c r="BA101" i="27" s="1"/>
  <c r="B101" i="27" s="1"/>
  <c r="U101" i="27"/>
  <c r="AT108" i="27"/>
  <c r="BD108" i="27" s="1"/>
  <c r="C108" i="27" s="1"/>
  <c r="U108" i="27"/>
  <c r="AT127" i="27"/>
  <c r="BG127" i="27" s="1"/>
  <c r="D127" i="27" s="1"/>
  <c r="U127" i="27"/>
  <c r="AS140" i="27"/>
  <c r="AT168" i="27"/>
  <c r="BG168" i="27" s="1"/>
  <c r="D168" i="27" s="1"/>
  <c r="U168" i="27"/>
  <c r="AT184" i="27"/>
  <c r="BD184" i="27" s="1"/>
  <c r="C184" i="27" s="1"/>
  <c r="U184" i="27"/>
  <c r="AT224" i="27"/>
  <c r="BA224" i="27" s="1"/>
  <c r="B224" i="27" s="1"/>
  <c r="U224" i="27"/>
  <c r="AS255" i="27"/>
  <c r="AT18" i="27"/>
  <c r="BA18" i="27" s="1"/>
  <c r="B18" i="27" s="1"/>
  <c r="U18" i="27"/>
  <c r="AT55" i="27"/>
  <c r="BA55" i="27" s="1"/>
  <c r="B55" i="27" s="1"/>
  <c r="U55" i="27"/>
  <c r="AT68" i="27"/>
  <c r="BG68" i="27" s="1"/>
  <c r="D68" i="27" s="1"/>
  <c r="U68" i="27"/>
  <c r="AU99" i="27"/>
  <c r="AT99" i="27"/>
  <c r="BA99" i="27" s="1"/>
  <c r="B99" i="27" s="1"/>
  <c r="U99" i="27"/>
  <c r="AT114" i="27"/>
  <c r="BD114" i="27" s="1"/>
  <c r="C114" i="27" s="1"/>
  <c r="AU114" i="27"/>
  <c r="U114" i="27"/>
  <c r="AS107" i="27"/>
  <c r="AT122" i="27"/>
  <c r="BD122" i="27" s="1"/>
  <c r="C122" i="27" s="1"/>
  <c r="U122" i="27"/>
  <c r="AS185" i="27"/>
  <c r="AT169" i="27"/>
  <c r="BA169" i="27" s="1"/>
  <c r="B169" i="27" s="1"/>
  <c r="U169" i="27"/>
  <c r="AU177" i="27"/>
  <c r="AT177" i="27"/>
  <c r="BA177" i="27" s="1"/>
  <c r="B177" i="27" s="1"/>
  <c r="U177" i="27"/>
  <c r="AT195" i="27"/>
  <c r="BA195" i="27" s="1"/>
  <c r="B195" i="27" s="1"/>
  <c r="U195" i="27"/>
  <c r="AT223" i="27"/>
  <c r="BA223" i="27" s="1"/>
  <c r="B223" i="27" s="1"/>
  <c r="U223" i="27"/>
  <c r="U235" i="27"/>
  <c r="AS245" i="27"/>
  <c r="AU84" i="27" l="1"/>
  <c r="AU38" i="27"/>
  <c r="AU145" i="27"/>
  <c r="AU199" i="27"/>
  <c r="AU234" i="27"/>
  <c r="BD112" i="27"/>
  <c r="C112" i="27" s="1"/>
  <c r="AU51" i="27"/>
  <c r="AU142" i="27"/>
  <c r="AU29" i="27"/>
  <c r="AU190" i="27"/>
  <c r="AU95" i="27"/>
  <c r="AU132" i="27"/>
  <c r="AU97" i="27"/>
  <c r="AU35" i="27"/>
  <c r="AU90" i="27"/>
  <c r="AU179" i="27"/>
  <c r="AU45" i="27"/>
  <c r="AU150" i="27"/>
  <c r="AU64" i="27"/>
  <c r="AU32" i="27"/>
  <c r="BD32" i="27"/>
  <c r="C32" i="27" s="1"/>
  <c r="BD136" i="27"/>
  <c r="C136" i="27" s="1"/>
  <c r="BP262" i="27"/>
  <c r="G262" i="27" s="1"/>
  <c r="BP255" i="27"/>
  <c r="G255" i="27" s="1"/>
  <c r="BP252" i="27"/>
  <c r="G252" i="27" s="1"/>
  <c r="BP250" i="27"/>
  <c r="G250" i="27" s="1"/>
  <c r="BP243" i="27"/>
  <c r="G243" i="27" s="1"/>
  <c r="BP239" i="27"/>
  <c r="G239" i="27" s="1"/>
  <c r="BP238" i="27"/>
  <c r="G238" i="27" s="1"/>
  <c r="BP228" i="27"/>
  <c r="G228" i="27" s="1"/>
  <c r="BP231" i="27"/>
  <c r="G231" i="27" s="1"/>
  <c r="BP221" i="27"/>
  <c r="G221" i="27" s="1"/>
  <c r="BP225" i="27"/>
  <c r="G225" i="27" s="1"/>
  <c r="BP211" i="27"/>
  <c r="G211" i="27" s="1"/>
  <c r="BP203" i="27"/>
  <c r="G203" i="27" s="1"/>
  <c r="BP210" i="27"/>
  <c r="G210" i="27" s="1"/>
  <c r="BP202" i="27"/>
  <c r="G202" i="27" s="1"/>
  <c r="BP201" i="27"/>
  <c r="G201" i="27" s="1"/>
  <c r="BP192" i="27"/>
  <c r="G192" i="27" s="1"/>
  <c r="BP193" i="27"/>
  <c r="G193" i="27" s="1"/>
  <c r="BP185" i="27"/>
  <c r="G185" i="27" s="1"/>
  <c r="BP181" i="27"/>
  <c r="G181" i="27" s="1"/>
  <c r="BP173" i="27"/>
  <c r="G173" i="27" s="1"/>
  <c r="BP184" i="27"/>
  <c r="G184" i="27" s="1"/>
  <c r="BP176" i="27"/>
  <c r="G176" i="27" s="1"/>
  <c r="BP168" i="27"/>
  <c r="G168" i="27" s="1"/>
  <c r="BP160" i="27"/>
  <c r="G160" i="27" s="1"/>
  <c r="BP157" i="27"/>
  <c r="G157" i="27" s="1"/>
  <c r="BP149" i="27"/>
  <c r="G149" i="27" s="1"/>
  <c r="BP158" i="27"/>
  <c r="G158" i="27" s="1"/>
  <c r="BP150" i="27"/>
  <c r="G150" i="27" s="1"/>
  <c r="BP142" i="27"/>
  <c r="G142" i="27" s="1"/>
  <c r="BP134" i="27"/>
  <c r="G134" i="27" s="1"/>
  <c r="BP126" i="27"/>
  <c r="G126" i="27" s="1"/>
  <c r="BP118" i="27"/>
  <c r="G118" i="27" s="1"/>
  <c r="BP110" i="27"/>
  <c r="G110" i="27" s="1"/>
  <c r="BP139" i="27"/>
  <c r="G139" i="27" s="1"/>
  <c r="BP135" i="27"/>
  <c r="G135" i="27" s="1"/>
  <c r="BP127" i="27"/>
  <c r="G127" i="27" s="1"/>
  <c r="BP119" i="27"/>
  <c r="G119" i="27" s="1"/>
  <c r="BP111" i="27"/>
  <c r="G111" i="27" s="1"/>
  <c r="BP103" i="27"/>
  <c r="G103" i="27" s="1"/>
  <c r="BP95" i="27"/>
  <c r="G95" i="27" s="1"/>
  <c r="BP87" i="27"/>
  <c r="G87" i="27" s="1"/>
  <c r="BP79" i="27"/>
  <c r="G79" i="27" s="1"/>
  <c r="BP98" i="27"/>
  <c r="G98" i="27" s="1"/>
  <c r="CE260" i="27"/>
  <c r="L260" i="27" s="1"/>
  <c r="CE255" i="27"/>
  <c r="L255" i="27" s="1"/>
  <c r="CE253" i="27"/>
  <c r="L253" i="27" s="1"/>
  <c r="CE247" i="27"/>
  <c r="L247" i="27" s="1"/>
  <c r="CE246" i="27"/>
  <c r="L246" i="27" s="1"/>
  <c r="CE238" i="27"/>
  <c r="L238" i="27" s="1"/>
  <c r="CE235" i="27"/>
  <c r="L235" i="27" s="1"/>
  <c r="CE231" i="27"/>
  <c r="L231" i="27" s="1"/>
  <c r="CE230" i="27"/>
  <c r="L230" i="27" s="1"/>
  <c r="CE222" i="27"/>
  <c r="L222" i="27" s="1"/>
  <c r="CE223" i="27"/>
  <c r="L223" i="27" s="1"/>
  <c r="CE219" i="27"/>
  <c r="L219" i="27" s="1"/>
  <c r="CE207" i="27"/>
  <c r="L207" i="27" s="1"/>
  <c r="CE214" i="27"/>
  <c r="L214" i="27" s="1"/>
  <c r="CE206" i="27"/>
  <c r="L206" i="27" s="1"/>
  <c r="CE199" i="27"/>
  <c r="L199" i="27" s="1"/>
  <c r="CE191" i="27"/>
  <c r="L191" i="27" s="1"/>
  <c r="CE183" i="27"/>
  <c r="L183" i="27" s="1"/>
  <c r="CE196" i="27"/>
  <c r="L196" i="27" s="1"/>
  <c r="CE188" i="27"/>
  <c r="L188" i="27" s="1"/>
  <c r="CE176" i="27"/>
  <c r="L176" i="27" s="1"/>
  <c r="CE168" i="27"/>
  <c r="L168" i="27" s="1"/>
  <c r="CE184" i="27"/>
  <c r="L184" i="27" s="1"/>
  <c r="CE175" i="27"/>
  <c r="L175" i="27" s="1"/>
  <c r="CE167" i="27"/>
  <c r="L167" i="27" s="1"/>
  <c r="CE156" i="27"/>
  <c r="L156" i="27" s="1"/>
  <c r="CE148" i="27"/>
  <c r="L148" i="27" s="1"/>
  <c r="CE140" i="27"/>
  <c r="L140" i="27" s="1"/>
  <c r="CE153" i="27"/>
  <c r="L153" i="27" s="1"/>
  <c r="CE145" i="27"/>
  <c r="L145" i="27" s="1"/>
  <c r="CE141" i="27"/>
  <c r="L141" i="27" s="1"/>
  <c r="CE131" i="27"/>
  <c r="L131" i="27" s="1"/>
  <c r="CE123" i="27"/>
  <c r="L123" i="27" s="1"/>
  <c r="CE115" i="27"/>
  <c r="L115" i="27" s="1"/>
  <c r="CE107" i="27"/>
  <c r="L107" i="27" s="1"/>
  <c r="CE138" i="27"/>
  <c r="L138" i="27" s="1"/>
  <c r="CE130" i="27"/>
  <c r="L130" i="27" s="1"/>
  <c r="CE122" i="27"/>
  <c r="L122" i="27" s="1"/>
  <c r="CE102" i="27"/>
  <c r="L102" i="27" s="1"/>
  <c r="CE94" i="27"/>
  <c r="L94" i="27" s="1"/>
  <c r="CE86" i="27"/>
  <c r="L86" i="27" s="1"/>
  <c r="CE78" i="27"/>
  <c r="L78" i="27" s="1"/>
  <c r="CE116" i="27"/>
  <c r="L116" i="27" s="1"/>
  <c r="CE108" i="27"/>
  <c r="L108" i="27" s="1"/>
  <c r="CE99" i="27"/>
  <c r="L99" i="27" s="1"/>
  <c r="CE91" i="27"/>
  <c r="L91" i="27" s="1"/>
  <c r="CE83" i="27"/>
  <c r="L83" i="27" s="1"/>
  <c r="CE73" i="27"/>
  <c r="L73" i="27" s="1"/>
  <c r="CE64" i="27"/>
  <c r="L64" i="27" s="1"/>
  <c r="CE56" i="27"/>
  <c r="L56" i="27" s="1"/>
  <c r="CE48" i="27"/>
  <c r="L48" i="27" s="1"/>
  <c r="CE40" i="27"/>
  <c r="L40" i="27" s="1"/>
  <c r="CE67" i="27"/>
  <c r="L67" i="27" s="1"/>
  <c r="CE59" i="27"/>
  <c r="L59" i="27" s="1"/>
  <c r="CE51" i="27"/>
  <c r="L51" i="27" s="1"/>
  <c r="CE43" i="27"/>
  <c r="L43" i="27" s="1"/>
  <c r="CE35" i="27"/>
  <c r="L35" i="27" s="1"/>
  <c r="CE27" i="27"/>
  <c r="L27" i="27" s="1"/>
  <c r="CE19" i="27"/>
  <c r="L19" i="27" s="1"/>
  <c r="CE20" i="27"/>
  <c r="L20" i="27" s="1"/>
  <c r="CE38" i="27"/>
  <c r="L38" i="27" s="1"/>
  <c r="CE30" i="27"/>
  <c r="L30" i="27" s="1"/>
  <c r="CE22" i="27"/>
  <c r="L22" i="27" s="1"/>
  <c r="BD20" i="27"/>
  <c r="C20" i="27" s="1"/>
  <c r="AU55" i="27"/>
  <c r="AU184" i="27"/>
  <c r="AU260" i="27"/>
  <c r="AU100" i="27"/>
  <c r="AU183" i="27"/>
  <c r="AU36" i="27"/>
  <c r="AU238" i="27"/>
  <c r="AU253" i="27"/>
  <c r="AU87" i="27"/>
  <c r="AU134" i="27"/>
  <c r="AU233" i="27"/>
  <c r="AU223" i="27"/>
  <c r="AU16" i="27"/>
  <c r="AU115" i="27"/>
  <c r="AU75" i="27"/>
  <c r="AU24" i="27"/>
  <c r="AU31" i="27"/>
  <c r="AU135" i="27"/>
  <c r="AU228" i="27"/>
  <c r="AU201" i="27"/>
  <c r="AU119" i="27"/>
  <c r="AU14" i="27"/>
  <c r="AU193" i="27"/>
  <c r="AU61" i="27"/>
  <c r="AU180" i="27"/>
  <c r="AU112" i="27"/>
  <c r="AU104" i="27"/>
  <c r="BD117" i="27"/>
  <c r="C117" i="27" s="1"/>
  <c r="BD151" i="27"/>
  <c r="C151" i="27" s="1"/>
  <c r="BD236" i="27"/>
  <c r="C236" i="27" s="1"/>
  <c r="AU63" i="27"/>
  <c r="BG151" i="27"/>
  <c r="D151" i="27" s="1"/>
  <c r="BV16" i="27"/>
  <c r="I16" i="27" s="1"/>
  <c r="BV24" i="27"/>
  <c r="I24" i="27" s="1"/>
  <c r="BV32" i="27"/>
  <c r="I32" i="27" s="1"/>
  <c r="BV55" i="27"/>
  <c r="I55" i="27" s="1"/>
  <c r="BV19" i="27"/>
  <c r="I19" i="27" s="1"/>
  <c r="BV27" i="27"/>
  <c r="I27" i="27" s="1"/>
  <c r="BV35" i="27"/>
  <c r="I35" i="27" s="1"/>
  <c r="BV41" i="27"/>
  <c r="I41" i="27" s="1"/>
  <c r="BV45" i="27"/>
  <c r="I45" i="27" s="1"/>
  <c r="BV49" i="27"/>
  <c r="I49" i="27" s="1"/>
  <c r="BV53" i="27"/>
  <c r="I53" i="27" s="1"/>
  <c r="BV58" i="27"/>
  <c r="I58" i="27" s="1"/>
  <c r="BV66" i="27"/>
  <c r="I66" i="27" s="1"/>
  <c r="BV72" i="27"/>
  <c r="I72" i="27" s="1"/>
  <c r="BV59" i="27"/>
  <c r="I59" i="27" s="1"/>
  <c r="BV67" i="27"/>
  <c r="I67" i="27" s="1"/>
  <c r="BV79" i="27"/>
  <c r="I79" i="27" s="1"/>
  <c r="BV87" i="27"/>
  <c r="I87" i="27" s="1"/>
  <c r="BV95" i="27"/>
  <c r="I95" i="27" s="1"/>
  <c r="BV103" i="27"/>
  <c r="I103" i="27" s="1"/>
  <c r="BV84" i="27"/>
  <c r="I84" i="27" s="1"/>
  <c r="BV92" i="27"/>
  <c r="I92" i="27" s="1"/>
  <c r="BV100" i="27"/>
  <c r="I100" i="27" s="1"/>
  <c r="BV108" i="27"/>
  <c r="I108" i="27" s="1"/>
  <c r="BV116" i="27"/>
  <c r="I116" i="27" s="1"/>
  <c r="BV124" i="27"/>
  <c r="I124" i="27" s="1"/>
  <c r="BV132" i="27"/>
  <c r="I132" i="27" s="1"/>
  <c r="BV105" i="27"/>
  <c r="I105" i="27" s="1"/>
  <c r="BV113" i="27"/>
  <c r="I113" i="27" s="1"/>
  <c r="BV121" i="27"/>
  <c r="I121" i="27" s="1"/>
  <c r="BV129" i="27"/>
  <c r="I129" i="27" s="1"/>
  <c r="BV137" i="27"/>
  <c r="I137" i="27" s="1"/>
  <c r="BV140" i="27"/>
  <c r="I140" i="27" s="1"/>
  <c r="BV145" i="27"/>
  <c r="I145" i="27" s="1"/>
  <c r="BV153" i="27"/>
  <c r="I153" i="27" s="1"/>
  <c r="BV160" i="27"/>
  <c r="I160" i="27" s="1"/>
  <c r="BV150" i="27"/>
  <c r="I150" i="27" s="1"/>
  <c r="BV158" i="27"/>
  <c r="I158" i="27" s="1"/>
  <c r="BV165" i="27"/>
  <c r="I165" i="27" s="1"/>
  <c r="BV173" i="27"/>
  <c r="I173" i="27" s="1"/>
  <c r="BV181" i="27"/>
  <c r="I181" i="27" s="1"/>
  <c r="BV184" i="27"/>
  <c r="I184" i="27" s="1"/>
  <c r="BV172" i="27"/>
  <c r="I172" i="27" s="1"/>
  <c r="BV180" i="27"/>
  <c r="I180" i="27" s="1"/>
  <c r="BV188" i="27"/>
  <c r="I188" i="27" s="1"/>
  <c r="BV196" i="27"/>
  <c r="I196" i="27" s="1"/>
  <c r="BV193" i="27"/>
  <c r="I193" i="27" s="1"/>
  <c r="BV219" i="27"/>
  <c r="I219" i="27" s="1"/>
  <c r="BV207" i="27"/>
  <c r="I207" i="27" s="1"/>
  <c r="BV215" i="27"/>
  <c r="I215" i="27" s="1"/>
  <c r="BV206" i="27"/>
  <c r="I206" i="27" s="1"/>
  <c r="BV214" i="27"/>
  <c r="I214" i="27" s="1"/>
  <c r="BV218" i="27"/>
  <c r="I218" i="27" s="1"/>
  <c r="BV228" i="27"/>
  <c r="I228" i="27" s="1"/>
  <c r="BV227" i="27"/>
  <c r="I227" i="27" s="1"/>
  <c r="BV235" i="27"/>
  <c r="I235" i="27" s="1"/>
  <c r="BV242" i="27"/>
  <c r="I242" i="27" s="1"/>
  <c r="BV240" i="27"/>
  <c r="I240" i="27" s="1"/>
  <c r="BV247" i="27"/>
  <c r="I247" i="27" s="1"/>
  <c r="BV255" i="27"/>
  <c r="I255" i="27" s="1"/>
  <c r="BV253" i="27"/>
  <c r="I253" i="27" s="1"/>
  <c r="BV256" i="27"/>
  <c r="I256" i="27" s="1"/>
  <c r="CQ16" i="27"/>
  <c r="P16" i="27" s="1"/>
  <c r="CQ26" i="27"/>
  <c r="P26" i="27" s="1"/>
  <c r="CQ34" i="27"/>
  <c r="P34" i="27" s="1"/>
  <c r="CQ20" i="27"/>
  <c r="P20" i="27" s="1"/>
  <c r="CQ17" i="27"/>
  <c r="P17" i="27" s="1"/>
  <c r="CQ25" i="27"/>
  <c r="P25" i="27" s="1"/>
  <c r="CQ33" i="27"/>
  <c r="P33" i="27" s="1"/>
  <c r="CQ41" i="27"/>
  <c r="P41" i="27" s="1"/>
  <c r="CQ49" i="27"/>
  <c r="P49" i="27" s="1"/>
  <c r="CQ57" i="27"/>
  <c r="P57" i="27" s="1"/>
  <c r="CQ65" i="27"/>
  <c r="P65" i="27" s="1"/>
  <c r="CQ77" i="27"/>
  <c r="P77" i="27" s="1"/>
  <c r="CQ85" i="27"/>
  <c r="P85" i="27" s="1"/>
  <c r="CQ46" i="27"/>
  <c r="P46" i="27" s="1"/>
  <c r="CQ54" i="27"/>
  <c r="P54" i="27" s="1"/>
  <c r="CQ62" i="27"/>
  <c r="P62" i="27" s="1"/>
  <c r="CQ70" i="27"/>
  <c r="P70" i="27" s="1"/>
  <c r="CQ89" i="27"/>
  <c r="P89" i="27" s="1"/>
  <c r="CQ97" i="27"/>
  <c r="P97" i="27" s="1"/>
  <c r="CQ72" i="27"/>
  <c r="P72" i="27" s="1"/>
  <c r="CQ80" i="27"/>
  <c r="P80" i="27" s="1"/>
  <c r="CQ88" i="27"/>
  <c r="P88" i="27" s="1"/>
  <c r="CQ96" i="27"/>
  <c r="P96" i="27" s="1"/>
  <c r="CQ104" i="27"/>
  <c r="P104" i="27" s="1"/>
  <c r="CQ112" i="27"/>
  <c r="P112" i="27" s="1"/>
  <c r="CQ120" i="27"/>
  <c r="P120" i="27" s="1"/>
  <c r="CQ128" i="27"/>
  <c r="P128" i="27" s="1"/>
  <c r="CQ136" i="27"/>
  <c r="P136" i="27" s="1"/>
  <c r="CQ111" i="27"/>
  <c r="P111" i="27" s="1"/>
  <c r="CQ119" i="27"/>
  <c r="P119" i="27" s="1"/>
  <c r="CQ127" i="27"/>
  <c r="P127" i="27" s="1"/>
  <c r="CQ135" i="27"/>
  <c r="P135" i="27" s="1"/>
  <c r="CQ141" i="27"/>
  <c r="P141" i="27" s="1"/>
  <c r="CQ147" i="27"/>
  <c r="P147" i="27" s="1"/>
  <c r="CQ155" i="27"/>
  <c r="P155" i="27" s="1"/>
  <c r="CQ161" i="27"/>
  <c r="P161" i="27" s="1"/>
  <c r="CQ142" i="27"/>
  <c r="P142" i="27" s="1"/>
  <c r="CQ150" i="27"/>
  <c r="P150" i="27" s="1"/>
  <c r="CQ158" i="27"/>
  <c r="P158" i="27" s="1"/>
  <c r="CQ173" i="27"/>
  <c r="P173" i="27" s="1"/>
  <c r="CQ181" i="27"/>
  <c r="P181" i="27" s="1"/>
  <c r="CQ168" i="27"/>
  <c r="P168" i="27" s="1"/>
  <c r="CQ176" i="27"/>
  <c r="P176" i="27" s="1"/>
  <c r="CQ184" i="27"/>
  <c r="P184" i="27" s="1"/>
  <c r="CQ192" i="27"/>
  <c r="P192" i="27" s="1"/>
  <c r="CQ201" i="27"/>
  <c r="P201" i="27" s="1"/>
  <c r="CQ189" i="27"/>
  <c r="P189" i="27" s="1"/>
  <c r="CQ197" i="27"/>
  <c r="P197" i="27" s="1"/>
  <c r="CQ204" i="27"/>
  <c r="P204" i="27" s="1"/>
  <c r="CQ212" i="27"/>
  <c r="P212" i="27" s="1"/>
  <c r="CQ209" i="27"/>
  <c r="P209" i="27" s="1"/>
  <c r="CQ216" i="27"/>
  <c r="P216" i="27" s="1"/>
  <c r="CQ223" i="27"/>
  <c r="P223" i="27" s="1"/>
  <c r="CQ222" i="27"/>
  <c r="P222" i="27" s="1"/>
  <c r="CQ228" i="27"/>
  <c r="P228" i="27" s="1"/>
  <c r="CQ234" i="27"/>
  <c r="P234" i="27" s="1"/>
  <c r="CQ241" i="27"/>
  <c r="P241" i="27" s="1"/>
  <c r="CQ242" i="27"/>
  <c r="P242" i="27" s="1"/>
  <c r="CQ243" i="27"/>
  <c r="P243" i="27" s="1"/>
  <c r="CQ250" i="27"/>
  <c r="P250" i="27" s="1"/>
  <c r="CQ253" i="27"/>
  <c r="P253" i="27" s="1"/>
  <c r="CQ255" i="27"/>
  <c r="P255" i="27" s="1"/>
  <c r="BP17" i="27"/>
  <c r="G17" i="27" s="1"/>
  <c r="BP25" i="27"/>
  <c r="G25" i="27" s="1"/>
  <c r="BP33" i="27"/>
  <c r="G33" i="27" s="1"/>
  <c r="BP12" i="27"/>
  <c r="BP20" i="27"/>
  <c r="G20" i="27" s="1"/>
  <c r="BP28" i="27"/>
  <c r="G28" i="27" s="1"/>
  <c r="BP36" i="27"/>
  <c r="G36" i="27" s="1"/>
  <c r="BP42" i="27"/>
  <c r="G42" i="27" s="1"/>
  <c r="BP46" i="27"/>
  <c r="G46" i="27" s="1"/>
  <c r="BP50" i="27"/>
  <c r="G50" i="27" s="1"/>
  <c r="BP54" i="27"/>
  <c r="G54" i="27" s="1"/>
  <c r="BP57" i="27"/>
  <c r="G57" i="27" s="1"/>
  <c r="BP65" i="27"/>
  <c r="G65" i="27" s="1"/>
  <c r="BP73" i="27"/>
  <c r="G73" i="27" s="1"/>
  <c r="BP64" i="27"/>
  <c r="G64" i="27" s="1"/>
  <c r="BP71" i="27"/>
  <c r="G71" i="27" s="1"/>
  <c r="BP78" i="27"/>
  <c r="G78" i="27" s="1"/>
  <c r="BP86" i="27"/>
  <c r="G86" i="27" s="1"/>
  <c r="BP94" i="27"/>
  <c r="G94" i="27" s="1"/>
  <c r="BP104" i="27"/>
  <c r="G104" i="27" s="1"/>
  <c r="BP89" i="27"/>
  <c r="G89" i="27" s="1"/>
  <c r="BP99" i="27"/>
  <c r="G99" i="27" s="1"/>
  <c r="BP109" i="27"/>
  <c r="G109" i="27" s="1"/>
  <c r="BP121" i="27"/>
  <c r="G121" i="27" s="1"/>
  <c r="BP131" i="27"/>
  <c r="G131" i="27" s="1"/>
  <c r="BP145" i="27"/>
  <c r="G145" i="27" s="1"/>
  <c r="BP112" i="27"/>
  <c r="G112" i="27" s="1"/>
  <c r="BP122" i="27"/>
  <c r="G122" i="27" s="1"/>
  <c r="BP132" i="27"/>
  <c r="G132" i="27" s="1"/>
  <c r="BP144" i="27"/>
  <c r="G144" i="27" s="1"/>
  <c r="BP154" i="27"/>
  <c r="G154" i="27" s="1"/>
  <c r="BP147" i="27"/>
  <c r="G147" i="27" s="1"/>
  <c r="BP159" i="27"/>
  <c r="G159" i="27" s="1"/>
  <c r="BP164" i="27"/>
  <c r="G164" i="27" s="1"/>
  <c r="BP174" i="27"/>
  <c r="G174" i="27" s="1"/>
  <c r="BP188" i="27"/>
  <c r="G188" i="27" s="1"/>
  <c r="BP177" i="27"/>
  <c r="G177" i="27" s="1"/>
  <c r="BP186" i="27"/>
  <c r="G186" i="27" s="1"/>
  <c r="BP195" i="27"/>
  <c r="G195" i="27" s="1"/>
  <c r="BP196" i="27"/>
  <c r="G196" i="27" s="1"/>
  <c r="BP200" i="27"/>
  <c r="G200" i="27" s="1"/>
  <c r="BP212" i="27"/>
  <c r="G212" i="27" s="1"/>
  <c r="BP207" i="27"/>
  <c r="G207" i="27" s="1"/>
  <c r="BP224" i="27"/>
  <c r="G224" i="27" s="1"/>
  <c r="BP223" i="27"/>
  <c r="G223" i="27" s="1"/>
  <c r="BP234" i="27"/>
  <c r="G234" i="27" s="1"/>
  <c r="BP236" i="27"/>
  <c r="G236" i="27" s="1"/>
  <c r="BP241" i="27"/>
  <c r="G241" i="27" s="1"/>
  <c r="BP246" i="27"/>
  <c r="G246" i="27" s="1"/>
  <c r="BP251" i="27"/>
  <c r="G251" i="27" s="1"/>
  <c r="BP257" i="27"/>
  <c r="G257" i="27" s="1"/>
  <c r="BP261" i="27"/>
  <c r="G261" i="27" s="1"/>
  <c r="CE28" i="27"/>
  <c r="L28" i="27" s="1"/>
  <c r="CE12" i="27"/>
  <c r="CE9" i="27" s="1"/>
  <c r="CE15" i="27"/>
  <c r="L15" i="27" s="1"/>
  <c r="CE25" i="27"/>
  <c r="L25" i="27" s="1"/>
  <c r="CE37" i="27"/>
  <c r="L37" i="27" s="1"/>
  <c r="CE47" i="27"/>
  <c r="L47" i="27" s="1"/>
  <c r="CE57" i="27"/>
  <c r="L57" i="27" s="1"/>
  <c r="CE69" i="27"/>
  <c r="L69" i="27" s="1"/>
  <c r="CE44" i="27"/>
  <c r="L44" i="27" s="1"/>
  <c r="CE54" i="27"/>
  <c r="L54" i="27" s="1"/>
  <c r="CE66" i="27"/>
  <c r="L66" i="27" s="1"/>
  <c r="CE79" i="27"/>
  <c r="L79" i="27" s="1"/>
  <c r="CE89" i="27"/>
  <c r="L89" i="27" s="1"/>
  <c r="CE101" i="27"/>
  <c r="L101" i="27" s="1"/>
  <c r="CE112" i="27"/>
  <c r="L112" i="27" s="1"/>
  <c r="CE76" i="27"/>
  <c r="L76" i="27" s="1"/>
  <c r="CE88" i="27"/>
  <c r="L88" i="27" s="1"/>
  <c r="CE98" i="27"/>
  <c r="L98" i="27" s="1"/>
  <c r="CE120" i="27"/>
  <c r="L120" i="27" s="1"/>
  <c r="CE132" i="27"/>
  <c r="L132" i="27" s="1"/>
  <c r="CE143" i="27"/>
  <c r="L143" i="27" s="1"/>
  <c r="CE113" i="27"/>
  <c r="L113" i="27" s="1"/>
  <c r="CE125" i="27"/>
  <c r="L125" i="27" s="1"/>
  <c r="CE135" i="27"/>
  <c r="L135" i="27" s="1"/>
  <c r="CE165" i="27"/>
  <c r="L165" i="27" s="1"/>
  <c r="CE155" i="27"/>
  <c r="L155" i="27" s="1"/>
  <c r="CE144" i="27"/>
  <c r="L144" i="27" s="1"/>
  <c r="CE154" i="27"/>
  <c r="L154" i="27" s="1"/>
  <c r="CE169" i="27"/>
  <c r="L169" i="27" s="1"/>
  <c r="CE179" i="27"/>
  <c r="L179" i="27" s="1"/>
  <c r="CE166" i="27"/>
  <c r="L166" i="27" s="1"/>
  <c r="CE178" i="27"/>
  <c r="L178" i="27" s="1"/>
  <c r="CE192" i="27"/>
  <c r="L192" i="27" s="1"/>
  <c r="CE203" i="27"/>
  <c r="L203" i="27" s="1"/>
  <c r="CE193" i="27"/>
  <c r="L193" i="27" s="1"/>
  <c r="CE202" i="27"/>
  <c r="L202" i="27" s="1"/>
  <c r="CE212" i="27"/>
  <c r="L212" i="27" s="1"/>
  <c r="CE209" i="27"/>
  <c r="L209" i="27" s="1"/>
  <c r="CE225" i="27"/>
  <c r="L225" i="27" s="1"/>
  <c r="CE220" i="27"/>
  <c r="L220" i="27" s="1"/>
  <c r="CE232" i="27"/>
  <c r="L232" i="27" s="1"/>
  <c r="CE236" i="27"/>
  <c r="L236" i="27" s="1"/>
  <c r="CE241" i="27"/>
  <c r="L241" i="27" s="1"/>
  <c r="CE248" i="27"/>
  <c r="L248" i="27" s="1"/>
  <c r="CE251" i="27"/>
  <c r="L251" i="27" s="1"/>
  <c r="CE252" i="27"/>
  <c r="L252" i="27" s="1"/>
  <c r="CE262" i="27"/>
  <c r="L262" i="27" s="1"/>
  <c r="U205" i="27"/>
  <c r="AT205" i="27"/>
  <c r="U157" i="27"/>
  <c r="AT157" i="27"/>
  <c r="BP19" i="27"/>
  <c r="G19" i="27" s="1"/>
  <c r="BP27" i="27"/>
  <c r="G27" i="27" s="1"/>
  <c r="BP35" i="27"/>
  <c r="G35" i="27" s="1"/>
  <c r="BP14" i="27"/>
  <c r="G14" i="27" s="1"/>
  <c r="BP22" i="27"/>
  <c r="G22" i="27" s="1"/>
  <c r="BP30" i="27"/>
  <c r="G30" i="27" s="1"/>
  <c r="BP38" i="27"/>
  <c r="G38" i="27" s="1"/>
  <c r="BP43" i="27"/>
  <c r="G43" i="27" s="1"/>
  <c r="BP47" i="27"/>
  <c r="G47" i="27" s="1"/>
  <c r="BP51" i="27"/>
  <c r="G51" i="27" s="1"/>
  <c r="BP56" i="27"/>
  <c r="G56" i="27" s="1"/>
  <c r="BP59" i="27"/>
  <c r="G59" i="27" s="1"/>
  <c r="BP67" i="27"/>
  <c r="G67" i="27" s="1"/>
  <c r="BP58" i="27"/>
  <c r="G58" i="27" s="1"/>
  <c r="BP66" i="27"/>
  <c r="G66" i="27" s="1"/>
  <c r="BP77" i="27"/>
  <c r="G77" i="27" s="1"/>
  <c r="BP80" i="27"/>
  <c r="G80" i="27" s="1"/>
  <c r="BP88" i="27"/>
  <c r="G88" i="27" s="1"/>
  <c r="BP96" i="27"/>
  <c r="G96" i="27" s="1"/>
  <c r="BP81" i="27"/>
  <c r="G81" i="27" s="1"/>
  <c r="BP91" i="27"/>
  <c r="G91" i="27" s="1"/>
  <c r="BP101" i="27"/>
  <c r="G101" i="27" s="1"/>
  <c r="BP113" i="27"/>
  <c r="G113" i="27" s="1"/>
  <c r="BP123" i="27"/>
  <c r="G123" i="27" s="1"/>
  <c r="BP133" i="27"/>
  <c r="G133" i="27" s="1"/>
  <c r="BP141" i="27"/>
  <c r="G141" i="27" s="1"/>
  <c r="BP114" i="27"/>
  <c r="G114" i="27" s="1"/>
  <c r="BP124" i="27"/>
  <c r="G124" i="27" s="1"/>
  <c r="BP136" i="27"/>
  <c r="G136" i="27" s="1"/>
  <c r="BP146" i="27"/>
  <c r="G146" i="27" s="1"/>
  <c r="BP156" i="27"/>
  <c r="G156" i="27" s="1"/>
  <c r="BP151" i="27"/>
  <c r="G151" i="27" s="1"/>
  <c r="BP165" i="27"/>
  <c r="G165" i="27" s="1"/>
  <c r="BP166" i="27"/>
  <c r="G166" i="27" s="1"/>
  <c r="BP178" i="27"/>
  <c r="G178" i="27" s="1"/>
  <c r="BP169" i="27"/>
  <c r="G169" i="27" s="1"/>
  <c r="BP179" i="27"/>
  <c r="G179" i="27" s="1"/>
  <c r="BP187" i="27"/>
  <c r="G187" i="27" s="1"/>
  <c r="BP197" i="27"/>
  <c r="G197" i="27" s="1"/>
  <c r="BP198" i="27"/>
  <c r="G198" i="27" s="1"/>
  <c r="BP204" i="27"/>
  <c r="G204" i="27" s="1"/>
  <c r="BP214" i="27"/>
  <c r="G214" i="27" s="1"/>
  <c r="BP209" i="27"/>
  <c r="G209" i="27" s="1"/>
  <c r="BP215" i="27"/>
  <c r="G215" i="27" s="1"/>
  <c r="BP227" i="27"/>
  <c r="G227" i="27" s="1"/>
  <c r="BP226" i="27"/>
  <c r="G226" i="27" s="1"/>
  <c r="BP240" i="27"/>
  <c r="G240" i="27" s="1"/>
  <c r="BP242" i="27"/>
  <c r="G242" i="27" s="1"/>
  <c r="BP248" i="27"/>
  <c r="G248" i="27" s="1"/>
  <c r="BP253" i="27"/>
  <c r="G253" i="27" s="1"/>
  <c r="BP258" i="27"/>
  <c r="G258" i="27" s="1"/>
  <c r="CE18" i="27"/>
  <c r="L18" i="27" s="1"/>
  <c r="CE32" i="27"/>
  <c r="L32" i="27" s="1"/>
  <c r="CE14" i="27"/>
  <c r="L14" i="27" s="1"/>
  <c r="CE17" i="27"/>
  <c r="L17" i="27" s="1"/>
  <c r="CE29" i="27"/>
  <c r="L29" i="27" s="1"/>
  <c r="CE39" i="27"/>
  <c r="L39" i="27" s="1"/>
  <c r="CE49" i="27"/>
  <c r="L49" i="27" s="1"/>
  <c r="CE61" i="27"/>
  <c r="L61" i="27" s="1"/>
  <c r="CE71" i="27"/>
  <c r="L71" i="27" s="1"/>
  <c r="CE46" i="27"/>
  <c r="L46" i="27" s="1"/>
  <c r="CE58" i="27"/>
  <c r="L58" i="27" s="1"/>
  <c r="CE68" i="27"/>
  <c r="L68" i="27" s="1"/>
  <c r="CE81" i="27"/>
  <c r="L81" i="27" s="1"/>
  <c r="CE93" i="27"/>
  <c r="L93" i="27" s="1"/>
  <c r="CE103" i="27"/>
  <c r="L103" i="27" s="1"/>
  <c r="CE114" i="27"/>
  <c r="L114" i="27" s="1"/>
  <c r="CE80" i="27"/>
  <c r="L80" i="27" s="1"/>
  <c r="CE90" i="27"/>
  <c r="L90" i="27" s="1"/>
  <c r="CE100" i="27"/>
  <c r="L100" i="27" s="1"/>
  <c r="CE124" i="27"/>
  <c r="L124" i="27" s="1"/>
  <c r="CE134" i="27"/>
  <c r="L134" i="27" s="1"/>
  <c r="CE105" i="27"/>
  <c r="L105" i="27" s="1"/>
  <c r="CE117" i="27"/>
  <c r="L117" i="27" s="1"/>
  <c r="CE127" i="27"/>
  <c r="L127" i="27" s="1"/>
  <c r="CE137" i="27"/>
  <c r="L137" i="27" s="1"/>
  <c r="CE147" i="27"/>
  <c r="L147" i="27" s="1"/>
  <c r="CE157" i="27"/>
  <c r="L157" i="27" s="1"/>
  <c r="CE146" i="27"/>
  <c r="L146" i="27" s="1"/>
  <c r="CE158" i="27"/>
  <c r="L158" i="27" s="1"/>
  <c r="CE171" i="27"/>
  <c r="L171" i="27" s="1"/>
  <c r="CE181" i="27"/>
  <c r="L181" i="27" s="1"/>
  <c r="CE170" i="27"/>
  <c r="L170" i="27" s="1"/>
  <c r="CE180" i="27"/>
  <c r="L180" i="27" s="1"/>
  <c r="CE194" i="27"/>
  <c r="L194" i="27" s="1"/>
  <c r="CE185" i="27"/>
  <c r="L185" i="27" s="1"/>
  <c r="CE195" i="27"/>
  <c r="L195" i="27" s="1"/>
  <c r="CE204" i="27"/>
  <c r="L204" i="27" s="1"/>
  <c r="CE215" i="27"/>
  <c r="L215" i="27" s="1"/>
  <c r="CE211" i="27"/>
  <c r="L211" i="27" s="1"/>
  <c r="CE221" i="27"/>
  <c r="L221" i="27" s="1"/>
  <c r="CE224" i="27"/>
  <c r="L224" i="27" s="1"/>
  <c r="CE234" i="27"/>
  <c r="L234" i="27" s="1"/>
  <c r="CE245" i="27"/>
  <c r="L245" i="27" s="1"/>
  <c r="CE240" i="27"/>
  <c r="L240" i="27" s="1"/>
  <c r="CE250" i="27"/>
  <c r="L250" i="27" s="1"/>
  <c r="CE254" i="27"/>
  <c r="L254" i="27" s="1"/>
  <c r="CE257" i="27"/>
  <c r="L257" i="27" s="1"/>
  <c r="BY15" i="27"/>
  <c r="J15" i="27" s="1"/>
  <c r="BY27" i="27"/>
  <c r="J27" i="27" s="1"/>
  <c r="BY35" i="27"/>
  <c r="J35" i="27" s="1"/>
  <c r="BY23" i="27"/>
  <c r="J23" i="27" s="1"/>
  <c r="BY16" i="27"/>
  <c r="J16" i="27" s="1"/>
  <c r="BY24" i="27"/>
  <c r="J24" i="27" s="1"/>
  <c r="BY32" i="27"/>
  <c r="J32" i="27" s="1"/>
  <c r="BY40" i="27"/>
  <c r="J40" i="27" s="1"/>
  <c r="BY48" i="27"/>
  <c r="J48" i="27" s="1"/>
  <c r="BY56" i="27"/>
  <c r="J56" i="27" s="1"/>
  <c r="BY64" i="27"/>
  <c r="J64" i="27" s="1"/>
  <c r="BY74" i="27"/>
  <c r="J74" i="27" s="1"/>
  <c r="BY45" i="27"/>
  <c r="J45" i="27" s="1"/>
  <c r="BY53" i="27"/>
  <c r="J53" i="27" s="1"/>
  <c r="BY61" i="27"/>
  <c r="J61" i="27" s="1"/>
  <c r="BY69" i="27"/>
  <c r="J69" i="27" s="1"/>
  <c r="BY82" i="27"/>
  <c r="J82" i="27" s="1"/>
  <c r="BY90" i="27"/>
  <c r="J90" i="27" s="1"/>
  <c r="BY98" i="27"/>
  <c r="J98" i="27" s="1"/>
  <c r="BY105" i="27"/>
  <c r="J105" i="27" s="1"/>
  <c r="BY113" i="27"/>
  <c r="J113" i="27" s="1"/>
  <c r="BY75" i="27"/>
  <c r="J75" i="27" s="1"/>
  <c r="BY83" i="27"/>
  <c r="J83" i="27" s="1"/>
  <c r="BY91" i="27"/>
  <c r="J91" i="27" s="1"/>
  <c r="BY99" i="27"/>
  <c r="J99" i="27" s="1"/>
  <c r="BY139" i="27"/>
  <c r="J139" i="27" s="1"/>
  <c r="BY121" i="27"/>
  <c r="J121" i="27" s="1"/>
  <c r="BY129" i="27"/>
  <c r="J129" i="27" s="1"/>
  <c r="BY137" i="27"/>
  <c r="J137" i="27" s="1"/>
  <c r="BY110" i="27"/>
  <c r="J110" i="27" s="1"/>
  <c r="BY118" i="27"/>
  <c r="J118" i="27" s="1"/>
  <c r="BY126" i="27"/>
  <c r="J126" i="27" s="1"/>
  <c r="BY134" i="27"/>
  <c r="J134" i="27" s="1"/>
  <c r="BY148" i="27"/>
  <c r="J148" i="27" s="1"/>
  <c r="BY156" i="27"/>
  <c r="J156" i="27" s="1"/>
  <c r="BY161" i="27"/>
  <c r="J161" i="27" s="1"/>
  <c r="BY145" i="27"/>
  <c r="J145" i="27" s="1"/>
  <c r="BY153" i="27"/>
  <c r="J153" i="27" s="1"/>
  <c r="BY162" i="27"/>
  <c r="J162" i="27" s="1"/>
  <c r="BY172" i="27"/>
  <c r="J172" i="27" s="1"/>
  <c r="BY180" i="27"/>
  <c r="J180" i="27" s="1"/>
  <c r="BY167" i="27"/>
  <c r="J167" i="27" s="1"/>
  <c r="BY175" i="27"/>
  <c r="J175" i="27" s="1"/>
  <c r="BY183" i="27"/>
  <c r="J183" i="27" s="1"/>
  <c r="BY193" i="27"/>
  <c r="J193" i="27" s="1"/>
  <c r="BY202" i="27"/>
  <c r="J202" i="27" s="1"/>
  <c r="BY188" i="27"/>
  <c r="J188" i="27" s="1"/>
  <c r="BY196" i="27"/>
  <c r="J196" i="27" s="1"/>
  <c r="BY203" i="27"/>
  <c r="J203" i="27" s="1"/>
  <c r="BY211" i="27"/>
  <c r="J211" i="27" s="1"/>
  <c r="BY210" i="27"/>
  <c r="J210" i="27" s="1"/>
  <c r="BY215" i="27"/>
  <c r="J215" i="27" s="1"/>
  <c r="BY224" i="27"/>
  <c r="J224" i="27" s="1"/>
  <c r="BY223" i="27"/>
  <c r="J223" i="27" s="1"/>
  <c r="BY227" i="27"/>
  <c r="J227" i="27" s="1"/>
  <c r="BY228" i="27"/>
  <c r="J228" i="27" s="1"/>
  <c r="BY244" i="27"/>
  <c r="J244" i="27" s="1"/>
  <c r="BY242" i="27"/>
  <c r="J242" i="27" s="1"/>
  <c r="BY243" i="27"/>
  <c r="J243" i="27" s="1"/>
  <c r="BY245" i="27"/>
  <c r="J245" i="27" s="1"/>
  <c r="BY250" i="27"/>
  <c r="J250" i="27" s="1"/>
  <c r="BY253" i="27"/>
  <c r="J253" i="27" s="1"/>
  <c r="BY262" i="27"/>
  <c r="J262" i="27" s="1"/>
  <c r="U40" i="27"/>
  <c r="AT40" i="27"/>
  <c r="AU40" i="27" s="1"/>
  <c r="BY17" i="27"/>
  <c r="J17" i="27" s="1"/>
  <c r="BY29" i="27"/>
  <c r="J29" i="27" s="1"/>
  <c r="BY37" i="27"/>
  <c r="J37" i="27" s="1"/>
  <c r="BY21" i="27"/>
  <c r="J21" i="27" s="1"/>
  <c r="BY18" i="27"/>
  <c r="J18" i="27" s="1"/>
  <c r="BY26" i="27"/>
  <c r="J26" i="27" s="1"/>
  <c r="BY34" i="27"/>
  <c r="J34" i="27" s="1"/>
  <c r="BY42" i="27"/>
  <c r="J42" i="27" s="1"/>
  <c r="BY50" i="27"/>
  <c r="J50" i="27" s="1"/>
  <c r="BY58" i="27"/>
  <c r="J58" i="27" s="1"/>
  <c r="BY66" i="27"/>
  <c r="J66" i="27" s="1"/>
  <c r="BY72" i="27"/>
  <c r="J72" i="27" s="1"/>
  <c r="BY47" i="27"/>
  <c r="J47" i="27" s="1"/>
  <c r="BY55" i="27"/>
  <c r="J55" i="27" s="1"/>
  <c r="BY63" i="27"/>
  <c r="J63" i="27" s="1"/>
  <c r="BY76" i="27"/>
  <c r="J76" i="27" s="1"/>
  <c r="BY84" i="27"/>
  <c r="J84" i="27" s="1"/>
  <c r="BY92" i="27"/>
  <c r="J92" i="27" s="1"/>
  <c r="BY100" i="27"/>
  <c r="J100" i="27" s="1"/>
  <c r="BY107" i="27"/>
  <c r="J107" i="27" s="1"/>
  <c r="BY115" i="27"/>
  <c r="J115" i="27" s="1"/>
  <c r="BY77" i="27"/>
  <c r="J77" i="27" s="1"/>
  <c r="BY85" i="27"/>
  <c r="J85" i="27" s="1"/>
  <c r="BY93" i="27"/>
  <c r="J93" i="27" s="1"/>
  <c r="BY101" i="27"/>
  <c r="J101" i="27" s="1"/>
  <c r="BY142" i="27"/>
  <c r="J142" i="27" s="1"/>
  <c r="BY123" i="27"/>
  <c r="J123" i="27" s="1"/>
  <c r="BY131" i="27"/>
  <c r="J131" i="27" s="1"/>
  <c r="BY140" i="27"/>
  <c r="J140" i="27" s="1"/>
  <c r="BY112" i="27"/>
  <c r="J112" i="27" s="1"/>
  <c r="BY120" i="27"/>
  <c r="J120" i="27" s="1"/>
  <c r="BY128" i="27"/>
  <c r="J128" i="27" s="1"/>
  <c r="BY136" i="27"/>
  <c r="J136" i="27" s="1"/>
  <c r="BY150" i="27"/>
  <c r="J150" i="27" s="1"/>
  <c r="BY158" i="27"/>
  <c r="J158" i="27" s="1"/>
  <c r="BY164" i="27"/>
  <c r="J164" i="27" s="1"/>
  <c r="BY147" i="27"/>
  <c r="J147" i="27" s="1"/>
  <c r="BY155" i="27"/>
  <c r="J155" i="27" s="1"/>
  <c r="BY163" i="27"/>
  <c r="J163" i="27" s="1"/>
  <c r="BY174" i="27"/>
  <c r="J174" i="27" s="1"/>
  <c r="BY182" i="27"/>
  <c r="J182" i="27" s="1"/>
  <c r="BY169" i="27"/>
  <c r="J169" i="27" s="1"/>
  <c r="BY177" i="27"/>
  <c r="J177" i="27" s="1"/>
  <c r="BY185" i="27"/>
  <c r="J185" i="27" s="1"/>
  <c r="BY195" i="27"/>
  <c r="J195" i="27" s="1"/>
  <c r="BY204" i="27"/>
  <c r="J204" i="27" s="1"/>
  <c r="BY190" i="27"/>
  <c r="J190" i="27" s="1"/>
  <c r="BY198" i="27"/>
  <c r="J198" i="27" s="1"/>
  <c r="BY205" i="27"/>
  <c r="J205" i="27" s="1"/>
  <c r="BY213" i="27"/>
  <c r="J213" i="27" s="1"/>
  <c r="BY212" i="27"/>
  <c r="J212" i="27" s="1"/>
  <c r="BY216" i="27"/>
  <c r="J216" i="27" s="1"/>
  <c r="BY217" i="27"/>
  <c r="J217" i="27" s="1"/>
  <c r="BY225" i="27"/>
  <c r="J225" i="27" s="1"/>
  <c r="BY229" i="27"/>
  <c r="J229" i="27" s="1"/>
  <c r="BY230" i="27"/>
  <c r="J230" i="27" s="1"/>
  <c r="BY236" i="27"/>
  <c r="J236" i="27" s="1"/>
  <c r="BY237" i="27"/>
  <c r="J237" i="27" s="1"/>
  <c r="BY247" i="27"/>
  <c r="J247" i="27" s="1"/>
  <c r="BY257" i="27"/>
  <c r="J257" i="27" s="1"/>
  <c r="BY252" i="27"/>
  <c r="J252" i="27" s="1"/>
  <c r="BY254" i="27"/>
  <c r="J254" i="27" s="1"/>
  <c r="C12" i="27"/>
  <c r="AT138" i="27"/>
  <c r="AX138" i="27" s="1"/>
  <c r="A138" i="27" s="1"/>
  <c r="U138" i="27"/>
  <c r="AT185" i="27"/>
  <c r="U185" i="27"/>
  <c r="AT255" i="27"/>
  <c r="U255" i="27"/>
  <c r="AT83" i="27"/>
  <c r="AU83" i="27" s="1"/>
  <c r="U83" i="27"/>
  <c r="AU195" i="27"/>
  <c r="AU68" i="27"/>
  <c r="AU168" i="27"/>
  <c r="AU127" i="27"/>
  <c r="AU58" i="27"/>
  <c r="AU110" i="27"/>
  <c r="AU120" i="27"/>
  <c r="AU67" i="27"/>
  <c r="AU19" i="27"/>
  <c r="AU165" i="27"/>
  <c r="AU118" i="27"/>
  <c r="AU215" i="27"/>
  <c r="AU156" i="27"/>
  <c r="AT85" i="27"/>
  <c r="AU85" i="27" s="1"/>
  <c r="U85" i="27"/>
  <c r="AU261" i="27"/>
  <c r="AU182" i="27"/>
  <c r="AU33" i="27"/>
  <c r="AU163" i="27"/>
  <c r="AU130" i="27"/>
  <c r="AU21" i="27"/>
  <c r="AU137" i="27"/>
  <c r="AU162" i="27"/>
  <c r="AU148" i="27"/>
  <c r="AT111" i="27"/>
  <c r="U111" i="27"/>
  <c r="AU39" i="27"/>
  <c r="AT251" i="27"/>
  <c r="U251" i="27"/>
  <c r="AU161" i="27"/>
  <c r="AU129" i="27"/>
  <c r="AU28" i="27"/>
  <c r="AU240" i="27"/>
  <c r="AU158" i="27"/>
  <c r="N12" i="27"/>
  <c r="CK9" i="27"/>
  <c r="AT247" i="27"/>
  <c r="AU247" i="27" s="1"/>
  <c r="U247" i="27"/>
  <c r="AU171" i="27"/>
  <c r="AU103" i="27"/>
  <c r="AT204" i="27"/>
  <c r="AX204" i="27" s="1"/>
  <c r="A204" i="27" s="1"/>
  <c r="U204" i="27"/>
  <c r="AU116" i="27"/>
  <c r="AU89" i="27"/>
  <c r="AU20" i="27"/>
  <c r="AT244" i="27"/>
  <c r="AU244" i="27" s="1"/>
  <c r="U244" i="27"/>
  <c r="AT221" i="27"/>
  <c r="AX221" i="27" s="1"/>
  <c r="A221" i="27" s="1"/>
  <c r="U221" i="27"/>
  <c r="AT202" i="27"/>
  <c r="AU202" i="27" s="1"/>
  <c r="U202" i="27"/>
  <c r="AT200" i="27"/>
  <c r="U200" i="27"/>
  <c r="AU197" i="27"/>
  <c r="AU117" i="27"/>
  <c r="AT81" i="27"/>
  <c r="AX81" i="27" s="1"/>
  <c r="A81" i="27" s="1"/>
  <c r="U81" i="27"/>
  <c r="AU23" i="27"/>
  <c r="AU88" i="27"/>
  <c r="BD25" i="27"/>
  <c r="C25" i="27" s="1"/>
  <c r="BD33" i="27"/>
  <c r="C33" i="27" s="1"/>
  <c r="BD18" i="27"/>
  <c r="C18" i="27" s="1"/>
  <c r="BD34" i="27"/>
  <c r="C34" i="27" s="1"/>
  <c r="BD41" i="27"/>
  <c r="C41" i="27" s="1"/>
  <c r="BD45" i="27"/>
  <c r="C45" i="27" s="1"/>
  <c r="BD49" i="27"/>
  <c r="C49" i="27" s="1"/>
  <c r="BD53" i="27"/>
  <c r="C53" i="27" s="1"/>
  <c r="BD57" i="27"/>
  <c r="C57" i="27" s="1"/>
  <c r="BD65" i="27"/>
  <c r="C65" i="27" s="1"/>
  <c r="BD58" i="27"/>
  <c r="C58" i="27" s="1"/>
  <c r="BD66" i="27"/>
  <c r="C66" i="27" s="1"/>
  <c r="BD86" i="27"/>
  <c r="C86" i="27" s="1"/>
  <c r="BD94" i="27"/>
  <c r="C94" i="27" s="1"/>
  <c r="BD102" i="27"/>
  <c r="C102" i="27" s="1"/>
  <c r="BD91" i="27"/>
  <c r="C91" i="27" s="1"/>
  <c r="BD99" i="27"/>
  <c r="C99" i="27" s="1"/>
  <c r="BD115" i="27"/>
  <c r="C115" i="27" s="1"/>
  <c r="BD123" i="27"/>
  <c r="C123" i="27" s="1"/>
  <c r="BD131" i="27"/>
  <c r="C131" i="27" s="1"/>
  <c r="BD110" i="27"/>
  <c r="C110" i="27" s="1"/>
  <c r="BD118" i="27"/>
  <c r="C118" i="27" s="1"/>
  <c r="BD126" i="27"/>
  <c r="C126" i="27" s="1"/>
  <c r="BD134" i="27"/>
  <c r="C134" i="27" s="1"/>
  <c r="BD154" i="27"/>
  <c r="C154" i="27" s="1"/>
  <c r="BD163" i="27"/>
  <c r="C163" i="27" s="1"/>
  <c r="BD164" i="27"/>
  <c r="C164" i="27" s="1"/>
  <c r="BD172" i="27"/>
  <c r="C172" i="27" s="1"/>
  <c r="BD180" i="27"/>
  <c r="C180" i="27" s="1"/>
  <c r="BD171" i="27"/>
  <c r="C171" i="27" s="1"/>
  <c r="BD179" i="27"/>
  <c r="C179" i="27" s="1"/>
  <c r="BD186" i="27"/>
  <c r="C186" i="27" s="1"/>
  <c r="BD197" i="27"/>
  <c r="C197" i="27" s="1"/>
  <c r="BD208" i="27"/>
  <c r="C208" i="27" s="1"/>
  <c r="BD218" i="27"/>
  <c r="C218" i="27" s="1"/>
  <c r="BD222" i="27"/>
  <c r="C222" i="27" s="1"/>
  <c r="BD227" i="27"/>
  <c r="C227" i="27" s="1"/>
  <c r="BD234" i="27"/>
  <c r="C234" i="27" s="1"/>
  <c r="BD235" i="27"/>
  <c r="C235" i="27" s="1"/>
  <c r="BD246" i="27"/>
  <c r="C246" i="27" s="1"/>
  <c r="BD253" i="27"/>
  <c r="C253" i="27" s="1"/>
  <c r="BD261" i="27"/>
  <c r="C261" i="27" s="1"/>
  <c r="R12" i="27"/>
  <c r="CW9" i="27"/>
  <c r="BG12" i="27"/>
  <c r="BG30" i="27"/>
  <c r="D30" i="27" s="1"/>
  <c r="BG38" i="27"/>
  <c r="D38" i="27" s="1"/>
  <c r="BG22" i="27"/>
  <c r="D22" i="27" s="1"/>
  <c r="BG25" i="27"/>
  <c r="D25" i="27" s="1"/>
  <c r="BG33" i="27"/>
  <c r="D33" i="27" s="1"/>
  <c r="BG41" i="27"/>
  <c r="D41" i="27" s="1"/>
  <c r="BG49" i="27"/>
  <c r="D49" i="27" s="1"/>
  <c r="BG57" i="27"/>
  <c r="D57" i="27" s="1"/>
  <c r="BG65" i="27"/>
  <c r="D65" i="27" s="1"/>
  <c r="BG77" i="27"/>
  <c r="D77" i="27" s="1"/>
  <c r="BG62" i="27"/>
  <c r="D62" i="27" s="1"/>
  <c r="BG70" i="27"/>
  <c r="D70" i="27" s="1"/>
  <c r="BG89" i="27"/>
  <c r="D89" i="27" s="1"/>
  <c r="BG97" i="27"/>
  <c r="D97" i="27" s="1"/>
  <c r="BG106" i="27"/>
  <c r="D106" i="27" s="1"/>
  <c r="BG114" i="27"/>
  <c r="D114" i="27" s="1"/>
  <c r="BG84" i="27"/>
  <c r="D84" i="27" s="1"/>
  <c r="BG92" i="27"/>
  <c r="D92" i="27" s="1"/>
  <c r="BG100" i="27"/>
  <c r="D100" i="27" s="1"/>
  <c r="BG120" i="27"/>
  <c r="D120" i="27" s="1"/>
  <c r="BG128" i="27"/>
  <c r="D128" i="27" s="1"/>
  <c r="BG136" i="27"/>
  <c r="D136" i="27" s="1"/>
  <c r="BG121" i="27"/>
  <c r="D121" i="27" s="1"/>
  <c r="BG129" i="27"/>
  <c r="D129" i="27" s="1"/>
  <c r="BG137" i="27"/>
  <c r="D137" i="27" s="1"/>
  <c r="BG165" i="27"/>
  <c r="D165" i="27" s="1"/>
  <c r="BG154" i="27"/>
  <c r="D154" i="27" s="1"/>
  <c r="BG161" i="27"/>
  <c r="D161" i="27" s="1"/>
  <c r="BG173" i="27"/>
  <c r="D173" i="27" s="1"/>
  <c r="BG181" i="27"/>
  <c r="D181" i="27" s="1"/>
  <c r="BG164" i="27"/>
  <c r="D164" i="27" s="1"/>
  <c r="BG172" i="27"/>
  <c r="D172" i="27" s="1"/>
  <c r="BG180" i="27"/>
  <c r="D180" i="27" s="1"/>
  <c r="BG192" i="27"/>
  <c r="D192" i="27" s="1"/>
  <c r="BG201" i="27"/>
  <c r="D201" i="27" s="1"/>
  <c r="BG197" i="27"/>
  <c r="D197" i="27" s="1"/>
  <c r="BG212" i="27"/>
  <c r="D212" i="27" s="1"/>
  <c r="BG228" i="27"/>
  <c r="D228" i="27" s="1"/>
  <c r="BG229" i="27"/>
  <c r="D229" i="27" s="1"/>
  <c r="BG241" i="27"/>
  <c r="D241" i="27" s="1"/>
  <c r="BG250" i="27"/>
  <c r="D250" i="27" s="1"/>
  <c r="BG256" i="27"/>
  <c r="D256" i="27" s="1"/>
  <c r="BG261" i="27"/>
  <c r="D261" i="27" s="1"/>
  <c r="K12" i="27"/>
  <c r="CB9" i="27"/>
  <c r="BA13" i="27"/>
  <c r="B13" i="27" s="1"/>
  <c r="BA29" i="27"/>
  <c r="B29" i="27" s="1"/>
  <c r="BA37" i="27"/>
  <c r="B37" i="27" s="1"/>
  <c r="BA12" i="27"/>
  <c r="BA20" i="27"/>
  <c r="B20" i="27" s="1"/>
  <c r="BA28" i="27"/>
  <c r="B28" i="27" s="1"/>
  <c r="BA36" i="27"/>
  <c r="B36" i="27" s="1"/>
  <c r="BA60" i="27"/>
  <c r="B60" i="27" s="1"/>
  <c r="BA68" i="27"/>
  <c r="B68" i="27" s="1"/>
  <c r="BA41" i="27"/>
  <c r="B41" i="27" s="1"/>
  <c r="BA84" i="27"/>
  <c r="B84" i="27" s="1"/>
  <c r="BA90" i="27"/>
  <c r="B90" i="27" s="1"/>
  <c r="BA98" i="27"/>
  <c r="B98" i="27" s="1"/>
  <c r="BA115" i="27"/>
  <c r="B115" i="27" s="1"/>
  <c r="BA79" i="27"/>
  <c r="B79" i="27" s="1"/>
  <c r="BA87" i="27"/>
  <c r="B87" i="27" s="1"/>
  <c r="BA95" i="27"/>
  <c r="B95" i="27" s="1"/>
  <c r="BA103" i="27"/>
  <c r="B103" i="27" s="1"/>
  <c r="BA117" i="27"/>
  <c r="B117" i="27" s="1"/>
  <c r="BA125" i="27"/>
  <c r="B125" i="27" s="1"/>
  <c r="BA133" i="27"/>
  <c r="B133" i="27" s="1"/>
  <c r="BA106" i="27"/>
  <c r="B106" i="27" s="1"/>
  <c r="BA114" i="27"/>
  <c r="B114" i="27" s="1"/>
  <c r="BA122" i="27"/>
  <c r="B122" i="27" s="1"/>
  <c r="BA130" i="27"/>
  <c r="B130" i="27" s="1"/>
  <c r="BA152" i="27"/>
  <c r="B152" i="27" s="1"/>
  <c r="BA141" i="27"/>
  <c r="B141" i="27" s="1"/>
  <c r="BA168" i="27"/>
  <c r="B168" i="27" s="1"/>
  <c r="BA176" i="27"/>
  <c r="B176" i="27" s="1"/>
  <c r="BA171" i="27"/>
  <c r="B171" i="27" s="1"/>
  <c r="BA179" i="27"/>
  <c r="B179" i="27" s="1"/>
  <c r="BA184" i="27"/>
  <c r="B184" i="27" s="1"/>
  <c r="BA192" i="27"/>
  <c r="B192" i="27" s="1"/>
  <c r="BA206" i="27"/>
  <c r="B206" i="27" s="1"/>
  <c r="BA214" i="27"/>
  <c r="B214" i="27" s="1"/>
  <c r="BA218" i="27"/>
  <c r="B218" i="27" s="1"/>
  <c r="BA233" i="27"/>
  <c r="B233" i="27" s="1"/>
  <c r="BA234" i="27"/>
  <c r="B234" i="27" s="1"/>
  <c r="BA240" i="27"/>
  <c r="B240" i="27" s="1"/>
  <c r="BA239" i="27"/>
  <c r="B239" i="27" s="1"/>
  <c r="BA252" i="27"/>
  <c r="B252" i="27" s="1"/>
  <c r="BA256" i="27"/>
  <c r="B256" i="27" s="1"/>
  <c r="T12" i="27"/>
  <c r="DC9" i="27"/>
  <c r="AT242" i="27"/>
  <c r="U242" i="27"/>
  <c r="AU187" i="27"/>
  <c r="AT187" i="27"/>
  <c r="U187" i="27"/>
  <c r="AT78" i="27"/>
  <c r="AX78" i="27" s="1"/>
  <c r="A78" i="27" s="1"/>
  <c r="U78" i="27"/>
  <c r="BD19" i="27"/>
  <c r="C19" i="27" s="1"/>
  <c r="BD27" i="27"/>
  <c r="C27" i="27" s="1"/>
  <c r="BD35" i="27"/>
  <c r="C35" i="27" s="1"/>
  <c r="BD28" i="27"/>
  <c r="C28" i="27" s="1"/>
  <c r="BD36" i="27"/>
  <c r="C36" i="27" s="1"/>
  <c r="BD59" i="27"/>
  <c r="C59" i="27" s="1"/>
  <c r="BD67" i="27"/>
  <c r="C67" i="27" s="1"/>
  <c r="BD60" i="27"/>
  <c r="C60" i="27" s="1"/>
  <c r="BD68" i="27"/>
  <c r="C68" i="27" s="1"/>
  <c r="BD77" i="27"/>
  <c r="C77" i="27" s="1"/>
  <c r="BD96" i="27"/>
  <c r="C96" i="27" s="1"/>
  <c r="BD93" i="27"/>
  <c r="C93" i="27" s="1"/>
  <c r="BD101" i="27"/>
  <c r="C101" i="27" s="1"/>
  <c r="BD109" i="27"/>
  <c r="C109" i="27" s="1"/>
  <c r="BD133" i="27"/>
  <c r="C133" i="27" s="1"/>
  <c r="BD141" i="27"/>
  <c r="C141" i="27" s="1"/>
  <c r="BD120" i="27"/>
  <c r="C120" i="27" s="1"/>
  <c r="BD128" i="27"/>
  <c r="C128" i="27" s="1"/>
  <c r="BD148" i="27"/>
  <c r="C148" i="27" s="1"/>
  <c r="BD156" i="27"/>
  <c r="C156" i="27" s="1"/>
  <c r="BD165" i="27"/>
  <c r="C165" i="27" s="1"/>
  <c r="BD174" i="27"/>
  <c r="C174" i="27" s="1"/>
  <c r="BD182" i="27"/>
  <c r="C182" i="27" s="1"/>
  <c r="BD173" i="27"/>
  <c r="C173" i="27" s="1"/>
  <c r="BD181" i="27"/>
  <c r="C181" i="27" s="1"/>
  <c r="BD199" i="27"/>
  <c r="C199" i="27" s="1"/>
  <c r="BD216" i="27"/>
  <c r="C216" i="27" s="1"/>
  <c r="BD224" i="27"/>
  <c r="C224" i="27" s="1"/>
  <c r="BD229" i="27"/>
  <c r="C229" i="27" s="1"/>
  <c r="BD228" i="27"/>
  <c r="C228" i="27" s="1"/>
  <c r="BD237" i="27"/>
  <c r="C237" i="27" s="1"/>
  <c r="BD248" i="27"/>
  <c r="C248" i="27" s="1"/>
  <c r="BD254" i="27"/>
  <c r="C254" i="27" s="1"/>
  <c r="BD256" i="27"/>
  <c r="C256" i="27" s="1"/>
  <c r="BD260" i="27"/>
  <c r="C260" i="27" s="1"/>
  <c r="BG24" i="27"/>
  <c r="D24" i="27" s="1"/>
  <c r="BG32" i="27"/>
  <c r="D32" i="27" s="1"/>
  <c r="BG16" i="27"/>
  <c r="D16" i="27" s="1"/>
  <c r="BG14" i="27"/>
  <c r="D14" i="27" s="1"/>
  <c r="BG19" i="27"/>
  <c r="D19" i="27" s="1"/>
  <c r="BG27" i="27"/>
  <c r="D27" i="27" s="1"/>
  <c r="BG35" i="27"/>
  <c r="D35" i="27" s="1"/>
  <c r="BG43" i="27"/>
  <c r="D43" i="27" s="1"/>
  <c r="BG51" i="27"/>
  <c r="D51" i="27" s="1"/>
  <c r="BG59" i="27"/>
  <c r="D59" i="27" s="1"/>
  <c r="BG67" i="27"/>
  <c r="D67" i="27" s="1"/>
  <c r="BG64" i="27"/>
  <c r="D64" i="27" s="1"/>
  <c r="BG91" i="27"/>
  <c r="D91" i="27" s="1"/>
  <c r="BG99" i="27"/>
  <c r="D99" i="27" s="1"/>
  <c r="BG108" i="27"/>
  <c r="D108" i="27" s="1"/>
  <c r="BG116" i="27"/>
  <c r="D116" i="27" s="1"/>
  <c r="BG86" i="27"/>
  <c r="D86" i="27" s="1"/>
  <c r="BG94" i="27"/>
  <c r="D94" i="27" s="1"/>
  <c r="BG102" i="27"/>
  <c r="D102" i="27" s="1"/>
  <c r="BG122" i="27"/>
  <c r="D122" i="27" s="1"/>
  <c r="BG130" i="27"/>
  <c r="D130" i="27" s="1"/>
  <c r="BG123" i="27"/>
  <c r="D123" i="27" s="1"/>
  <c r="BG131" i="27"/>
  <c r="D131" i="27" s="1"/>
  <c r="BG145" i="27"/>
  <c r="D145" i="27" s="1"/>
  <c r="BG148" i="27"/>
  <c r="D148" i="27" s="1"/>
  <c r="BG156" i="27"/>
  <c r="D156" i="27" s="1"/>
  <c r="BG175" i="27"/>
  <c r="D175" i="27" s="1"/>
  <c r="BG183" i="27"/>
  <c r="D183" i="27" s="1"/>
  <c r="BG174" i="27"/>
  <c r="D174" i="27" s="1"/>
  <c r="BG182" i="27"/>
  <c r="D182" i="27" s="1"/>
  <c r="BG203" i="27"/>
  <c r="D203" i="27" s="1"/>
  <c r="BG199" i="27"/>
  <c r="D199" i="27" s="1"/>
  <c r="BG206" i="27"/>
  <c r="D206" i="27" s="1"/>
  <c r="BG214" i="27"/>
  <c r="D214" i="27" s="1"/>
  <c r="BG223" i="27"/>
  <c r="D223" i="27" s="1"/>
  <c r="BG222" i="27"/>
  <c r="D222" i="27" s="1"/>
  <c r="BG230" i="27"/>
  <c r="D230" i="27" s="1"/>
  <c r="BG231" i="27"/>
  <c r="D231" i="27" s="1"/>
  <c r="BG235" i="27"/>
  <c r="D235" i="27" s="1"/>
  <c r="BG243" i="27"/>
  <c r="D243" i="27" s="1"/>
  <c r="BG253" i="27"/>
  <c r="D253" i="27" s="1"/>
  <c r="BG260" i="27"/>
  <c r="D260" i="27" s="1"/>
  <c r="CN9" i="27"/>
  <c r="O12" i="27"/>
  <c r="P12" i="27"/>
  <c r="BA23" i="27"/>
  <c r="B23" i="27" s="1"/>
  <c r="BA31" i="27"/>
  <c r="B31" i="27" s="1"/>
  <c r="BA39" i="27"/>
  <c r="B39" i="27" s="1"/>
  <c r="BA14" i="27"/>
  <c r="B14" i="27" s="1"/>
  <c r="BA22" i="27"/>
  <c r="B22" i="27" s="1"/>
  <c r="BA30" i="27"/>
  <c r="B30" i="27" s="1"/>
  <c r="BA38" i="27"/>
  <c r="B38" i="27" s="1"/>
  <c r="BA62" i="27"/>
  <c r="B62" i="27" s="1"/>
  <c r="BA70" i="27"/>
  <c r="B70" i="27" s="1"/>
  <c r="BA43" i="27"/>
  <c r="B43" i="27" s="1"/>
  <c r="BA51" i="27"/>
  <c r="B51" i="27" s="1"/>
  <c r="BA92" i="27"/>
  <c r="B92" i="27" s="1"/>
  <c r="BA100" i="27"/>
  <c r="B100" i="27" s="1"/>
  <c r="BA109" i="27"/>
  <c r="B109" i="27" s="1"/>
  <c r="BA89" i="27"/>
  <c r="B89" i="27" s="1"/>
  <c r="BA97" i="27"/>
  <c r="B97" i="27" s="1"/>
  <c r="BA119" i="27"/>
  <c r="B119" i="27" s="1"/>
  <c r="BA127" i="27"/>
  <c r="B127" i="27" s="1"/>
  <c r="BA135" i="27"/>
  <c r="B135" i="27" s="1"/>
  <c r="BA108" i="27"/>
  <c r="B108" i="27" s="1"/>
  <c r="BA116" i="27"/>
  <c r="B116" i="27" s="1"/>
  <c r="BA124" i="27"/>
  <c r="B124" i="27" s="1"/>
  <c r="BA132" i="27"/>
  <c r="B132" i="27" s="1"/>
  <c r="BA154" i="27"/>
  <c r="B154" i="27" s="1"/>
  <c r="BA160" i="27"/>
  <c r="B160" i="27" s="1"/>
  <c r="BA170" i="27"/>
  <c r="B170" i="27" s="1"/>
  <c r="BA178" i="27"/>
  <c r="B178" i="27" s="1"/>
  <c r="BA173" i="27"/>
  <c r="B173" i="27" s="1"/>
  <c r="BA181" i="27"/>
  <c r="B181" i="27" s="1"/>
  <c r="BA186" i="27"/>
  <c r="B186" i="27" s="1"/>
  <c r="BA201" i="27"/>
  <c r="B201" i="27" s="1"/>
  <c r="BA208" i="27"/>
  <c r="B208" i="27" s="1"/>
  <c r="BA222" i="27"/>
  <c r="B222" i="27" s="1"/>
  <c r="BA227" i="27"/>
  <c r="B227" i="27" s="1"/>
  <c r="BA241" i="27"/>
  <c r="B241" i="27" s="1"/>
  <c r="BA246" i="27"/>
  <c r="B246" i="27" s="1"/>
  <c r="AT140" i="27"/>
  <c r="AU140" i="27"/>
  <c r="U140" i="27"/>
  <c r="CZ9" i="27"/>
  <c r="S12" i="27"/>
  <c r="AU169" i="27"/>
  <c r="AU122" i="27"/>
  <c r="AU18" i="27"/>
  <c r="AU224" i="27"/>
  <c r="AU108" i="27"/>
  <c r="AU101" i="27"/>
  <c r="AU43" i="27"/>
  <c r="AU241" i="27"/>
  <c r="AU208" i="27"/>
  <c r="AU192" i="27"/>
  <c r="AU131" i="27"/>
  <c r="AU98" i="27"/>
  <c r="AU243" i="27"/>
  <c r="AU172" i="27"/>
  <c r="AU109" i="27"/>
  <c r="AU37" i="27"/>
  <c r="AU175" i="27"/>
  <c r="AU106" i="27"/>
  <c r="AU60" i="27"/>
  <c r="AU248" i="27"/>
  <c r="AU231" i="27"/>
  <c r="AT143" i="27"/>
  <c r="AU143" i="27" s="1"/>
  <c r="U143" i="27"/>
  <c r="AU126" i="27"/>
  <c r="AT113" i="27"/>
  <c r="AX113" i="27" s="1"/>
  <c r="A113" i="27" s="1"/>
  <c r="U113" i="27"/>
  <c r="AU250" i="27"/>
  <c r="AU237" i="27"/>
  <c r="AU170" i="27"/>
  <c r="AU94" i="27"/>
  <c r="AU230" i="27"/>
  <c r="AU13" i="27"/>
  <c r="AU262" i="27"/>
  <c r="AU225" i="27"/>
  <c r="AU174" i="27"/>
  <c r="AU25" i="27"/>
  <c r="AU121" i="27"/>
  <c r="AT82" i="27"/>
  <c r="U82" i="27"/>
  <c r="H12" i="27"/>
  <c r="BS9" i="27"/>
  <c r="AU34" i="27"/>
  <c r="AU227" i="27"/>
  <c r="AU123" i="27"/>
  <c r="AU15" i="27"/>
  <c r="AU232" i="27"/>
  <c r="AU160" i="27"/>
  <c r="AU176" i="27"/>
  <c r="AU53" i="27"/>
  <c r="AU210" i="27"/>
  <c r="AU152" i="27"/>
  <c r="AU86" i="27"/>
  <c r="AT56" i="27"/>
  <c r="U56" i="27"/>
  <c r="BD13" i="27"/>
  <c r="C13" i="27" s="1"/>
  <c r="BD21" i="27"/>
  <c r="C21" i="27" s="1"/>
  <c r="BD29" i="27"/>
  <c r="C29" i="27" s="1"/>
  <c r="BD37" i="27"/>
  <c r="C37" i="27" s="1"/>
  <c r="BD22" i="27"/>
  <c r="C22" i="27" s="1"/>
  <c r="BD30" i="27"/>
  <c r="C30" i="27" s="1"/>
  <c r="BD75" i="27"/>
  <c r="C75" i="27" s="1"/>
  <c r="BD61" i="27"/>
  <c r="C61" i="27" s="1"/>
  <c r="BD69" i="27"/>
  <c r="C69" i="27" s="1"/>
  <c r="BD90" i="27"/>
  <c r="C90" i="27" s="1"/>
  <c r="BD98" i="27"/>
  <c r="C98" i="27" s="1"/>
  <c r="BD79" i="27"/>
  <c r="C79" i="27" s="1"/>
  <c r="BD87" i="27"/>
  <c r="C87" i="27" s="1"/>
  <c r="BD95" i="27"/>
  <c r="C95" i="27" s="1"/>
  <c r="BD103" i="27"/>
  <c r="C103" i="27" s="1"/>
  <c r="BD119" i="27"/>
  <c r="C119" i="27" s="1"/>
  <c r="BD127" i="27"/>
  <c r="C127" i="27" s="1"/>
  <c r="BD135" i="27"/>
  <c r="C135" i="27" s="1"/>
  <c r="BD145" i="27"/>
  <c r="C145" i="27" s="1"/>
  <c r="BD142" i="27"/>
  <c r="C142" i="27" s="1"/>
  <c r="BD150" i="27"/>
  <c r="C150" i="27" s="1"/>
  <c r="BD158" i="27"/>
  <c r="C158" i="27" s="1"/>
  <c r="BD160" i="27"/>
  <c r="C160" i="27" s="1"/>
  <c r="BD168" i="27"/>
  <c r="C168" i="27" s="1"/>
  <c r="BD176" i="27"/>
  <c r="C176" i="27" s="1"/>
  <c r="BD190" i="27"/>
  <c r="C190" i="27" s="1"/>
  <c r="BD175" i="27"/>
  <c r="C175" i="27" s="1"/>
  <c r="BD183" i="27"/>
  <c r="C183" i="27" s="1"/>
  <c r="BD193" i="27"/>
  <c r="C193" i="27" s="1"/>
  <c r="BD212" i="27"/>
  <c r="C212" i="27" s="1"/>
  <c r="BD203" i="27"/>
  <c r="C203" i="27" s="1"/>
  <c r="BD215" i="27"/>
  <c r="C215" i="27" s="1"/>
  <c r="BD223" i="27"/>
  <c r="C223" i="27" s="1"/>
  <c r="BD231" i="27"/>
  <c r="C231" i="27" s="1"/>
  <c r="BD230" i="27"/>
  <c r="C230" i="27" s="1"/>
  <c r="BD238" i="27"/>
  <c r="C238" i="27" s="1"/>
  <c r="BD239" i="27"/>
  <c r="C239" i="27" s="1"/>
  <c r="BD243" i="27"/>
  <c r="C243" i="27" s="1"/>
  <c r="BD250" i="27"/>
  <c r="C250" i="27" s="1"/>
  <c r="BD262" i="27"/>
  <c r="C262" i="27" s="1"/>
  <c r="BG26" i="27"/>
  <c r="D26" i="27" s="1"/>
  <c r="BG34" i="27"/>
  <c r="D34" i="27" s="1"/>
  <c r="BG18" i="27"/>
  <c r="D18" i="27" s="1"/>
  <c r="BG21" i="27"/>
  <c r="D21" i="27" s="1"/>
  <c r="BG45" i="27"/>
  <c r="D45" i="27" s="1"/>
  <c r="BG53" i="27"/>
  <c r="D53" i="27" s="1"/>
  <c r="BG61" i="27"/>
  <c r="D61" i="27" s="1"/>
  <c r="BG69" i="27"/>
  <c r="D69" i="27" s="1"/>
  <c r="BG58" i="27"/>
  <c r="D58" i="27" s="1"/>
  <c r="BG66" i="27"/>
  <c r="D66" i="27" s="1"/>
  <c r="BG75" i="27"/>
  <c r="D75" i="27" s="1"/>
  <c r="BG93" i="27"/>
  <c r="D93" i="27" s="1"/>
  <c r="BG101" i="27"/>
  <c r="D101" i="27" s="1"/>
  <c r="BG110" i="27"/>
  <c r="D110" i="27" s="1"/>
  <c r="BG88" i="27"/>
  <c r="D88" i="27" s="1"/>
  <c r="BG96" i="27"/>
  <c r="D96" i="27" s="1"/>
  <c r="BG104" i="27"/>
  <c r="D104" i="27" s="1"/>
  <c r="BG124" i="27"/>
  <c r="D124" i="27" s="1"/>
  <c r="BG132" i="27"/>
  <c r="D132" i="27" s="1"/>
  <c r="BG133" i="27"/>
  <c r="D133" i="27" s="1"/>
  <c r="BG162" i="27"/>
  <c r="D162" i="27" s="1"/>
  <c r="BG142" i="27"/>
  <c r="D142" i="27" s="1"/>
  <c r="BG150" i="27"/>
  <c r="D150" i="27" s="1"/>
  <c r="BG158" i="27"/>
  <c r="D158" i="27" s="1"/>
  <c r="BG169" i="27"/>
  <c r="D169" i="27" s="1"/>
  <c r="BG177" i="27"/>
  <c r="D177" i="27" s="1"/>
  <c r="BG184" i="27"/>
  <c r="D184" i="27" s="1"/>
  <c r="BG188" i="27"/>
  <c r="D188" i="27" s="1"/>
  <c r="BG193" i="27"/>
  <c r="D193" i="27" s="1"/>
  <c r="BG215" i="27"/>
  <c r="D215" i="27" s="1"/>
  <c r="BG217" i="27"/>
  <c r="D217" i="27" s="1"/>
  <c r="BG224" i="27"/>
  <c r="D224" i="27" s="1"/>
  <c r="BG232" i="27"/>
  <c r="D232" i="27" s="1"/>
  <c r="BG233" i="27"/>
  <c r="D233" i="27" s="1"/>
  <c r="BG237" i="27"/>
  <c r="D237" i="27" s="1"/>
  <c r="BG238" i="27"/>
  <c r="D238" i="27" s="1"/>
  <c r="BG254" i="27"/>
  <c r="D254" i="27" s="1"/>
  <c r="BG262" i="27"/>
  <c r="D262" i="27" s="1"/>
  <c r="BV9" i="27"/>
  <c r="I12" i="27"/>
  <c r="BA15" i="27"/>
  <c r="B15" i="27" s="1"/>
  <c r="BA16" i="27"/>
  <c r="B16" i="27" s="1"/>
  <c r="BA24" i="27"/>
  <c r="B24" i="27" s="1"/>
  <c r="BA64" i="27"/>
  <c r="B64" i="27" s="1"/>
  <c r="BA102" i="27"/>
  <c r="B102" i="27" s="1"/>
  <c r="BA91" i="27"/>
  <c r="B91" i="27" s="1"/>
  <c r="BA121" i="27"/>
  <c r="B121" i="27" s="1"/>
  <c r="BA129" i="27"/>
  <c r="B129" i="27" s="1"/>
  <c r="BA137" i="27"/>
  <c r="B137" i="27" s="1"/>
  <c r="BA118" i="27"/>
  <c r="B118" i="27" s="1"/>
  <c r="BA126" i="27"/>
  <c r="B126" i="27" s="1"/>
  <c r="BA134" i="27"/>
  <c r="B134" i="27" s="1"/>
  <c r="BA161" i="27"/>
  <c r="B161" i="27" s="1"/>
  <c r="BA188" i="27"/>
  <c r="B188" i="27" s="1"/>
  <c r="BA210" i="27"/>
  <c r="B210" i="27" s="1"/>
  <c r="BA229" i="27"/>
  <c r="B229" i="27" s="1"/>
  <c r="BA236" i="27"/>
  <c r="B236" i="27" s="1"/>
  <c r="BA248" i="27"/>
  <c r="B248" i="27" s="1"/>
  <c r="L12" i="27"/>
  <c r="AT245" i="27"/>
  <c r="U245" i="27"/>
  <c r="AT146" i="27"/>
  <c r="AX146" i="27" s="1"/>
  <c r="A146" i="27" s="1"/>
  <c r="U146" i="27"/>
  <c r="AT107" i="27"/>
  <c r="AX107" i="27" s="1"/>
  <c r="A107" i="27" s="1"/>
  <c r="U107" i="27"/>
  <c r="AT144" i="27"/>
  <c r="U144" i="27"/>
  <c r="AT226" i="27"/>
  <c r="AX226" i="27" s="1"/>
  <c r="A226" i="27" s="1"/>
  <c r="U226" i="27"/>
  <c r="AT191" i="27"/>
  <c r="U191" i="27"/>
  <c r="AU76" i="27"/>
  <c r="AT76" i="27"/>
  <c r="U76" i="27"/>
  <c r="AU96" i="27"/>
  <c r="AU258" i="27"/>
  <c r="AT258" i="27"/>
  <c r="U258" i="27"/>
  <c r="AU128" i="27"/>
  <c r="AS9" i="27"/>
  <c r="AU254" i="27"/>
  <c r="AT189" i="27"/>
  <c r="AX189" i="27" s="1"/>
  <c r="A189" i="27" s="1"/>
  <c r="U189" i="27"/>
  <c r="AU93" i="27"/>
  <c r="AT80" i="27"/>
  <c r="AU80" i="27" s="1"/>
  <c r="U80" i="27"/>
  <c r="AU27" i="27"/>
  <c r="AT249" i="27"/>
  <c r="AX249" i="27" s="1"/>
  <c r="A249" i="27" s="1"/>
  <c r="U249" i="27"/>
  <c r="AX262" i="27"/>
  <c r="A262" i="27" s="1"/>
  <c r="AX260" i="27"/>
  <c r="A260" i="27" s="1"/>
  <c r="AX261" i="27"/>
  <c r="A261" i="27" s="1"/>
  <c r="AX259" i="27"/>
  <c r="A259" i="27" s="1"/>
  <c r="AX256" i="27"/>
  <c r="A256" i="27" s="1"/>
  <c r="AX258" i="27"/>
  <c r="A258" i="27" s="1"/>
  <c r="AX255" i="27"/>
  <c r="A255" i="27" s="1"/>
  <c r="AX250" i="27"/>
  <c r="A250" i="27" s="1"/>
  <c r="AX248" i="27"/>
  <c r="A248" i="27" s="1"/>
  <c r="AX246" i="27"/>
  <c r="A246" i="27" s="1"/>
  <c r="AX254" i="27"/>
  <c r="A254" i="27" s="1"/>
  <c r="AX251" i="27"/>
  <c r="A251" i="27" s="1"/>
  <c r="AX244" i="27"/>
  <c r="A244" i="27" s="1"/>
  <c r="AX253" i="27"/>
  <c r="A253" i="27" s="1"/>
  <c r="AX252" i="27"/>
  <c r="A252" i="27" s="1"/>
  <c r="AX245" i="27"/>
  <c r="A245" i="27" s="1"/>
  <c r="AX243" i="27"/>
  <c r="A243" i="27" s="1"/>
  <c r="AX240" i="27"/>
  <c r="A240" i="27" s="1"/>
  <c r="AX238" i="27"/>
  <c r="A238" i="27" s="1"/>
  <c r="AX236" i="27"/>
  <c r="A236" i="27" s="1"/>
  <c r="AX242" i="27"/>
  <c r="A242" i="27" s="1"/>
  <c r="AX241" i="27"/>
  <c r="A241" i="27" s="1"/>
  <c r="AX239" i="27"/>
  <c r="A239" i="27" s="1"/>
  <c r="AX237" i="27"/>
  <c r="A237" i="27" s="1"/>
  <c r="AX235" i="27"/>
  <c r="A235" i="27" s="1"/>
  <c r="AX233" i="27"/>
  <c r="A233" i="27" s="1"/>
  <c r="AX231" i="27"/>
  <c r="A231" i="27" s="1"/>
  <c r="AX229" i="27"/>
  <c r="A229" i="27" s="1"/>
  <c r="AX227" i="27"/>
  <c r="A227" i="27" s="1"/>
  <c r="AX234" i="27"/>
  <c r="A234" i="27" s="1"/>
  <c r="AX232" i="27"/>
  <c r="A232" i="27" s="1"/>
  <c r="AX230" i="27"/>
  <c r="A230" i="27" s="1"/>
  <c r="AX228" i="27"/>
  <c r="A228" i="27" s="1"/>
  <c r="AX224" i="27"/>
  <c r="A224" i="27" s="1"/>
  <c r="AX222" i="27"/>
  <c r="A222" i="27" s="1"/>
  <c r="AX220" i="27"/>
  <c r="A220" i="27" s="1"/>
  <c r="AX218" i="27"/>
  <c r="A218" i="27" s="1"/>
  <c r="AX216" i="27"/>
  <c r="A216" i="27" s="1"/>
  <c r="AX225" i="27"/>
  <c r="A225" i="27" s="1"/>
  <c r="AX223" i="27"/>
  <c r="A223" i="27" s="1"/>
  <c r="AX214" i="27"/>
  <c r="A214" i="27" s="1"/>
  <c r="AX212" i="27"/>
  <c r="A212" i="27" s="1"/>
  <c r="AX210" i="27"/>
  <c r="A210" i="27" s="1"/>
  <c r="AX208" i="27"/>
  <c r="A208" i="27" s="1"/>
  <c r="AX206" i="27"/>
  <c r="A206" i="27" s="1"/>
  <c r="AX217" i="27"/>
  <c r="A217" i="27" s="1"/>
  <c r="AX215" i="27"/>
  <c r="A215" i="27" s="1"/>
  <c r="AX213" i="27"/>
  <c r="A213" i="27" s="1"/>
  <c r="AX211" i="27"/>
  <c r="A211" i="27" s="1"/>
  <c r="AX209" i="27"/>
  <c r="A209" i="27" s="1"/>
  <c r="AX207" i="27"/>
  <c r="A207" i="27" s="1"/>
  <c r="AX203" i="27"/>
  <c r="A203" i="27" s="1"/>
  <c r="AX201" i="27"/>
  <c r="A201" i="27" s="1"/>
  <c r="AX199" i="27"/>
  <c r="A199" i="27" s="1"/>
  <c r="AX197" i="27"/>
  <c r="A197" i="27" s="1"/>
  <c r="AX195" i="27"/>
  <c r="A195" i="27" s="1"/>
  <c r="AX193" i="27"/>
  <c r="A193" i="27" s="1"/>
  <c r="AX200" i="27"/>
  <c r="A200" i="27" s="1"/>
  <c r="AX198" i="27"/>
  <c r="A198" i="27" s="1"/>
  <c r="AX196" i="27"/>
  <c r="A196" i="27" s="1"/>
  <c r="AX194" i="27"/>
  <c r="A194" i="27" s="1"/>
  <c r="AX192" i="27"/>
  <c r="A192" i="27" s="1"/>
  <c r="AX190" i="27"/>
  <c r="A190" i="27" s="1"/>
  <c r="AX188" i="27"/>
  <c r="A188" i="27" s="1"/>
  <c r="AX186" i="27"/>
  <c r="A186" i="27" s="1"/>
  <c r="AX182" i="27"/>
  <c r="A182" i="27" s="1"/>
  <c r="AX180" i="27"/>
  <c r="A180" i="27" s="1"/>
  <c r="AX178" i="27"/>
  <c r="A178" i="27" s="1"/>
  <c r="AX176" i="27"/>
  <c r="A176" i="27" s="1"/>
  <c r="AX174" i="27"/>
  <c r="A174" i="27" s="1"/>
  <c r="AX172" i="27"/>
  <c r="A172" i="27" s="1"/>
  <c r="AX170" i="27"/>
  <c r="A170" i="27" s="1"/>
  <c r="AX185" i="27"/>
  <c r="A185" i="27" s="1"/>
  <c r="AX184" i="27"/>
  <c r="A184" i="27" s="1"/>
  <c r="AX191" i="27"/>
  <c r="A191" i="27" s="1"/>
  <c r="AX187" i="27"/>
  <c r="A187" i="27" s="1"/>
  <c r="AX183" i="27"/>
  <c r="A183" i="27" s="1"/>
  <c r="AX181" i="27"/>
  <c r="A181" i="27" s="1"/>
  <c r="AX179" i="27"/>
  <c r="A179" i="27" s="1"/>
  <c r="AX177" i="27"/>
  <c r="A177" i="27" s="1"/>
  <c r="AX175" i="27"/>
  <c r="A175" i="27" s="1"/>
  <c r="AX173" i="27"/>
  <c r="A173" i="27" s="1"/>
  <c r="AX171" i="27"/>
  <c r="A171" i="27" s="1"/>
  <c r="AX169" i="27"/>
  <c r="A169" i="27" s="1"/>
  <c r="AX167" i="27"/>
  <c r="A167" i="27" s="1"/>
  <c r="AX165" i="27"/>
  <c r="A165" i="27" s="1"/>
  <c r="AX163" i="27"/>
  <c r="A163" i="27" s="1"/>
  <c r="AX161" i="27"/>
  <c r="A161" i="27" s="1"/>
  <c r="AX158" i="27"/>
  <c r="A158" i="27" s="1"/>
  <c r="AX156" i="27"/>
  <c r="A156" i="27" s="1"/>
  <c r="AX154" i="27"/>
  <c r="A154" i="27" s="1"/>
  <c r="AX152" i="27"/>
  <c r="A152" i="27" s="1"/>
  <c r="AX150" i="27"/>
  <c r="A150" i="27" s="1"/>
  <c r="AX148" i="27"/>
  <c r="A148" i="27" s="1"/>
  <c r="AX168" i="27"/>
  <c r="A168" i="27" s="1"/>
  <c r="AX162" i="27"/>
  <c r="A162" i="27" s="1"/>
  <c r="AX164" i="27"/>
  <c r="A164" i="27" s="1"/>
  <c r="AX160" i="27"/>
  <c r="A160" i="27" s="1"/>
  <c r="AX159" i="27"/>
  <c r="A159" i="27" s="1"/>
  <c r="AX157" i="27"/>
  <c r="A157" i="27" s="1"/>
  <c r="AX155" i="27"/>
  <c r="A155" i="27" s="1"/>
  <c r="AX153" i="27"/>
  <c r="A153" i="27" s="1"/>
  <c r="AX151" i="27"/>
  <c r="A151" i="27" s="1"/>
  <c r="AX149" i="27"/>
  <c r="A149" i="27" s="1"/>
  <c r="AX147" i="27"/>
  <c r="A147" i="27" s="1"/>
  <c r="AX145" i="27"/>
  <c r="A145" i="27" s="1"/>
  <c r="AX141" i="27"/>
  <c r="A141" i="27" s="1"/>
  <c r="AX139" i="27"/>
  <c r="A139" i="27" s="1"/>
  <c r="AX140" i="27"/>
  <c r="A140" i="27" s="1"/>
  <c r="AX142" i="27"/>
  <c r="A142" i="27" s="1"/>
  <c r="AX137" i="27"/>
  <c r="A137" i="27" s="1"/>
  <c r="AX135" i="27"/>
  <c r="A135" i="27" s="1"/>
  <c r="AX133" i="27"/>
  <c r="A133" i="27" s="1"/>
  <c r="AX131" i="27"/>
  <c r="A131" i="27" s="1"/>
  <c r="AX129" i="27"/>
  <c r="A129" i="27" s="1"/>
  <c r="AX127" i="27"/>
  <c r="A127" i="27" s="1"/>
  <c r="AX125" i="27"/>
  <c r="A125" i="27" s="1"/>
  <c r="AX123" i="27"/>
  <c r="A123" i="27" s="1"/>
  <c r="AX121" i="27"/>
  <c r="A121" i="27" s="1"/>
  <c r="AX119" i="27"/>
  <c r="A119" i="27" s="1"/>
  <c r="AX117" i="27"/>
  <c r="A117" i="27" s="1"/>
  <c r="AX115" i="27"/>
  <c r="A115" i="27" s="1"/>
  <c r="AX111" i="27"/>
  <c r="A111" i="27" s="1"/>
  <c r="AX109" i="27"/>
  <c r="A109" i="27" s="1"/>
  <c r="AX144" i="27"/>
  <c r="A144" i="27" s="1"/>
  <c r="AX136" i="27"/>
  <c r="A136" i="27" s="1"/>
  <c r="AX134" i="27"/>
  <c r="A134" i="27" s="1"/>
  <c r="AX132" i="27"/>
  <c r="A132" i="27" s="1"/>
  <c r="AX130" i="27"/>
  <c r="A130" i="27" s="1"/>
  <c r="AX128" i="27"/>
  <c r="A128" i="27" s="1"/>
  <c r="AX126" i="27"/>
  <c r="A126" i="27" s="1"/>
  <c r="AX124" i="27"/>
  <c r="A124" i="27" s="1"/>
  <c r="AX122" i="27"/>
  <c r="A122" i="27" s="1"/>
  <c r="AX120" i="27"/>
  <c r="A120" i="27" s="1"/>
  <c r="AX118" i="27"/>
  <c r="A118" i="27" s="1"/>
  <c r="AX116" i="27"/>
  <c r="A116" i="27" s="1"/>
  <c r="AX114" i="27"/>
  <c r="A114" i="27" s="1"/>
  <c r="AX112" i="27"/>
  <c r="A112" i="27" s="1"/>
  <c r="AX110" i="27"/>
  <c r="A110" i="27" s="1"/>
  <c r="AX108" i="27"/>
  <c r="A108" i="27" s="1"/>
  <c r="AX106" i="27"/>
  <c r="A106" i="27" s="1"/>
  <c r="AX105" i="27"/>
  <c r="A105" i="27" s="1"/>
  <c r="AX104" i="27"/>
  <c r="A104" i="27" s="1"/>
  <c r="AX102" i="27"/>
  <c r="A102" i="27" s="1"/>
  <c r="AX100" i="27"/>
  <c r="A100" i="27" s="1"/>
  <c r="AX98" i="27"/>
  <c r="A98" i="27" s="1"/>
  <c r="AX96" i="27"/>
  <c r="A96" i="27" s="1"/>
  <c r="AX94" i="27"/>
  <c r="A94" i="27" s="1"/>
  <c r="AX92" i="27"/>
  <c r="A92" i="27" s="1"/>
  <c r="AX90" i="27"/>
  <c r="A90" i="27" s="1"/>
  <c r="AX88" i="27"/>
  <c r="A88" i="27" s="1"/>
  <c r="AX86" i="27"/>
  <c r="A86" i="27" s="1"/>
  <c r="AX84" i="27"/>
  <c r="A84" i="27" s="1"/>
  <c r="AX82" i="27"/>
  <c r="A82" i="27" s="1"/>
  <c r="AX80" i="27"/>
  <c r="A80" i="27" s="1"/>
  <c r="AX103" i="27"/>
  <c r="A103" i="27" s="1"/>
  <c r="AX101" i="27"/>
  <c r="A101" i="27" s="1"/>
  <c r="AX99" i="27"/>
  <c r="A99" i="27" s="1"/>
  <c r="AX97" i="27"/>
  <c r="A97" i="27" s="1"/>
  <c r="AX95" i="27"/>
  <c r="A95" i="27" s="1"/>
  <c r="AX93" i="27"/>
  <c r="A93" i="27" s="1"/>
  <c r="AX91" i="27"/>
  <c r="A91" i="27" s="1"/>
  <c r="AX89" i="27"/>
  <c r="A89" i="27" s="1"/>
  <c r="AX87" i="27"/>
  <c r="A87" i="27" s="1"/>
  <c r="AX83" i="27"/>
  <c r="A83" i="27" s="1"/>
  <c r="AX79" i="27"/>
  <c r="A79" i="27" s="1"/>
  <c r="AX77" i="27"/>
  <c r="A77" i="27" s="1"/>
  <c r="AX75" i="27"/>
  <c r="A75" i="27" s="1"/>
  <c r="AX71" i="27"/>
  <c r="A71" i="27" s="1"/>
  <c r="AX69" i="27"/>
  <c r="A69" i="27" s="1"/>
  <c r="AX67" i="27"/>
  <c r="A67" i="27" s="1"/>
  <c r="AX65" i="27"/>
  <c r="A65" i="27" s="1"/>
  <c r="AX63" i="27"/>
  <c r="A63" i="27" s="1"/>
  <c r="AX61" i="27"/>
  <c r="A61" i="27" s="1"/>
  <c r="AX59" i="27"/>
  <c r="A59" i="27" s="1"/>
  <c r="AX57" i="27"/>
  <c r="A57" i="27" s="1"/>
  <c r="AX74" i="27"/>
  <c r="A74" i="27" s="1"/>
  <c r="AX73" i="27"/>
  <c r="A73" i="27" s="1"/>
  <c r="AX72" i="27"/>
  <c r="A72" i="27" s="1"/>
  <c r="AX76" i="27"/>
  <c r="A76" i="27" s="1"/>
  <c r="AX70" i="27"/>
  <c r="A70" i="27" s="1"/>
  <c r="AX68" i="27"/>
  <c r="A68" i="27" s="1"/>
  <c r="AX66" i="27"/>
  <c r="A66" i="27" s="1"/>
  <c r="AX64" i="27"/>
  <c r="A64" i="27" s="1"/>
  <c r="AX62" i="27"/>
  <c r="A62" i="27" s="1"/>
  <c r="AX60" i="27"/>
  <c r="A60" i="27" s="1"/>
  <c r="AX58" i="27"/>
  <c r="A58" i="27" s="1"/>
  <c r="AX56" i="27"/>
  <c r="A56" i="27" s="1"/>
  <c r="AX54" i="27"/>
  <c r="A54" i="27" s="1"/>
  <c r="AX53" i="27"/>
  <c r="A53" i="27" s="1"/>
  <c r="AX52" i="27"/>
  <c r="A52" i="27" s="1"/>
  <c r="AX51" i="27"/>
  <c r="A51" i="27" s="1"/>
  <c r="AX50" i="27"/>
  <c r="A50" i="27" s="1"/>
  <c r="AX49" i="27"/>
  <c r="A49" i="27" s="1"/>
  <c r="AX48" i="27"/>
  <c r="A48" i="27" s="1"/>
  <c r="AX47" i="27"/>
  <c r="A47" i="27" s="1"/>
  <c r="AX46" i="27"/>
  <c r="A46" i="27" s="1"/>
  <c r="AX45" i="27"/>
  <c r="A45" i="27" s="1"/>
  <c r="AX44" i="27"/>
  <c r="A44" i="27" s="1"/>
  <c r="AX43" i="27"/>
  <c r="A43" i="27" s="1"/>
  <c r="AX42" i="27"/>
  <c r="A42" i="27" s="1"/>
  <c r="AX41" i="27"/>
  <c r="A41" i="27" s="1"/>
  <c r="AX40" i="27"/>
  <c r="A40" i="27" s="1"/>
  <c r="AX39" i="27"/>
  <c r="A39" i="27" s="1"/>
  <c r="AX37" i="27"/>
  <c r="A37" i="27" s="1"/>
  <c r="AX35" i="27"/>
  <c r="A35" i="27" s="1"/>
  <c r="AX33" i="27"/>
  <c r="A33" i="27" s="1"/>
  <c r="AX31" i="27"/>
  <c r="A31" i="27" s="1"/>
  <c r="AX29" i="27"/>
  <c r="A29" i="27" s="1"/>
  <c r="AX27" i="27"/>
  <c r="A27" i="27" s="1"/>
  <c r="AX25" i="27"/>
  <c r="A25" i="27" s="1"/>
  <c r="AX23" i="27"/>
  <c r="A23" i="27" s="1"/>
  <c r="AX21" i="27"/>
  <c r="A21" i="27" s="1"/>
  <c r="AX19" i="27"/>
  <c r="A19" i="27" s="1"/>
  <c r="AX17" i="27"/>
  <c r="A17" i="27" s="1"/>
  <c r="AX15" i="27"/>
  <c r="A15" i="27" s="1"/>
  <c r="AX13" i="27"/>
  <c r="A13" i="27" s="1"/>
  <c r="AX55" i="27"/>
  <c r="A55" i="27" s="1"/>
  <c r="AX38" i="27"/>
  <c r="A38" i="27" s="1"/>
  <c r="AX36" i="27"/>
  <c r="A36" i="27" s="1"/>
  <c r="AX34" i="27"/>
  <c r="A34" i="27" s="1"/>
  <c r="AX32" i="27"/>
  <c r="A32" i="27" s="1"/>
  <c r="AX30" i="27"/>
  <c r="A30" i="27" s="1"/>
  <c r="AX28" i="27"/>
  <c r="A28" i="27" s="1"/>
  <c r="AX26" i="27"/>
  <c r="A26" i="27" s="1"/>
  <c r="AX24" i="27"/>
  <c r="A24" i="27" s="1"/>
  <c r="AX22" i="27"/>
  <c r="A22" i="27" s="1"/>
  <c r="AX20" i="27"/>
  <c r="A20" i="27" s="1"/>
  <c r="AX18" i="27"/>
  <c r="A18" i="27" s="1"/>
  <c r="AX16" i="27"/>
  <c r="A16" i="27" s="1"/>
  <c r="AX14" i="27"/>
  <c r="A14" i="27" s="1"/>
  <c r="AX12" i="27"/>
  <c r="AT257" i="27"/>
  <c r="AU257" i="27" s="1"/>
  <c r="U257" i="27"/>
  <c r="AT219" i="27"/>
  <c r="AX219" i="27" s="1"/>
  <c r="A219" i="27" s="1"/>
  <c r="U219" i="27"/>
  <c r="AT166" i="27"/>
  <c r="AU166" i="27" s="1"/>
  <c r="U166" i="27"/>
  <c r="AU66" i="27"/>
  <c r="AU239" i="27"/>
  <c r="AU217" i="27"/>
  <c r="AU136" i="27"/>
  <c r="AU252" i="27"/>
  <c r="BD15" i="27"/>
  <c r="C15" i="27" s="1"/>
  <c r="BD23" i="27"/>
  <c r="C23" i="27" s="1"/>
  <c r="BD31" i="27"/>
  <c r="C31" i="27" s="1"/>
  <c r="BD39" i="27"/>
  <c r="C39" i="27" s="1"/>
  <c r="BD55" i="27"/>
  <c r="C55" i="27" s="1"/>
  <c r="BD71" i="27"/>
  <c r="C71" i="27" s="1"/>
  <c r="BD152" i="27"/>
  <c r="C152" i="27" s="1"/>
  <c r="BD170" i="27"/>
  <c r="C170" i="27" s="1"/>
  <c r="BD178" i="27"/>
  <c r="C178" i="27" s="1"/>
  <c r="BD169" i="27"/>
  <c r="C169" i="27" s="1"/>
  <c r="BD177" i="27"/>
  <c r="C177" i="27" s="1"/>
  <c r="BD195" i="27"/>
  <c r="C195" i="27" s="1"/>
  <c r="BD217" i="27"/>
  <c r="C217" i="27" s="1"/>
  <c r="BD225" i="27"/>
  <c r="C225" i="27" s="1"/>
  <c r="BD232" i="27"/>
  <c r="C232" i="27" s="1"/>
  <c r="BD240" i="27"/>
  <c r="C240" i="27" s="1"/>
  <c r="BD252" i="27"/>
  <c r="C252" i="27" s="1"/>
  <c r="BD259" i="27"/>
  <c r="C259" i="27" s="1"/>
  <c r="AU26" i="27"/>
  <c r="CH9" i="27"/>
  <c r="M12" i="27"/>
  <c r="F12" i="27"/>
  <c r="BM9" i="27"/>
  <c r="BG55" i="27"/>
  <c r="D55" i="27" s="1"/>
  <c r="BG63" i="27"/>
  <c r="D63" i="27" s="1"/>
  <c r="BG71" i="27"/>
  <c r="D71" i="27" s="1"/>
  <c r="BG112" i="27"/>
  <c r="D112" i="27" s="1"/>
  <c r="BG163" i="27"/>
  <c r="D163" i="27" s="1"/>
  <c r="BG190" i="27"/>
  <c r="D190" i="27" s="1"/>
  <c r="BG195" i="27"/>
  <c r="D195" i="27" s="1"/>
  <c r="BG216" i="27"/>
  <c r="D216" i="27" s="1"/>
  <c r="BG225" i="27"/>
  <c r="D225" i="27" s="1"/>
  <c r="BG259" i="27"/>
  <c r="D259" i="27" s="1"/>
  <c r="E12" i="27"/>
  <c r="BJ9" i="27"/>
  <c r="G12" i="27"/>
  <c r="CT9" i="27"/>
  <c r="Q12" i="27"/>
  <c r="J12" i="27"/>
  <c r="BG157" i="27" l="1"/>
  <c r="D157" i="27" s="1"/>
  <c r="BD157" i="27"/>
  <c r="C157" i="27" s="1"/>
  <c r="BA157" i="27"/>
  <c r="B157" i="27" s="1"/>
  <c r="BY9" i="27"/>
  <c r="AX247" i="27"/>
  <c r="A247" i="27" s="1"/>
  <c r="AU157" i="27"/>
  <c r="BA205" i="27"/>
  <c r="B205" i="27" s="1"/>
  <c r="BD205" i="27"/>
  <c r="C205" i="27" s="1"/>
  <c r="BG205" i="27"/>
  <c r="D205" i="27" s="1"/>
  <c r="AX85" i="27"/>
  <c r="A85" i="27" s="1"/>
  <c r="AX143" i="27"/>
  <c r="A143" i="27" s="1"/>
  <c r="AU226" i="27"/>
  <c r="BD40" i="27"/>
  <c r="C40" i="27" s="1"/>
  <c r="BA40" i="27"/>
  <c r="B40" i="27" s="1"/>
  <c r="BG40" i="27"/>
  <c r="D40" i="27" s="1"/>
  <c r="AU205" i="27"/>
  <c r="AU249" i="27"/>
  <c r="AU189" i="27"/>
  <c r="AU107" i="27"/>
  <c r="BP9" i="27"/>
  <c r="AX202" i="27"/>
  <c r="A202" i="27" s="1"/>
  <c r="AX205" i="27"/>
  <c r="A205" i="27" s="1"/>
  <c r="CQ9" i="27"/>
  <c r="BA191" i="27"/>
  <c r="B191" i="27" s="1"/>
  <c r="BG191" i="27"/>
  <c r="D191" i="27" s="1"/>
  <c r="BD191" i="27"/>
  <c r="C191" i="27" s="1"/>
  <c r="BA146" i="27"/>
  <c r="B146" i="27" s="1"/>
  <c r="BG146" i="27"/>
  <c r="D146" i="27" s="1"/>
  <c r="BD146" i="27"/>
  <c r="C146" i="27" s="1"/>
  <c r="BD245" i="27"/>
  <c r="C245" i="27" s="1"/>
  <c r="BA245" i="27"/>
  <c r="B245" i="27" s="1"/>
  <c r="BG245" i="27"/>
  <c r="D245" i="27" s="1"/>
  <c r="BA113" i="27"/>
  <c r="B113" i="27" s="1"/>
  <c r="BD113" i="27"/>
  <c r="C113" i="27" s="1"/>
  <c r="BG113" i="27"/>
  <c r="D113" i="27" s="1"/>
  <c r="BA242" i="27"/>
  <c r="B242" i="27" s="1"/>
  <c r="BG242" i="27"/>
  <c r="D242" i="27" s="1"/>
  <c r="BD242" i="27"/>
  <c r="C242" i="27" s="1"/>
  <c r="BD81" i="27"/>
  <c r="C81" i="27" s="1"/>
  <c r="BA81" i="27"/>
  <c r="B81" i="27" s="1"/>
  <c r="BG81" i="27"/>
  <c r="D81" i="27" s="1"/>
  <c r="BG200" i="27"/>
  <c r="D200" i="27" s="1"/>
  <c r="BA200" i="27"/>
  <c r="B200" i="27" s="1"/>
  <c r="BD200" i="27"/>
  <c r="C200" i="27" s="1"/>
  <c r="BA204" i="27"/>
  <c r="B204" i="27" s="1"/>
  <c r="BD204" i="27"/>
  <c r="C204" i="27" s="1"/>
  <c r="BG204" i="27"/>
  <c r="D204" i="27" s="1"/>
  <c r="BA247" i="27"/>
  <c r="B247" i="27" s="1"/>
  <c r="BD247" i="27"/>
  <c r="C247" i="27" s="1"/>
  <c r="BG247" i="27"/>
  <c r="D247" i="27" s="1"/>
  <c r="BA185" i="27"/>
  <c r="B185" i="27" s="1"/>
  <c r="BG185" i="27"/>
  <c r="D185" i="27" s="1"/>
  <c r="BD185" i="27"/>
  <c r="C185" i="27" s="1"/>
  <c r="BA138" i="27"/>
  <c r="B138" i="27" s="1"/>
  <c r="BG138" i="27"/>
  <c r="D138" i="27" s="1"/>
  <c r="BD138" i="27"/>
  <c r="C138" i="27" s="1"/>
  <c r="BD257" i="27"/>
  <c r="C257" i="27" s="1"/>
  <c r="BG257" i="27"/>
  <c r="D257" i="27" s="1"/>
  <c r="BA257" i="27"/>
  <c r="B257" i="27" s="1"/>
  <c r="BA258" i="27"/>
  <c r="B258" i="27" s="1"/>
  <c r="BG258" i="27"/>
  <c r="D258" i="27" s="1"/>
  <c r="BD258" i="27"/>
  <c r="C258" i="27" s="1"/>
  <c r="BD76" i="27"/>
  <c r="C76" i="27" s="1"/>
  <c r="BA76" i="27"/>
  <c r="B76" i="27" s="1"/>
  <c r="BG76" i="27"/>
  <c r="D76" i="27" s="1"/>
  <c r="AU191" i="27"/>
  <c r="BG107" i="27"/>
  <c r="D107" i="27" s="1"/>
  <c r="BA107" i="27"/>
  <c r="B107" i="27" s="1"/>
  <c r="BD107" i="27"/>
  <c r="C107" i="27" s="1"/>
  <c r="AU146" i="27"/>
  <c r="AU113" i="27"/>
  <c r="BG143" i="27"/>
  <c r="D143" i="27" s="1"/>
  <c r="BA143" i="27"/>
  <c r="B143" i="27" s="1"/>
  <c r="BD143" i="27"/>
  <c r="C143" i="27" s="1"/>
  <c r="BG187" i="27"/>
  <c r="D187" i="27" s="1"/>
  <c r="BD187" i="27"/>
  <c r="C187" i="27" s="1"/>
  <c r="BA187" i="27"/>
  <c r="B187" i="27" s="1"/>
  <c r="AU242" i="27"/>
  <c r="AU200" i="27"/>
  <c r="BA255" i="27"/>
  <c r="B255" i="27" s="1"/>
  <c r="BD255" i="27"/>
  <c r="C255" i="27" s="1"/>
  <c r="BG255" i="27"/>
  <c r="D255" i="27" s="1"/>
  <c r="AU185" i="27"/>
  <c r="AU138" i="27"/>
  <c r="BG219" i="27"/>
  <c r="D219" i="27" s="1"/>
  <c r="BA219" i="27"/>
  <c r="B219" i="27" s="1"/>
  <c r="BD219" i="27"/>
  <c r="C219" i="27" s="1"/>
  <c r="BG144" i="27"/>
  <c r="D144" i="27" s="1"/>
  <c r="BD144" i="27"/>
  <c r="C144" i="27" s="1"/>
  <c r="BA144" i="27"/>
  <c r="B144" i="27" s="1"/>
  <c r="BA56" i="27"/>
  <c r="B56" i="27" s="1"/>
  <c r="BG56" i="27"/>
  <c r="D56" i="27" s="1"/>
  <c r="BD56" i="27"/>
  <c r="C56" i="27" s="1"/>
  <c r="BA82" i="27"/>
  <c r="B82" i="27" s="1"/>
  <c r="BG82" i="27"/>
  <c r="D82" i="27" s="1"/>
  <c r="BD82" i="27"/>
  <c r="C82" i="27" s="1"/>
  <c r="BA78" i="27"/>
  <c r="B78" i="27" s="1"/>
  <c r="BG78" i="27"/>
  <c r="D78" i="27" s="1"/>
  <c r="BD78" i="27"/>
  <c r="C78" i="27" s="1"/>
  <c r="B12" i="27"/>
  <c r="BA221" i="27"/>
  <c r="B221" i="27" s="1"/>
  <c r="BD221" i="27"/>
  <c r="C221" i="27" s="1"/>
  <c r="BG221" i="27"/>
  <c r="D221" i="27" s="1"/>
  <c r="BA244" i="27"/>
  <c r="B244" i="27" s="1"/>
  <c r="BG244" i="27"/>
  <c r="D244" i="27" s="1"/>
  <c r="BD244" i="27"/>
  <c r="C244" i="27" s="1"/>
  <c r="BG251" i="27"/>
  <c r="D251" i="27" s="1"/>
  <c r="BA251" i="27"/>
  <c r="B251" i="27" s="1"/>
  <c r="BD251" i="27"/>
  <c r="C251" i="27" s="1"/>
  <c r="BG111" i="27"/>
  <c r="D111" i="27" s="1"/>
  <c r="BA111" i="27"/>
  <c r="B111" i="27" s="1"/>
  <c r="BD111" i="27"/>
  <c r="C111" i="27" s="1"/>
  <c r="AU255" i="27"/>
  <c r="BG166" i="27"/>
  <c r="D166" i="27" s="1"/>
  <c r="BD166" i="27"/>
  <c r="C166" i="27" s="1"/>
  <c r="BA166" i="27"/>
  <c r="B166" i="27" s="1"/>
  <c r="AU219" i="27"/>
  <c r="A12" i="27"/>
  <c r="AX166" i="27"/>
  <c r="A166" i="27" s="1"/>
  <c r="AX257" i="27"/>
  <c r="A257" i="27" s="1"/>
  <c r="BD249" i="27"/>
  <c r="C249" i="27" s="1"/>
  <c r="BG249" i="27"/>
  <c r="D249" i="27" s="1"/>
  <c r="BA249" i="27"/>
  <c r="B249" i="27" s="1"/>
  <c r="BA80" i="27"/>
  <c r="B80" i="27" s="1"/>
  <c r="BG80" i="27"/>
  <c r="D80" i="27" s="1"/>
  <c r="BD80" i="27"/>
  <c r="C80" i="27" s="1"/>
  <c r="BA189" i="27"/>
  <c r="B189" i="27" s="1"/>
  <c r="BG189" i="27"/>
  <c r="D189" i="27" s="1"/>
  <c r="BD189" i="27"/>
  <c r="C189" i="27" s="1"/>
  <c r="BG226" i="27"/>
  <c r="D226" i="27" s="1"/>
  <c r="BA226" i="27"/>
  <c r="B226" i="27" s="1"/>
  <c r="BD226" i="27"/>
  <c r="C226" i="27" s="1"/>
  <c r="AU144" i="27"/>
  <c r="AU245" i="27"/>
  <c r="AU56" i="27"/>
  <c r="AT9" i="27" s="1"/>
  <c r="AU82" i="27"/>
  <c r="BA140" i="27"/>
  <c r="B140" i="27" s="1"/>
  <c r="BG140" i="27"/>
  <c r="D140" i="27" s="1"/>
  <c r="BD140" i="27"/>
  <c r="C140" i="27" s="1"/>
  <c r="AU78" i="27"/>
  <c r="D12" i="27"/>
  <c r="AU81" i="27"/>
  <c r="BG202" i="27"/>
  <c r="D202" i="27" s="1"/>
  <c r="BA202" i="27"/>
  <c r="B202" i="27" s="1"/>
  <c r="BD202" i="27"/>
  <c r="C202" i="27" s="1"/>
  <c r="AU221" i="27"/>
  <c r="AU204" i="27"/>
  <c r="AU251" i="27"/>
  <c r="AU111" i="27"/>
  <c r="BA85" i="27"/>
  <c r="B85" i="27" s="1"/>
  <c r="BG85" i="27"/>
  <c r="D85" i="27" s="1"/>
  <c r="BD85" i="27"/>
  <c r="C85" i="27" s="1"/>
  <c r="BA83" i="27"/>
  <c r="B83" i="27" s="1"/>
  <c r="BG83" i="27"/>
  <c r="D83" i="27" s="1"/>
  <c r="BD83" i="27"/>
  <c r="C83" i="27" s="1"/>
  <c r="AX9" i="27" l="1"/>
  <c r="AX7" i="27" s="1"/>
  <c r="BG9" i="27"/>
  <c r="BA9" i="27"/>
  <c r="BD9" i="27"/>
  <c r="F12" i="22" l="1"/>
  <c r="C12" i="22"/>
  <c r="F12" i="21"/>
  <c r="C12" i="21"/>
  <c r="E4" i="22" l="1"/>
  <c r="E4" i="21" l="1"/>
  <c r="G3" i="5" l="1"/>
  <c r="C6" i="20" l="1"/>
  <c r="G22" i="5"/>
  <c r="G21" i="5"/>
  <c r="G20" i="5"/>
  <c r="G19" i="5"/>
  <c r="G18" i="5"/>
  <c r="C22" i="5"/>
  <c r="C21" i="5"/>
  <c r="C20" i="5"/>
  <c r="C19" i="5"/>
  <c r="C18" i="5"/>
  <c r="C4" i="20"/>
  <c r="G4" i="5"/>
  <c r="X4" i="14" l="1"/>
  <c r="W4" i="14"/>
  <c r="V4" i="14"/>
  <c r="U4" i="14"/>
  <c r="T4" i="14"/>
  <c r="B253" i="20" l="1"/>
  <c r="B200" i="17" l="1"/>
  <c r="C200" i="17"/>
  <c r="D200" i="17"/>
  <c r="E200" i="17"/>
  <c r="F200" i="17"/>
  <c r="G200" i="17"/>
  <c r="H200" i="17"/>
  <c r="B201" i="17"/>
  <c r="C201" i="17"/>
  <c r="D201" i="17"/>
  <c r="E201" i="17"/>
  <c r="F201" i="17"/>
  <c r="G201" i="17"/>
  <c r="H201" i="17"/>
  <c r="B202" i="17"/>
  <c r="C202" i="17"/>
  <c r="D202" i="17"/>
  <c r="E202" i="17"/>
  <c r="F202" i="17"/>
  <c r="G202" i="17"/>
  <c r="H202" i="17"/>
  <c r="B203" i="17"/>
  <c r="C203" i="17"/>
  <c r="D203" i="17"/>
  <c r="E203" i="17"/>
  <c r="F203" i="17"/>
  <c r="G203" i="17"/>
  <c r="H203" i="17"/>
  <c r="B204" i="17"/>
  <c r="C204" i="17"/>
  <c r="D204" i="17"/>
  <c r="E204" i="17"/>
  <c r="F204" i="17"/>
  <c r="G204" i="17"/>
  <c r="H204" i="17"/>
  <c r="B205" i="17"/>
  <c r="C205" i="17"/>
  <c r="D205" i="17"/>
  <c r="E205" i="17"/>
  <c r="F205" i="17"/>
  <c r="G205" i="17"/>
  <c r="H205" i="17"/>
  <c r="B206" i="17"/>
  <c r="C206" i="17"/>
  <c r="D206" i="17"/>
  <c r="E206" i="17"/>
  <c r="F206" i="17"/>
  <c r="G206" i="17"/>
  <c r="H206" i="17"/>
  <c r="B207" i="17"/>
  <c r="C207" i="17"/>
  <c r="D207" i="17"/>
  <c r="E207" i="17"/>
  <c r="F207" i="17"/>
  <c r="G207" i="17"/>
  <c r="H207" i="17"/>
  <c r="B208" i="17"/>
  <c r="C208" i="17"/>
  <c r="D208" i="17"/>
  <c r="E208" i="17"/>
  <c r="F208" i="17"/>
  <c r="G208" i="17"/>
  <c r="H208" i="17"/>
  <c r="B209" i="17"/>
  <c r="C209" i="17"/>
  <c r="D209" i="17"/>
  <c r="E209" i="17"/>
  <c r="F209" i="17"/>
  <c r="G209" i="17"/>
  <c r="H209" i="17"/>
  <c r="B210" i="17"/>
  <c r="C210" i="17"/>
  <c r="D210" i="17"/>
  <c r="E210" i="17"/>
  <c r="F210" i="17"/>
  <c r="G210" i="17"/>
  <c r="H210" i="17"/>
  <c r="B211" i="17"/>
  <c r="C211" i="17"/>
  <c r="D211" i="17"/>
  <c r="E211" i="17"/>
  <c r="F211" i="17"/>
  <c r="G211" i="17"/>
  <c r="H211" i="17"/>
  <c r="B212" i="17"/>
  <c r="C212" i="17"/>
  <c r="D212" i="17"/>
  <c r="E212" i="17"/>
  <c r="F212" i="17"/>
  <c r="G212" i="17"/>
  <c r="H212" i="17"/>
  <c r="B213" i="17"/>
  <c r="C213" i="17"/>
  <c r="D213" i="17"/>
  <c r="E213" i="17"/>
  <c r="F213" i="17"/>
  <c r="G213" i="17"/>
  <c r="H213" i="17"/>
  <c r="B214" i="17"/>
  <c r="C214" i="17"/>
  <c r="D214" i="17"/>
  <c r="E214" i="17"/>
  <c r="F214" i="17"/>
  <c r="G214" i="17"/>
  <c r="H214" i="17"/>
  <c r="B215" i="17"/>
  <c r="C215" i="17"/>
  <c r="D215" i="17"/>
  <c r="E215" i="17"/>
  <c r="F215" i="17"/>
  <c r="G215" i="17"/>
  <c r="H215" i="17"/>
  <c r="B216" i="17"/>
  <c r="C216" i="17"/>
  <c r="D216" i="17"/>
  <c r="E216" i="17"/>
  <c r="F216" i="17"/>
  <c r="G216" i="17"/>
  <c r="H216" i="17"/>
  <c r="B217" i="17"/>
  <c r="C217" i="17"/>
  <c r="D217" i="17"/>
  <c r="E217" i="17"/>
  <c r="F217" i="17"/>
  <c r="G217" i="17"/>
  <c r="H217" i="17"/>
  <c r="B218" i="17"/>
  <c r="C218" i="17"/>
  <c r="D218" i="17"/>
  <c r="E218" i="17"/>
  <c r="F218" i="17"/>
  <c r="G218" i="17"/>
  <c r="H218" i="17"/>
  <c r="B219" i="17"/>
  <c r="C219" i="17"/>
  <c r="D219" i="17"/>
  <c r="E219" i="17"/>
  <c r="F219" i="17"/>
  <c r="G219" i="17"/>
  <c r="H219" i="17"/>
  <c r="B220" i="17"/>
  <c r="C220" i="17"/>
  <c r="D220" i="17"/>
  <c r="E220" i="17"/>
  <c r="F220" i="17"/>
  <c r="G220" i="17"/>
  <c r="H220" i="17"/>
  <c r="B221" i="17"/>
  <c r="C221" i="17"/>
  <c r="D221" i="17"/>
  <c r="E221" i="17"/>
  <c r="F221" i="17"/>
  <c r="G221" i="17"/>
  <c r="H221" i="17"/>
  <c r="B222" i="17"/>
  <c r="C222" i="17"/>
  <c r="D222" i="17"/>
  <c r="E222" i="17"/>
  <c r="F222" i="17"/>
  <c r="G222" i="17"/>
  <c r="H222" i="17"/>
  <c r="B223" i="17"/>
  <c r="C223" i="17"/>
  <c r="D223" i="17"/>
  <c r="E223" i="17"/>
  <c r="F223" i="17"/>
  <c r="G223" i="17"/>
  <c r="H223" i="17"/>
  <c r="B224" i="17"/>
  <c r="C224" i="17"/>
  <c r="D224" i="17"/>
  <c r="E224" i="17"/>
  <c r="F224" i="17"/>
  <c r="G224" i="17"/>
  <c r="H224" i="17"/>
  <c r="B225" i="17"/>
  <c r="C225" i="17"/>
  <c r="D225" i="17"/>
  <c r="E225" i="17"/>
  <c r="F225" i="17"/>
  <c r="G225" i="17"/>
  <c r="H225" i="17"/>
  <c r="B226" i="17"/>
  <c r="C226" i="17"/>
  <c r="D226" i="17"/>
  <c r="E226" i="17"/>
  <c r="F226" i="17"/>
  <c r="G226" i="17"/>
  <c r="H226" i="17"/>
  <c r="B227" i="17"/>
  <c r="C227" i="17"/>
  <c r="D227" i="17"/>
  <c r="E227" i="17"/>
  <c r="F227" i="17"/>
  <c r="G227" i="17"/>
  <c r="H227" i="17"/>
  <c r="B228" i="17"/>
  <c r="C228" i="17"/>
  <c r="D228" i="17"/>
  <c r="E228" i="17"/>
  <c r="F228" i="17"/>
  <c r="G228" i="17"/>
  <c r="H228" i="17"/>
  <c r="B229" i="17"/>
  <c r="C229" i="17"/>
  <c r="D229" i="17"/>
  <c r="E229" i="17"/>
  <c r="F229" i="17"/>
  <c r="G229" i="17"/>
  <c r="H229" i="17"/>
  <c r="B230" i="17"/>
  <c r="C230" i="17"/>
  <c r="D230" i="17"/>
  <c r="E230" i="17"/>
  <c r="F230" i="17"/>
  <c r="G230" i="17"/>
  <c r="H230" i="17"/>
  <c r="B231" i="17"/>
  <c r="C231" i="17"/>
  <c r="D231" i="17"/>
  <c r="E231" i="17"/>
  <c r="F231" i="17"/>
  <c r="G231" i="17"/>
  <c r="H231" i="17"/>
  <c r="B232" i="17"/>
  <c r="C232" i="17"/>
  <c r="D232" i="17"/>
  <c r="E232" i="17"/>
  <c r="F232" i="17"/>
  <c r="G232" i="17"/>
  <c r="H232" i="17"/>
  <c r="B233" i="17"/>
  <c r="C233" i="17"/>
  <c r="D233" i="17"/>
  <c r="E233" i="17"/>
  <c r="F233" i="17"/>
  <c r="G233" i="17"/>
  <c r="H233" i="17"/>
  <c r="B234" i="17"/>
  <c r="C234" i="17"/>
  <c r="D234" i="17"/>
  <c r="E234" i="17"/>
  <c r="F234" i="17"/>
  <c r="G234" i="17"/>
  <c r="H234" i="17"/>
  <c r="B235" i="17"/>
  <c r="C235" i="17"/>
  <c r="D235" i="17"/>
  <c r="E235" i="17"/>
  <c r="F235" i="17"/>
  <c r="G235" i="17"/>
  <c r="H235" i="17"/>
  <c r="B236" i="17"/>
  <c r="C236" i="17"/>
  <c r="D236" i="17"/>
  <c r="E236" i="17"/>
  <c r="F236" i="17"/>
  <c r="G236" i="17"/>
  <c r="H236" i="17"/>
  <c r="B237" i="17"/>
  <c r="C237" i="17"/>
  <c r="D237" i="17"/>
  <c r="E237" i="17"/>
  <c r="F237" i="17"/>
  <c r="G237" i="17"/>
  <c r="H237" i="17"/>
  <c r="B238" i="17"/>
  <c r="C238" i="17"/>
  <c r="D238" i="17"/>
  <c r="E238" i="17"/>
  <c r="F238" i="17"/>
  <c r="G238" i="17"/>
  <c r="H238" i="17"/>
  <c r="B239" i="17"/>
  <c r="C239" i="17"/>
  <c r="D239" i="17"/>
  <c r="E239" i="17"/>
  <c r="F239" i="17"/>
  <c r="G239" i="17"/>
  <c r="H239" i="17"/>
  <c r="B240" i="17"/>
  <c r="C240" i="17"/>
  <c r="D240" i="17"/>
  <c r="E240" i="17"/>
  <c r="F240" i="17"/>
  <c r="G240" i="17"/>
  <c r="H240" i="17"/>
  <c r="B241" i="17"/>
  <c r="C241" i="17"/>
  <c r="D241" i="17"/>
  <c r="E241" i="17"/>
  <c r="F241" i="17"/>
  <c r="G241" i="17"/>
  <c r="H241" i="17"/>
  <c r="B242" i="17"/>
  <c r="C242" i="17"/>
  <c r="D242" i="17"/>
  <c r="E242" i="17"/>
  <c r="F242" i="17"/>
  <c r="G242" i="17"/>
  <c r="H242" i="17"/>
  <c r="B243" i="17"/>
  <c r="C243" i="17"/>
  <c r="D243" i="17"/>
  <c r="E243" i="17"/>
  <c r="F243" i="17"/>
  <c r="G243" i="17"/>
  <c r="H243" i="17"/>
  <c r="B244" i="17"/>
  <c r="C244" i="17"/>
  <c r="D244" i="17"/>
  <c r="E244" i="17"/>
  <c r="F244" i="17"/>
  <c r="G244" i="17"/>
  <c r="H244" i="17"/>
  <c r="B245" i="17"/>
  <c r="C245" i="17"/>
  <c r="D245" i="17"/>
  <c r="E245" i="17"/>
  <c r="F245" i="17"/>
  <c r="G245" i="17"/>
  <c r="H245" i="17"/>
  <c r="B246" i="17"/>
  <c r="C246" i="17"/>
  <c r="D246" i="17"/>
  <c r="E246" i="17"/>
  <c r="F246" i="17"/>
  <c r="G246" i="17"/>
  <c r="H246" i="17"/>
  <c r="B247" i="17"/>
  <c r="C247" i="17"/>
  <c r="D247" i="17"/>
  <c r="E247" i="17"/>
  <c r="F247" i="17"/>
  <c r="G247" i="17"/>
  <c r="H247" i="17"/>
  <c r="B248" i="17"/>
  <c r="C248" i="17"/>
  <c r="D248" i="17"/>
  <c r="E248" i="17"/>
  <c r="F248" i="17"/>
  <c r="G248" i="17"/>
  <c r="H248" i="17"/>
  <c r="B249" i="17"/>
  <c r="C249" i="17"/>
  <c r="D249" i="17"/>
  <c r="E249" i="17"/>
  <c r="F249" i="17"/>
  <c r="G249" i="17"/>
  <c r="H249" i="17"/>
  <c r="B250" i="17"/>
  <c r="C250" i="17"/>
  <c r="D250" i="17"/>
  <c r="E250" i="17"/>
  <c r="F250" i="17"/>
  <c r="G250" i="17"/>
  <c r="H250" i="17"/>
  <c r="B251" i="17"/>
  <c r="C251" i="17"/>
  <c r="D251" i="17"/>
  <c r="E251" i="17"/>
  <c r="F251" i="17"/>
  <c r="G251" i="17"/>
  <c r="H251" i="17"/>
  <c r="B252" i="17"/>
  <c r="C252" i="17"/>
  <c r="D252" i="17"/>
  <c r="E252" i="17"/>
  <c r="F252" i="17"/>
  <c r="G252" i="17"/>
  <c r="H252" i="17"/>
  <c r="B253" i="17"/>
  <c r="C253" i="17"/>
  <c r="D253" i="17"/>
  <c r="E253" i="17"/>
  <c r="F253" i="17"/>
  <c r="G253" i="17"/>
  <c r="H253" i="17"/>
  <c r="B6" i="17"/>
  <c r="C6" i="17"/>
  <c r="D6" i="17"/>
  <c r="E6" i="17"/>
  <c r="F6" i="17"/>
  <c r="G6" i="17"/>
  <c r="H6" i="17"/>
  <c r="B7" i="17"/>
  <c r="C7" i="17"/>
  <c r="D7" i="17"/>
  <c r="E7" i="17"/>
  <c r="F7" i="17"/>
  <c r="G7" i="17"/>
  <c r="H7" i="17"/>
  <c r="B8" i="17"/>
  <c r="C8" i="17"/>
  <c r="D8" i="17"/>
  <c r="E8" i="17"/>
  <c r="F8" i="17"/>
  <c r="G8" i="17"/>
  <c r="H8" i="17"/>
  <c r="B9" i="17"/>
  <c r="C9" i="17"/>
  <c r="D9" i="17"/>
  <c r="E9" i="17"/>
  <c r="F9" i="17"/>
  <c r="G9" i="17"/>
  <c r="H9" i="17"/>
  <c r="B10" i="17"/>
  <c r="C10" i="17"/>
  <c r="D10" i="17"/>
  <c r="E10" i="17"/>
  <c r="F10" i="17"/>
  <c r="G10" i="17"/>
  <c r="H10" i="17"/>
  <c r="B11" i="17"/>
  <c r="C11" i="17"/>
  <c r="D11" i="17"/>
  <c r="E11" i="17"/>
  <c r="F11" i="17"/>
  <c r="G11" i="17"/>
  <c r="H11" i="17"/>
  <c r="B12" i="17"/>
  <c r="C12" i="17"/>
  <c r="D12" i="17"/>
  <c r="E12" i="17"/>
  <c r="F12" i="17"/>
  <c r="G12" i="17"/>
  <c r="H12" i="17"/>
  <c r="B13" i="17"/>
  <c r="C13" i="17"/>
  <c r="D13" i="17"/>
  <c r="E13" i="17"/>
  <c r="F13" i="17"/>
  <c r="G13" i="17"/>
  <c r="H13" i="17"/>
  <c r="B14" i="17"/>
  <c r="C14" i="17"/>
  <c r="D14" i="17"/>
  <c r="E14" i="17"/>
  <c r="F14" i="17"/>
  <c r="G14" i="17"/>
  <c r="H14" i="17"/>
  <c r="B15" i="17"/>
  <c r="C15" i="17"/>
  <c r="D15" i="17"/>
  <c r="E15" i="17"/>
  <c r="F15" i="17"/>
  <c r="G15" i="17"/>
  <c r="H15" i="17"/>
  <c r="B16" i="17"/>
  <c r="C16" i="17"/>
  <c r="D16" i="17"/>
  <c r="E16" i="17"/>
  <c r="F16" i="17"/>
  <c r="G16" i="17"/>
  <c r="H16" i="17"/>
  <c r="B17" i="17"/>
  <c r="C17" i="17"/>
  <c r="D17" i="17"/>
  <c r="E17" i="17"/>
  <c r="F17" i="17"/>
  <c r="G17" i="17"/>
  <c r="H17" i="17"/>
  <c r="B18" i="17"/>
  <c r="C18" i="17"/>
  <c r="D18" i="17"/>
  <c r="E18" i="17"/>
  <c r="F18" i="17"/>
  <c r="G18" i="17"/>
  <c r="H18" i="17"/>
  <c r="B19" i="17"/>
  <c r="C19" i="17"/>
  <c r="D19" i="17"/>
  <c r="E19" i="17"/>
  <c r="F19" i="17"/>
  <c r="G19" i="17"/>
  <c r="H19" i="17"/>
  <c r="B20" i="17"/>
  <c r="C20" i="17"/>
  <c r="D20" i="17"/>
  <c r="E20" i="17"/>
  <c r="F20" i="17"/>
  <c r="G20" i="17"/>
  <c r="H20" i="17"/>
  <c r="B21" i="17"/>
  <c r="C21" i="17"/>
  <c r="D21" i="17"/>
  <c r="E21" i="17"/>
  <c r="F21" i="17"/>
  <c r="G21" i="17"/>
  <c r="H21" i="17"/>
  <c r="B22" i="17"/>
  <c r="C22" i="17"/>
  <c r="D22" i="17"/>
  <c r="E22" i="17"/>
  <c r="F22" i="17"/>
  <c r="G22" i="17"/>
  <c r="H22" i="17"/>
  <c r="B23" i="17"/>
  <c r="C23" i="17"/>
  <c r="D23" i="17"/>
  <c r="E23" i="17"/>
  <c r="F23" i="17"/>
  <c r="G23" i="17"/>
  <c r="H23" i="17"/>
  <c r="B24" i="17"/>
  <c r="C24" i="17"/>
  <c r="D24" i="17"/>
  <c r="E24" i="17"/>
  <c r="F24" i="17"/>
  <c r="G24" i="17"/>
  <c r="H24" i="17"/>
  <c r="B25" i="17"/>
  <c r="C25" i="17"/>
  <c r="D25" i="17"/>
  <c r="E25" i="17"/>
  <c r="F25" i="17"/>
  <c r="G25" i="17"/>
  <c r="H25" i="17"/>
  <c r="B26" i="17"/>
  <c r="C26" i="17"/>
  <c r="D26" i="17"/>
  <c r="E26" i="17"/>
  <c r="F26" i="17"/>
  <c r="G26" i="17"/>
  <c r="H26" i="17"/>
  <c r="B27" i="17"/>
  <c r="C27" i="17"/>
  <c r="D27" i="17"/>
  <c r="E27" i="17"/>
  <c r="F27" i="17"/>
  <c r="G27" i="17"/>
  <c r="H27" i="17"/>
  <c r="B28" i="17"/>
  <c r="C28" i="17"/>
  <c r="D28" i="17"/>
  <c r="E28" i="17"/>
  <c r="F28" i="17"/>
  <c r="G28" i="17"/>
  <c r="H28" i="17"/>
  <c r="B29" i="17"/>
  <c r="C29" i="17"/>
  <c r="D29" i="17"/>
  <c r="E29" i="17"/>
  <c r="F29" i="17"/>
  <c r="G29" i="17"/>
  <c r="H29" i="17"/>
  <c r="B30" i="17"/>
  <c r="C30" i="17"/>
  <c r="D30" i="17"/>
  <c r="E30" i="17"/>
  <c r="F30" i="17"/>
  <c r="G30" i="17"/>
  <c r="H30" i="17"/>
  <c r="B31" i="17"/>
  <c r="C31" i="17"/>
  <c r="D31" i="17"/>
  <c r="E31" i="17"/>
  <c r="F31" i="17"/>
  <c r="G31" i="17"/>
  <c r="H31" i="17"/>
  <c r="B32" i="17"/>
  <c r="C32" i="17"/>
  <c r="D32" i="17"/>
  <c r="E32" i="17"/>
  <c r="F32" i="17"/>
  <c r="G32" i="17"/>
  <c r="H32" i="17"/>
  <c r="B33" i="17"/>
  <c r="C33" i="17"/>
  <c r="D33" i="17"/>
  <c r="E33" i="17"/>
  <c r="F33" i="17"/>
  <c r="G33" i="17"/>
  <c r="H33" i="17"/>
  <c r="B34" i="17"/>
  <c r="C34" i="17"/>
  <c r="D34" i="17"/>
  <c r="E34" i="17"/>
  <c r="F34" i="17"/>
  <c r="G34" i="17"/>
  <c r="H34" i="17"/>
  <c r="B35" i="17"/>
  <c r="C35" i="17"/>
  <c r="D35" i="17"/>
  <c r="E35" i="17"/>
  <c r="F35" i="17"/>
  <c r="G35" i="17"/>
  <c r="H35" i="17"/>
  <c r="B36" i="17"/>
  <c r="C36" i="17"/>
  <c r="D36" i="17"/>
  <c r="E36" i="17"/>
  <c r="F36" i="17"/>
  <c r="G36" i="17"/>
  <c r="H36" i="17"/>
  <c r="B37" i="17"/>
  <c r="C37" i="17"/>
  <c r="D37" i="17"/>
  <c r="E37" i="17"/>
  <c r="F37" i="17"/>
  <c r="G37" i="17"/>
  <c r="H37" i="17"/>
  <c r="B38" i="17"/>
  <c r="C38" i="17"/>
  <c r="D38" i="17"/>
  <c r="E38" i="17"/>
  <c r="F38" i="17"/>
  <c r="G38" i="17"/>
  <c r="H38" i="17"/>
  <c r="B39" i="17"/>
  <c r="C39" i="17"/>
  <c r="D39" i="17"/>
  <c r="E39" i="17"/>
  <c r="F39" i="17"/>
  <c r="G39" i="17"/>
  <c r="H39" i="17"/>
  <c r="B40" i="17"/>
  <c r="C40" i="17"/>
  <c r="D40" i="17"/>
  <c r="E40" i="17"/>
  <c r="F40" i="17"/>
  <c r="G40" i="17"/>
  <c r="H40" i="17"/>
  <c r="B41" i="17"/>
  <c r="C41" i="17"/>
  <c r="D41" i="17"/>
  <c r="E41" i="17"/>
  <c r="F41" i="17"/>
  <c r="G41" i="17"/>
  <c r="H41" i="17"/>
  <c r="B42" i="17"/>
  <c r="C42" i="17"/>
  <c r="D42" i="17"/>
  <c r="E42" i="17"/>
  <c r="F42" i="17"/>
  <c r="G42" i="17"/>
  <c r="H42" i="17"/>
  <c r="B43" i="17"/>
  <c r="C43" i="17"/>
  <c r="D43" i="17"/>
  <c r="E43" i="17"/>
  <c r="F43" i="17"/>
  <c r="G43" i="17"/>
  <c r="H43" i="17"/>
  <c r="B44" i="17"/>
  <c r="C44" i="17"/>
  <c r="D44" i="17"/>
  <c r="E44" i="17"/>
  <c r="F44" i="17"/>
  <c r="G44" i="17"/>
  <c r="H44" i="17"/>
  <c r="B45" i="17"/>
  <c r="C45" i="17"/>
  <c r="D45" i="17"/>
  <c r="E45" i="17"/>
  <c r="F45" i="17"/>
  <c r="G45" i="17"/>
  <c r="H45" i="17"/>
  <c r="B46" i="17"/>
  <c r="C46" i="17"/>
  <c r="D46" i="17"/>
  <c r="E46" i="17"/>
  <c r="F46" i="17"/>
  <c r="G46" i="17"/>
  <c r="H46" i="17"/>
  <c r="B47" i="17"/>
  <c r="C47" i="17"/>
  <c r="D47" i="17"/>
  <c r="E47" i="17"/>
  <c r="F47" i="17"/>
  <c r="G47" i="17"/>
  <c r="H47" i="17"/>
  <c r="B48" i="17"/>
  <c r="C48" i="17"/>
  <c r="D48" i="17"/>
  <c r="E48" i="17"/>
  <c r="F48" i="17"/>
  <c r="G48" i="17"/>
  <c r="H48" i="17"/>
  <c r="B49" i="17"/>
  <c r="C49" i="17"/>
  <c r="D49" i="17"/>
  <c r="E49" i="17"/>
  <c r="F49" i="17"/>
  <c r="G49" i="17"/>
  <c r="H49" i="17"/>
  <c r="B50" i="17"/>
  <c r="C50" i="17"/>
  <c r="D50" i="17"/>
  <c r="E50" i="17"/>
  <c r="F50" i="17"/>
  <c r="G50" i="17"/>
  <c r="H50" i="17"/>
  <c r="B51" i="17"/>
  <c r="C51" i="17"/>
  <c r="D51" i="17"/>
  <c r="E51" i="17"/>
  <c r="F51" i="17"/>
  <c r="G51" i="17"/>
  <c r="H51" i="17"/>
  <c r="B52" i="17"/>
  <c r="C52" i="17"/>
  <c r="D52" i="17"/>
  <c r="E52" i="17"/>
  <c r="F52" i="17"/>
  <c r="G52" i="17"/>
  <c r="H52" i="17"/>
  <c r="B53" i="17"/>
  <c r="C53" i="17"/>
  <c r="D53" i="17"/>
  <c r="E53" i="17"/>
  <c r="F53" i="17"/>
  <c r="G53" i="17"/>
  <c r="H53" i="17"/>
  <c r="B54" i="17"/>
  <c r="C54" i="17"/>
  <c r="D54" i="17"/>
  <c r="E54" i="17"/>
  <c r="F54" i="17"/>
  <c r="G54" i="17"/>
  <c r="H54" i="17"/>
  <c r="B55" i="17"/>
  <c r="C55" i="17"/>
  <c r="D55" i="17"/>
  <c r="E55" i="17"/>
  <c r="F55" i="17"/>
  <c r="G55" i="17"/>
  <c r="H55" i="17"/>
  <c r="B56" i="17"/>
  <c r="C56" i="17"/>
  <c r="D56" i="17"/>
  <c r="E56" i="17"/>
  <c r="F56" i="17"/>
  <c r="G56" i="17"/>
  <c r="H56" i="17"/>
  <c r="B57" i="17"/>
  <c r="C57" i="17"/>
  <c r="D57" i="17"/>
  <c r="E57" i="17"/>
  <c r="F57" i="17"/>
  <c r="G57" i="17"/>
  <c r="H57" i="17"/>
  <c r="B58" i="17"/>
  <c r="C58" i="17"/>
  <c r="D58" i="17"/>
  <c r="E58" i="17"/>
  <c r="F58" i="17"/>
  <c r="G58" i="17"/>
  <c r="H58" i="17"/>
  <c r="B59" i="17"/>
  <c r="C59" i="17"/>
  <c r="D59" i="17"/>
  <c r="E59" i="17"/>
  <c r="F59" i="17"/>
  <c r="G59" i="17"/>
  <c r="H59" i="17"/>
  <c r="B60" i="17"/>
  <c r="C60" i="17"/>
  <c r="D60" i="17"/>
  <c r="E60" i="17"/>
  <c r="F60" i="17"/>
  <c r="G60" i="17"/>
  <c r="H60" i="17"/>
  <c r="B61" i="17"/>
  <c r="C61" i="17"/>
  <c r="D61" i="17"/>
  <c r="E61" i="17"/>
  <c r="F61" i="17"/>
  <c r="G61" i="17"/>
  <c r="H61" i="17"/>
  <c r="B62" i="17"/>
  <c r="C62" i="17"/>
  <c r="D62" i="17"/>
  <c r="E62" i="17"/>
  <c r="F62" i="17"/>
  <c r="G62" i="17"/>
  <c r="H62" i="17"/>
  <c r="B63" i="17"/>
  <c r="C63" i="17"/>
  <c r="D63" i="17"/>
  <c r="E63" i="17"/>
  <c r="F63" i="17"/>
  <c r="G63" i="17"/>
  <c r="H63" i="17"/>
  <c r="B64" i="17"/>
  <c r="C64" i="17"/>
  <c r="D64" i="17"/>
  <c r="E64" i="17"/>
  <c r="F64" i="17"/>
  <c r="G64" i="17"/>
  <c r="H64" i="17"/>
  <c r="B65" i="17"/>
  <c r="C65" i="17"/>
  <c r="D65" i="17"/>
  <c r="E65" i="17"/>
  <c r="F65" i="17"/>
  <c r="G65" i="17"/>
  <c r="H65" i="17"/>
  <c r="B66" i="17"/>
  <c r="C66" i="17"/>
  <c r="D66" i="17"/>
  <c r="E66" i="17"/>
  <c r="F66" i="17"/>
  <c r="G66" i="17"/>
  <c r="H66" i="17"/>
  <c r="B67" i="17"/>
  <c r="C67" i="17"/>
  <c r="D67" i="17"/>
  <c r="E67" i="17"/>
  <c r="F67" i="17"/>
  <c r="G67" i="17"/>
  <c r="H67" i="17"/>
  <c r="B68" i="17"/>
  <c r="C68" i="17"/>
  <c r="D68" i="17"/>
  <c r="E68" i="17"/>
  <c r="F68" i="17"/>
  <c r="G68" i="17"/>
  <c r="H68" i="17"/>
  <c r="B69" i="17"/>
  <c r="C69" i="17"/>
  <c r="D69" i="17"/>
  <c r="E69" i="17"/>
  <c r="F69" i="17"/>
  <c r="G69" i="17"/>
  <c r="H69" i="17"/>
  <c r="B70" i="17"/>
  <c r="C70" i="17"/>
  <c r="D70" i="17"/>
  <c r="E70" i="17"/>
  <c r="F70" i="17"/>
  <c r="G70" i="17"/>
  <c r="H70" i="17"/>
  <c r="B71" i="17"/>
  <c r="C71" i="17"/>
  <c r="D71" i="17"/>
  <c r="E71" i="17"/>
  <c r="F71" i="17"/>
  <c r="G71" i="17"/>
  <c r="H71" i="17"/>
  <c r="B72" i="17"/>
  <c r="C72" i="17"/>
  <c r="D72" i="17"/>
  <c r="E72" i="17"/>
  <c r="F72" i="17"/>
  <c r="G72" i="17"/>
  <c r="H72" i="17"/>
  <c r="B73" i="17"/>
  <c r="C73" i="17"/>
  <c r="D73" i="17"/>
  <c r="E73" i="17"/>
  <c r="F73" i="17"/>
  <c r="G73" i="17"/>
  <c r="H73" i="17"/>
  <c r="B74" i="17"/>
  <c r="C74" i="17"/>
  <c r="D74" i="17"/>
  <c r="E74" i="17"/>
  <c r="F74" i="17"/>
  <c r="G74" i="17"/>
  <c r="H74" i="17"/>
  <c r="B75" i="17"/>
  <c r="C75" i="17"/>
  <c r="D75" i="17"/>
  <c r="E75" i="17"/>
  <c r="F75" i="17"/>
  <c r="G75" i="17"/>
  <c r="H75" i="17"/>
  <c r="B76" i="17"/>
  <c r="C76" i="17"/>
  <c r="D76" i="17"/>
  <c r="E76" i="17"/>
  <c r="F76" i="17"/>
  <c r="G76" i="17"/>
  <c r="H76" i="17"/>
  <c r="B77" i="17"/>
  <c r="C77" i="17"/>
  <c r="D77" i="17"/>
  <c r="E77" i="17"/>
  <c r="F77" i="17"/>
  <c r="G77" i="17"/>
  <c r="H77" i="17"/>
  <c r="B78" i="17"/>
  <c r="C78" i="17"/>
  <c r="D78" i="17"/>
  <c r="E78" i="17"/>
  <c r="F78" i="17"/>
  <c r="G78" i="17"/>
  <c r="H78" i="17"/>
  <c r="B79" i="17"/>
  <c r="C79" i="17"/>
  <c r="D79" i="17"/>
  <c r="E79" i="17"/>
  <c r="F79" i="17"/>
  <c r="G79" i="17"/>
  <c r="H79" i="17"/>
  <c r="B80" i="17"/>
  <c r="C80" i="17"/>
  <c r="D80" i="17"/>
  <c r="E80" i="17"/>
  <c r="F80" i="17"/>
  <c r="G80" i="17"/>
  <c r="H80" i="17"/>
  <c r="B81" i="17"/>
  <c r="C81" i="17"/>
  <c r="D81" i="17"/>
  <c r="E81" i="17"/>
  <c r="F81" i="17"/>
  <c r="G81" i="17"/>
  <c r="H81" i="17"/>
  <c r="B82" i="17"/>
  <c r="C82" i="17"/>
  <c r="D82" i="17"/>
  <c r="E82" i="17"/>
  <c r="F82" i="17"/>
  <c r="G82" i="17"/>
  <c r="H82" i="17"/>
  <c r="B83" i="17"/>
  <c r="C83" i="17"/>
  <c r="D83" i="17"/>
  <c r="E83" i="17"/>
  <c r="F83" i="17"/>
  <c r="G83" i="17"/>
  <c r="H83" i="17"/>
  <c r="B84" i="17"/>
  <c r="C84" i="17"/>
  <c r="D84" i="17"/>
  <c r="E84" i="17"/>
  <c r="F84" i="17"/>
  <c r="G84" i="17"/>
  <c r="H84" i="17"/>
  <c r="B85" i="17"/>
  <c r="C85" i="17"/>
  <c r="D85" i="17"/>
  <c r="E85" i="17"/>
  <c r="F85" i="17"/>
  <c r="G85" i="17"/>
  <c r="H85" i="17"/>
  <c r="B86" i="17"/>
  <c r="C86" i="17"/>
  <c r="D86" i="17"/>
  <c r="E86" i="17"/>
  <c r="F86" i="17"/>
  <c r="G86" i="17"/>
  <c r="H86" i="17"/>
  <c r="B87" i="17"/>
  <c r="C87" i="17"/>
  <c r="D87" i="17"/>
  <c r="E87" i="17"/>
  <c r="F87" i="17"/>
  <c r="G87" i="17"/>
  <c r="H87" i="17"/>
  <c r="B88" i="17"/>
  <c r="C88" i="17"/>
  <c r="D88" i="17"/>
  <c r="E88" i="17"/>
  <c r="F88" i="17"/>
  <c r="G88" i="17"/>
  <c r="H88" i="17"/>
  <c r="B89" i="17"/>
  <c r="C89" i="17"/>
  <c r="D89" i="17"/>
  <c r="E89" i="17"/>
  <c r="F89" i="17"/>
  <c r="G89" i="17"/>
  <c r="H89" i="17"/>
  <c r="B90" i="17"/>
  <c r="C90" i="17"/>
  <c r="D90" i="17"/>
  <c r="E90" i="17"/>
  <c r="F90" i="17"/>
  <c r="G90" i="17"/>
  <c r="H90" i="17"/>
  <c r="B91" i="17"/>
  <c r="C91" i="17"/>
  <c r="D91" i="17"/>
  <c r="E91" i="17"/>
  <c r="F91" i="17"/>
  <c r="G91" i="17"/>
  <c r="H91" i="17"/>
  <c r="B92" i="17"/>
  <c r="C92" i="17"/>
  <c r="D92" i="17"/>
  <c r="E92" i="17"/>
  <c r="F92" i="17"/>
  <c r="G92" i="17"/>
  <c r="H92" i="17"/>
  <c r="B93" i="17"/>
  <c r="C93" i="17"/>
  <c r="D93" i="17"/>
  <c r="E93" i="17"/>
  <c r="F93" i="17"/>
  <c r="G93" i="17"/>
  <c r="H93" i="17"/>
  <c r="B94" i="17"/>
  <c r="C94" i="17"/>
  <c r="D94" i="17"/>
  <c r="E94" i="17"/>
  <c r="F94" i="17"/>
  <c r="G94" i="17"/>
  <c r="H94" i="17"/>
  <c r="B95" i="17"/>
  <c r="C95" i="17"/>
  <c r="D95" i="17"/>
  <c r="E95" i="17"/>
  <c r="F95" i="17"/>
  <c r="G95" i="17"/>
  <c r="H95" i="17"/>
  <c r="B96" i="17"/>
  <c r="C96" i="17"/>
  <c r="D96" i="17"/>
  <c r="E96" i="17"/>
  <c r="F96" i="17"/>
  <c r="G96" i="17"/>
  <c r="H96" i="17"/>
  <c r="B97" i="17"/>
  <c r="C97" i="17"/>
  <c r="D97" i="17"/>
  <c r="E97" i="17"/>
  <c r="F97" i="17"/>
  <c r="G97" i="17"/>
  <c r="H97" i="17"/>
  <c r="B98" i="17"/>
  <c r="C98" i="17"/>
  <c r="D98" i="17"/>
  <c r="E98" i="17"/>
  <c r="F98" i="17"/>
  <c r="G98" i="17"/>
  <c r="H98" i="17"/>
  <c r="B99" i="17"/>
  <c r="C99" i="17"/>
  <c r="D99" i="17"/>
  <c r="E99" i="17"/>
  <c r="F99" i="17"/>
  <c r="G99" i="17"/>
  <c r="H99" i="17"/>
  <c r="B100" i="17"/>
  <c r="C100" i="17"/>
  <c r="D100" i="17"/>
  <c r="E100" i="17"/>
  <c r="F100" i="17"/>
  <c r="G100" i="17"/>
  <c r="H100" i="17"/>
  <c r="B101" i="17"/>
  <c r="C101" i="17"/>
  <c r="D101" i="17"/>
  <c r="E101" i="17"/>
  <c r="F101" i="17"/>
  <c r="G101" i="17"/>
  <c r="H101" i="17"/>
  <c r="B102" i="17"/>
  <c r="C102" i="17"/>
  <c r="D102" i="17"/>
  <c r="E102" i="17"/>
  <c r="F102" i="17"/>
  <c r="G102" i="17"/>
  <c r="H102" i="17"/>
  <c r="B103" i="17"/>
  <c r="C103" i="17"/>
  <c r="D103" i="17"/>
  <c r="E103" i="17"/>
  <c r="F103" i="17"/>
  <c r="G103" i="17"/>
  <c r="H103" i="17"/>
  <c r="B104" i="17"/>
  <c r="C104" i="17"/>
  <c r="D104" i="17"/>
  <c r="E104" i="17"/>
  <c r="F104" i="17"/>
  <c r="G104" i="17"/>
  <c r="H104" i="17"/>
  <c r="B105" i="17"/>
  <c r="C105" i="17"/>
  <c r="D105" i="17"/>
  <c r="E105" i="17"/>
  <c r="F105" i="17"/>
  <c r="G105" i="17"/>
  <c r="H105" i="17"/>
  <c r="B106" i="17"/>
  <c r="C106" i="17"/>
  <c r="D106" i="17"/>
  <c r="E106" i="17"/>
  <c r="F106" i="17"/>
  <c r="G106" i="17"/>
  <c r="H106" i="17"/>
  <c r="B107" i="17"/>
  <c r="C107" i="17"/>
  <c r="D107" i="17"/>
  <c r="E107" i="17"/>
  <c r="F107" i="17"/>
  <c r="G107" i="17"/>
  <c r="H107" i="17"/>
  <c r="B108" i="17"/>
  <c r="C108" i="17"/>
  <c r="D108" i="17"/>
  <c r="E108" i="17"/>
  <c r="F108" i="17"/>
  <c r="G108" i="17"/>
  <c r="H108" i="17"/>
  <c r="B109" i="17"/>
  <c r="C109" i="17"/>
  <c r="D109" i="17"/>
  <c r="E109" i="17"/>
  <c r="F109" i="17"/>
  <c r="G109" i="17"/>
  <c r="H109" i="17"/>
  <c r="B110" i="17"/>
  <c r="C110" i="17"/>
  <c r="D110" i="17"/>
  <c r="E110" i="17"/>
  <c r="F110" i="17"/>
  <c r="G110" i="17"/>
  <c r="H110" i="17"/>
  <c r="B111" i="17"/>
  <c r="C111" i="17"/>
  <c r="D111" i="17"/>
  <c r="E111" i="17"/>
  <c r="F111" i="17"/>
  <c r="G111" i="17"/>
  <c r="H111" i="17"/>
  <c r="B112" i="17"/>
  <c r="C112" i="17"/>
  <c r="D112" i="17"/>
  <c r="E112" i="17"/>
  <c r="F112" i="17"/>
  <c r="G112" i="17"/>
  <c r="H112" i="17"/>
  <c r="B113" i="17"/>
  <c r="C113" i="17"/>
  <c r="D113" i="17"/>
  <c r="E113" i="17"/>
  <c r="F113" i="17"/>
  <c r="G113" i="17"/>
  <c r="H113" i="17"/>
  <c r="B114" i="17"/>
  <c r="C114" i="17"/>
  <c r="D114" i="17"/>
  <c r="E114" i="17"/>
  <c r="F114" i="17"/>
  <c r="G114" i="17"/>
  <c r="H114" i="17"/>
  <c r="B115" i="17"/>
  <c r="C115" i="17"/>
  <c r="D115" i="17"/>
  <c r="E115" i="17"/>
  <c r="F115" i="17"/>
  <c r="G115" i="17"/>
  <c r="H115" i="17"/>
  <c r="B116" i="17"/>
  <c r="C116" i="17"/>
  <c r="D116" i="17"/>
  <c r="E116" i="17"/>
  <c r="F116" i="17"/>
  <c r="G116" i="17"/>
  <c r="H116" i="17"/>
  <c r="B117" i="17"/>
  <c r="C117" i="17"/>
  <c r="D117" i="17"/>
  <c r="E117" i="17"/>
  <c r="F117" i="17"/>
  <c r="G117" i="17"/>
  <c r="H117" i="17"/>
  <c r="B118" i="17"/>
  <c r="C118" i="17"/>
  <c r="D118" i="17"/>
  <c r="E118" i="17"/>
  <c r="F118" i="17"/>
  <c r="G118" i="17"/>
  <c r="H118" i="17"/>
  <c r="B119" i="17"/>
  <c r="C119" i="17"/>
  <c r="D119" i="17"/>
  <c r="E119" i="17"/>
  <c r="F119" i="17"/>
  <c r="G119" i="17"/>
  <c r="H119" i="17"/>
  <c r="B120" i="17"/>
  <c r="C120" i="17"/>
  <c r="D120" i="17"/>
  <c r="E120" i="17"/>
  <c r="F120" i="17"/>
  <c r="G120" i="17"/>
  <c r="H120" i="17"/>
  <c r="B121" i="17"/>
  <c r="C121" i="17"/>
  <c r="D121" i="17"/>
  <c r="E121" i="17"/>
  <c r="F121" i="17"/>
  <c r="G121" i="17"/>
  <c r="H121" i="17"/>
  <c r="B122" i="17"/>
  <c r="C122" i="17"/>
  <c r="D122" i="17"/>
  <c r="E122" i="17"/>
  <c r="F122" i="17"/>
  <c r="G122" i="17"/>
  <c r="H122" i="17"/>
  <c r="B123" i="17"/>
  <c r="C123" i="17"/>
  <c r="D123" i="17"/>
  <c r="E123" i="17"/>
  <c r="F123" i="17"/>
  <c r="G123" i="17"/>
  <c r="H123" i="17"/>
  <c r="B124" i="17"/>
  <c r="C124" i="17"/>
  <c r="D124" i="17"/>
  <c r="E124" i="17"/>
  <c r="F124" i="17"/>
  <c r="G124" i="17"/>
  <c r="H124" i="17"/>
  <c r="B125" i="17"/>
  <c r="C125" i="17"/>
  <c r="D125" i="17"/>
  <c r="E125" i="17"/>
  <c r="F125" i="17"/>
  <c r="G125" i="17"/>
  <c r="H125" i="17"/>
  <c r="B126" i="17"/>
  <c r="C126" i="17"/>
  <c r="D126" i="17"/>
  <c r="E126" i="17"/>
  <c r="F126" i="17"/>
  <c r="G126" i="17"/>
  <c r="H126" i="17"/>
  <c r="B127" i="17"/>
  <c r="C127" i="17"/>
  <c r="D127" i="17"/>
  <c r="E127" i="17"/>
  <c r="F127" i="17"/>
  <c r="G127" i="17"/>
  <c r="H127" i="17"/>
  <c r="B128" i="17"/>
  <c r="C128" i="17"/>
  <c r="D128" i="17"/>
  <c r="E128" i="17"/>
  <c r="F128" i="17"/>
  <c r="G128" i="17"/>
  <c r="H128" i="17"/>
  <c r="B129" i="17"/>
  <c r="C129" i="17"/>
  <c r="D129" i="17"/>
  <c r="E129" i="17"/>
  <c r="F129" i="17"/>
  <c r="G129" i="17"/>
  <c r="H129" i="17"/>
  <c r="B130" i="17"/>
  <c r="C130" i="17"/>
  <c r="D130" i="17"/>
  <c r="E130" i="17"/>
  <c r="F130" i="17"/>
  <c r="G130" i="17"/>
  <c r="H130" i="17"/>
  <c r="B131" i="17"/>
  <c r="C131" i="17"/>
  <c r="D131" i="17"/>
  <c r="E131" i="17"/>
  <c r="F131" i="17"/>
  <c r="G131" i="17"/>
  <c r="H131" i="17"/>
  <c r="B132" i="17"/>
  <c r="C132" i="17"/>
  <c r="D132" i="17"/>
  <c r="E132" i="17"/>
  <c r="F132" i="17"/>
  <c r="G132" i="17"/>
  <c r="H132" i="17"/>
  <c r="B133" i="17"/>
  <c r="C133" i="17"/>
  <c r="D133" i="17"/>
  <c r="E133" i="17"/>
  <c r="F133" i="17"/>
  <c r="G133" i="17"/>
  <c r="H133" i="17"/>
  <c r="B134" i="17"/>
  <c r="C134" i="17"/>
  <c r="D134" i="17"/>
  <c r="E134" i="17"/>
  <c r="F134" i="17"/>
  <c r="G134" i="17"/>
  <c r="H134" i="17"/>
  <c r="B135" i="17"/>
  <c r="C135" i="17"/>
  <c r="D135" i="17"/>
  <c r="E135" i="17"/>
  <c r="F135" i="17"/>
  <c r="G135" i="17"/>
  <c r="H135" i="17"/>
  <c r="B136" i="17"/>
  <c r="C136" i="17"/>
  <c r="D136" i="17"/>
  <c r="E136" i="17"/>
  <c r="F136" i="17"/>
  <c r="G136" i="17"/>
  <c r="H136" i="17"/>
  <c r="B137" i="17"/>
  <c r="C137" i="17"/>
  <c r="D137" i="17"/>
  <c r="E137" i="17"/>
  <c r="F137" i="17"/>
  <c r="G137" i="17"/>
  <c r="H137" i="17"/>
  <c r="B138" i="17"/>
  <c r="C138" i="17"/>
  <c r="D138" i="17"/>
  <c r="E138" i="17"/>
  <c r="F138" i="17"/>
  <c r="G138" i="17"/>
  <c r="H138" i="17"/>
  <c r="B139" i="17"/>
  <c r="C139" i="17"/>
  <c r="D139" i="17"/>
  <c r="E139" i="17"/>
  <c r="F139" i="17"/>
  <c r="G139" i="17"/>
  <c r="H139" i="17"/>
  <c r="B140" i="17"/>
  <c r="C140" i="17"/>
  <c r="D140" i="17"/>
  <c r="E140" i="17"/>
  <c r="F140" i="17"/>
  <c r="G140" i="17"/>
  <c r="H140" i="17"/>
  <c r="B141" i="17"/>
  <c r="C141" i="17"/>
  <c r="D141" i="17"/>
  <c r="E141" i="17"/>
  <c r="F141" i="17"/>
  <c r="G141" i="17"/>
  <c r="H141" i="17"/>
  <c r="B142" i="17"/>
  <c r="C142" i="17"/>
  <c r="D142" i="17"/>
  <c r="E142" i="17"/>
  <c r="F142" i="17"/>
  <c r="G142" i="17"/>
  <c r="H142" i="17"/>
  <c r="B143" i="17"/>
  <c r="C143" i="17"/>
  <c r="D143" i="17"/>
  <c r="E143" i="17"/>
  <c r="F143" i="17"/>
  <c r="G143" i="17"/>
  <c r="H143" i="17"/>
  <c r="B144" i="17"/>
  <c r="C144" i="17"/>
  <c r="D144" i="17"/>
  <c r="E144" i="17"/>
  <c r="F144" i="17"/>
  <c r="G144" i="17"/>
  <c r="H144" i="17"/>
  <c r="B145" i="17"/>
  <c r="C145" i="17"/>
  <c r="D145" i="17"/>
  <c r="E145" i="17"/>
  <c r="F145" i="17"/>
  <c r="G145" i="17"/>
  <c r="H145" i="17"/>
  <c r="B146" i="17"/>
  <c r="C146" i="17"/>
  <c r="D146" i="17"/>
  <c r="E146" i="17"/>
  <c r="F146" i="17"/>
  <c r="G146" i="17"/>
  <c r="H146" i="17"/>
  <c r="B147" i="17"/>
  <c r="C147" i="17"/>
  <c r="D147" i="17"/>
  <c r="E147" i="17"/>
  <c r="F147" i="17"/>
  <c r="G147" i="17"/>
  <c r="H147" i="17"/>
  <c r="B148" i="17"/>
  <c r="C148" i="17"/>
  <c r="D148" i="17"/>
  <c r="E148" i="17"/>
  <c r="F148" i="17"/>
  <c r="G148" i="17"/>
  <c r="H148" i="17"/>
  <c r="B149" i="17"/>
  <c r="C149" i="17"/>
  <c r="D149" i="17"/>
  <c r="E149" i="17"/>
  <c r="F149" i="17"/>
  <c r="G149" i="17"/>
  <c r="H149" i="17"/>
  <c r="B150" i="17"/>
  <c r="C150" i="17"/>
  <c r="D150" i="17"/>
  <c r="E150" i="17"/>
  <c r="F150" i="17"/>
  <c r="G150" i="17"/>
  <c r="H150" i="17"/>
  <c r="B151" i="17"/>
  <c r="C151" i="17"/>
  <c r="D151" i="17"/>
  <c r="E151" i="17"/>
  <c r="F151" i="17"/>
  <c r="G151" i="17"/>
  <c r="H151" i="17"/>
  <c r="B152" i="17"/>
  <c r="C152" i="17"/>
  <c r="D152" i="17"/>
  <c r="E152" i="17"/>
  <c r="F152" i="17"/>
  <c r="G152" i="17"/>
  <c r="H152" i="17"/>
  <c r="B153" i="17"/>
  <c r="C153" i="17"/>
  <c r="D153" i="17"/>
  <c r="E153" i="17"/>
  <c r="F153" i="17"/>
  <c r="G153" i="17"/>
  <c r="H153" i="17"/>
  <c r="B154" i="17"/>
  <c r="C154" i="17"/>
  <c r="D154" i="17"/>
  <c r="E154" i="17"/>
  <c r="F154" i="17"/>
  <c r="G154" i="17"/>
  <c r="H154" i="17"/>
  <c r="B155" i="17"/>
  <c r="C155" i="17"/>
  <c r="D155" i="17"/>
  <c r="E155" i="17"/>
  <c r="F155" i="17"/>
  <c r="G155" i="17"/>
  <c r="H155" i="17"/>
  <c r="B156" i="17"/>
  <c r="C156" i="17"/>
  <c r="D156" i="17"/>
  <c r="E156" i="17"/>
  <c r="F156" i="17"/>
  <c r="G156" i="17"/>
  <c r="H156" i="17"/>
  <c r="B157" i="17"/>
  <c r="C157" i="17"/>
  <c r="D157" i="17"/>
  <c r="E157" i="17"/>
  <c r="F157" i="17"/>
  <c r="G157" i="17"/>
  <c r="H157" i="17"/>
  <c r="B158" i="17"/>
  <c r="C158" i="17"/>
  <c r="D158" i="17"/>
  <c r="E158" i="17"/>
  <c r="F158" i="17"/>
  <c r="G158" i="17"/>
  <c r="H158" i="17"/>
  <c r="B159" i="17"/>
  <c r="C159" i="17"/>
  <c r="D159" i="17"/>
  <c r="E159" i="17"/>
  <c r="F159" i="17"/>
  <c r="G159" i="17"/>
  <c r="H159" i="17"/>
  <c r="B160" i="17"/>
  <c r="C160" i="17"/>
  <c r="D160" i="17"/>
  <c r="E160" i="17"/>
  <c r="F160" i="17"/>
  <c r="G160" i="17"/>
  <c r="H160" i="17"/>
  <c r="B161" i="17"/>
  <c r="C161" i="17"/>
  <c r="D161" i="17"/>
  <c r="E161" i="17"/>
  <c r="F161" i="17"/>
  <c r="G161" i="17"/>
  <c r="H161" i="17"/>
  <c r="B162" i="17"/>
  <c r="C162" i="17"/>
  <c r="D162" i="17"/>
  <c r="E162" i="17"/>
  <c r="F162" i="17"/>
  <c r="G162" i="17"/>
  <c r="H162" i="17"/>
  <c r="B163" i="17"/>
  <c r="C163" i="17"/>
  <c r="D163" i="17"/>
  <c r="E163" i="17"/>
  <c r="F163" i="17"/>
  <c r="G163" i="17"/>
  <c r="H163" i="17"/>
  <c r="B164" i="17"/>
  <c r="C164" i="17"/>
  <c r="D164" i="17"/>
  <c r="E164" i="17"/>
  <c r="F164" i="17"/>
  <c r="G164" i="17"/>
  <c r="H164" i="17"/>
  <c r="B165" i="17"/>
  <c r="C165" i="17"/>
  <c r="D165" i="17"/>
  <c r="E165" i="17"/>
  <c r="F165" i="17"/>
  <c r="G165" i="17"/>
  <c r="H165" i="17"/>
  <c r="B166" i="17"/>
  <c r="C166" i="17"/>
  <c r="D166" i="17"/>
  <c r="E166" i="17"/>
  <c r="F166" i="17"/>
  <c r="G166" i="17"/>
  <c r="H166" i="17"/>
  <c r="B167" i="17"/>
  <c r="C167" i="17"/>
  <c r="D167" i="17"/>
  <c r="E167" i="17"/>
  <c r="F167" i="17"/>
  <c r="G167" i="17"/>
  <c r="H167" i="17"/>
  <c r="B168" i="17"/>
  <c r="C168" i="17"/>
  <c r="D168" i="17"/>
  <c r="E168" i="17"/>
  <c r="F168" i="17"/>
  <c r="G168" i="17"/>
  <c r="H168" i="17"/>
  <c r="B169" i="17"/>
  <c r="C169" i="17"/>
  <c r="D169" i="17"/>
  <c r="E169" i="17"/>
  <c r="F169" i="17"/>
  <c r="G169" i="17"/>
  <c r="H169" i="17"/>
  <c r="B170" i="17"/>
  <c r="C170" i="17"/>
  <c r="D170" i="17"/>
  <c r="E170" i="17"/>
  <c r="F170" i="17"/>
  <c r="G170" i="17"/>
  <c r="H170" i="17"/>
  <c r="B171" i="17"/>
  <c r="C171" i="17"/>
  <c r="D171" i="17"/>
  <c r="E171" i="17"/>
  <c r="F171" i="17"/>
  <c r="G171" i="17"/>
  <c r="H171" i="17"/>
  <c r="B172" i="17"/>
  <c r="C172" i="17"/>
  <c r="D172" i="17"/>
  <c r="E172" i="17"/>
  <c r="F172" i="17"/>
  <c r="G172" i="17"/>
  <c r="H172" i="17"/>
  <c r="B173" i="17"/>
  <c r="C173" i="17"/>
  <c r="D173" i="17"/>
  <c r="E173" i="17"/>
  <c r="F173" i="17"/>
  <c r="G173" i="17"/>
  <c r="H173" i="17"/>
  <c r="B174" i="17"/>
  <c r="C174" i="17"/>
  <c r="D174" i="17"/>
  <c r="E174" i="17"/>
  <c r="F174" i="17"/>
  <c r="G174" i="17"/>
  <c r="H174" i="17"/>
  <c r="B175" i="17"/>
  <c r="C175" i="17"/>
  <c r="D175" i="17"/>
  <c r="E175" i="17"/>
  <c r="F175" i="17"/>
  <c r="G175" i="17"/>
  <c r="H175" i="17"/>
  <c r="B176" i="17"/>
  <c r="C176" i="17"/>
  <c r="D176" i="17"/>
  <c r="E176" i="17"/>
  <c r="F176" i="17"/>
  <c r="G176" i="17"/>
  <c r="H176" i="17"/>
  <c r="B177" i="17"/>
  <c r="C177" i="17"/>
  <c r="D177" i="17"/>
  <c r="E177" i="17"/>
  <c r="F177" i="17"/>
  <c r="G177" i="17"/>
  <c r="H177" i="17"/>
  <c r="B178" i="17"/>
  <c r="C178" i="17"/>
  <c r="D178" i="17"/>
  <c r="E178" i="17"/>
  <c r="F178" i="17"/>
  <c r="G178" i="17"/>
  <c r="H178" i="17"/>
  <c r="B179" i="17"/>
  <c r="C179" i="17"/>
  <c r="D179" i="17"/>
  <c r="E179" i="17"/>
  <c r="F179" i="17"/>
  <c r="G179" i="17"/>
  <c r="H179" i="17"/>
  <c r="B180" i="17"/>
  <c r="C180" i="17"/>
  <c r="D180" i="17"/>
  <c r="E180" i="17"/>
  <c r="F180" i="17"/>
  <c r="G180" i="17"/>
  <c r="H180" i="17"/>
  <c r="B181" i="17"/>
  <c r="C181" i="17"/>
  <c r="D181" i="17"/>
  <c r="E181" i="17"/>
  <c r="F181" i="17"/>
  <c r="G181" i="17"/>
  <c r="H181" i="17"/>
  <c r="B182" i="17"/>
  <c r="C182" i="17"/>
  <c r="D182" i="17"/>
  <c r="E182" i="17"/>
  <c r="F182" i="17"/>
  <c r="G182" i="17"/>
  <c r="H182" i="17"/>
  <c r="B183" i="17"/>
  <c r="C183" i="17"/>
  <c r="D183" i="17"/>
  <c r="E183" i="17"/>
  <c r="F183" i="17"/>
  <c r="G183" i="17"/>
  <c r="H183" i="17"/>
  <c r="B184" i="17"/>
  <c r="C184" i="17"/>
  <c r="D184" i="17"/>
  <c r="E184" i="17"/>
  <c r="F184" i="17"/>
  <c r="G184" i="17"/>
  <c r="H184" i="17"/>
  <c r="B185" i="17"/>
  <c r="C185" i="17"/>
  <c r="D185" i="17"/>
  <c r="E185" i="17"/>
  <c r="F185" i="17"/>
  <c r="G185" i="17"/>
  <c r="H185" i="17"/>
  <c r="B186" i="17"/>
  <c r="C186" i="17"/>
  <c r="D186" i="17"/>
  <c r="E186" i="17"/>
  <c r="F186" i="17"/>
  <c r="G186" i="17"/>
  <c r="H186" i="17"/>
  <c r="B187" i="17"/>
  <c r="C187" i="17"/>
  <c r="D187" i="17"/>
  <c r="E187" i="17"/>
  <c r="F187" i="17"/>
  <c r="G187" i="17"/>
  <c r="H187" i="17"/>
  <c r="B188" i="17"/>
  <c r="C188" i="17"/>
  <c r="D188" i="17"/>
  <c r="E188" i="17"/>
  <c r="F188" i="17"/>
  <c r="G188" i="17"/>
  <c r="H188" i="17"/>
  <c r="B189" i="17"/>
  <c r="C189" i="17"/>
  <c r="D189" i="17"/>
  <c r="E189" i="17"/>
  <c r="F189" i="17"/>
  <c r="G189" i="17"/>
  <c r="H189" i="17"/>
  <c r="B190" i="17"/>
  <c r="C190" i="17"/>
  <c r="D190" i="17"/>
  <c r="E190" i="17"/>
  <c r="F190" i="17"/>
  <c r="G190" i="17"/>
  <c r="H190" i="17"/>
  <c r="B191" i="17"/>
  <c r="C191" i="17"/>
  <c r="D191" i="17"/>
  <c r="E191" i="17"/>
  <c r="F191" i="17"/>
  <c r="G191" i="17"/>
  <c r="H191" i="17"/>
  <c r="B192" i="17"/>
  <c r="C192" i="17"/>
  <c r="D192" i="17"/>
  <c r="E192" i="17"/>
  <c r="F192" i="17"/>
  <c r="G192" i="17"/>
  <c r="H192" i="17"/>
  <c r="B193" i="17"/>
  <c r="C193" i="17"/>
  <c r="D193" i="17"/>
  <c r="E193" i="17"/>
  <c r="F193" i="17"/>
  <c r="G193" i="17"/>
  <c r="H193" i="17"/>
  <c r="B194" i="17"/>
  <c r="C194" i="17"/>
  <c r="D194" i="17"/>
  <c r="E194" i="17"/>
  <c r="F194" i="17"/>
  <c r="G194" i="17"/>
  <c r="H194" i="17"/>
  <c r="B195" i="17"/>
  <c r="C195" i="17"/>
  <c r="D195" i="17"/>
  <c r="E195" i="17"/>
  <c r="F195" i="17"/>
  <c r="G195" i="17"/>
  <c r="H195" i="17"/>
  <c r="B196" i="17"/>
  <c r="C196" i="17"/>
  <c r="D196" i="17"/>
  <c r="E196" i="17"/>
  <c r="F196" i="17"/>
  <c r="G196" i="17"/>
  <c r="H196" i="17"/>
  <c r="B197" i="17"/>
  <c r="C197" i="17"/>
  <c r="D197" i="17"/>
  <c r="E197" i="17"/>
  <c r="F197" i="17"/>
  <c r="G197" i="17"/>
  <c r="H197" i="17"/>
  <c r="B198" i="17"/>
  <c r="C198" i="17"/>
  <c r="D198" i="17"/>
  <c r="E198" i="17"/>
  <c r="F198" i="17"/>
  <c r="G198" i="17"/>
  <c r="H198" i="17"/>
  <c r="B199" i="17"/>
  <c r="C199" i="17"/>
  <c r="D199" i="17"/>
  <c r="E199" i="17"/>
  <c r="F199" i="17"/>
  <c r="G199" i="17"/>
  <c r="H199" i="17"/>
  <c r="A203" i="17" l="1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197" i="17" l="1"/>
  <c r="A193" i="17"/>
  <c r="A189" i="17"/>
  <c r="A187" i="17"/>
  <c r="A183" i="17"/>
  <c r="A177" i="17"/>
  <c r="A175" i="17"/>
  <c r="A173" i="17"/>
  <c r="A167" i="17"/>
  <c r="A161" i="17"/>
  <c r="A159" i="17"/>
  <c r="A153" i="17"/>
  <c r="A149" i="17"/>
  <c r="A145" i="17"/>
  <c r="A143" i="17"/>
  <c r="A139" i="17"/>
  <c r="A137" i="17"/>
  <c r="A133" i="17"/>
  <c r="A131" i="17"/>
  <c r="A125" i="17"/>
  <c r="A121" i="17"/>
  <c r="A117" i="17"/>
  <c r="A105" i="17"/>
  <c r="A101" i="17"/>
  <c r="A97" i="17"/>
  <c r="A93" i="17"/>
  <c r="A81" i="17"/>
  <c r="A77" i="17"/>
  <c r="A71" i="17"/>
  <c r="A69" i="17"/>
  <c r="A67" i="17"/>
  <c r="A63" i="17"/>
  <c r="A57" i="17"/>
  <c r="A55" i="17"/>
  <c r="A53" i="17"/>
  <c r="A47" i="17"/>
  <c r="A45" i="17"/>
  <c r="A43" i="17"/>
  <c r="A41" i="17"/>
  <c r="A39" i="17"/>
  <c r="A33" i="17"/>
  <c r="A31" i="17"/>
  <c r="A23" i="17"/>
  <c r="A17" i="17"/>
  <c r="A15" i="17"/>
  <c r="A11" i="17"/>
  <c r="A198" i="17"/>
  <c r="A196" i="17"/>
  <c r="A194" i="17"/>
  <c r="A190" i="17"/>
  <c r="A188" i="17"/>
  <c r="A184" i="17"/>
  <c r="A180" i="17"/>
  <c r="A178" i="17"/>
  <c r="A176" i="17"/>
  <c r="A170" i="17"/>
  <c r="A164" i="17"/>
  <c r="A162" i="17"/>
  <c r="A160" i="17"/>
  <c r="A154" i="17"/>
  <c r="A152" i="17"/>
  <c r="A148" i="17"/>
  <c r="A142" i="17"/>
  <c r="A140" i="17"/>
  <c r="A136" i="17"/>
  <c r="A132" i="17"/>
  <c r="A130" i="17"/>
  <c r="A124" i="17"/>
  <c r="A122" i="17"/>
  <c r="A118" i="17"/>
  <c r="A114" i="17"/>
  <c r="A110" i="17"/>
  <c r="A106" i="17"/>
  <c r="A102" i="17"/>
  <c r="A96" i="17"/>
  <c r="A90" i="17"/>
  <c r="A88" i="17"/>
  <c r="A84" i="17"/>
  <c r="A82" i="17"/>
  <c r="A78" i="17"/>
  <c r="A76" i="17"/>
  <c r="A72" i="17"/>
  <c r="A70" i="17"/>
  <c r="A68" i="17"/>
  <c r="A64" i="17"/>
  <c r="A62" i="17"/>
  <c r="A58" i="17"/>
  <c r="A52" i="17"/>
  <c r="A50" i="17"/>
  <c r="A42" i="17"/>
  <c r="A36" i="17"/>
  <c r="A34" i="17"/>
  <c r="A24" i="17"/>
  <c r="A20" i="17"/>
  <c r="A12" i="17"/>
  <c r="A8" i="17"/>
  <c r="A201" i="17"/>
  <c r="A199" i="17"/>
  <c r="A195" i="17"/>
  <c r="A191" i="17"/>
  <c r="A185" i="17"/>
  <c r="A181" i="17"/>
  <c r="A179" i="17"/>
  <c r="A171" i="17"/>
  <c r="A169" i="17"/>
  <c r="A165" i="17"/>
  <c r="A163" i="17"/>
  <c r="A157" i="17"/>
  <c r="A155" i="17"/>
  <c r="A151" i="17"/>
  <c r="A147" i="17"/>
  <c r="A141" i="17"/>
  <c r="A135" i="17"/>
  <c r="A129" i="17"/>
  <c r="A127" i="17"/>
  <c r="A123" i="17"/>
  <c r="A119" i="17"/>
  <c r="A115" i="17"/>
  <c r="A113" i="17"/>
  <c r="A107" i="17"/>
  <c r="A103" i="17"/>
  <c r="A99" i="17"/>
  <c r="A91" i="17"/>
  <c r="A89" i="17"/>
  <c r="A87" i="17"/>
  <c r="A85" i="17"/>
  <c r="A83" i="17"/>
  <c r="A79" i="17"/>
  <c r="A75" i="17"/>
  <c r="A73" i="17"/>
  <c r="A65" i="17"/>
  <c r="A61" i="17"/>
  <c r="A59" i="17"/>
  <c r="A51" i="17"/>
  <c r="A49" i="17"/>
  <c r="A37" i="17"/>
  <c r="A35" i="17"/>
  <c r="A29" i="17"/>
  <c r="A25" i="17"/>
  <c r="A21" i="17"/>
  <c r="A19" i="17"/>
  <c r="A13" i="17"/>
  <c r="A9" i="17"/>
  <c r="A202" i="17"/>
  <c r="A200" i="17"/>
  <c r="A192" i="17"/>
  <c r="A186" i="17"/>
  <c r="A182" i="17"/>
  <c r="A174" i="17"/>
  <c r="A172" i="17"/>
  <c r="A168" i="17"/>
  <c r="A166" i="17"/>
  <c r="A158" i="17"/>
  <c r="A156" i="17"/>
  <c r="A150" i="17"/>
  <c r="A146" i="17"/>
  <c r="A144" i="17"/>
  <c r="A138" i="17"/>
  <c r="A134" i="17"/>
  <c r="A128" i="17"/>
  <c r="A126" i="17"/>
  <c r="A116" i="17"/>
  <c r="A104" i="17"/>
  <c r="A100" i="17"/>
  <c r="A98" i="17"/>
  <c r="A94" i="17"/>
  <c r="A92" i="17"/>
  <c r="A86" i="17"/>
  <c r="A80" i="17"/>
  <c r="A74" i="17"/>
  <c r="A66" i="17"/>
  <c r="A60" i="17"/>
  <c r="A56" i="17"/>
  <c r="A54" i="17"/>
  <c r="A46" i="17"/>
  <c r="A44" i="17"/>
  <c r="A40" i="17"/>
  <c r="A38" i="17"/>
  <c r="A30" i="17"/>
  <c r="A22" i="17"/>
  <c r="A18" i="17"/>
  <c r="A16" i="17"/>
  <c r="A14" i="17"/>
  <c r="A10" i="17"/>
  <c r="A48" i="17"/>
  <c r="A32" i="17"/>
  <c r="A28" i="17"/>
  <c r="A27" i="17"/>
  <c r="A26" i="17"/>
  <c r="A7" i="17"/>
  <c r="A6" i="17"/>
  <c r="A95" i="17"/>
  <c r="A108" i="17"/>
  <c r="A109" i="17"/>
  <c r="A111" i="17"/>
  <c r="A112" i="17"/>
  <c r="A120" i="17"/>
  <c r="C5" i="17"/>
  <c r="H5" i="17"/>
  <c r="C5" i="9" l="1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B7" i="14" l="1"/>
  <c r="C7" i="14"/>
  <c r="B8" i="14"/>
  <c r="C8" i="14"/>
  <c r="B9" i="14"/>
  <c r="C9" i="14"/>
  <c r="B10" i="14"/>
  <c r="C10" i="14"/>
  <c r="B11" i="14"/>
  <c r="C11" i="14"/>
  <c r="B12" i="14"/>
  <c r="C12" i="14"/>
  <c r="B13" i="14"/>
  <c r="C13" i="14"/>
  <c r="B14" i="14"/>
  <c r="C14" i="14"/>
  <c r="B15" i="14"/>
  <c r="C15" i="14"/>
  <c r="B16" i="14"/>
  <c r="C16" i="14"/>
  <c r="B17" i="14"/>
  <c r="C17" i="14"/>
  <c r="B18" i="14"/>
  <c r="C18" i="14"/>
  <c r="B19" i="14"/>
  <c r="C19" i="14"/>
  <c r="B20" i="14"/>
  <c r="C20" i="14"/>
  <c r="B21" i="14"/>
  <c r="C21" i="14"/>
  <c r="B22" i="14"/>
  <c r="C22" i="14"/>
  <c r="B23" i="14"/>
  <c r="C23" i="14"/>
  <c r="B24" i="14"/>
  <c r="C24" i="14"/>
  <c r="B25" i="14"/>
  <c r="C25" i="14"/>
  <c r="B26" i="14"/>
  <c r="C26" i="14"/>
  <c r="B27" i="14"/>
  <c r="C27" i="14"/>
  <c r="B28" i="14"/>
  <c r="C28" i="14"/>
  <c r="B29" i="14"/>
  <c r="C29" i="14"/>
  <c r="B30" i="14"/>
  <c r="C30" i="14"/>
  <c r="B31" i="14"/>
  <c r="C31" i="14"/>
  <c r="B32" i="14"/>
  <c r="C32" i="14"/>
  <c r="B33" i="14"/>
  <c r="C33" i="14"/>
  <c r="B34" i="14"/>
  <c r="C34" i="14"/>
  <c r="B35" i="14"/>
  <c r="C35" i="14"/>
  <c r="B36" i="14"/>
  <c r="C36" i="14"/>
  <c r="B37" i="14"/>
  <c r="C37" i="14"/>
  <c r="B38" i="14"/>
  <c r="C38" i="14"/>
  <c r="B39" i="14"/>
  <c r="C39" i="14"/>
  <c r="B40" i="14"/>
  <c r="C40" i="14"/>
  <c r="B41" i="14"/>
  <c r="C41" i="14"/>
  <c r="B42" i="14"/>
  <c r="C42" i="14"/>
  <c r="B43" i="14"/>
  <c r="C43" i="14"/>
  <c r="B44" i="14"/>
  <c r="C44" i="14"/>
  <c r="B45" i="14"/>
  <c r="C45" i="14"/>
  <c r="B46" i="14"/>
  <c r="C46" i="14"/>
  <c r="B47" i="14"/>
  <c r="C47" i="14"/>
  <c r="B48" i="14"/>
  <c r="C48" i="14"/>
  <c r="B49" i="14"/>
  <c r="C49" i="14"/>
  <c r="B50" i="14"/>
  <c r="C50" i="14"/>
  <c r="B51" i="14"/>
  <c r="C51" i="14"/>
  <c r="B52" i="14"/>
  <c r="C52" i="14"/>
  <c r="B53" i="14"/>
  <c r="C53" i="14"/>
  <c r="B54" i="14"/>
  <c r="C54" i="14"/>
  <c r="B55" i="14"/>
  <c r="C55" i="14"/>
  <c r="B56" i="14"/>
  <c r="C56" i="14"/>
  <c r="B57" i="14"/>
  <c r="C57" i="14"/>
  <c r="B58" i="14"/>
  <c r="C58" i="14"/>
  <c r="B59" i="14"/>
  <c r="C59" i="14"/>
  <c r="B60" i="14"/>
  <c r="C60" i="14"/>
  <c r="B61" i="14"/>
  <c r="C61" i="14"/>
  <c r="B62" i="14"/>
  <c r="C62" i="14"/>
  <c r="B63" i="14"/>
  <c r="C63" i="14"/>
  <c r="B64" i="14"/>
  <c r="C64" i="14"/>
  <c r="B65" i="14"/>
  <c r="C65" i="14"/>
  <c r="B66" i="14"/>
  <c r="C66" i="14"/>
  <c r="B67" i="14"/>
  <c r="C67" i="14"/>
  <c r="B68" i="14"/>
  <c r="C68" i="14"/>
  <c r="B69" i="14"/>
  <c r="C69" i="14"/>
  <c r="B70" i="14"/>
  <c r="C70" i="14"/>
  <c r="B71" i="14"/>
  <c r="C71" i="14"/>
  <c r="B72" i="14"/>
  <c r="C72" i="14"/>
  <c r="B73" i="14"/>
  <c r="C73" i="14"/>
  <c r="B74" i="14"/>
  <c r="C74" i="14"/>
  <c r="B75" i="14"/>
  <c r="C75" i="14"/>
  <c r="B76" i="14"/>
  <c r="C76" i="14"/>
  <c r="B77" i="14"/>
  <c r="C77" i="14"/>
  <c r="B78" i="14"/>
  <c r="C78" i="14"/>
  <c r="B79" i="14"/>
  <c r="C79" i="14"/>
  <c r="B80" i="14"/>
  <c r="C80" i="14"/>
  <c r="B81" i="14"/>
  <c r="C81" i="14"/>
  <c r="B82" i="14"/>
  <c r="C82" i="14"/>
  <c r="B83" i="14"/>
  <c r="C83" i="14"/>
  <c r="B84" i="14"/>
  <c r="C84" i="14"/>
  <c r="B85" i="14"/>
  <c r="C85" i="14"/>
  <c r="B86" i="14"/>
  <c r="C86" i="14"/>
  <c r="B87" i="14"/>
  <c r="C87" i="14"/>
  <c r="B88" i="14"/>
  <c r="C88" i="14"/>
  <c r="B89" i="14"/>
  <c r="C89" i="14"/>
  <c r="B90" i="14"/>
  <c r="C90" i="14"/>
  <c r="B91" i="14"/>
  <c r="C91" i="14"/>
  <c r="B92" i="14"/>
  <c r="C92" i="14"/>
  <c r="B93" i="14"/>
  <c r="C93" i="14"/>
  <c r="B94" i="14"/>
  <c r="C94" i="14"/>
  <c r="B95" i="14"/>
  <c r="C95" i="14"/>
  <c r="B96" i="14"/>
  <c r="C96" i="14"/>
  <c r="B97" i="14"/>
  <c r="C97" i="14"/>
  <c r="B98" i="14"/>
  <c r="C98" i="14"/>
  <c r="B99" i="14"/>
  <c r="C99" i="14"/>
  <c r="B100" i="14"/>
  <c r="C100" i="14"/>
  <c r="B101" i="14"/>
  <c r="C101" i="14"/>
  <c r="B102" i="14"/>
  <c r="C102" i="14"/>
  <c r="B103" i="14"/>
  <c r="C103" i="14"/>
  <c r="B104" i="14"/>
  <c r="C104" i="14"/>
  <c r="B105" i="14"/>
  <c r="C105" i="14"/>
  <c r="B106" i="14"/>
  <c r="C106" i="14"/>
  <c r="B107" i="14"/>
  <c r="C107" i="14"/>
  <c r="B108" i="14"/>
  <c r="C108" i="14"/>
  <c r="B109" i="14"/>
  <c r="C109" i="14"/>
  <c r="B110" i="14"/>
  <c r="C110" i="14"/>
  <c r="B111" i="14"/>
  <c r="C111" i="14"/>
  <c r="B112" i="14"/>
  <c r="C112" i="14"/>
  <c r="B113" i="14"/>
  <c r="C113" i="14"/>
  <c r="B114" i="14"/>
  <c r="C114" i="14"/>
  <c r="B115" i="14"/>
  <c r="C115" i="14"/>
  <c r="B116" i="14"/>
  <c r="C116" i="14"/>
  <c r="B117" i="14"/>
  <c r="C117" i="14"/>
  <c r="B118" i="14"/>
  <c r="C118" i="14"/>
  <c r="B119" i="14"/>
  <c r="C119" i="14"/>
  <c r="B120" i="14"/>
  <c r="C120" i="14"/>
  <c r="B121" i="14"/>
  <c r="C121" i="14"/>
  <c r="B122" i="14"/>
  <c r="C122" i="14"/>
  <c r="B123" i="14"/>
  <c r="C123" i="14"/>
  <c r="B124" i="14"/>
  <c r="C124" i="14"/>
  <c r="B125" i="14"/>
  <c r="C125" i="14"/>
  <c r="B126" i="14"/>
  <c r="C126" i="14"/>
  <c r="B127" i="14"/>
  <c r="C127" i="14"/>
  <c r="B128" i="14"/>
  <c r="C128" i="14"/>
  <c r="B129" i="14"/>
  <c r="C129" i="14"/>
  <c r="B130" i="14"/>
  <c r="C130" i="14"/>
  <c r="B131" i="14"/>
  <c r="C131" i="14"/>
  <c r="B132" i="14"/>
  <c r="C132" i="14"/>
  <c r="B133" i="14"/>
  <c r="C133" i="14"/>
  <c r="B134" i="14"/>
  <c r="C134" i="14"/>
  <c r="B135" i="14"/>
  <c r="C135" i="14"/>
  <c r="B136" i="14"/>
  <c r="C136" i="14"/>
  <c r="B137" i="14"/>
  <c r="C137" i="14"/>
  <c r="B138" i="14"/>
  <c r="C138" i="14"/>
  <c r="B139" i="14"/>
  <c r="C139" i="14"/>
  <c r="B140" i="14"/>
  <c r="C140" i="14"/>
  <c r="B141" i="14"/>
  <c r="C141" i="14"/>
  <c r="B142" i="14"/>
  <c r="C142" i="14"/>
  <c r="B143" i="14"/>
  <c r="C143" i="14"/>
  <c r="B144" i="14"/>
  <c r="C144" i="14"/>
  <c r="B145" i="14"/>
  <c r="C145" i="14"/>
  <c r="B146" i="14"/>
  <c r="C146" i="14"/>
  <c r="B147" i="14"/>
  <c r="C147" i="14"/>
  <c r="B148" i="14"/>
  <c r="C148" i="14"/>
  <c r="B149" i="14"/>
  <c r="C149" i="14"/>
  <c r="B150" i="14"/>
  <c r="C150" i="14"/>
  <c r="B151" i="14"/>
  <c r="C151" i="14"/>
  <c r="B152" i="14"/>
  <c r="C152" i="14"/>
  <c r="B153" i="14"/>
  <c r="C153" i="14"/>
  <c r="B154" i="14"/>
  <c r="C154" i="14"/>
  <c r="B155" i="14"/>
  <c r="C155" i="14"/>
  <c r="B156" i="14"/>
  <c r="C156" i="14"/>
  <c r="B157" i="14"/>
  <c r="C157" i="14"/>
  <c r="B158" i="14"/>
  <c r="C158" i="14"/>
  <c r="B159" i="14"/>
  <c r="C159" i="14"/>
  <c r="B160" i="14"/>
  <c r="C160" i="14"/>
  <c r="B161" i="14"/>
  <c r="C161" i="14"/>
  <c r="B162" i="14"/>
  <c r="C162" i="14"/>
  <c r="B163" i="14"/>
  <c r="C163" i="14"/>
  <c r="B164" i="14"/>
  <c r="C164" i="14"/>
  <c r="B165" i="14"/>
  <c r="C165" i="14"/>
  <c r="B166" i="14"/>
  <c r="C166" i="14"/>
  <c r="B167" i="14"/>
  <c r="C167" i="14"/>
  <c r="B168" i="14"/>
  <c r="C168" i="14"/>
  <c r="B169" i="14"/>
  <c r="C169" i="14"/>
  <c r="B170" i="14"/>
  <c r="C170" i="14"/>
  <c r="B171" i="14"/>
  <c r="C171" i="14"/>
  <c r="B172" i="14"/>
  <c r="C172" i="14"/>
  <c r="B173" i="14"/>
  <c r="C173" i="14"/>
  <c r="B174" i="14"/>
  <c r="C174" i="14"/>
  <c r="B175" i="14"/>
  <c r="C175" i="14"/>
  <c r="B176" i="14"/>
  <c r="C176" i="14"/>
  <c r="B177" i="14"/>
  <c r="C177" i="14"/>
  <c r="B178" i="14"/>
  <c r="C178" i="14"/>
  <c r="B179" i="14"/>
  <c r="C179" i="14"/>
  <c r="B180" i="14"/>
  <c r="C180" i="14"/>
  <c r="B181" i="14"/>
  <c r="C181" i="14"/>
  <c r="B182" i="14"/>
  <c r="C182" i="14"/>
  <c r="B183" i="14"/>
  <c r="C183" i="14"/>
  <c r="B184" i="14"/>
  <c r="C184" i="14"/>
  <c r="B185" i="14"/>
  <c r="C185" i="14"/>
  <c r="B186" i="14"/>
  <c r="C186" i="14"/>
  <c r="B187" i="14"/>
  <c r="C187" i="14"/>
  <c r="B188" i="14"/>
  <c r="C188" i="14"/>
  <c r="B189" i="14"/>
  <c r="C189" i="14"/>
  <c r="B190" i="14"/>
  <c r="C190" i="14"/>
  <c r="B191" i="14"/>
  <c r="C191" i="14"/>
  <c r="B192" i="14"/>
  <c r="C192" i="14"/>
  <c r="B193" i="14"/>
  <c r="C193" i="14"/>
  <c r="B194" i="14"/>
  <c r="C194" i="14"/>
  <c r="B195" i="14"/>
  <c r="C195" i="14"/>
  <c r="B196" i="14"/>
  <c r="C196" i="14"/>
  <c r="B197" i="14"/>
  <c r="C197" i="14"/>
  <c r="B198" i="14"/>
  <c r="C198" i="14"/>
  <c r="B199" i="14"/>
  <c r="C199" i="14"/>
  <c r="B200" i="14"/>
  <c r="C200" i="14"/>
  <c r="B201" i="14"/>
  <c r="C201" i="14"/>
  <c r="B202" i="14"/>
  <c r="C202" i="14"/>
  <c r="B203" i="14"/>
  <c r="C203" i="14"/>
  <c r="B204" i="14"/>
  <c r="C204" i="14"/>
  <c r="B205" i="14"/>
  <c r="C205" i="14"/>
  <c r="B206" i="14"/>
  <c r="C206" i="14"/>
  <c r="B207" i="14"/>
  <c r="C207" i="14"/>
  <c r="B208" i="14"/>
  <c r="C208" i="14"/>
  <c r="B209" i="14"/>
  <c r="C209" i="14"/>
  <c r="B210" i="14"/>
  <c r="C210" i="14"/>
  <c r="B211" i="14"/>
  <c r="C211" i="14"/>
  <c r="B212" i="14"/>
  <c r="C212" i="14"/>
  <c r="B213" i="14"/>
  <c r="C213" i="14"/>
  <c r="B214" i="14"/>
  <c r="C214" i="14"/>
  <c r="B215" i="14"/>
  <c r="C215" i="14"/>
  <c r="B216" i="14"/>
  <c r="C216" i="14"/>
  <c r="B217" i="14"/>
  <c r="C217" i="14"/>
  <c r="B218" i="14"/>
  <c r="C218" i="14"/>
  <c r="B219" i="14"/>
  <c r="C219" i="14"/>
  <c r="B220" i="14"/>
  <c r="C220" i="14"/>
  <c r="B221" i="14"/>
  <c r="C221" i="14"/>
  <c r="B222" i="14"/>
  <c r="C222" i="14"/>
  <c r="B223" i="14"/>
  <c r="C223" i="14"/>
  <c r="B224" i="14"/>
  <c r="C224" i="14"/>
  <c r="B225" i="14"/>
  <c r="C225" i="14"/>
  <c r="B226" i="14"/>
  <c r="C226" i="14"/>
  <c r="B227" i="14"/>
  <c r="C227" i="14"/>
  <c r="B228" i="14"/>
  <c r="C228" i="14"/>
  <c r="B229" i="14"/>
  <c r="C229" i="14"/>
  <c r="B230" i="14"/>
  <c r="C230" i="14"/>
  <c r="B231" i="14"/>
  <c r="C231" i="14"/>
  <c r="B232" i="14"/>
  <c r="C232" i="14"/>
  <c r="B233" i="14"/>
  <c r="C233" i="14"/>
  <c r="B234" i="14"/>
  <c r="C234" i="14"/>
  <c r="B235" i="14"/>
  <c r="C235" i="14"/>
  <c r="B236" i="14"/>
  <c r="C236" i="14"/>
  <c r="B237" i="14"/>
  <c r="C237" i="14"/>
  <c r="B238" i="14"/>
  <c r="C238" i="14"/>
  <c r="B239" i="14"/>
  <c r="C239" i="14"/>
  <c r="B240" i="14"/>
  <c r="C240" i="14"/>
  <c r="C244" i="20"/>
  <c r="C245" i="20"/>
  <c r="C246" i="20"/>
  <c r="C248" i="20"/>
  <c r="C250" i="20"/>
  <c r="C252" i="20"/>
  <c r="C10" i="20"/>
  <c r="C12" i="20"/>
  <c r="C13" i="20"/>
  <c r="C15" i="20"/>
  <c r="C16" i="20"/>
  <c r="C17" i="20"/>
  <c r="C20" i="20"/>
  <c r="C21" i="20"/>
  <c r="C5" i="20" s="1"/>
  <c r="C22" i="20"/>
  <c r="C25" i="20"/>
  <c r="C26" i="20"/>
  <c r="C27" i="20"/>
  <c r="C29" i="20"/>
  <c r="C30" i="20"/>
  <c r="C33" i="20"/>
  <c r="C35" i="20"/>
  <c r="C37" i="20"/>
  <c r="C39" i="20"/>
  <c r="C41" i="20"/>
  <c r="C44" i="20"/>
  <c r="C45" i="20"/>
  <c r="C47" i="20"/>
  <c r="C49" i="20"/>
  <c r="C51" i="20"/>
  <c r="C53" i="20"/>
  <c r="C54" i="20"/>
  <c r="C55" i="20"/>
  <c r="C57" i="20"/>
  <c r="C59" i="20"/>
  <c r="C61" i="20"/>
  <c r="C62" i="20"/>
  <c r="C63" i="20"/>
  <c r="C65" i="20"/>
  <c r="C67" i="20"/>
  <c r="C68" i="20"/>
  <c r="C69" i="20"/>
  <c r="C70" i="20"/>
  <c r="C71" i="20"/>
  <c r="C72" i="20"/>
  <c r="C73" i="20"/>
  <c r="C74" i="20"/>
  <c r="C75" i="20"/>
  <c r="C77" i="20"/>
  <c r="C78" i="20"/>
  <c r="C79" i="20"/>
  <c r="C81" i="20"/>
  <c r="C82" i="20"/>
  <c r="C83" i="20"/>
  <c r="C84" i="20"/>
  <c r="C85" i="20"/>
  <c r="C86" i="20"/>
  <c r="C87" i="20"/>
  <c r="C89" i="20"/>
  <c r="C90" i="20"/>
  <c r="C91" i="20"/>
  <c r="C93" i="20"/>
  <c r="C94" i="20"/>
  <c r="C96" i="20"/>
  <c r="C97" i="20"/>
  <c r="C98" i="20"/>
  <c r="C99" i="20"/>
  <c r="C100" i="20"/>
  <c r="C101" i="20"/>
  <c r="C103" i="20"/>
  <c r="C107" i="20"/>
  <c r="C109" i="20"/>
  <c r="C111" i="20"/>
  <c r="C113" i="20"/>
  <c r="C115" i="20"/>
  <c r="C116" i="20"/>
  <c r="C117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5" i="20"/>
  <c r="C137" i="20"/>
  <c r="C139" i="20"/>
  <c r="C141" i="20"/>
  <c r="C143" i="20"/>
  <c r="C144" i="20"/>
  <c r="C145" i="20"/>
  <c r="C146" i="20"/>
  <c r="C147" i="20"/>
  <c r="C149" i="20"/>
  <c r="C151" i="20"/>
  <c r="C153" i="20"/>
  <c r="C155" i="20"/>
  <c r="C156" i="20"/>
  <c r="C157" i="20"/>
  <c r="C159" i="20"/>
  <c r="C161" i="20"/>
  <c r="C162" i="20"/>
  <c r="C163" i="20"/>
  <c r="C164" i="20"/>
  <c r="C165" i="20"/>
  <c r="C169" i="20"/>
  <c r="C170" i="20"/>
  <c r="C171" i="20"/>
  <c r="C173" i="20"/>
  <c r="C174" i="20"/>
  <c r="C175" i="20"/>
  <c r="C176" i="20"/>
  <c r="C177" i="20"/>
  <c r="C179" i="20"/>
  <c r="C180" i="20"/>
  <c r="C181" i="20"/>
  <c r="C183" i="20"/>
  <c r="C184" i="20"/>
  <c r="C187" i="20"/>
  <c r="C189" i="20"/>
  <c r="C190" i="20"/>
  <c r="C191" i="20"/>
  <c r="C193" i="20"/>
  <c r="C194" i="20"/>
  <c r="C195" i="20"/>
  <c r="C199" i="20"/>
  <c r="C200" i="20"/>
  <c r="C201" i="20"/>
  <c r="C203" i="20"/>
  <c r="C204" i="20"/>
  <c r="C205" i="20"/>
  <c r="C207" i="20"/>
  <c r="C208" i="20"/>
  <c r="C211" i="20"/>
  <c r="C213" i="20"/>
  <c r="C214" i="20"/>
  <c r="C218" i="20"/>
  <c r="C222" i="20"/>
  <c r="C231" i="20"/>
  <c r="C233" i="20"/>
  <c r="C235" i="20"/>
  <c r="C239" i="20"/>
  <c r="C241" i="20"/>
  <c r="C243" i="20"/>
  <c r="C247" i="20"/>
  <c r="C249" i="20"/>
  <c r="C251" i="20"/>
  <c r="C219" i="20" l="1"/>
  <c r="C227" i="20"/>
  <c r="C223" i="20"/>
  <c r="C215" i="20"/>
  <c r="C209" i="20"/>
  <c r="C197" i="20"/>
  <c r="C185" i="20"/>
  <c r="C167" i="20"/>
  <c r="C152" i="20"/>
  <c r="C150" i="20"/>
  <c r="C136" i="20"/>
  <c r="C105" i="20"/>
  <c r="C95" i="20"/>
  <c r="C43" i="20"/>
  <c r="C36" i="20"/>
  <c r="C23" i="20"/>
  <c r="C34" i="20"/>
  <c r="C31" i="20"/>
  <c r="C19" i="20"/>
  <c r="C11" i="20"/>
  <c r="C225" i="20"/>
  <c r="C216" i="20"/>
  <c r="C212" i="20"/>
  <c r="C196" i="20"/>
  <c r="C192" i="20"/>
  <c r="C188" i="20"/>
  <c r="C160" i="20"/>
  <c r="C220" i="20"/>
  <c r="C172" i="20"/>
  <c r="C168" i="20"/>
  <c r="C140" i="20"/>
  <c r="C148" i="20"/>
  <c r="C114" i="20"/>
  <c r="C106" i="20"/>
  <c r="C58" i="20"/>
  <c r="C50" i="20"/>
  <c r="C42" i="20"/>
  <c r="C14" i="20"/>
  <c r="C237" i="20"/>
  <c r="C210" i="20"/>
  <c r="C198" i="20"/>
  <c r="C182" i="20"/>
  <c r="C166" i="20"/>
  <c r="C138" i="20"/>
  <c r="C110" i="20"/>
  <c r="C102" i="20"/>
  <c r="C66" i="20"/>
  <c r="C46" i="20"/>
  <c r="C38" i="20"/>
  <c r="C18" i="20"/>
  <c r="C229" i="20"/>
  <c r="C206" i="20"/>
  <c r="C202" i="20"/>
  <c r="C186" i="20"/>
  <c r="C178" i="20"/>
  <c r="C158" i="20"/>
  <c r="C154" i="20"/>
  <c r="C142" i="20"/>
  <c r="C134" i="20"/>
  <c r="C221" i="20"/>
  <c r="C217" i="20"/>
  <c r="C112" i="20"/>
  <c r="C108" i="20"/>
  <c r="C104" i="20"/>
  <c r="C92" i="20"/>
  <c r="C88" i="20"/>
  <c r="C80" i="20"/>
  <c r="C76" i="20"/>
  <c r="C64" i="20"/>
  <c r="C60" i="20"/>
  <c r="C56" i="20"/>
  <c r="C52" i="20"/>
  <c r="C48" i="20"/>
  <c r="C40" i="20"/>
  <c r="C32" i="20"/>
  <c r="C28" i="20"/>
  <c r="C24" i="20"/>
  <c r="C118" i="20"/>
  <c r="C240" i="20"/>
  <c r="C236" i="20"/>
  <c r="C232" i="20"/>
  <c r="C228" i="20"/>
  <c r="C224" i="20"/>
  <c r="C242" i="20"/>
  <c r="C238" i="20"/>
  <c r="C234" i="20"/>
  <c r="C230" i="20"/>
  <c r="C226" i="20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L228" i="14" l="1"/>
  <c r="M212" i="14"/>
  <c r="L196" i="14"/>
  <c r="R180" i="14"/>
  <c r="P132" i="14"/>
  <c r="O84" i="14"/>
  <c r="Q68" i="14"/>
  <c r="J52" i="14"/>
  <c r="S169" i="14"/>
  <c r="M234" i="14"/>
  <c r="S218" i="14"/>
  <c r="H202" i="14"/>
  <c r="K186" i="14"/>
  <c r="Q170" i="14"/>
  <c r="O154" i="14"/>
  <c r="G138" i="14"/>
  <c r="K122" i="14"/>
  <c r="N106" i="14"/>
  <c r="I90" i="14"/>
  <c r="Q74" i="14"/>
  <c r="O58" i="14"/>
  <c r="O42" i="14"/>
  <c r="O26" i="14"/>
  <c r="Q10" i="14"/>
  <c r="N227" i="14"/>
  <c r="I211" i="14"/>
  <c r="N195" i="14"/>
  <c r="G179" i="14"/>
  <c r="O175" i="14"/>
  <c r="R163" i="14"/>
  <c r="Q159" i="14"/>
  <c r="P147" i="14"/>
  <c r="S131" i="14"/>
  <c r="M127" i="14"/>
  <c r="Q115" i="14"/>
  <c r="O111" i="14"/>
  <c r="P99" i="14"/>
  <c r="Q95" i="14"/>
  <c r="G83" i="14"/>
  <c r="R79" i="14"/>
  <c r="K67" i="14"/>
  <c r="S63" i="14"/>
  <c r="H51" i="14"/>
  <c r="K47" i="14"/>
  <c r="P35" i="14"/>
  <c r="K31" i="14"/>
  <c r="J19" i="14"/>
  <c r="S15" i="14"/>
  <c r="R31" i="14"/>
  <c r="O31" i="14"/>
  <c r="R47" i="14"/>
  <c r="Q47" i="14"/>
  <c r="J47" i="14"/>
  <c r="Q63" i="14"/>
  <c r="J63" i="14"/>
  <c r="F63" i="14"/>
  <c r="H79" i="14"/>
  <c r="F79" i="14"/>
  <c r="E98" i="20"/>
  <c r="H95" i="14"/>
  <c r="K111" i="14"/>
  <c r="S111" i="14"/>
  <c r="I111" i="14"/>
  <c r="H111" i="14"/>
  <c r="Q127" i="14"/>
  <c r="O127" i="14"/>
  <c r="S127" i="14"/>
  <c r="P127" i="14"/>
  <c r="L127" i="14"/>
  <c r="G127" i="14"/>
  <c r="E130" i="20"/>
  <c r="H127" i="14"/>
  <c r="M143" i="14"/>
  <c r="E146" i="20"/>
  <c r="R159" i="14"/>
  <c r="M159" i="14"/>
  <c r="K159" i="14"/>
  <c r="S159" i="14"/>
  <c r="J159" i="14"/>
  <c r="I159" i="14"/>
  <c r="N159" i="14"/>
  <c r="F159" i="14"/>
  <c r="R175" i="14"/>
  <c r="Q175" i="14"/>
  <c r="K175" i="14"/>
  <c r="S175" i="14"/>
  <c r="P175" i="14"/>
  <c r="I175" i="14"/>
  <c r="G175" i="14"/>
  <c r="N175" i="14"/>
  <c r="E178" i="20"/>
  <c r="Q191" i="14"/>
  <c r="O191" i="14"/>
  <c r="M191" i="14"/>
  <c r="S191" i="14"/>
  <c r="P191" i="14"/>
  <c r="L191" i="14"/>
  <c r="I191" i="14"/>
  <c r="G191" i="14"/>
  <c r="N191" i="14"/>
  <c r="F191" i="14"/>
  <c r="E194" i="20"/>
  <c r="R207" i="14"/>
  <c r="O207" i="14"/>
  <c r="M207" i="14"/>
  <c r="K207" i="14"/>
  <c r="P207" i="14"/>
  <c r="L207" i="14"/>
  <c r="J207" i="14"/>
  <c r="G207" i="14"/>
  <c r="H207" i="14"/>
  <c r="N207" i="14"/>
  <c r="E210" i="20"/>
  <c r="R223" i="14"/>
  <c r="Q223" i="14"/>
  <c r="M223" i="14"/>
  <c r="K223" i="14"/>
  <c r="S223" i="14"/>
  <c r="L223" i="14"/>
  <c r="J223" i="14"/>
  <c r="I223" i="14"/>
  <c r="N223" i="14"/>
  <c r="H223" i="14"/>
  <c r="F223" i="14"/>
  <c r="R239" i="14"/>
  <c r="Q239" i="14"/>
  <c r="O239" i="14"/>
  <c r="K239" i="14"/>
  <c r="S239" i="14"/>
  <c r="P239" i="14"/>
  <c r="J239" i="14"/>
  <c r="I239" i="14"/>
  <c r="G239" i="14"/>
  <c r="N239" i="14"/>
  <c r="F239" i="14"/>
  <c r="E242" i="20"/>
  <c r="R22" i="14"/>
  <c r="O22" i="14"/>
  <c r="M22" i="14"/>
  <c r="K22" i="14"/>
  <c r="P22" i="14"/>
  <c r="L22" i="14"/>
  <c r="G22" i="14"/>
  <c r="N22" i="14"/>
  <c r="J22" i="14"/>
  <c r="F22" i="14"/>
  <c r="H22" i="14"/>
  <c r="R38" i="14"/>
  <c r="Q38" i="14"/>
  <c r="O38" i="14"/>
  <c r="M38" i="14"/>
  <c r="K38" i="14"/>
  <c r="I38" i="14"/>
  <c r="P38" i="14"/>
  <c r="L38" i="14"/>
  <c r="G38" i="14"/>
  <c r="S38" i="14"/>
  <c r="N38" i="14"/>
  <c r="J38" i="14"/>
  <c r="F38" i="14"/>
  <c r="E41" i="20"/>
  <c r="H38" i="14"/>
  <c r="R54" i="14"/>
  <c r="Q54" i="14"/>
  <c r="O54" i="14"/>
  <c r="M54" i="14"/>
  <c r="K54" i="14"/>
  <c r="I54" i="14"/>
  <c r="P54" i="14"/>
  <c r="L54" i="14"/>
  <c r="G54" i="14"/>
  <c r="S54" i="14"/>
  <c r="N54" i="14"/>
  <c r="J54" i="14"/>
  <c r="F54" i="14"/>
  <c r="E57" i="20"/>
  <c r="H54" i="14"/>
  <c r="R70" i="14"/>
  <c r="Q70" i="14"/>
  <c r="O70" i="14"/>
  <c r="M70" i="14"/>
  <c r="K70" i="14"/>
  <c r="P70" i="14"/>
  <c r="L70" i="14"/>
  <c r="I70" i="14"/>
  <c r="G70" i="14"/>
  <c r="S70" i="14"/>
  <c r="N70" i="14"/>
  <c r="J70" i="14"/>
  <c r="F70" i="14"/>
  <c r="E73" i="20"/>
  <c r="H70" i="14"/>
  <c r="R86" i="14"/>
  <c r="Q86" i="14"/>
  <c r="O86" i="14"/>
  <c r="M86" i="14"/>
  <c r="K86" i="14"/>
  <c r="P86" i="14"/>
  <c r="L86" i="14"/>
  <c r="I86" i="14"/>
  <c r="G86" i="14"/>
  <c r="S86" i="14"/>
  <c r="N86" i="14"/>
  <c r="J86" i="14"/>
  <c r="F86" i="14"/>
  <c r="E89" i="20"/>
  <c r="H86" i="14"/>
  <c r="R102" i="14"/>
  <c r="Q102" i="14"/>
  <c r="O102" i="14"/>
  <c r="M102" i="14"/>
  <c r="K102" i="14"/>
  <c r="P102" i="14"/>
  <c r="L102" i="14"/>
  <c r="I102" i="14"/>
  <c r="G102" i="14"/>
  <c r="S102" i="14"/>
  <c r="N102" i="14"/>
  <c r="J102" i="14"/>
  <c r="F102" i="14"/>
  <c r="E105" i="20"/>
  <c r="H102" i="14"/>
  <c r="R118" i="14"/>
  <c r="Q118" i="14"/>
  <c r="O118" i="14"/>
  <c r="M118" i="14"/>
  <c r="K118" i="14"/>
  <c r="P118" i="14"/>
  <c r="L118" i="14"/>
  <c r="I118" i="14"/>
  <c r="G118" i="14"/>
  <c r="S118" i="14"/>
  <c r="N118" i="14"/>
  <c r="J118" i="14"/>
  <c r="F118" i="14"/>
  <c r="E121" i="20"/>
  <c r="H118" i="14"/>
  <c r="R134" i="14"/>
  <c r="Q134" i="14"/>
  <c r="O134" i="14"/>
  <c r="M134" i="14"/>
  <c r="K134" i="14"/>
  <c r="P134" i="14"/>
  <c r="L134" i="14"/>
  <c r="I134" i="14"/>
  <c r="G134" i="14"/>
  <c r="S134" i="14"/>
  <c r="N134" i="14"/>
  <c r="J134" i="14"/>
  <c r="F134" i="14"/>
  <c r="E137" i="20"/>
  <c r="H134" i="14"/>
  <c r="R150" i="14"/>
  <c r="Q150" i="14"/>
  <c r="O150" i="14"/>
  <c r="M150" i="14"/>
  <c r="K150" i="14"/>
  <c r="P150" i="14"/>
  <c r="L150" i="14"/>
  <c r="I150" i="14"/>
  <c r="G150" i="14"/>
  <c r="S150" i="14"/>
  <c r="N150" i="14"/>
  <c r="J150" i="14"/>
  <c r="F150" i="14"/>
  <c r="E153" i="20"/>
  <c r="H150" i="14"/>
  <c r="R166" i="14"/>
  <c r="Q166" i="14"/>
  <c r="O166" i="14"/>
  <c r="M166" i="14"/>
  <c r="K166" i="14"/>
  <c r="P166" i="14"/>
  <c r="L166" i="14"/>
  <c r="I166" i="14"/>
  <c r="G166" i="14"/>
  <c r="S166" i="14"/>
  <c r="N166" i="14"/>
  <c r="J166" i="14"/>
  <c r="F166" i="14"/>
  <c r="E169" i="20"/>
  <c r="H166" i="14"/>
  <c r="R182" i="14"/>
  <c r="Q182" i="14"/>
  <c r="O182" i="14"/>
  <c r="M182" i="14"/>
  <c r="K182" i="14"/>
  <c r="P182" i="14"/>
  <c r="L182" i="14"/>
  <c r="I182" i="14"/>
  <c r="S182" i="14"/>
  <c r="N182" i="14"/>
  <c r="J182" i="14"/>
  <c r="F182" i="14"/>
  <c r="G182" i="14"/>
  <c r="E185" i="20"/>
  <c r="H182" i="14"/>
  <c r="R198" i="14"/>
  <c r="Q198" i="14"/>
  <c r="O198" i="14"/>
  <c r="M198" i="14"/>
  <c r="K198" i="14"/>
  <c r="P198" i="14"/>
  <c r="L198" i="14"/>
  <c r="I198" i="14"/>
  <c r="S198" i="14"/>
  <c r="N198" i="14"/>
  <c r="J198" i="14"/>
  <c r="F198" i="14"/>
  <c r="G198" i="14"/>
  <c r="E201" i="20"/>
  <c r="H198" i="14"/>
  <c r="R214" i="14"/>
  <c r="Q214" i="14"/>
  <c r="O214" i="14"/>
  <c r="M214" i="14"/>
  <c r="K214" i="14"/>
  <c r="P214" i="14"/>
  <c r="L214" i="14"/>
  <c r="I214" i="14"/>
  <c r="S214" i="14"/>
  <c r="N214" i="14"/>
  <c r="J214" i="14"/>
  <c r="F214" i="14"/>
  <c r="G214" i="14"/>
  <c r="E217" i="20"/>
  <c r="H214" i="14"/>
  <c r="R230" i="14"/>
  <c r="Q230" i="14"/>
  <c r="O230" i="14"/>
  <c r="M230" i="14"/>
  <c r="K230" i="14"/>
  <c r="P230" i="14"/>
  <c r="L230" i="14"/>
  <c r="I230" i="14"/>
  <c r="S230" i="14"/>
  <c r="N230" i="14"/>
  <c r="J230" i="14"/>
  <c r="F230" i="14"/>
  <c r="G230" i="14"/>
  <c r="E233" i="20"/>
  <c r="H230" i="14"/>
  <c r="E249" i="20"/>
  <c r="S13" i="14"/>
  <c r="Q13" i="14"/>
  <c r="P13" i="14"/>
  <c r="N13" i="14"/>
  <c r="L13" i="14"/>
  <c r="J13" i="14"/>
  <c r="O13" i="14"/>
  <c r="K13" i="14"/>
  <c r="H13" i="14"/>
  <c r="F13" i="14"/>
  <c r="I13" i="14"/>
  <c r="G13" i="14"/>
  <c r="R13" i="14"/>
  <c r="M13" i="14"/>
  <c r="E16" i="20"/>
  <c r="S29" i="14"/>
  <c r="Q29" i="14"/>
  <c r="P29" i="14"/>
  <c r="N29" i="14"/>
  <c r="L29" i="14"/>
  <c r="J29" i="14"/>
  <c r="O29" i="14"/>
  <c r="K29" i="14"/>
  <c r="H29" i="14"/>
  <c r="F29" i="14"/>
  <c r="G29" i="14"/>
  <c r="E32" i="20"/>
  <c r="R29" i="14"/>
  <c r="I29" i="14"/>
  <c r="M29" i="14"/>
  <c r="S45" i="14"/>
  <c r="P45" i="14"/>
  <c r="N45" i="14"/>
  <c r="L45" i="14"/>
  <c r="J45" i="14"/>
  <c r="O45" i="14"/>
  <c r="K45" i="14"/>
  <c r="H45" i="14"/>
  <c r="F45" i="14"/>
  <c r="Q45" i="14"/>
  <c r="I45" i="14"/>
  <c r="G45" i="14"/>
  <c r="M45" i="14"/>
  <c r="E48" i="20"/>
  <c r="R45" i="14"/>
  <c r="S61" i="14"/>
  <c r="P61" i="14"/>
  <c r="N61" i="14"/>
  <c r="L61" i="14"/>
  <c r="J61" i="14"/>
  <c r="O61" i="14"/>
  <c r="K61" i="14"/>
  <c r="H61" i="14"/>
  <c r="F61" i="14"/>
  <c r="R61" i="14"/>
  <c r="G61" i="14"/>
  <c r="E64" i="20"/>
  <c r="Q61" i="14"/>
  <c r="I61" i="14"/>
  <c r="M61" i="14"/>
  <c r="S77" i="14"/>
  <c r="P77" i="14"/>
  <c r="N77" i="14"/>
  <c r="L77" i="14"/>
  <c r="O77" i="14"/>
  <c r="K77" i="14"/>
  <c r="H77" i="14"/>
  <c r="F77" i="14"/>
  <c r="Q77" i="14"/>
  <c r="G77" i="14"/>
  <c r="R77" i="14"/>
  <c r="M77" i="14"/>
  <c r="E80" i="20"/>
  <c r="I77" i="14"/>
  <c r="J77" i="14"/>
  <c r="S93" i="14"/>
  <c r="P93" i="14"/>
  <c r="N93" i="14"/>
  <c r="L93" i="14"/>
  <c r="O93" i="14"/>
  <c r="K93" i="14"/>
  <c r="H93" i="14"/>
  <c r="F93" i="14"/>
  <c r="G93" i="14"/>
  <c r="E96" i="20"/>
  <c r="R93" i="14"/>
  <c r="Q93" i="14"/>
  <c r="J93" i="14"/>
  <c r="I93" i="14"/>
  <c r="M93" i="14"/>
  <c r="S109" i="14"/>
  <c r="P109" i="14"/>
  <c r="N109" i="14"/>
  <c r="L109" i="14"/>
  <c r="O109" i="14"/>
  <c r="K109" i="14"/>
  <c r="H109" i="14"/>
  <c r="F109" i="14"/>
  <c r="Q109" i="14"/>
  <c r="G109" i="14"/>
  <c r="M109" i="14"/>
  <c r="J109" i="14"/>
  <c r="E112" i="20"/>
  <c r="I109" i="14"/>
  <c r="R109" i="14"/>
  <c r="S125" i="14"/>
  <c r="P125" i="14"/>
  <c r="N125" i="14"/>
  <c r="L125" i="14"/>
  <c r="O125" i="14"/>
  <c r="K125" i="14"/>
  <c r="H125" i="14"/>
  <c r="F125" i="14"/>
  <c r="R125" i="14"/>
  <c r="J125" i="14"/>
  <c r="G125" i="14"/>
  <c r="E128" i="20"/>
  <c r="Q125" i="14"/>
  <c r="I125" i="14"/>
  <c r="M125" i="14"/>
  <c r="S141" i="14"/>
  <c r="P141" i="14"/>
  <c r="N141" i="14"/>
  <c r="L141" i="14"/>
  <c r="O141" i="14"/>
  <c r="K141" i="14"/>
  <c r="H141" i="14"/>
  <c r="F141" i="14"/>
  <c r="Q141" i="14"/>
  <c r="G141" i="14"/>
  <c r="R141" i="14"/>
  <c r="M141" i="14"/>
  <c r="E144" i="20"/>
  <c r="I141" i="14"/>
  <c r="J141" i="14"/>
  <c r="S157" i="14"/>
  <c r="P157" i="14"/>
  <c r="N157" i="14"/>
  <c r="L157" i="14"/>
  <c r="O157" i="14"/>
  <c r="K157" i="14"/>
  <c r="H157" i="14"/>
  <c r="F157" i="14"/>
  <c r="G157" i="14"/>
  <c r="E160" i="20"/>
  <c r="R157" i="14"/>
  <c r="Q157" i="14"/>
  <c r="J157" i="14"/>
  <c r="I157" i="14"/>
  <c r="M157" i="14"/>
  <c r="S173" i="14"/>
  <c r="P173" i="14"/>
  <c r="N173" i="14"/>
  <c r="L173" i="14"/>
  <c r="O173" i="14"/>
  <c r="K173" i="14"/>
  <c r="H173" i="14"/>
  <c r="F173" i="14"/>
  <c r="Q173" i="14"/>
  <c r="G173" i="14"/>
  <c r="E176" i="20"/>
  <c r="M173" i="14"/>
  <c r="J173" i="14"/>
  <c r="I173" i="14"/>
  <c r="R173" i="14"/>
  <c r="S189" i="14"/>
  <c r="P189" i="14"/>
  <c r="N189" i="14"/>
  <c r="L189" i="14"/>
  <c r="O189" i="14"/>
  <c r="K189" i="14"/>
  <c r="H189" i="14"/>
  <c r="F189" i="14"/>
  <c r="R189" i="14"/>
  <c r="J189" i="14"/>
  <c r="E192" i="20"/>
  <c r="Q189" i="14"/>
  <c r="I189" i="14"/>
  <c r="G189" i="14"/>
  <c r="M189" i="14"/>
  <c r="S205" i="14"/>
  <c r="P205" i="14"/>
  <c r="N205" i="14"/>
  <c r="L205" i="14"/>
  <c r="O205" i="14"/>
  <c r="K205" i="14"/>
  <c r="H205" i="14"/>
  <c r="F205" i="14"/>
  <c r="Q205" i="14"/>
  <c r="E208" i="20"/>
  <c r="R205" i="14"/>
  <c r="M205" i="14"/>
  <c r="I205" i="14"/>
  <c r="G205" i="14"/>
  <c r="J205" i="14"/>
  <c r="S221" i="14"/>
  <c r="P221" i="14"/>
  <c r="N221" i="14"/>
  <c r="L221" i="14"/>
  <c r="O221" i="14"/>
  <c r="K221" i="14"/>
  <c r="H221" i="14"/>
  <c r="F221" i="14"/>
  <c r="E224" i="20"/>
  <c r="R221" i="14"/>
  <c r="Q221" i="14"/>
  <c r="J221" i="14"/>
  <c r="I221" i="14"/>
  <c r="G221" i="14"/>
  <c r="M221" i="14"/>
  <c r="S237" i="14"/>
  <c r="P237" i="14"/>
  <c r="N237" i="14"/>
  <c r="L237" i="14"/>
  <c r="O237" i="14"/>
  <c r="K237" i="14"/>
  <c r="H237" i="14"/>
  <c r="F237" i="14"/>
  <c r="Q237" i="14"/>
  <c r="E240" i="20"/>
  <c r="M237" i="14"/>
  <c r="J237" i="14"/>
  <c r="I237" i="14"/>
  <c r="G237" i="14"/>
  <c r="R237" i="14"/>
  <c r="S148" i="14"/>
  <c r="P148" i="14"/>
  <c r="N148" i="14"/>
  <c r="L148" i="14"/>
  <c r="J148" i="14"/>
  <c r="R148" i="14"/>
  <c r="O148" i="14"/>
  <c r="K148" i="14"/>
  <c r="H148" i="14"/>
  <c r="Q148" i="14"/>
  <c r="M148" i="14"/>
  <c r="I148" i="14"/>
  <c r="G148" i="14"/>
  <c r="F148" i="14"/>
  <c r="E151" i="20"/>
  <c r="S164" i="14"/>
  <c r="P164" i="14"/>
  <c r="N164" i="14"/>
  <c r="L164" i="14"/>
  <c r="J164" i="14"/>
  <c r="R164" i="14"/>
  <c r="O164" i="14"/>
  <c r="K164" i="14"/>
  <c r="H164" i="14"/>
  <c r="Q164" i="14"/>
  <c r="M164" i="14"/>
  <c r="I164" i="14"/>
  <c r="F164" i="14"/>
  <c r="G164" i="14"/>
  <c r="E167" i="20"/>
  <c r="S17" i="14"/>
  <c r="Q17" i="14"/>
  <c r="R17" i="14"/>
  <c r="P17" i="14"/>
  <c r="N17" i="14"/>
  <c r="L17" i="14"/>
  <c r="J17" i="14"/>
  <c r="M17" i="14"/>
  <c r="H17" i="14"/>
  <c r="F17" i="14"/>
  <c r="K17" i="14"/>
  <c r="E20" i="20"/>
  <c r="I17" i="14"/>
  <c r="G17" i="14"/>
  <c r="O17" i="14"/>
  <c r="S33" i="14"/>
  <c r="Q33" i="14"/>
  <c r="R33" i="14"/>
  <c r="P33" i="14"/>
  <c r="N33" i="14"/>
  <c r="L33" i="14"/>
  <c r="J33" i="14"/>
  <c r="M33" i="14"/>
  <c r="H33" i="14"/>
  <c r="F33" i="14"/>
  <c r="E36" i="20"/>
  <c r="O33" i="14"/>
  <c r="K33" i="14"/>
  <c r="G33" i="14"/>
  <c r="I33" i="14"/>
  <c r="S49" i="14"/>
  <c r="R49" i="14"/>
  <c r="P49" i="14"/>
  <c r="N49" i="14"/>
  <c r="L49" i="14"/>
  <c r="J49" i="14"/>
  <c r="Q49" i="14"/>
  <c r="M49" i="14"/>
  <c r="H49" i="14"/>
  <c r="F49" i="14"/>
  <c r="K49" i="14"/>
  <c r="E52" i="20"/>
  <c r="I49" i="14"/>
  <c r="G49" i="14"/>
  <c r="O49" i="14"/>
  <c r="S65" i="14"/>
  <c r="R65" i="14"/>
  <c r="P65" i="14"/>
  <c r="N65" i="14"/>
  <c r="L65" i="14"/>
  <c r="J65" i="14"/>
  <c r="Q65" i="14"/>
  <c r="M65" i="14"/>
  <c r="H65" i="14"/>
  <c r="F65" i="14"/>
  <c r="I65" i="14"/>
  <c r="E68" i="20"/>
  <c r="O65" i="14"/>
  <c r="K65" i="14"/>
  <c r="G65" i="14"/>
  <c r="S81" i="14"/>
  <c r="R81" i="14"/>
  <c r="P81" i="14"/>
  <c r="N81" i="14"/>
  <c r="L81" i="14"/>
  <c r="Q81" i="14"/>
  <c r="M81" i="14"/>
  <c r="H81" i="14"/>
  <c r="F81" i="14"/>
  <c r="J81" i="14"/>
  <c r="K81" i="14"/>
  <c r="I81" i="14"/>
  <c r="E84" i="20"/>
  <c r="G81" i="14"/>
  <c r="O81" i="14"/>
  <c r="S97" i="14"/>
  <c r="R97" i="14"/>
  <c r="P97" i="14"/>
  <c r="N97" i="14"/>
  <c r="L97" i="14"/>
  <c r="Q97" i="14"/>
  <c r="M97" i="14"/>
  <c r="H97" i="14"/>
  <c r="F97" i="14"/>
  <c r="J97" i="14"/>
  <c r="I97" i="14"/>
  <c r="E100" i="20"/>
  <c r="O97" i="14"/>
  <c r="K97" i="14"/>
  <c r="G97" i="14"/>
  <c r="S113" i="14"/>
  <c r="R113" i="14"/>
  <c r="P113" i="14"/>
  <c r="N113" i="14"/>
  <c r="L113" i="14"/>
  <c r="Q113" i="14"/>
  <c r="M113" i="14"/>
  <c r="H113" i="14"/>
  <c r="F113" i="14"/>
  <c r="J113" i="14"/>
  <c r="K113" i="14"/>
  <c r="I113" i="14"/>
  <c r="E116" i="20"/>
  <c r="G113" i="14"/>
  <c r="O113" i="14"/>
  <c r="S129" i="14"/>
  <c r="R129" i="14"/>
  <c r="P129" i="14"/>
  <c r="N129" i="14"/>
  <c r="L129" i="14"/>
  <c r="Q129" i="14"/>
  <c r="M129" i="14"/>
  <c r="H129" i="14"/>
  <c r="F129" i="14"/>
  <c r="J129" i="14"/>
  <c r="I129" i="14"/>
  <c r="E132" i="20"/>
  <c r="O129" i="14"/>
  <c r="K129" i="14"/>
  <c r="G129" i="14"/>
  <c r="S145" i="14"/>
  <c r="R145" i="14"/>
  <c r="P145" i="14"/>
  <c r="N145" i="14"/>
  <c r="L145" i="14"/>
  <c r="Q145" i="14"/>
  <c r="M145" i="14"/>
  <c r="H145" i="14"/>
  <c r="F145" i="14"/>
  <c r="J145" i="14"/>
  <c r="K145" i="14"/>
  <c r="I145" i="14"/>
  <c r="E148" i="20"/>
  <c r="G145" i="14"/>
  <c r="O145" i="14"/>
  <c r="S161" i="14"/>
  <c r="R161" i="14"/>
  <c r="P161" i="14"/>
  <c r="N161" i="14"/>
  <c r="L161" i="14"/>
  <c r="Q161" i="14"/>
  <c r="M161" i="14"/>
  <c r="H161" i="14"/>
  <c r="F161" i="14"/>
  <c r="J161" i="14"/>
  <c r="I161" i="14"/>
  <c r="E164" i="20"/>
  <c r="O161" i="14"/>
  <c r="K161" i="14"/>
  <c r="G161" i="14"/>
  <c r="S177" i="14"/>
  <c r="R177" i="14"/>
  <c r="P177" i="14"/>
  <c r="N177" i="14"/>
  <c r="L177" i="14"/>
  <c r="Q177" i="14"/>
  <c r="M177" i="14"/>
  <c r="H177" i="14"/>
  <c r="F177" i="14"/>
  <c r="J177" i="14"/>
  <c r="K177" i="14"/>
  <c r="I177" i="14"/>
  <c r="E180" i="20"/>
  <c r="G177" i="14"/>
  <c r="O177" i="14"/>
  <c r="S193" i="14"/>
  <c r="R193" i="14"/>
  <c r="P193" i="14"/>
  <c r="N193" i="14"/>
  <c r="L193" i="14"/>
  <c r="Q193" i="14"/>
  <c r="M193" i="14"/>
  <c r="H193" i="14"/>
  <c r="F193" i="14"/>
  <c r="J193" i="14"/>
  <c r="I193" i="14"/>
  <c r="E196" i="20"/>
  <c r="O193" i="14"/>
  <c r="G193" i="14"/>
  <c r="K193" i="14"/>
  <c r="S209" i="14"/>
  <c r="R209" i="14"/>
  <c r="P209" i="14"/>
  <c r="N209" i="14"/>
  <c r="L209" i="14"/>
  <c r="Q209" i="14"/>
  <c r="M209" i="14"/>
  <c r="H209" i="14"/>
  <c r="F209" i="14"/>
  <c r="J209" i="14"/>
  <c r="K209" i="14"/>
  <c r="I209" i="14"/>
  <c r="E212" i="20"/>
  <c r="G209" i="14"/>
  <c r="O209" i="14"/>
  <c r="S225" i="14"/>
  <c r="R225" i="14"/>
  <c r="P225" i="14"/>
  <c r="N225" i="14"/>
  <c r="L225" i="14"/>
  <c r="Q225" i="14"/>
  <c r="M225" i="14"/>
  <c r="H225" i="14"/>
  <c r="F225" i="14"/>
  <c r="J225" i="14"/>
  <c r="I225" i="14"/>
  <c r="E228" i="20"/>
  <c r="O225" i="14"/>
  <c r="G225" i="14"/>
  <c r="K225" i="14"/>
  <c r="E244" i="20"/>
  <c r="S8" i="14"/>
  <c r="R8" i="14"/>
  <c r="P8" i="14"/>
  <c r="N8" i="14"/>
  <c r="L8" i="14"/>
  <c r="J8" i="14"/>
  <c r="Q8" i="14"/>
  <c r="M8" i="14"/>
  <c r="H8" i="14"/>
  <c r="O8" i="14"/>
  <c r="K8" i="14"/>
  <c r="G8" i="14"/>
  <c r="E11" i="20"/>
  <c r="I8" i="14"/>
  <c r="F8" i="14"/>
  <c r="S24" i="14"/>
  <c r="R24" i="14"/>
  <c r="P24" i="14"/>
  <c r="N24" i="14"/>
  <c r="L24" i="14"/>
  <c r="J24" i="14"/>
  <c r="M24" i="14"/>
  <c r="H24" i="14"/>
  <c r="Q24" i="14"/>
  <c r="O24" i="14"/>
  <c r="K24" i="14"/>
  <c r="I24" i="14"/>
  <c r="G24" i="14"/>
  <c r="E27" i="20"/>
  <c r="F24" i="14"/>
  <c r="S40" i="14"/>
  <c r="R40" i="14"/>
  <c r="P40" i="14"/>
  <c r="N40" i="14"/>
  <c r="L40" i="14"/>
  <c r="J40" i="14"/>
  <c r="Q40" i="14"/>
  <c r="M40" i="14"/>
  <c r="H40" i="14"/>
  <c r="O40" i="14"/>
  <c r="K40" i="14"/>
  <c r="G40" i="14"/>
  <c r="E43" i="20"/>
  <c r="I40" i="14"/>
  <c r="F40" i="14"/>
  <c r="S56" i="14"/>
  <c r="R56" i="14"/>
  <c r="P56" i="14"/>
  <c r="N56" i="14"/>
  <c r="L56" i="14"/>
  <c r="J56" i="14"/>
  <c r="Q56" i="14"/>
  <c r="M56" i="14"/>
  <c r="H56" i="14"/>
  <c r="O56" i="14"/>
  <c r="K56" i="14"/>
  <c r="I56" i="14"/>
  <c r="G56" i="14"/>
  <c r="E59" i="20"/>
  <c r="F56" i="14"/>
  <c r="S72" i="14"/>
  <c r="R72" i="14"/>
  <c r="P72" i="14"/>
  <c r="N72" i="14"/>
  <c r="L72" i="14"/>
  <c r="J72" i="14"/>
  <c r="Q72" i="14"/>
  <c r="M72" i="14"/>
  <c r="H72" i="14"/>
  <c r="O72" i="14"/>
  <c r="K72" i="14"/>
  <c r="G72" i="14"/>
  <c r="E75" i="20"/>
  <c r="F72" i="14"/>
  <c r="I72" i="14"/>
  <c r="S88" i="14"/>
  <c r="R88" i="14"/>
  <c r="P88" i="14"/>
  <c r="N88" i="14"/>
  <c r="L88" i="14"/>
  <c r="J88" i="14"/>
  <c r="Q88" i="14"/>
  <c r="M88" i="14"/>
  <c r="H88" i="14"/>
  <c r="O88" i="14"/>
  <c r="K88" i="14"/>
  <c r="G88" i="14"/>
  <c r="E91" i="20"/>
  <c r="F88" i="14"/>
  <c r="I88" i="14"/>
  <c r="S104" i="14"/>
  <c r="R104" i="14"/>
  <c r="P104" i="14"/>
  <c r="N104" i="14"/>
  <c r="L104" i="14"/>
  <c r="J104" i="14"/>
  <c r="Q104" i="14"/>
  <c r="M104" i="14"/>
  <c r="H104" i="14"/>
  <c r="O104" i="14"/>
  <c r="K104" i="14"/>
  <c r="G104" i="14"/>
  <c r="E107" i="20"/>
  <c r="F104" i="14"/>
  <c r="I104" i="14"/>
  <c r="S120" i="14"/>
  <c r="R120" i="14"/>
  <c r="P120" i="14"/>
  <c r="N120" i="14"/>
  <c r="L120" i="14"/>
  <c r="J120" i="14"/>
  <c r="Q120" i="14"/>
  <c r="M120" i="14"/>
  <c r="H120" i="14"/>
  <c r="O120" i="14"/>
  <c r="K120" i="14"/>
  <c r="G120" i="14"/>
  <c r="E123" i="20"/>
  <c r="F120" i="14"/>
  <c r="I120" i="14"/>
  <c r="S136" i="14"/>
  <c r="R136" i="14"/>
  <c r="P136" i="14"/>
  <c r="N136" i="14"/>
  <c r="L136" i="14"/>
  <c r="J136" i="14"/>
  <c r="Q136" i="14"/>
  <c r="M136" i="14"/>
  <c r="H136" i="14"/>
  <c r="O136" i="14"/>
  <c r="K136" i="14"/>
  <c r="G136" i="14"/>
  <c r="E139" i="20"/>
  <c r="F136" i="14"/>
  <c r="I136" i="14"/>
  <c r="S152" i="14"/>
  <c r="R152" i="14"/>
  <c r="P152" i="14"/>
  <c r="N152" i="14"/>
  <c r="L152" i="14"/>
  <c r="J152" i="14"/>
  <c r="Q152" i="14"/>
  <c r="M152" i="14"/>
  <c r="H152" i="14"/>
  <c r="O152" i="14"/>
  <c r="K152" i="14"/>
  <c r="G152" i="14"/>
  <c r="F152" i="14"/>
  <c r="E155" i="20"/>
  <c r="I152" i="14"/>
  <c r="S168" i="14"/>
  <c r="R168" i="14"/>
  <c r="P168" i="14"/>
  <c r="N168" i="14"/>
  <c r="L168" i="14"/>
  <c r="J168" i="14"/>
  <c r="Q168" i="14"/>
  <c r="M168" i="14"/>
  <c r="H168" i="14"/>
  <c r="O168" i="14"/>
  <c r="K168" i="14"/>
  <c r="G168" i="14"/>
  <c r="F168" i="14"/>
  <c r="I168" i="14"/>
  <c r="E171" i="20"/>
  <c r="S184" i="14"/>
  <c r="R184" i="14"/>
  <c r="P184" i="14"/>
  <c r="N184" i="14"/>
  <c r="L184" i="14"/>
  <c r="J184" i="14"/>
  <c r="Q184" i="14"/>
  <c r="M184" i="14"/>
  <c r="H184" i="14"/>
  <c r="O184" i="14"/>
  <c r="K184" i="14"/>
  <c r="G184" i="14"/>
  <c r="F184" i="14"/>
  <c r="E187" i="20"/>
  <c r="I184" i="14"/>
  <c r="S200" i="14"/>
  <c r="R200" i="14"/>
  <c r="P200" i="14"/>
  <c r="N200" i="14"/>
  <c r="L200" i="14"/>
  <c r="J200" i="14"/>
  <c r="Q200" i="14"/>
  <c r="M200" i="14"/>
  <c r="H200" i="14"/>
  <c r="O200" i="14"/>
  <c r="K200" i="14"/>
  <c r="G200" i="14"/>
  <c r="F200" i="14"/>
  <c r="I200" i="14"/>
  <c r="E203" i="20"/>
  <c r="S216" i="14"/>
  <c r="R216" i="14"/>
  <c r="P216" i="14"/>
  <c r="N216" i="14"/>
  <c r="L216" i="14"/>
  <c r="J216" i="14"/>
  <c r="Q216" i="14"/>
  <c r="M216" i="14"/>
  <c r="H216" i="14"/>
  <c r="O216" i="14"/>
  <c r="K216" i="14"/>
  <c r="G216" i="14"/>
  <c r="F216" i="14"/>
  <c r="E219" i="20"/>
  <c r="I216" i="14"/>
  <c r="S232" i="14"/>
  <c r="R232" i="14"/>
  <c r="P232" i="14"/>
  <c r="N232" i="14"/>
  <c r="L232" i="14"/>
  <c r="J232" i="14"/>
  <c r="Q232" i="14"/>
  <c r="M232" i="14"/>
  <c r="H232" i="14"/>
  <c r="O232" i="14"/>
  <c r="K232" i="14"/>
  <c r="G232" i="14"/>
  <c r="F232" i="14"/>
  <c r="I232" i="14"/>
  <c r="E235" i="20"/>
  <c r="E251" i="20"/>
  <c r="R7" i="14"/>
  <c r="Q7" i="14"/>
  <c r="O7" i="14"/>
  <c r="M7" i="14"/>
  <c r="K7" i="14"/>
  <c r="P7" i="14"/>
  <c r="L7" i="14"/>
  <c r="G7" i="14"/>
  <c r="E10" i="20"/>
  <c r="H7" i="14"/>
  <c r="S7" i="14"/>
  <c r="N7" i="14"/>
  <c r="I7" i="14"/>
  <c r="F7" i="14"/>
  <c r="J7" i="14"/>
  <c r="R23" i="14"/>
  <c r="Q23" i="14"/>
  <c r="O23" i="14"/>
  <c r="M23" i="14"/>
  <c r="K23" i="14"/>
  <c r="P23" i="14"/>
  <c r="L23" i="14"/>
  <c r="G23" i="14"/>
  <c r="E26" i="20"/>
  <c r="J23" i="14"/>
  <c r="H23" i="14"/>
  <c r="F23" i="14"/>
  <c r="S23" i="14"/>
  <c r="N23" i="14"/>
  <c r="I23" i="14"/>
  <c r="R39" i="14"/>
  <c r="Q39" i="14"/>
  <c r="O39" i="14"/>
  <c r="M39" i="14"/>
  <c r="K39" i="14"/>
  <c r="P39" i="14"/>
  <c r="L39" i="14"/>
  <c r="G39" i="14"/>
  <c r="E42" i="20"/>
  <c r="H39" i="14"/>
  <c r="N39" i="14"/>
  <c r="I39" i="14"/>
  <c r="F39" i="14"/>
  <c r="J39" i="14"/>
  <c r="S39" i="14"/>
  <c r="R55" i="14"/>
  <c r="Q55" i="14"/>
  <c r="O55" i="14"/>
  <c r="M55" i="14"/>
  <c r="K55" i="14"/>
  <c r="P55" i="14"/>
  <c r="L55" i="14"/>
  <c r="G55" i="14"/>
  <c r="E58" i="20"/>
  <c r="S55" i="14"/>
  <c r="J55" i="14"/>
  <c r="H55" i="14"/>
  <c r="F55" i="14"/>
  <c r="N55" i="14"/>
  <c r="I55" i="14"/>
  <c r="R71" i="14"/>
  <c r="Q71" i="14"/>
  <c r="O71" i="14"/>
  <c r="M71" i="14"/>
  <c r="K71" i="14"/>
  <c r="P71" i="14"/>
  <c r="L71" i="14"/>
  <c r="I71" i="14"/>
  <c r="G71" i="14"/>
  <c r="E74" i="20"/>
  <c r="H71" i="14"/>
  <c r="S71" i="14"/>
  <c r="N71" i="14"/>
  <c r="F71" i="14"/>
  <c r="J71" i="14"/>
  <c r="R87" i="14"/>
  <c r="Q87" i="14"/>
  <c r="O87" i="14"/>
  <c r="M87" i="14"/>
  <c r="K87" i="14"/>
  <c r="P87" i="14"/>
  <c r="L87" i="14"/>
  <c r="I87" i="14"/>
  <c r="G87" i="14"/>
  <c r="E90" i="20"/>
  <c r="H87" i="14"/>
  <c r="J87" i="14"/>
  <c r="F87" i="14"/>
  <c r="S87" i="14"/>
  <c r="N87" i="14"/>
  <c r="R103" i="14"/>
  <c r="Q103" i="14"/>
  <c r="O103" i="14"/>
  <c r="M103" i="14"/>
  <c r="K103" i="14"/>
  <c r="P103" i="14"/>
  <c r="L103" i="14"/>
  <c r="I103" i="14"/>
  <c r="G103" i="14"/>
  <c r="E106" i="20"/>
  <c r="J103" i="14"/>
  <c r="H103" i="14"/>
  <c r="N103" i="14"/>
  <c r="F103" i="14"/>
  <c r="S103" i="14"/>
  <c r="R119" i="14"/>
  <c r="Q119" i="14"/>
  <c r="O119" i="14"/>
  <c r="M119" i="14"/>
  <c r="K119" i="14"/>
  <c r="P119" i="14"/>
  <c r="L119" i="14"/>
  <c r="I119" i="14"/>
  <c r="G119" i="14"/>
  <c r="E122" i="20"/>
  <c r="S119" i="14"/>
  <c r="H119" i="14"/>
  <c r="F119" i="14"/>
  <c r="N119" i="14"/>
  <c r="J119" i="14"/>
  <c r="R135" i="14"/>
  <c r="Q135" i="14"/>
  <c r="O135" i="14"/>
  <c r="M135" i="14"/>
  <c r="K135" i="14"/>
  <c r="P135" i="14"/>
  <c r="L135" i="14"/>
  <c r="I135" i="14"/>
  <c r="G135" i="14"/>
  <c r="E138" i="20"/>
  <c r="H135" i="14"/>
  <c r="S135" i="14"/>
  <c r="N135" i="14"/>
  <c r="F135" i="14"/>
  <c r="J135" i="14"/>
  <c r="R151" i="14"/>
  <c r="Q151" i="14"/>
  <c r="O151" i="14"/>
  <c r="M151" i="14"/>
  <c r="K151" i="14"/>
  <c r="P151" i="14"/>
  <c r="L151" i="14"/>
  <c r="I151" i="14"/>
  <c r="G151" i="14"/>
  <c r="H151" i="14"/>
  <c r="J151" i="14"/>
  <c r="F151" i="14"/>
  <c r="S151" i="14"/>
  <c r="N151" i="14"/>
  <c r="E154" i="20"/>
  <c r="R167" i="14"/>
  <c r="Q167" i="14"/>
  <c r="O167" i="14"/>
  <c r="M167" i="14"/>
  <c r="K167" i="14"/>
  <c r="P167" i="14"/>
  <c r="L167" i="14"/>
  <c r="I167" i="14"/>
  <c r="G167" i="14"/>
  <c r="J167" i="14"/>
  <c r="H167" i="14"/>
  <c r="N167" i="14"/>
  <c r="F167" i="14"/>
  <c r="S167" i="14"/>
  <c r="E170" i="20"/>
  <c r="R183" i="14"/>
  <c r="Q183" i="14"/>
  <c r="O183" i="14"/>
  <c r="M183" i="14"/>
  <c r="K183" i="14"/>
  <c r="P183" i="14"/>
  <c r="L183" i="14"/>
  <c r="I183" i="14"/>
  <c r="G183" i="14"/>
  <c r="S183" i="14"/>
  <c r="H183" i="14"/>
  <c r="F183" i="14"/>
  <c r="N183" i="14"/>
  <c r="J183" i="14"/>
  <c r="E186" i="20"/>
  <c r="R199" i="14"/>
  <c r="Q199" i="14"/>
  <c r="O199" i="14"/>
  <c r="M199" i="14"/>
  <c r="K199" i="14"/>
  <c r="P199" i="14"/>
  <c r="L199" i="14"/>
  <c r="I199" i="14"/>
  <c r="G199" i="14"/>
  <c r="H199" i="14"/>
  <c r="S199" i="14"/>
  <c r="N199" i="14"/>
  <c r="F199" i="14"/>
  <c r="J199" i="14"/>
  <c r="E202" i="20"/>
  <c r="R215" i="14"/>
  <c r="Q215" i="14"/>
  <c r="O215" i="14"/>
  <c r="M215" i="14"/>
  <c r="K215" i="14"/>
  <c r="P215" i="14"/>
  <c r="L215" i="14"/>
  <c r="I215" i="14"/>
  <c r="G215" i="14"/>
  <c r="H215" i="14"/>
  <c r="J215" i="14"/>
  <c r="F215" i="14"/>
  <c r="S215" i="14"/>
  <c r="N215" i="14"/>
  <c r="E218" i="20"/>
  <c r="R231" i="14"/>
  <c r="Q231" i="14"/>
  <c r="O231" i="14"/>
  <c r="M231" i="14"/>
  <c r="K231" i="14"/>
  <c r="P231" i="14"/>
  <c r="L231" i="14"/>
  <c r="I231" i="14"/>
  <c r="G231" i="14"/>
  <c r="J231" i="14"/>
  <c r="H231" i="14"/>
  <c r="N231" i="14"/>
  <c r="F231" i="14"/>
  <c r="S231" i="14"/>
  <c r="E234" i="20"/>
  <c r="E250" i="20"/>
  <c r="R14" i="14"/>
  <c r="O14" i="14"/>
  <c r="M14" i="14"/>
  <c r="K14" i="14"/>
  <c r="I14" i="14"/>
  <c r="S14" i="14"/>
  <c r="P14" i="14"/>
  <c r="L14" i="14"/>
  <c r="G14" i="14"/>
  <c r="Q14" i="14"/>
  <c r="N14" i="14"/>
  <c r="J14" i="14"/>
  <c r="F14" i="14"/>
  <c r="E17" i="20"/>
  <c r="H14" i="14"/>
  <c r="R30" i="14"/>
  <c r="O30" i="14"/>
  <c r="M30" i="14"/>
  <c r="K30" i="14"/>
  <c r="I30" i="14"/>
  <c r="S30" i="14"/>
  <c r="Q30" i="14"/>
  <c r="P30" i="14"/>
  <c r="L30" i="14"/>
  <c r="G30" i="14"/>
  <c r="N30" i="14"/>
  <c r="J30" i="14"/>
  <c r="F30" i="14"/>
  <c r="E33" i="20"/>
  <c r="H30" i="14"/>
  <c r="R46" i="14"/>
  <c r="Q46" i="14"/>
  <c r="O46" i="14"/>
  <c r="M46" i="14"/>
  <c r="K46" i="14"/>
  <c r="I46" i="14"/>
  <c r="S46" i="14"/>
  <c r="P46" i="14"/>
  <c r="L46" i="14"/>
  <c r="G46" i="14"/>
  <c r="N46" i="14"/>
  <c r="J46" i="14"/>
  <c r="F46" i="14"/>
  <c r="H46" i="14"/>
  <c r="E49" i="20"/>
  <c r="R62" i="14"/>
  <c r="Q62" i="14"/>
  <c r="O62" i="14"/>
  <c r="M62" i="14"/>
  <c r="K62" i="14"/>
  <c r="S62" i="14"/>
  <c r="P62" i="14"/>
  <c r="L62" i="14"/>
  <c r="I62" i="14"/>
  <c r="G62" i="14"/>
  <c r="N62" i="14"/>
  <c r="J62" i="14"/>
  <c r="F62" i="14"/>
  <c r="E65" i="20"/>
  <c r="H62" i="14"/>
  <c r="R78" i="14"/>
  <c r="Q78" i="14"/>
  <c r="O78" i="14"/>
  <c r="M78" i="14"/>
  <c r="K78" i="14"/>
  <c r="S78" i="14"/>
  <c r="P78" i="14"/>
  <c r="L78" i="14"/>
  <c r="J78" i="14"/>
  <c r="I78" i="14"/>
  <c r="G78" i="14"/>
  <c r="N78" i="14"/>
  <c r="F78" i="14"/>
  <c r="H78" i="14"/>
  <c r="E81" i="20"/>
  <c r="R94" i="14"/>
  <c r="Q94" i="14"/>
  <c r="O94" i="14"/>
  <c r="M94" i="14"/>
  <c r="K94" i="14"/>
  <c r="S94" i="14"/>
  <c r="P94" i="14"/>
  <c r="L94" i="14"/>
  <c r="J94" i="14"/>
  <c r="I94" i="14"/>
  <c r="G94" i="14"/>
  <c r="N94" i="14"/>
  <c r="F94" i="14"/>
  <c r="E97" i="20"/>
  <c r="H94" i="14"/>
  <c r="R110" i="14"/>
  <c r="Q110" i="14"/>
  <c r="O110" i="14"/>
  <c r="M110" i="14"/>
  <c r="K110" i="14"/>
  <c r="S110" i="14"/>
  <c r="P110" i="14"/>
  <c r="L110" i="14"/>
  <c r="J110" i="14"/>
  <c r="I110" i="14"/>
  <c r="G110" i="14"/>
  <c r="N110" i="14"/>
  <c r="F110" i="14"/>
  <c r="H110" i="14"/>
  <c r="E113" i="20"/>
  <c r="R126" i="14"/>
  <c r="Q126" i="14"/>
  <c r="O126" i="14"/>
  <c r="M126" i="14"/>
  <c r="K126" i="14"/>
  <c r="S126" i="14"/>
  <c r="P126" i="14"/>
  <c r="L126" i="14"/>
  <c r="J126" i="14"/>
  <c r="I126" i="14"/>
  <c r="G126" i="14"/>
  <c r="N126" i="14"/>
  <c r="F126" i="14"/>
  <c r="E129" i="20"/>
  <c r="H126" i="14"/>
  <c r="R142" i="14"/>
  <c r="Q142" i="14"/>
  <c r="O142" i="14"/>
  <c r="M142" i="14"/>
  <c r="K142" i="14"/>
  <c r="S142" i="14"/>
  <c r="P142" i="14"/>
  <c r="L142" i="14"/>
  <c r="J142" i="14"/>
  <c r="I142" i="14"/>
  <c r="G142" i="14"/>
  <c r="N142" i="14"/>
  <c r="F142" i="14"/>
  <c r="H142" i="14"/>
  <c r="E145" i="20"/>
  <c r="R158" i="14"/>
  <c r="Q158" i="14"/>
  <c r="O158" i="14"/>
  <c r="M158" i="14"/>
  <c r="K158" i="14"/>
  <c r="S158" i="14"/>
  <c r="P158" i="14"/>
  <c r="L158" i="14"/>
  <c r="J158" i="14"/>
  <c r="I158" i="14"/>
  <c r="G158" i="14"/>
  <c r="N158" i="14"/>
  <c r="E161" i="20"/>
  <c r="F158" i="14"/>
  <c r="H158" i="14"/>
  <c r="R174" i="14"/>
  <c r="Q174" i="14"/>
  <c r="O174" i="14"/>
  <c r="M174" i="14"/>
  <c r="K174" i="14"/>
  <c r="S174" i="14"/>
  <c r="P174" i="14"/>
  <c r="L174" i="14"/>
  <c r="J174" i="14"/>
  <c r="I174" i="14"/>
  <c r="G174" i="14"/>
  <c r="N174" i="14"/>
  <c r="E177" i="20"/>
  <c r="F174" i="14"/>
  <c r="H174" i="14"/>
  <c r="R190" i="14"/>
  <c r="Q190" i="14"/>
  <c r="O190" i="14"/>
  <c r="M190" i="14"/>
  <c r="K190" i="14"/>
  <c r="S190" i="14"/>
  <c r="P190" i="14"/>
  <c r="L190" i="14"/>
  <c r="J190" i="14"/>
  <c r="I190" i="14"/>
  <c r="N190" i="14"/>
  <c r="E193" i="20"/>
  <c r="F190" i="14"/>
  <c r="H190" i="14"/>
  <c r="G190" i="14"/>
  <c r="R206" i="14"/>
  <c r="Q206" i="14"/>
  <c r="O206" i="14"/>
  <c r="M206" i="14"/>
  <c r="K206" i="14"/>
  <c r="S206" i="14"/>
  <c r="P206" i="14"/>
  <c r="L206" i="14"/>
  <c r="J206" i="14"/>
  <c r="I206" i="14"/>
  <c r="N206" i="14"/>
  <c r="E209" i="20"/>
  <c r="F206" i="14"/>
  <c r="H206" i="14"/>
  <c r="G206" i="14"/>
  <c r="R222" i="14"/>
  <c r="Q222" i="14"/>
  <c r="O222" i="14"/>
  <c r="M222" i="14"/>
  <c r="K222" i="14"/>
  <c r="S222" i="14"/>
  <c r="P222" i="14"/>
  <c r="L222" i="14"/>
  <c r="J222" i="14"/>
  <c r="I222" i="14"/>
  <c r="N222" i="14"/>
  <c r="E225" i="20"/>
  <c r="F222" i="14"/>
  <c r="G222" i="14"/>
  <c r="H222" i="14"/>
  <c r="R238" i="14"/>
  <c r="Q238" i="14"/>
  <c r="O238" i="14"/>
  <c r="M238" i="14"/>
  <c r="K238" i="14"/>
  <c r="S238" i="14"/>
  <c r="P238" i="14"/>
  <c r="L238" i="14"/>
  <c r="J238" i="14"/>
  <c r="I238" i="14"/>
  <c r="N238" i="14"/>
  <c r="E241" i="20"/>
  <c r="F238" i="14"/>
  <c r="H238" i="14"/>
  <c r="G238" i="14"/>
  <c r="S21" i="14"/>
  <c r="Q21" i="14"/>
  <c r="P21" i="14"/>
  <c r="N21" i="14"/>
  <c r="L21" i="14"/>
  <c r="J21" i="14"/>
  <c r="R21" i="14"/>
  <c r="O21" i="14"/>
  <c r="K21" i="14"/>
  <c r="I21" i="14"/>
  <c r="H21" i="14"/>
  <c r="F21" i="14"/>
  <c r="G21" i="14"/>
  <c r="M21" i="14"/>
  <c r="E24" i="20"/>
  <c r="S37" i="14"/>
  <c r="Q37" i="14"/>
  <c r="P37" i="14"/>
  <c r="N37" i="14"/>
  <c r="L37" i="14"/>
  <c r="J37" i="14"/>
  <c r="R37" i="14"/>
  <c r="O37" i="14"/>
  <c r="K37" i="14"/>
  <c r="I37" i="14"/>
  <c r="H37" i="14"/>
  <c r="F37" i="14"/>
  <c r="M37" i="14"/>
  <c r="G37" i="14"/>
  <c r="E40" i="20"/>
  <c r="S53" i="14"/>
  <c r="P53" i="14"/>
  <c r="N53" i="14"/>
  <c r="L53" i="14"/>
  <c r="J53" i="14"/>
  <c r="R53" i="14"/>
  <c r="O53" i="14"/>
  <c r="K53" i="14"/>
  <c r="I53" i="14"/>
  <c r="H53" i="14"/>
  <c r="F53" i="14"/>
  <c r="G53" i="14"/>
  <c r="Q53" i="14"/>
  <c r="M53" i="14"/>
  <c r="E56" i="20"/>
  <c r="S69" i="14"/>
  <c r="P69" i="14"/>
  <c r="N69" i="14"/>
  <c r="L69" i="14"/>
  <c r="J69" i="14"/>
  <c r="R69" i="14"/>
  <c r="O69" i="14"/>
  <c r="K69" i="14"/>
  <c r="H69" i="14"/>
  <c r="F69" i="14"/>
  <c r="M69" i="14"/>
  <c r="G69" i="14"/>
  <c r="I69" i="14"/>
  <c r="Q69" i="14"/>
  <c r="E72" i="20"/>
  <c r="S85" i="14"/>
  <c r="P85" i="14"/>
  <c r="N85" i="14"/>
  <c r="L85" i="14"/>
  <c r="R85" i="14"/>
  <c r="O85" i="14"/>
  <c r="K85" i="14"/>
  <c r="J85" i="14"/>
  <c r="H85" i="14"/>
  <c r="F85" i="14"/>
  <c r="G85" i="14"/>
  <c r="Q85" i="14"/>
  <c r="M85" i="14"/>
  <c r="I85" i="14"/>
  <c r="E88" i="20"/>
  <c r="S101" i="14"/>
  <c r="P101" i="14"/>
  <c r="N101" i="14"/>
  <c r="L101" i="14"/>
  <c r="R101" i="14"/>
  <c r="O101" i="14"/>
  <c r="K101" i="14"/>
  <c r="J101" i="14"/>
  <c r="H101" i="14"/>
  <c r="F101" i="14"/>
  <c r="M101" i="14"/>
  <c r="G101" i="14"/>
  <c r="I101" i="14"/>
  <c r="Q101" i="14"/>
  <c r="E104" i="20"/>
  <c r="S117" i="14"/>
  <c r="P117" i="14"/>
  <c r="N117" i="14"/>
  <c r="L117" i="14"/>
  <c r="R117" i="14"/>
  <c r="O117" i="14"/>
  <c r="K117" i="14"/>
  <c r="J117" i="14"/>
  <c r="H117" i="14"/>
  <c r="F117" i="14"/>
  <c r="G117" i="14"/>
  <c r="Q117" i="14"/>
  <c r="M117" i="14"/>
  <c r="I117" i="14"/>
  <c r="E120" i="20"/>
  <c r="S133" i="14"/>
  <c r="P133" i="14"/>
  <c r="N133" i="14"/>
  <c r="L133" i="14"/>
  <c r="R133" i="14"/>
  <c r="O133" i="14"/>
  <c r="K133" i="14"/>
  <c r="J133" i="14"/>
  <c r="H133" i="14"/>
  <c r="F133" i="14"/>
  <c r="M133" i="14"/>
  <c r="G133" i="14"/>
  <c r="I133" i="14"/>
  <c r="Q133" i="14"/>
  <c r="E136" i="20"/>
  <c r="S149" i="14"/>
  <c r="P149" i="14"/>
  <c r="N149" i="14"/>
  <c r="L149" i="14"/>
  <c r="R149" i="14"/>
  <c r="O149" i="14"/>
  <c r="K149" i="14"/>
  <c r="J149" i="14"/>
  <c r="H149" i="14"/>
  <c r="F149" i="14"/>
  <c r="G149" i="14"/>
  <c r="E152" i="20"/>
  <c r="Q149" i="14"/>
  <c r="M149" i="14"/>
  <c r="I149" i="14"/>
  <c r="S165" i="14"/>
  <c r="P165" i="14"/>
  <c r="N165" i="14"/>
  <c r="L165" i="14"/>
  <c r="R165" i="14"/>
  <c r="O165" i="14"/>
  <c r="K165" i="14"/>
  <c r="J165" i="14"/>
  <c r="H165" i="14"/>
  <c r="F165" i="14"/>
  <c r="M165" i="14"/>
  <c r="G165" i="14"/>
  <c r="E168" i="20"/>
  <c r="I165" i="14"/>
  <c r="Q165" i="14"/>
  <c r="S181" i="14"/>
  <c r="P181" i="14"/>
  <c r="N181" i="14"/>
  <c r="L181" i="14"/>
  <c r="R181" i="14"/>
  <c r="O181" i="14"/>
  <c r="K181" i="14"/>
  <c r="J181" i="14"/>
  <c r="H181" i="14"/>
  <c r="F181" i="14"/>
  <c r="G181" i="14"/>
  <c r="E184" i="20"/>
  <c r="Q181" i="14"/>
  <c r="M181" i="14"/>
  <c r="I181" i="14"/>
  <c r="S197" i="14"/>
  <c r="P197" i="14"/>
  <c r="N197" i="14"/>
  <c r="L197" i="14"/>
  <c r="R197" i="14"/>
  <c r="O197" i="14"/>
  <c r="K197" i="14"/>
  <c r="J197" i="14"/>
  <c r="H197" i="14"/>
  <c r="F197" i="14"/>
  <c r="M197" i="14"/>
  <c r="G197" i="14"/>
  <c r="E200" i="20"/>
  <c r="I197" i="14"/>
  <c r="Q197" i="14"/>
  <c r="S213" i="14"/>
  <c r="P213" i="14"/>
  <c r="N213" i="14"/>
  <c r="L213" i="14"/>
  <c r="R213" i="14"/>
  <c r="O213" i="14"/>
  <c r="K213" i="14"/>
  <c r="J213" i="14"/>
  <c r="H213" i="14"/>
  <c r="F213" i="14"/>
  <c r="G213" i="14"/>
  <c r="E216" i="20"/>
  <c r="Q213" i="14"/>
  <c r="M213" i="14"/>
  <c r="I213" i="14"/>
  <c r="S229" i="14"/>
  <c r="P229" i="14"/>
  <c r="N229" i="14"/>
  <c r="L229" i="14"/>
  <c r="R229" i="14"/>
  <c r="O229" i="14"/>
  <c r="K229" i="14"/>
  <c r="J229" i="14"/>
  <c r="H229" i="14"/>
  <c r="F229" i="14"/>
  <c r="M229" i="14"/>
  <c r="G229" i="14"/>
  <c r="E232" i="20"/>
  <c r="I229" i="14"/>
  <c r="Q229" i="14"/>
  <c r="E248" i="20"/>
  <c r="S12" i="14"/>
  <c r="P12" i="14"/>
  <c r="N12" i="14"/>
  <c r="L12" i="14"/>
  <c r="J12" i="14"/>
  <c r="Q12" i="14"/>
  <c r="O12" i="14"/>
  <c r="K12" i="14"/>
  <c r="H12" i="14"/>
  <c r="R12" i="14"/>
  <c r="M12" i="14"/>
  <c r="E15" i="20"/>
  <c r="F12" i="14"/>
  <c r="I12" i="14"/>
  <c r="G12" i="14"/>
  <c r="S28" i="14"/>
  <c r="P28" i="14"/>
  <c r="N28" i="14"/>
  <c r="L28" i="14"/>
  <c r="J28" i="14"/>
  <c r="Q28" i="14"/>
  <c r="O28" i="14"/>
  <c r="K28" i="14"/>
  <c r="H28" i="14"/>
  <c r="R28" i="14"/>
  <c r="M28" i="14"/>
  <c r="E31" i="20"/>
  <c r="I28" i="14"/>
  <c r="F28" i="14"/>
  <c r="G28" i="14"/>
  <c r="S44" i="14"/>
  <c r="P44" i="14"/>
  <c r="N44" i="14"/>
  <c r="L44" i="14"/>
  <c r="J44" i="14"/>
  <c r="O44" i="14"/>
  <c r="K44" i="14"/>
  <c r="H44" i="14"/>
  <c r="R44" i="14"/>
  <c r="Q44" i="14"/>
  <c r="M44" i="14"/>
  <c r="E47" i="20"/>
  <c r="F44" i="14"/>
  <c r="I44" i="14"/>
  <c r="G44" i="14"/>
  <c r="S60" i="14"/>
  <c r="P60" i="14"/>
  <c r="N60" i="14"/>
  <c r="L60" i="14"/>
  <c r="J60" i="14"/>
  <c r="O60" i="14"/>
  <c r="K60" i="14"/>
  <c r="H60" i="14"/>
  <c r="R60" i="14"/>
  <c r="Q60" i="14"/>
  <c r="M60" i="14"/>
  <c r="E63" i="20"/>
  <c r="I60" i="14"/>
  <c r="F60" i="14"/>
  <c r="G60" i="14"/>
  <c r="S76" i="14"/>
  <c r="P76" i="14"/>
  <c r="N76" i="14"/>
  <c r="L76" i="14"/>
  <c r="J76" i="14"/>
  <c r="O76" i="14"/>
  <c r="K76" i="14"/>
  <c r="H76" i="14"/>
  <c r="R76" i="14"/>
  <c r="Q76" i="14"/>
  <c r="M76" i="14"/>
  <c r="E79" i="20"/>
  <c r="I76" i="14"/>
  <c r="F76" i="14"/>
  <c r="G76" i="14"/>
  <c r="S92" i="14"/>
  <c r="P92" i="14"/>
  <c r="N92" i="14"/>
  <c r="L92" i="14"/>
  <c r="J92" i="14"/>
  <c r="O92" i="14"/>
  <c r="K92" i="14"/>
  <c r="H92" i="14"/>
  <c r="R92" i="14"/>
  <c r="Q92" i="14"/>
  <c r="M92" i="14"/>
  <c r="E95" i="20"/>
  <c r="I92" i="14"/>
  <c r="F92" i="14"/>
  <c r="G92" i="14"/>
  <c r="S108" i="14"/>
  <c r="P108" i="14"/>
  <c r="N108" i="14"/>
  <c r="L108" i="14"/>
  <c r="J108" i="14"/>
  <c r="O108" i="14"/>
  <c r="K108" i="14"/>
  <c r="H108" i="14"/>
  <c r="R108" i="14"/>
  <c r="Q108" i="14"/>
  <c r="M108" i="14"/>
  <c r="E111" i="20"/>
  <c r="I108" i="14"/>
  <c r="F108" i="14"/>
  <c r="G108" i="14"/>
  <c r="S124" i="14"/>
  <c r="P124" i="14"/>
  <c r="N124" i="14"/>
  <c r="L124" i="14"/>
  <c r="J124" i="14"/>
  <c r="O124" i="14"/>
  <c r="K124" i="14"/>
  <c r="H124" i="14"/>
  <c r="R124" i="14"/>
  <c r="Q124" i="14"/>
  <c r="M124" i="14"/>
  <c r="E127" i="20"/>
  <c r="I124" i="14"/>
  <c r="F124" i="14"/>
  <c r="G124" i="14"/>
  <c r="S140" i="14"/>
  <c r="P140" i="14"/>
  <c r="N140" i="14"/>
  <c r="L140" i="14"/>
  <c r="J140" i="14"/>
  <c r="O140" i="14"/>
  <c r="K140" i="14"/>
  <c r="H140" i="14"/>
  <c r="R140" i="14"/>
  <c r="Q140" i="14"/>
  <c r="M140" i="14"/>
  <c r="E143" i="20"/>
  <c r="I140" i="14"/>
  <c r="F140" i="14"/>
  <c r="G140" i="14"/>
  <c r="S156" i="14"/>
  <c r="P156" i="14"/>
  <c r="N156" i="14"/>
  <c r="L156" i="14"/>
  <c r="J156" i="14"/>
  <c r="O156" i="14"/>
  <c r="K156" i="14"/>
  <c r="H156" i="14"/>
  <c r="R156" i="14"/>
  <c r="Q156" i="14"/>
  <c r="M156" i="14"/>
  <c r="I156" i="14"/>
  <c r="F156" i="14"/>
  <c r="G156" i="14"/>
  <c r="E159" i="20"/>
  <c r="S172" i="14"/>
  <c r="P172" i="14"/>
  <c r="N172" i="14"/>
  <c r="L172" i="14"/>
  <c r="J172" i="14"/>
  <c r="O172" i="14"/>
  <c r="K172" i="14"/>
  <c r="H172" i="14"/>
  <c r="R172" i="14"/>
  <c r="Q172" i="14"/>
  <c r="M172" i="14"/>
  <c r="I172" i="14"/>
  <c r="F172" i="14"/>
  <c r="E175" i="20"/>
  <c r="G172" i="14"/>
  <c r="S188" i="14"/>
  <c r="P188" i="14"/>
  <c r="N188" i="14"/>
  <c r="L188" i="14"/>
  <c r="J188" i="14"/>
  <c r="O188" i="14"/>
  <c r="K188" i="14"/>
  <c r="H188" i="14"/>
  <c r="R188" i="14"/>
  <c r="Q188" i="14"/>
  <c r="M188" i="14"/>
  <c r="I188" i="14"/>
  <c r="G188" i="14"/>
  <c r="F188" i="14"/>
  <c r="E191" i="20"/>
  <c r="S204" i="14"/>
  <c r="P204" i="14"/>
  <c r="N204" i="14"/>
  <c r="L204" i="14"/>
  <c r="J204" i="14"/>
  <c r="O204" i="14"/>
  <c r="K204" i="14"/>
  <c r="H204" i="14"/>
  <c r="R204" i="14"/>
  <c r="Q204" i="14"/>
  <c r="M204" i="14"/>
  <c r="I204" i="14"/>
  <c r="G204" i="14"/>
  <c r="F204" i="14"/>
  <c r="E207" i="20"/>
  <c r="S220" i="14"/>
  <c r="P220" i="14"/>
  <c r="N220" i="14"/>
  <c r="L220" i="14"/>
  <c r="J220" i="14"/>
  <c r="O220" i="14"/>
  <c r="K220" i="14"/>
  <c r="H220" i="14"/>
  <c r="R220" i="14"/>
  <c r="Q220" i="14"/>
  <c r="M220" i="14"/>
  <c r="I220" i="14"/>
  <c r="G220" i="14"/>
  <c r="F220" i="14"/>
  <c r="E223" i="20"/>
  <c r="S236" i="14"/>
  <c r="P236" i="14"/>
  <c r="N236" i="14"/>
  <c r="L236" i="14"/>
  <c r="J236" i="14"/>
  <c r="O236" i="14"/>
  <c r="K236" i="14"/>
  <c r="H236" i="14"/>
  <c r="R236" i="14"/>
  <c r="Q236" i="14"/>
  <c r="M236" i="14"/>
  <c r="I236" i="14"/>
  <c r="G236" i="14"/>
  <c r="F236" i="14"/>
  <c r="E239" i="20"/>
  <c r="R11" i="14"/>
  <c r="Q11" i="14"/>
  <c r="S11" i="14"/>
  <c r="O11" i="14"/>
  <c r="M11" i="14"/>
  <c r="K11" i="14"/>
  <c r="N11" i="14"/>
  <c r="J11" i="14"/>
  <c r="I11" i="14"/>
  <c r="G11" i="14"/>
  <c r="E14" i="20"/>
  <c r="L11" i="14"/>
  <c r="F11" i="14"/>
  <c r="H11" i="14"/>
  <c r="P11" i="14"/>
  <c r="R27" i="14"/>
  <c r="Q27" i="14"/>
  <c r="S27" i="14"/>
  <c r="O27" i="14"/>
  <c r="M27" i="14"/>
  <c r="K27" i="14"/>
  <c r="N27" i="14"/>
  <c r="J27" i="14"/>
  <c r="I27" i="14"/>
  <c r="G27" i="14"/>
  <c r="E30" i="20"/>
  <c r="F27" i="14"/>
  <c r="P27" i="14"/>
  <c r="L27" i="14"/>
  <c r="H27" i="14"/>
  <c r="R43" i="14"/>
  <c r="S43" i="14"/>
  <c r="Q43" i="14"/>
  <c r="O43" i="14"/>
  <c r="M43" i="14"/>
  <c r="K43" i="14"/>
  <c r="N43" i="14"/>
  <c r="J43" i="14"/>
  <c r="I43" i="14"/>
  <c r="G43" i="14"/>
  <c r="E46" i="20"/>
  <c r="L43" i="14"/>
  <c r="F43" i="14"/>
  <c r="H43" i="14"/>
  <c r="P43" i="14"/>
  <c r="R59" i="14"/>
  <c r="S59" i="14"/>
  <c r="Q59" i="14"/>
  <c r="O59" i="14"/>
  <c r="M59" i="14"/>
  <c r="K59" i="14"/>
  <c r="N59" i="14"/>
  <c r="J59" i="14"/>
  <c r="I59" i="14"/>
  <c r="G59" i="14"/>
  <c r="E62" i="20"/>
  <c r="F59" i="14"/>
  <c r="P59" i="14"/>
  <c r="L59" i="14"/>
  <c r="H59" i="14"/>
  <c r="R75" i="14"/>
  <c r="S75" i="14"/>
  <c r="Q75" i="14"/>
  <c r="O75" i="14"/>
  <c r="M75" i="14"/>
  <c r="K75" i="14"/>
  <c r="N75" i="14"/>
  <c r="I75" i="14"/>
  <c r="G75" i="14"/>
  <c r="E78" i="20"/>
  <c r="J75" i="14"/>
  <c r="L75" i="14"/>
  <c r="F75" i="14"/>
  <c r="H75" i="14"/>
  <c r="P75" i="14"/>
  <c r="R91" i="14"/>
  <c r="S91" i="14"/>
  <c r="Q91" i="14"/>
  <c r="O91" i="14"/>
  <c r="M91" i="14"/>
  <c r="K91" i="14"/>
  <c r="N91" i="14"/>
  <c r="I91" i="14"/>
  <c r="G91" i="14"/>
  <c r="E94" i="20"/>
  <c r="J91" i="14"/>
  <c r="F91" i="14"/>
  <c r="P91" i="14"/>
  <c r="L91" i="14"/>
  <c r="H91" i="14"/>
  <c r="R107" i="14"/>
  <c r="S107" i="14"/>
  <c r="Q107" i="14"/>
  <c r="O107" i="14"/>
  <c r="M107" i="14"/>
  <c r="K107" i="14"/>
  <c r="N107" i="14"/>
  <c r="I107" i="14"/>
  <c r="G107" i="14"/>
  <c r="E110" i="20"/>
  <c r="J107" i="14"/>
  <c r="L107" i="14"/>
  <c r="F107" i="14"/>
  <c r="H107" i="14"/>
  <c r="P107" i="14"/>
  <c r="R123" i="14"/>
  <c r="S123" i="14"/>
  <c r="Q123" i="14"/>
  <c r="O123" i="14"/>
  <c r="M123" i="14"/>
  <c r="K123" i="14"/>
  <c r="N123" i="14"/>
  <c r="I123" i="14"/>
  <c r="G123" i="14"/>
  <c r="E126" i="20"/>
  <c r="J123" i="14"/>
  <c r="F123" i="14"/>
  <c r="P123" i="14"/>
  <c r="L123" i="14"/>
  <c r="H123" i="14"/>
  <c r="R139" i="14"/>
  <c r="S139" i="14"/>
  <c r="Q139" i="14"/>
  <c r="O139" i="14"/>
  <c r="M139" i="14"/>
  <c r="K139" i="14"/>
  <c r="N139" i="14"/>
  <c r="I139" i="14"/>
  <c r="G139" i="14"/>
  <c r="E142" i="20"/>
  <c r="J139" i="14"/>
  <c r="L139" i="14"/>
  <c r="F139" i="14"/>
  <c r="H139" i="14"/>
  <c r="P139" i="14"/>
  <c r="R155" i="14"/>
  <c r="S155" i="14"/>
  <c r="Q155" i="14"/>
  <c r="O155" i="14"/>
  <c r="M155" i="14"/>
  <c r="K155" i="14"/>
  <c r="N155" i="14"/>
  <c r="I155" i="14"/>
  <c r="G155" i="14"/>
  <c r="J155" i="14"/>
  <c r="F155" i="14"/>
  <c r="P155" i="14"/>
  <c r="L155" i="14"/>
  <c r="H155" i="14"/>
  <c r="E158" i="20"/>
  <c r="R171" i="14"/>
  <c r="S171" i="14"/>
  <c r="Q171" i="14"/>
  <c r="O171" i="14"/>
  <c r="M171" i="14"/>
  <c r="K171" i="14"/>
  <c r="N171" i="14"/>
  <c r="I171" i="14"/>
  <c r="G171" i="14"/>
  <c r="J171" i="14"/>
  <c r="L171" i="14"/>
  <c r="F171" i="14"/>
  <c r="H171" i="14"/>
  <c r="P171" i="14"/>
  <c r="E174" i="20"/>
  <c r="R187" i="14"/>
  <c r="S187" i="14"/>
  <c r="Q187" i="14"/>
  <c r="O187" i="14"/>
  <c r="M187" i="14"/>
  <c r="K187" i="14"/>
  <c r="N187" i="14"/>
  <c r="I187" i="14"/>
  <c r="G187" i="14"/>
  <c r="J187" i="14"/>
  <c r="F187" i="14"/>
  <c r="P187" i="14"/>
  <c r="L187" i="14"/>
  <c r="H187" i="14"/>
  <c r="E190" i="20"/>
  <c r="R203" i="14"/>
  <c r="S203" i="14"/>
  <c r="Q203" i="14"/>
  <c r="O203" i="14"/>
  <c r="M203" i="14"/>
  <c r="K203" i="14"/>
  <c r="N203" i="14"/>
  <c r="I203" i="14"/>
  <c r="G203" i="14"/>
  <c r="J203" i="14"/>
  <c r="L203" i="14"/>
  <c r="F203" i="14"/>
  <c r="H203" i="14"/>
  <c r="P203" i="14"/>
  <c r="E206" i="20"/>
  <c r="R219" i="14"/>
  <c r="S219" i="14"/>
  <c r="Q219" i="14"/>
  <c r="O219" i="14"/>
  <c r="M219" i="14"/>
  <c r="K219" i="14"/>
  <c r="N219" i="14"/>
  <c r="I219" i="14"/>
  <c r="G219" i="14"/>
  <c r="J219" i="14"/>
  <c r="F219" i="14"/>
  <c r="P219" i="14"/>
  <c r="L219" i="14"/>
  <c r="H219" i="14"/>
  <c r="E222" i="20"/>
  <c r="R235" i="14"/>
  <c r="S235" i="14"/>
  <c r="Q235" i="14"/>
  <c r="O235" i="14"/>
  <c r="M235" i="14"/>
  <c r="K235" i="14"/>
  <c r="N235" i="14"/>
  <c r="I235" i="14"/>
  <c r="G235" i="14"/>
  <c r="L235" i="14"/>
  <c r="F235" i="14"/>
  <c r="J235" i="14"/>
  <c r="H235" i="14"/>
  <c r="P235" i="14"/>
  <c r="E238" i="20"/>
  <c r="R18" i="14"/>
  <c r="S18" i="14"/>
  <c r="O18" i="14"/>
  <c r="M18" i="14"/>
  <c r="K18" i="14"/>
  <c r="I18" i="14"/>
  <c r="Q18" i="14"/>
  <c r="N18" i="14"/>
  <c r="J18" i="14"/>
  <c r="G18" i="14"/>
  <c r="P18" i="14"/>
  <c r="L18" i="14"/>
  <c r="H18" i="14"/>
  <c r="F18" i="14"/>
  <c r="E21" i="20"/>
  <c r="R34" i="14"/>
  <c r="S34" i="14"/>
  <c r="O34" i="14"/>
  <c r="M34" i="14"/>
  <c r="K34" i="14"/>
  <c r="I34" i="14"/>
  <c r="Q34" i="14"/>
  <c r="N34" i="14"/>
  <c r="J34" i="14"/>
  <c r="G34" i="14"/>
  <c r="P34" i="14"/>
  <c r="L34" i="14"/>
  <c r="H34" i="14"/>
  <c r="F34" i="14"/>
  <c r="E37" i="20"/>
  <c r="R50" i="14"/>
  <c r="S50" i="14"/>
  <c r="Q50" i="14"/>
  <c r="O50" i="14"/>
  <c r="M50" i="14"/>
  <c r="K50" i="14"/>
  <c r="I50" i="14"/>
  <c r="N50" i="14"/>
  <c r="J50" i="14"/>
  <c r="G50" i="14"/>
  <c r="P50" i="14"/>
  <c r="L50" i="14"/>
  <c r="H50" i="14"/>
  <c r="F50" i="14"/>
  <c r="E53" i="20"/>
  <c r="R66" i="14"/>
  <c r="S66" i="14"/>
  <c r="Q66" i="14"/>
  <c r="O66" i="14"/>
  <c r="M66" i="14"/>
  <c r="K66" i="14"/>
  <c r="N66" i="14"/>
  <c r="J66" i="14"/>
  <c r="I66" i="14"/>
  <c r="G66" i="14"/>
  <c r="P66" i="14"/>
  <c r="L66" i="14"/>
  <c r="H66" i="14"/>
  <c r="F66" i="14"/>
  <c r="E69" i="20"/>
  <c r="R82" i="14"/>
  <c r="S82" i="14"/>
  <c r="Q82" i="14"/>
  <c r="O82" i="14"/>
  <c r="M82" i="14"/>
  <c r="K82" i="14"/>
  <c r="N82" i="14"/>
  <c r="I82" i="14"/>
  <c r="G82" i="14"/>
  <c r="P82" i="14"/>
  <c r="L82" i="14"/>
  <c r="J82" i="14"/>
  <c r="H82" i="14"/>
  <c r="F82" i="14"/>
  <c r="E85" i="20"/>
  <c r="R98" i="14"/>
  <c r="S98" i="14"/>
  <c r="Q98" i="14"/>
  <c r="O98" i="14"/>
  <c r="M98" i="14"/>
  <c r="K98" i="14"/>
  <c r="N98" i="14"/>
  <c r="I98" i="14"/>
  <c r="G98" i="14"/>
  <c r="P98" i="14"/>
  <c r="L98" i="14"/>
  <c r="H98" i="14"/>
  <c r="F98" i="14"/>
  <c r="E101" i="20"/>
  <c r="J98" i="14"/>
  <c r="R114" i="14"/>
  <c r="S114" i="14"/>
  <c r="Q114" i="14"/>
  <c r="O114" i="14"/>
  <c r="M114" i="14"/>
  <c r="K114" i="14"/>
  <c r="N114" i="14"/>
  <c r="I114" i="14"/>
  <c r="G114" i="14"/>
  <c r="P114" i="14"/>
  <c r="L114" i="14"/>
  <c r="H114" i="14"/>
  <c r="F114" i="14"/>
  <c r="E117" i="20"/>
  <c r="J114" i="14"/>
  <c r="R130" i="14"/>
  <c r="S130" i="14"/>
  <c r="Q130" i="14"/>
  <c r="O130" i="14"/>
  <c r="M130" i="14"/>
  <c r="K130" i="14"/>
  <c r="N130" i="14"/>
  <c r="I130" i="14"/>
  <c r="G130" i="14"/>
  <c r="P130" i="14"/>
  <c r="L130" i="14"/>
  <c r="J130" i="14"/>
  <c r="H130" i="14"/>
  <c r="F130" i="14"/>
  <c r="E133" i="20"/>
  <c r="R146" i="14"/>
  <c r="S146" i="14"/>
  <c r="Q146" i="14"/>
  <c r="O146" i="14"/>
  <c r="M146" i="14"/>
  <c r="K146" i="14"/>
  <c r="N146" i="14"/>
  <c r="I146" i="14"/>
  <c r="G146" i="14"/>
  <c r="P146" i="14"/>
  <c r="L146" i="14"/>
  <c r="J146" i="14"/>
  <c r="H146" i="14"/>
  <c r="F146" i="14"/>
  <c r="E149" i="20"/>
  <c r="R162" i="14"/>
  <c r="S162" i="14"/>
  <c r="Q162" i="14"/>
  <c r="O162" i="14"/>
  <c r="M162" i="14"/>
  <c r="K162" i="14"/>
  <c r="N162" i="14"/>
  <c r="I162" i="14"/>
  <c r="G162" i="14"/>
  <c r="P162" i="14"/>
  <c r="L162" i="14"/>
  <c r="H162" i="14"/>
  <c r="F162" i="14"/>
  <c r="E165" i="20"/>
  <c r="J162" i="14"/>
  <c r="R178" i="14"/>
  <c r="S178" i="14"/>
  <c r="Q178" i="14"/>
  <c r="O178" i="14"/>
  <c r="M178" i="14"/>
  <c r="K178" i="14"/>
  <c r="N178" i="14"/>
  <c r="I178" i="14"/>
  <c r="G178" i="14"/>
  <c r="P178" i="14"/>
  <c r="L178" i="14"/>
  <c r="H178" i="14"/>
  <c r="F178" i="14"/>
  <c r="E181" i="20"/>
  <c r="J178" i="14"/>
  <c r="R194" i="14"/>
  <c r="S194" i="14"/>
  <c r="Q194" i="14"/>
  <c r="O194" i="14"/>
  <c r="M194" i="14"/>
  <c r="K194" i="14"/>
  <c r="N194" i="14"/>
  <c r="I194" i="14"/>
  <c r="P194" i="14"/>
  <c r="L194" i="14"/>
  <c r="J194" i="14"/>
  <c r="H194" i="14"/>
  <c r="F194" i="14"/>
  <c r="E197" i="20"/>
  <c r="G194" i="14"/>
  <c r="R210" i="14"/>
  <c r="S210" i="14"/>
  <c r="Q210" i="14"/>
  <c r="O210" i="14"/>
  <c r="M210" i="14"/>
  <c r="K210" i="14"/>
  <c r="N210" i="14"/>
  <c r="I210" i="14"/>
  <c r="P210" i="14"/>
  <c r="L210" i="14"/>
  <c r="J210" i="14"/>
  <c r="H210" i="14"/>
  <c r="F210" i="14"/>
  <c r="E213" i="20"/>
  <c r="G210" i="14"/>
  <c r="R226" i="14"/>
  <c r="S226" i="14"/>
  <c r="Q226" i="14"/>
  <c r="O226" i="14"/>
  <c r="M226" i="14"/>
  <c r="K226" i="14"/>
  <c r="N226" i="14"/>
  <c r="I226" i="14"/>
  <c r="P226" i="14"/>
  <c r="L226" i="14"/>
  <c r="H226" i="14"/>
  <c r="F226" i="14"/>
  <c r="E229" i="20"/>
  <c r="G226" i="14"/>
  <c r="J226" i="14"/>
  <c r="S16" i="14"/>
  <c r="R16" i="14"/>
  <c r="Q16" i="14"/>
  <c r="P16" i="14"/>
  <c r="N16" i="14"/>
  <c r="L16" i="14"/>
  <c r="J16" i="14"/>
  <c r="M16" i="14"/>
  <c r="H16" i="14"/>
  <c r="I16" i="14"/>
  <c r="O16" i="14"/>
  <c r="K16" i="14"/>
  <c r="F16" i="14"/>
  <c r="G16" i="14"/>
  <c r="E19" i="20"/>
  <c r="S32" i="14"/>
  <c r="R32" i="14"/>
  <c r="Q32" i="14"/>
  <c r="P32" i="14"/>
  <c r="N32" i="14"/>
  <c r="L32" i="14"/>
  <c r="J32" i="14"/>
  <c r="M32" i="14"/>
  <c r="H32" i="14"/>
  <c r="I32" i="14"/>
  <c r="O32" i="14"/>
  <c r="K32" i="14"/>
  <c r="F32" i="14"/>
  <c r="G32" i="14"/>
  <c r="E35" i="20"/>
  <c r="S48" i="14"/>
  <c r="R48" i="14"/>
  <c r="P48" i="14"/>
  <c r="N48" i="14"/>
  <c r="L48" i="14"/>
  <c r="J48" i="14"/>
  <c r="Q48" i="14"/>
  <c r="M48" i="14"/>
  <c r="H48" i="14"/>
  <c r="I48" i="14"/>
  <c r="O48" i="14"/>
  <c r="K48" i="14"/>
  <c r="F48" i="14"/>
  <c r="G48" i="14"/>
  <c r="E51" i="20"/>
  <c r="S64" i="14"/>
  <c r="R64" i="14"/>
  <c r="P64" i="14"/>
  <c r="N64" i="14"/>
  <c r="L64" i="14"/>
  <c r="J64" i="14"/>
  <c r="Q64" i="14"/>
  <c r="M64" i="14"/>
  <c r="H64" i="14"/>
  <c r="O64" i="14"/>
  <c r="K64" i="14"/>
  <c r="F64" i="14"/>
  <c r="G64" i="14"/>
  <c r="E67" i="20"/>
  <c r="I64" i="14"/>
  <c r="S80" i="14"/>
  <c r="R80" i="14"/>
  <c r="P80" i="14"/>
  <c r="N80" i="14"/>
  <c r="L80" i="14"/>
  <c r="J80" i="14"/>
  <c r="Q80" i="14"/>
  <c r="M80" i="14"/>
  <c r="H80" i="14"/>
  <c r="O80" i="14"/>
  <c r="K80" i="14"/>
  <c r="F80" i="14"/>
  <c r="G80" i="14"/>
  <c r="E83" i="20"/>
  <c r="I80" i="14"/>
  <c r="S96" i="14"/>
  <c r="R96" i="14"/>
  <c r="P96" i="14"/>
  <c r="N96" i="14"/>
  <c r="L96" i="14"/>
  <c r="J96" i="14"/>
  <c r="Q96" i="14"/>
  <c r="M96" i="14"/>
  <c r="H96" i="14"/>
  <c r="O96" i="14"/>
  <c r="K96" i="14"/>
  <c r="F96" i="14"/>
  <c r="G96" i="14"/>
  <c r="E99" i="20"/>
  <c r="I96" i="14"/>
  <c r="S112" i="14"/>
  <c r="R112" i="14"/>
  <c r="P112" i="14"/>
  <c r="N112" i="14"/>
  <c r="L112" i="14"/>
  <c r="J112" i="14"/>
  <c r="Q112" i="14"/>
  <c r="M112" i="14"/>
  <c r="H112" i="14"/>
  <c r="O112" i="14"/>
  <c r="K112" i="14"/>
  <c r="F112" i="14"/>
  <c r="G112" i="14"/>
  <c r="E115" i="20"/>
  <c r="I112" i="14"/>
  <c r="S128" i="14"/>
  <c r="R128" i="14"/>
  <c r="P128" i="14"/>
  <c r="N128" i="14"/>
  <c r="L128" i="14"/>
  <c r="J128" i="14"/>
  <c r="Q128" i="14"/>
  <c r="M128" i="14"/>
  <c r="H128" i="14"/>
  <c r="O128" i="14"/>
  <c r="K128" i="14"/>
  <c r="F128" i="14"/>
  <c r="G128" i="14"/>
  <c r="E131" i="20"/>
  <c r="I128" i="14"/>
  <c r="S176" i="14"/>
  <c r="R176" i="14"/>
  <c r="P176" i="14"/>
  <c r="N176" i="14"/>
  <c r="L176" i="14"/>
  <c r="J176" i="14"/>
  <c r="Q176" i="14"/>
  <c r="M176" i="14"/>
  <c r="H176" i="14"/>
  <c r="O176" i="14"/>
  <c r="K176" i="14"/>
  <c r="F176" i="14"/>
  <c r="G176" i="14"/>
  <c r="E179" i="20"/>
  <c r="I176" i="14"/>
  <c r="S192" i="14"/>
  <c r="R192" i="14"/>
  <c r="P192" i="14"/>
  <c r="N192" i="14"/>
  <c r="L192" i="14"/>
  <c r="J192" i="14"/>
  <c r="Q192" i="14"/>
  <c r="M192" i="14"/>
  <c r="H192" i="14"/>
  <c r="O192" i="14"/>
  <c r="K192" i="14"/>
  <c r="G192" i="14"/>
  <c r="F192" i="14"/>
  <c r="E195" i="20"/>
  <c r="I192" i="14"/>
  <c r="S208" i="14"/>
  <c r="R208" i="14"/>
  <c r="P208" i="14"/>
  <c r="N208" i="14"/>
  <c r="L208" i="14"/>
  <c r="J208" i="14"/>
  <c r="Q208" i="14"/>
  <c r="M208" i="14"/>
  <c r="H208" i="14"/>
  <c r="O208" i="14"/>
  <c r="K208" i="14"/>
  <c r="G208" i="14"/>
  <c r="F208" i="14"/>
  <c r="E211" i="20"/>
  <c r="I208" i="14"/>
  <c r="S224" i="14"/>
  <c r="R224" i="14"/>
  <c r="P224" i="14"/>
  <c r="N224" i="14"/>
  <c r="L224" i="14"/>
  <c r="J224" i="14"/>
  <c r="Q224" i="14"/>
  <c r="M224" i="14"/>
  <c r="H224" i="14"/>
  <c r="O224" i="14"/>
  <c r="K224" i="14"/>
  <c r="G224" i="14"/>
  <c r="F224" i="14"/>
  <c r="E227" i="20"/>
  <c r="I224" i="14"/>
  <c r="S240" i="14"/>
  <c r="R240" i="14"/>
  <c r="P240" i="14"/>
  <c r="N240" i="14"/>
  <c r="L240" i="14"/>
  <c r="J240" i="14"/>
  <c r="Q240" i="14"/>
  <c r="M240" i="14"/>
  <c r="H240" i="14"/>
  <c r="O240" i="14"/>
  <c r="K240" i="14"/>
  <c r="G240" i="14"/>
  <c r="F240" i="14"/>
  <c r="E243" i="20"/>
  <c r="I240" i="14"/>
  <c r="E254" i="17"/>
  <c r="S95" i="14" l="1"/>
  <c r="L79" i="14"/>
  <c r="L63" i="14"/>
  <c r="L47" i="14"/>
  <c r="G31" i="14"/>
  <c r="E18" i="20"/>
  <c r="G111" i="14"/>
  <c r="Q111" i="14"/>
  <c r="K95" i="14"/>
  <c r="K79" i="14"/>
  <c r="P63" i="14"/>
  <c r="S47" i="14"/>
  <c r="P31" i="14"/>
  <c r="P15" i="14"/>
  <c r="I95" i="14"/>
  <c r="M95" i="14"/>
  <c r="G79" i="14"/>
  <c r="M79" i="14"/>
  <c r="N63" i="14"/>
  <c r="M63" i="14"/>
  <c r="N47" i="14"/>
  <c r="I47" i="14"/>
  <c r="H31" i="14"/>
  <c r="S31" i="14"/>
  <c r="F15" i="14"/>
  <c r="M15" i="14"/>
  <c r="F111" i="14"/>
  <c r="P111" i="14"/>
  <c r="R111" i="14"/>
  <c r="J95" i="14"/>
  <c r="R95" i="14"/>
  <c r="J79" i="14"/>
  <c r="O79" i="14"/>
  <c r="G63" i="14"/>
  <c r="O63" i="14"/>
  <c r="E50" i="20"/>
  <c r="O47" i="14"/>
  <c r="N31" i="14"/>
  <c r="I31" i="14"/>
  <c r="H15" i="14"/>
  <c r="F137" i="14"/>
  <c r="E214" i="20"/>
  <c r="J73" i="14"/>
  <c r="O144" i="14"/>
  <c r="E221" i="20"/>
  <c r="F175" i="14"/>
  <c r="J175" i="14"/>
  <c r="H159" i="14"/>
  <c r="L159" i="14"/>
  <c r="F127" i="14"/>
  <c r="I127" i="14"/>
  <c r="N111" i="14"/>
  <c r="J111" i="14"/>
  <c r="N95" i="14"/>
  <c r="L95" i="14"/>
  <c r="E82" i="20"/>
  <c r="P79" i="14"/>
  <c r="E66" i="20"/>
  <c r="F47" i="14"/>
  <c r="G47" i="14"/>
  <c r="J31" i="14"/>
  <c r="L31" i="14"/>
  <c r="N15" i="14"/>
  <c r="K201" i="14"/>
  <c r="Q138" i="14"/>
  <c r="F132" i="14"/>
  <c r="O15" i="14"/>
  <c r="G15" i="14"/>
  <c r="J15" i="14"/>
  <c r="M31" i="14"/>
  <c r="Q31" i="14"/>
  <c r="E34" i="20"/>
  <c r="F31" i="14"/>
  <c r="M47" i="14"/>
  <c r="P47" i="14"/>
  <c r="H47" i="14"/>
  <c r="R63" i="14"/>
  <c r="K63" i="14"/>
  <c r="I63" i="14"/>
  <c r="H63" i="14"/>
  <c r="Q79" i="14"/>
  <c r="S79" i="14"/>
  <c r="I79" i="14"/>
  <c r="N79" i="14"/>
  <c r="O95" i="14"/>
  <c r="P95" i="14"/>
  <c r="G95" i="14"/>
  <c r="F95" i="14"/>
  <c r="M111" i="14"/>
  <c r="L111" i="14"/>
  <c r="E114" i="20"/>
  <c r="R127" i="14"/>
  <c r="K127" i="14"/>
  <c r="J127" i="14"/>
  <c r="N127" i="14"/>
  <c r="R143" i="14"/>
  <c r="L143" i="14"/>
  <c r="O159" i="14"/>
  <c r="P159" i="14"/>
  <c r="G159" i="14"/>
  <c r="E162" i="20"/>
  <c r="M175" i="14"/>
  <c r="L175" i="14"/>
  <c r="H175" i="14"/>
  <c r="R191" i="14"/>
  <c r="K191" i="14"/>
  <c r="J191" i="14"/>
  <c r="H191" i="14"/>
  <c r="Q207" i="14"/>
  <c r="S207" i="14"/>
  <c r="I207" i="14"/>
  <c r="F207" i="14"/>
  <c r="O223" i="14"/>
  <c r="P223" i="14"/>
  <c r="G223" i="14"/>
  <c r="E226" i="20"/>
  <c r="M239" i="14"/>
  <c r="L239" i="14"/>
  <c r="H239" i="14"/>
  <c r="Q22" i="14"/>
  <c r="I22" i="14"/>
  <c r="S22" i="14"/>
  <c r="E25" i="20"/>
  <c r="S19" i="14"/>
  <c r="R144" i="14"/>
  <c r="E188" i="20"/>
  <c r="H121" i="14"/>
  <c r="L57" i="14"/>
  <c r="I202" i="14"/>
  <c r="R106" i="14"/>
  <c r="S179" i="14"/>
  <c r="I15" i="14"/>
  <c r="R15" i="14"/>
  <c r="K160" i="14"/>
  <c r="E172" i="20"/>
  <c r="M105" i="14"/>
  <c r="N41" i="14"/>
  <c r="S186" i="14"/>
  <c r="F58" i="14"/>
  <c r="O131" i="14"/>
  <c r="Q15" i="14"/>
  <c r="L15" i="14"/>
  <c r="K15" i="14"/>
  <c r="P160" i="14"/>
  <c r="G217" i="14"/>
  <c r="O153" i="14"/>
  <c r="Q89" i="14"/>
  <c r="R25" i="14"/>
  <c r="J154" i="14"/>
  <c r="J26" i="14"/>
  <c r="F67" i="14"/>
  <c r="I160" i="14"/>
  <c r="E147" i="20"/>
  <c r="E252" i="20"/>
  <c r="E236" i="20"/>
  <c r="O217" i="14"/>
  <c r="F201" i="14"/>
  <c r="H185" i="14"/>
  <c r="M169" i="14"/>
  <c r="Q153" i="14"/>
  <c r="J137" i="14"/>
  <c r="L121" i="14"/>
  <c r="N105" i="14"/>
  <c r="P89" i="14"/>
  <c r="R73" i="14"/>
  <c r="S57" i="14"/>
  <c r="E28" i="20"/>
  <c r="Q9" i="14"/>
  <c r="F234" i="14"/>
  <c r="J218" i="14"/>
  <c r="Q202" i="14"/>
  <c r="P170" i="14"/>
  <c r="M154" i="14"/>
  <c r="J122" i="14"/>
  <c r="K58" i="14"/>
  <c r="L10" i="14"/>
  <c r="O211" i="14"/>
  <c r="K163" i="14"/>
  <c r="I115" i="14"/>
  <c r="E87" i="20"/>
  <c r="M233" i="14"/>
  <c r="Q217" i="14"/>
  <c r="J201" i="14"/>
  <c r="L185" i="14"/>
  <c r="N169" i="14"/>
  <c r="P153" i="14"/>
  <c r="R137" i="14"/>
  <c r="S121" i="14"/>
  <c r="E92" i="20"/>
  <c r="K73" i="14"/>
  <c r="K57" i="14"/>
  <c r="O41" i="14"/>
  <c r="F25" i="14"/>
  <c r="P234" i="14"/>
  <c r="O218" i="14"/>
  <c r="G186" i="14"/>
  <c r="K170" i="14"/>
  <c r="F138" i="14"/>
  <c r="S122" i="14"/>
  <c r="F74" i="14"/>
  <c r="H42" i="14"/>
  <c r="L35" i="14"/>
  <c r="Q160" i="14"/>
  <c r="J144" i="14"/>
  <c r="N233" i="14"/>
  <c r="P217" i="14"/>
  <c r="R201" i="14"/>
  <c r="S185" i="14"/>
  <c r="G153" i="14"/>
  <c r="K137" i="14"/>
  <c r="K121" i="14"/>
  <c r="O105" i="14"/>
  <c r="O89" i="14"/>
  <c r="F73" i="14"/>
  <c r="M57" i="14"/>
  <c r="Q41" i="14"/>
  <c r="J25" i="14"/>
  <c r="N186" i="14"/>
  <c r="R170" i="14"/>
  <c r="G106" i="14"/>
  <c r="N74" i="14"/>
  <c r="G227" i="14"/>
  <c r="H179" i="14"/>
  <c r="L131" i="14"/>
  <c r="P83" i="14"/>
  <c r="R35" i="14"/>
  <c r="L212" i="14"/>
  <c r="S10" i="14"/>
  <c r="E12" i="20"/>
  <c r="H9" i="14"/>
  <c r="L9" i="14"/>
  <c r="Q51" i="14"/>
  <c r="N51" i="14"/>
  <c r="P51" i="14"/>
  <c r="F51" i="14"/>
  <c r="R51" i="14"/>
  <c r="K51" i="14"/>
  <c r="L51" i="14"/>
  <c r="S51" i="14"/>
  <c r="G51" i="14"/>
  <c r="M51" i="14"/>
  <c r="I51" i="14"/>
  <c r="S99" i="14"/>
  <c r="K99" i="14"/>
  <c r="G99" i="14"/>
  <c r="F99" i="14"/>
  <c r="O99" i="14"/>
  <c r="I99" i="14"/>
  <c r="L99" i="14"/>
  <c r="J99" i="14"/>
  <c r="H99" i="14"/>
  <c r="Q99" i="14"/>
  <c r="E102" i="20"/>
  <c r="S147" i="14"/>
  <c r="K147" i="14"/>
  <c r="G147" i="14"/>
  <c r="F147" i="14"/>
  <c r="R147" i="14"/>
  <c r="J147" i="14"/>
  <c r="L147" i="14"/>
  <c r="O147" i="14"/>
  <c r="I147" i="14"/>
  <c r="E150" i="20"/>
  <c r="R195" i="14"/>
  <c r="M195" i="14"/>
  <c r="I195" i="14"/>
  <c r="F195" i="14"/>
  <c r="O195" i="14"/>
  <c r="G195" i="14"/>
  <c r="E198" i="20"/>
  <c r="S195" i="14"/>
  <c r="J195" i="14"/>
  <c r="H195" i="14"/>
  <c r="Q42" i="14"/>
  <c r="I42" i="14"/>
  <c r="M42" i="14"/>
  <c r="G42" i="14"/>
  <c r="F42" i="14"/>
  <c r="S42" i="14"/>
  <c r="N42" i="14"/>
  <c r="L42" i="14"/>
  <c r="R90" i="14"/>
  <c r="M90" i="14"/>
  <c r="G90" i="14"/>
  <c r="H90" i="14"/>
  <c r="Q90" i="14"/>
  <c r="N90" i="14"/>
  <c r="P90" i="14"/>
  <c r="F90" i="14"/>
  <c r="O138" i="14"/>
  <c r="S138" i="14"/>
  <c r="K138" i="14"/>
  <c r="J138" i="14"/>
  <c r="E141" i="20"/>
  <c r="S202" i="14"/>
  <c r="K202" i="14"/>
  <c r="P202" i="14"/>
  <c r="E205" i="20"/>
  <c r="O234" i="14"/>
  <c r="I234" i="14"/>
  <c r="G234" i="14"/>
  <c r="S36" i="14"/>
  <c r="J36" i="14"/>
  <c r="I36" i="14"/>
  <c r="F36" i="14"/>
  <c r="P36" i="14"/>
  <c r="R36" i="14"/>
  <c r="H36" i="14"/>
  <c r="G36" i="14"/>
  <c r="N36" i="14"/>
  <c r="O36" i="14"/>
  <c r="M36" i="14"/>
  <c r="E39" i="20"/>
  <c r="Q36" i="14"/>
  <c r="L36" i="14"/>
  <c r="L180" i="14"/>
  <c r="K180" i="14"/>
  <c r="I180" i="14"/>
  <c r="J180" i="14"/>
  <c r="Q180" i="14"/>
  <c r="F180" i="14"/>
  <c r="S180" i="14"/>
  <c r="O180" i="14"/>
  <c r="E183" i="20"/>
  <c r="N180" i="14"/>
  <c r="M180" i="14"/>
  <c r="S196" i="14"/>
  <c r="J196" i="14"/>
  <c r="H196" i="14"/>
  <c r="F196" i="14"/>
  <c r="R196" i="14"/>
  <c r="M196" i="14"/>
  <c r="O196" i="14"/>
  <c r="E199" i="20"/>
  <c r="N196" i="14"/>
  <c r="Q196" i="14"/>
  <c r="N228" i="14"/>
  <c r="O228" i="14"/>
  <c r="M228" i="14"/>
  <c r="E231" i="20"/>
  <c r="P228" i="14"/>
  <c r="K228" i="14"/>
  <c r="F228" i="14"/>
  <c r="J228" i="14"/>
  <c r="I228" i="14"/>
  <c r="S228" i="14"/>
  <c r="H228" i="14"/>
  <c r="G233" i="14"/>
  <c r="K217" i="14"/>
  <c r="H201" i="14"/>
  <c r="M185" i="14"/>
  <c r="I169" i="14"/>
  <c r="F153" i="14"/>
  <c r="R153" i="14"/>
  <c r="L137" i="14"/>
  <c r="I121" i="14"/>
  <c r="N121" i="14"/>
  <c r="I105" i="14"/>
  <c r="P105" i="14"/>
  <c r="G89" i="14"/>
  <c r="J89" i="14"/>
  <c r="G73" i="14"/>
  <c r="H73" i="14"/>
  <c r="L73" i="14"/>
  <c r="S73" i="14"/>
  <c r="O57" i="14"/>
  <c r="Q57" i="14"/>
  <c r="N57" i="14"/>
  <c r="E44" i="20"/>
  <c r="I41" i="14"/>
  <c r="P41" i="14"/>
  <c r="G25" i="14"/>
  <c r="H25" i="14"/>
  <c r="L25" i="14"/>
  <c r="Q25" i="14"/>
  <c r="G9" i="14"/>
  <c r="M9" i="14"/>
  <c r="N9" i="14"/>
  <c r="S9" i="14"/>
  <c r="E237" i="20"/>
  <c r="J234" i="14"/>
  <c r="Q234" i="14"/>
  <c r="H218" i="14"/>
  <c r="I218" i="14"/>
  <c r="G202" i="14"/>
  <c r="N202" i="14"/>
  <c r="R202" i="14"/>
  <c r="L186" i="14"/>
  <c r="F170" i="14"/>
  <c r="J170" i="14"/>
  <c r="M170" i="14"/>
  <c r="E157" i="20"/>
  <c r="G154" i="14"/>
  <c r="H138" i="14"/>
  <c r="I138" i="14"/>
  <c r="R138" i="14"/>
  <c r="I122" i="14"/>
  <c r="E109" i="20"/>
  <c r="E93" i="20"/>
  <c r="K90" i="14"/>
  <c r="H74" i="14"/>
  <c r="M74" i="14"/>
  <c r="L58" i="14"/>
  <c r="P42" i="14"/>
  <c r="R42" i="14"/>
  <c r="K26" i="14"/>
  <c r="L211" i="14"/>
  <c r="R211" i="14"/>
  <c r="K195" i="14"/>
  <c r="L163" i="14"/>
  <c r="O163" i="14"/>
  <c r="N147" i="14"/>
  <c r="P131" i="14"/>
  <c r="K115" i="14"/>
  <c r="N99" i="14"/>
  <c r="G67" i="14"/>
  <c r="E54" i="20"/>
  <c r="L19" i="14"/>
  <c r="G228" i="14"/>
  <c r="E215" i="20"/>
  <c r="G196" i="14"/>
  <c r="P196" i="14"/>
  <c r="P180" i="14"/>
  <c r="K36" i="14"/>
  <c r="S35" i="14"/>
  <c r="N35" i="14"/>
  <c r="Q35" i="14"/>
  <c r="F35" i="14"/>
  <c r="K35" i="14"/>
  <c r="I35" i="14"/>
  <c r="O35" i="14"/>
  <c r="E38" i="20"/>
  <c r="J35" i="14"/>
  <c r="H35" i="14"/>
  <c r="R83" i="14"/>
  <c r="M83" i="14"/>
  <c r="I83" i="14"/>
  <c r="L83" i="14"/>
  <c r="Q83" i="14"/>
  <c r="N83" i="14"/>
  <c r="H83" i="14"/>
  <c r="J83" i="14"/>
  <c r="F83" i="14"/>
  <c r="O83" i="14"/>
  <c r="E86" i="20"/>
  <c r="R131" i="14"/>
  <c r="M131" i="14"/>
  <c r="I131" i="14"/>
  <c r="H131" i="14"/>
  <c r="K131" i="14"/>
  <c r="E134" i="20"/>
  <c r="Q131" i="14"/>
  <c r="N131" i="14"/>
  <c r="F131" i="14"/>
  <c r="O179" i="14"/>
  <c r="N179" i="14"/>
  <c r="L179" i="14"/>
  <c r="Q179" i="14"/>
  <c r="I179" i="14"/>
  <c r="F179" i="14"/>
  <c r="R179" i="14"/>
  <c r="K179" i="14"/>
  <c r="P179" i="14"/>
  <c r="Q227" i="14"/>
  <c r="J227" i="14"/>
  <c r="P227" i="14"/>
  <c r="E230" i="20"/>
  <c r="R227" i="14"/>
  <c r="K227" i="14"/>
  <c r="H227" i="14"/>
  <c r="O227" i="14"/>
  <c r="I227" i="14"/>
  <c r="L227" i="14"/>
  <c r="R10" i="14"/>
  <c r="K10" i="14"/>
  <c r="G10" i="14"/>
  <c r="H10" i="14"/>
  <c r="O10" i="14"/>
  <c r="J10" i="14"/>
  <c r="E13" i="20"/>
  <c r="I10" i="14"/>
  <c r="P10" i="14"/>
  <c r="Q58" i="14"/>
  <c r="I58" i="14"/>
  <c r="P58" i="14"/>
  <c r="E61" i="20"/>
  <c r="R58" i="14"/>
  <c r="M58" i="14"/>
  <c r="J58" i="14"/>
  <c r="H58" i="14"/>
  <c r="S106" i="14"/>
  <c r="K106" i="14"/>
  <c r="J106" i="14"/>
  <c r="F106" i="14"/>
  <c r="O106" i="14"/>
  <c r="I106" i="14"/>
  <c r="L106" i="14"/>
  <c r="Q154" i="14"/>
  <c r="N154" i="14"/>
  <c r="P154" i="14"/>
  <c r="F154" i="14"/>
  <c r="R186" i="14"/>
  <c r="M186" i="14"/>
  <c r="J186" i="14"/>
  <c r="H186" i="14"/>
  <c r="Q218" i="14"/>
  <c r="N218" i="14"/>
  <c r="L218" i="14"/>
  <c r="F218" i="14"/>
  <c r="L20" i="14"/>
  <c r="K20" i="14"/>
  <c r="M20" i="14"/>
  <c r="S20" i="14"/>
  <c r="J20" i="14"/>
  <c r="I20" i="14"/>
  <c r="E23" i="20"/>
  <c r="P20" i="14"/>
  <c r="R20" i="14"/>
  <c r="H20" i="14"/>
  <c r="G20" i="14"/>
  <c r="F20" i="14"/>
  <c r="O20" i="14"/>
  <c r="P52" i="14"/>
  <c r="R52" i="14"/>
  <c r="H52" i="14"/>
  <c r="E55" i="20"/>
  <c r="N52" i="14"/>
  <c r="O52" i="14"/>
  <c r="Q52" i="14"/>
  <c r="F52" i="14"/>
  <c r="L52" i="14"/>
  <c r="K52" i="14"/>
  <c r="M52" i="14"/>
  <c r="S52" i="14"/>
  <c r="I52" i="14"/>
  <c r="L84" i="14"/>
  <c r="K84" i="14"/>
  <c r="I84" i="14"/>
  <c r="S84" i="14"/>
  <c r="J84" i="14"/>
  <c r="H84" i="14"/>
  <c r="G84" i="14"/>
  <c r="P84" i="14"/>
  <c r="R84" i="14"/>
  <c r="Q84" i="14"/>
  <c r="F84" i="14"/>
  <c r="N84" i="14"/>
  <c r="M84" i="14"/>
  <c r="P116" i="14"/>
  <c r="R116" i="14"/>
  <c r="Q116" i="14"/>
  <c r="E119" i="20"/>
  <c r="N116" i="14"/>
  <c r="O116" i="14"/>
  <c r="M116" i="14"/>
  <c r="F116" i="14"/>
  <c r="L116" i="14"/>
  <c r="K116" i="14"/>
  <c r="I116" i="14"/>
  <c r="J116" i="14"/>
  <c r="S116" i="14"/>
  <c r="G116" i="14"/>
  <c r="E247" i="20"/>
  <c r="Q233" i="14"/>
  <c r="F217" i="14"/>
  <c r="O201" i="14"/>
  <c r="I185" i="14"/>
  <c r="Q169" i="14"/>
  <c r="G137" i="14"/>
  <c r="F89" i="14"/>
  <c r="G160" i="14"/>
  <c r="H160" i="14"/>
  <c r="L160" i="14"/>
  <c r="S160" i="14"/>
  <c r="F144" i="14"/>
  <c r="M144" i="14"/>
  <c r="N144" i="14"/>
  <c r="K233" i="14"/>
  <c r="F233" i="14"/>
  <c r="J233" i="14"/>
  <c r="R233" i="14"/>
  <c r="E220" i="20"/>
  <c r="H217" i="14"/>
  <c r="L217" i="14"/>
  <c r="S217" i="14"/>
  <c r="E204" i="20"/>
  <c r="M201" i="14"/>
  <c r="N201" i="14"/>
  <c r="G185" i="14"/>
  <c r="O185" i="14"/>
  <c r="Q185" i="14"/>
  <c r="P185" i="14"/>
  <c r="G169" i="14"/>
  <c r="F169" i="14"/>
  <c r="J169" i="14"/>
  <c r="R169" i="14"/>
  <c r="E156" i="20"/>
  <c r="H153" i="14"/>
  <c r="L153" i="14"/>
  <c r="S153" i="14"/>
  <c r="O137" i="14"/>
  <c r="M137" i="14"/>
  <c r="N137" i="14"/>
  <c r="E124" i="20"/>
  <c r="O121" i="14"/>
  <c r="Q121" i="14"/>
  <c r="P121" i="14"/>
  <c r="K105" i="14"/>
  <c r="F105" i="14"/>
  <c r="J105" i="14"/>
  <c r="R105" i="14"/>
  <c r="K89" i="14"/>
  <c r="H89" i="14"/>
  <c r="L89" i="14"/>
  <c r="S89" i="14"/>
  <c r="O73" i="14"/>
  <c r="M73" i="14"/>
  <c r="N73" i="14"/>
  <c r="E60" i="20"/>
  <c r="F57" i="14"/>
  <c r="I57" i="14"/>
  <c r="P57" i="14"/>
  <c r="K41" i="14"/>
  <c r="H41" i="14"/>
  <c r="J41" i="14"/>
  <c r="R41" i="14"/>
  <c r="K25" i="14"/>
  <c r="M25" i="14"/>
  <c r="N25" i="14"/>
  <c r="S25" i="14"/>
  <c r="O9" i="14"/>
  <c r="I9" i="14"/>
  <c r="P9" i="14"/>
  <c r="H234" i="14"/>
  <c r="N234" i="14"/>
  <c r="S234" i="14"/>
  <c r="G218" i="14"/>
  <c r="K218" i="14"/>
  <c r="R218" i="14"/>
  <c r="L202" i="14"/>
  <c r="M202" i="14"/>
  <c r="F186" i="14"/>
  <c r="P186" i="14"/>
  <c r="O186" i="14"/>
  <c r="E173" i="20"/>
  <c r="G170" i="14"/>
  <c r="H154" i="14"/>
  <c r="I154" i="14"/>
  <c r="S154" i="14"/>
  <c r="L138" i="14"/>
  <c r="N138" i="14"/>
  <c r="F122" i="14"/>
  <c r="H106" i="14"/>
  <c r="M106" i="14"/>
  <c r="L90" i="14"/>
  <c r="O90" i="14"/>
  <c r="P74" i="14"/>
  <c r="G58" i="14"/>
  <c r="S58" i="14"/>
  <c r="J42" i="14"/>
  <c r="Q26" i="14"/>
  <c r="N10" i="14"/>
  <c r="M227" i="14"/>
  <c r="L195" i="14"/>
  <c r="Q195" i="14"/>
  <c r="J179" i="14"/>
  <c r="H163" i="14"/>
  <c r="M147" i="14"/>
  <c r="G131" i="14"/>
  <c r="H115" i="14"/>
  <c r="M99" i="14"/>
  <c r="K83" i="14"/>
  <c r="J51" i="14"/>
  <c r="G35" i="14"/>
  <c r="Q228" i="14"/>
  <c r="I196" i="14"/>
  <c r="G180" i="14"/>
  <c r="H116" i="14"/>
  <c r="Q20" i="14"/>
  <c r="R19" i="14"/>
  <c r="K19" i="14"/>
  <c r="G19" i="14"/>
  <c r="I19" i="14"/>
  <c r="M19" i="14"/>
  <c r="E22" i="20"/>
  <c r="F19" i="14"/>
  <c r="O19" i="14"/>
  <c r="P19" i="14"/>
  <c r="N19" i="14"/>
  <c r="H19" i="14"/>
  <c r="O67" i="14"/>
  <c r="J67" i="14"/>
  <c r="P67" i="14"/>
  <c r="S67" i="14"/>
  <c r="N67" i="14"/>
  <c r="H67" i="14"/>
  <c r="R67" i="14"/>
  <c r="I67" i="14"/>
  <c r="L67" i="14"/>
  <c r="M67" i="14"/>
  <c r="E70" i="20"/>
  <c r="O115" i="14"/>
  <c r="N115" i="14"/>
  <c r="P115" i="14"/>
  <c r="M115" i="14"/>
  <c r="G115" i="14"/>
  <c r="F115" i="14"/>
  <c r="S115" i="14"/>
  <c r="J115" i="14"/>
  <c r="L115" i="14"/>
  <c r="Q163" i="14"/>
  <c r="J163" i="14"/>
  <c r="P163" i="14"/>
  <c r="E166" i="20"/>
  <c r="S163" i="14"/>
  <c r="N163" i="14"/>
  <c r="F163" i="14"/>
  <c r="M163" i="14"/>
  <c r="G163" i="14"/>
  <c r="S211" i="14"/>
  <c r="K211" i="14"/>
  <c r="G211" i="14"/>
  <c r="F211" i="14"/>
  <c r="M211" i="14"/>
  <c r="P211" i="14"/>
  <c r="Q211" i="14"/>
  <c r="N211" i="14"/>
  <c r="H211" i="14"/>
  <c r="E246" i="20"/>
  <c r="S26" i="14"/>
  <c r="I26" i="14"/>
  <c r="P26" i="14"/>
  <c r="E29" i="20"/>
  <c r="M26" i="14"/>
  <c r="G26" i="14"/>
  <c r="F26" i="14"/>
  <c r="R26" i="14"/>
  <c r="N26" i="14"/>
  <c r="H26" i="14"/>
  <c r="O74" i="14"/>
  <c r="I74" i="14"/>
  <c r="L74" i="14"/>
  <c r="S74" i="14"/>
  <c r="K74" i="14"/>
  <c r="J74" i="14"/>
  <c r="E77" i="20"/>
  <c r="Q122" i="14"/>
  <c r="N122" i="14"/>
  <c r="P122" i="14"/>
  <c r="E125" i="20"/>
  <c r="R122" i="14"/>
  <c r="M122" i="14"/>
  <c r="G122" i="14"/>
  <c r="H122" i="14"/>
  <c r="O170" i="14"/>
  <c r="I170" i="14"/>
  <c r="L170" i="14"/>
  <c r="N68" i="14"/>
  <c r="O68" i="14"/>
  <c r="M68" i="14"/>
  <c r="E71" i="20"/>
  <c r="L68" i="14"/>
  <c r="K68" i="14"/>
  <c r="I68" i="14"/>
  <c r="S68" i="14"/>
  <c r="J68" i="14"/>
  <c r="H68" i="14"/>
  <c r="G68" i="14"/>
  <c r="P68" i="14"/>
  <c r="R68" i="14"/>
  <c r="F68" i="14"/>
  <c r="S100" i="14"/>
  <c r="J100" i="14"/>
  <c r="H100" i="14"/>
  <c r="F100" i="14"/>
  <c r="P100" i="14"/>
  <c r="R100" i="14"/>
  <c r="Q100" i="14"/>
  <c r="G100" i="14"/>
  <c r="N100" i="14"/>
  <c r="O100" i="14"/>
  <c r="M100" i="14"/>
  <c r="E103" i="20"/>
  <c r="L100" i="14"/>
  <c r="K100" i="14"/>
  <c r="N132" i="14"/>
  <c r="O132" i="14"/>
  <c r="M132" i="14"/>
  <c r="E135" i="20"/>
  <c r="L132" i="14"/>
  <c r="K132" i="14"/>
  <c r="I132" i="14"/>
  <c r="S132" i="14"/>
  <c r="J132" i="14"/>
  <c r="H132" i="14"/>
  <c r="G132" i="14"/>
  <c r="R132" i="14"/>
  <c r="Q132" i="14"/>
  <c r="P212" i="14"/>
  <c r="R212" i="14"/>
  <c r="Q212" i="14"/>
  <c r="G212" i="14"/>
  <c r="S212" i="14"/>
  <c r="O212" i="14"/>
  <c r="I212" i="14"/>
  <c r="J212" i="14"/>
  <c r="F212" i="14"/>
  <c r="N212" i="14"/>
  <c r="H212" i="14"/>
  <c r="E163" i="20"/>
  <c r="O160" i="14"/>
  <c r="J160" i="14"/>
  <c r="R160" i="14"/>
  <c r="G144" i="14"/>
  <c r="H144" i="14"/>
  <c r="L144" i="14"/>
  <c r="S144" i="14"/>
  <c r="I233" i="14"/>
  <c r="P233" i="14"/>
  <c r="J217" i="14"/>
  <c r="R217" i="14"/>
  <c r="L201" i="14"/>
  <c r="S201" i="14"/>
  <c r="N185" i="14"/>
  <c r="K169" i="14"/>
  <c r="P169" i="14"/>
  <c r="K153" i="14"/>
  <c r="J153" i="14"/>
  <c r="H137" i="14"/>
  <c r="S137" i="14"/>
  <c r="M121" i="14"/>
  <c r="E108" i="20"/>
  <c r="Q105" i="14"/>
  <c r="R89" i="14"/>
  <c r="F41" i="14"/>
  <c r="F160" i="14"/>
  <c r="M160" i="14"/>
  <c r="N160" i="14"/>
  <c r="I144" i="14"/>
  <c r="K144" i="14"/>
  <c r="Q144" i="14"/>
  <c r="P144" i="14"/>
  <c r="O233" i="14"/>
  <c r="H233" i="14"/>
  <c r="L233" i="14"/>
  <c r="S233" i="14"/>
  <c r="I217" i="14"/>
  <c r="M217" i="14"/>
  <c r="N217" i="14"/>
  <c r="G201" i="14"/>
  <c r="I201" i="14"/>
  <c r="Q201" i="14"/>
  <c r="P201" i="14"/>
  <c r="K185" i="14"/>
  <c r="F185" i="14"/>
  <c r="J185" i="14"/>
  <c r="R185" i="14"/>
  <c r="O169" i="14"/>
  <c r="H169" i="14"/>
  <c r="L169" i="14"/>
  <c r="I153" i="14"/>
  <c r="M153" i="14"/>
  <c r="N153" i="14"/>
  <c r="E140" i="20"/>
  <c r="I137" i="14"/>
  <c r="Q137" i="14"/>
  <c r="P137" i="14"/>
  <c r="G121" i="14"/>
  <c r="F121" i="14"/>
  <c r="J121" i="14"/>
  <c r="R121" i="14"/>
  <c r="G105" i="14"/>
  <c r="H105" i="14"/>
  <c r="L105" i="14"/>
  <c r="S105" i="14"/>
  <c r="I89" i="14"/>
  <c r="M89" i="14"/>
  <c r="N89" i="14"/>
  <c r="E76" i="20"/>
  <c r="I73" i="14"/>
  <c r="Q73" i="14"/>
  <c r="P73" i="14"/>
  <c r="G57" i="14"/>
  <c r="H57" i="14"/>
  <c r="J57" i="14"/>
  <c r="R57" i="14"/>
  <c r="G41" i="14"/>
  <c r="M41" i="14"/>
  <c r="L41" i="14"/>
  <c r="S41" i="14"/>
  <c r="O25" i="14"/>
  <c r="I25" i="14"/>
  <c r="P25" i="14"/>
  <c r="K9" i="14"/>
  <c r="F9" i="14"/>
  <c r="J9" i="14"/>
  <c r="R9" i="14"/>
  <c r="E245" i="20"/>
  <c r="L234" i="14"/>
  <c r="K234" i="14"/>
  <c r="R234" i="14"/>
  <c r="P218" i="14"/>
  <c r="M218" i="14"/>
  <c r="F202" i="14"/>
  <c r="J202" i="14"/>
  <c r="O202" i="14"/>
  <c r="E189" i="20"/>
  <c r="I186" i="14"/>
  <c r="Q186" i="14"/>
  <c r="H170" i="14"/>
  <c r="N170" i="14"/>
  <c r="S170" i="14"/>
  <c r="L154" i="14"/>
  <c r="K154" i="14"/>
  <c r="R154" i="14"/>
  <c r="P138" i="14"/>
  <c r="M138" i="14"/>
  <c r="L122" i="14"/>
  <c r="O122" i="14"/>
  <c r="P106" i="14"/>
  <c r="Q106" i="14"/>
  <c r="J90" i="14"/>
  <c r="S90" i="14"/>
  <c r="G74" i="14"/>
  <c r="R74" i="14"/>
  <c r="N58" i="14"/>
  <c r="E45" i="20"/>
  <c r="K42" i="14"/>
  <c r="L26" i="14"/>
  <c r="F10" i="14"/>
  <c r="M10" i="14"/>
  <c r="F227" i="14"/>
  <c r="S227" i="14"/>
  <c r="J211" i="14"/>
  <c r="P195" i="14"/>
  <c r="E182" i="20"/>
  <c r="M179" i="14"/>
  <c r="I163" i="14"/>
  <c r="H147" i="14"/>
  <c r="Q147" i="14"/>
  <c r="J131" i="14"/>
  <c r="E118" i="20"/>
  <c r="R115" i="14"/>
  <c r="R99" i="14"/>
  <c r="S83" i="14"/>
  <c r="Q67" i="14"/>
  <c r="O51" i="14"/>
  <c r="M35" i="14"/>
  <c r="Q19" i="14"/>
  <c r="R228" i="14"/>
  <c r="K212" i="14"/>
  <c r="K196" i="14"/>
  <c r="H180" i="14"/>
  <c r="I100" i="14"/>
  <c r="G52" i="14"/>
  <c r="N20" i="14"/>
  <c r="F143" i="14"/>
  <c r="G143" i="14"/>
  <c r="P143" i="14"/>
  <c r="O143" i="14"/>
  <c r="N143" i="14"/>
  <c r="I143" i="14"/>
  <c r="S143" i="14"/>
  <c r="Q143" i="14"/>
  <c r="H143" i="14"/>
  <c r="J143" i="14"/>
  <c r="K143" i="14"/>
  <c r="X11" i="14"/>
  <c r="W11" i="14"/>
  <c r="U11" i="14"/>
  <c r="V11" i="14"/>
  <c r="X27" i="14"/>
  <c r="W27" i="14"/>
  <c r="U27" i="14"/>
  <c r="V27" i="14"/>
  <c r="X43" i="14"/>
  <c r="W43" i="14"/>
  <c r="U43" i="14"/>
  <c r="V43" i="14"/>
  <c r="X59" i="14"/>
  <c r="W59" i="14"/>
  <c r="U59" i="14"/>
  <c r="X75" i="14"/>
  <c r="W75" i="14"/>
  <c r="U75" i="14"/>
  <c r="V75" i="14"/>
  <c r="X91" i="14"/>
  <c r="W91" i="14"/>
  <c r="V91" i="14"/>
  <c r="U91" i="14"/>
  <c r="X107" i="14"/>
  <c r="W107" i="14"/>
  <c r="V107" i="14"/>
  <c r="U107" i="14"/>
  <c r="X123" i="14"/>
  <c r="W123" i="14"/>
  <c r="V123" i="14"/>
  <c r="U123" i="14"/>
  <c r="X139" i="14"/>
  <c r="W139" i="14"/>
  <c r="V139" i="14"/>
  <c r="U139" i="14"/>
  <c r="X155" i="14"/>
  <c r="W155" i="14"/>
  <c r="V155" i="14"/>
  <c r="U155" i="14"/>
  <c r="W171" i="14"/>
  <c r="X171" i="14"/>
  <c r="V171" i="14"/>
  <c r="U171" i="14"/>
  <c r="W187" i="14"/>
  <c r="X187" i="14"/>
  <c r="V187" i="14"/>
  <c r="U187" i="14"/>
  <c r="W203" i="14"/>
  <c r="X203" i="14"/>
  <c r="V203" i="14"/>
  <c r="U203" i="14"/>
  <c r="W219" i="14"/>
  <c r="X219" i="14"/>
  <c r="V219" i="14"/>
  <c r="U219" i="14"/>
  <c r="W235" i="14"/>
  <c r="X235" i="14"/>
  <c r="V235" i="14"/>
  <c r="U235" i="14"/>
  <c r="X18" i="14"/>
  <c r="V18" i="14"/>
  <c r="W18" i="14"/>
  <c r="U18" i="14"/>
  <c r="X34" i="14"/>
  <c r="U34" i="14"/>
  <c r="X50" i="14"/>
  <c r="V50" i="14"/>
  <c r="U50" i="14"/>
  <c r="X66" i="14"/>
  <c r="V66" i="14"/>
  <c r="W66" i="14"/>
  <c r="U66" i="14"/>
  <c r="X82" i="14"/>
  <c r="V82" i="14"/>
  <c r="W82" i="14"/>
  <c r="U82" i="14"/>
  <c r="X98" i="14"/>
  <c r="V98" i="14"/>
  <c r="W98" i="14"/>
  <c r="U98" i="14"/>
  <c r="X114" i="14"/>
  <c r="V114" i="14"/>
  <c r="W114" i="14"/>
  <c r="U114" i="14"/>
  <c r="X130" i="14"/>
  <c r="V130" i="14"/>
  <c r="W130" i="14"/>
  <c r="U130" i="14"/>
  <c r="V146" i="14"/>
  <c r="X146" i="14"/>
  <c r="W146" i="14"/>
  <c r="U146" i="14"/>
  <c r="X162" i="14"/>
  <c r="W162" i="14"/>
  <c r="V162" i="14"/>
  <c r="U162" i="14"/>
  <c r="X178" i="14"/>
  <c r="W178" i="14"/>
  <c r="V178" i="14"/>
  <c r="U178" i="14"/>
  <c r="X194" i="14"/>
  <c r="W194" i="14"/>
  <c r="V194" i="14"/>
  <c r="U194" i="14"/>
  <c r="X210" i="14"/>
  <c r="W210" i="14"/>
  <c r="V210" i="14"/>
  <c r="U210" i="14"/>
  <c r="X226" i="14"/>
  <c r="W226" i="14"/>
  <c r="V226" i="14"/>
  <c r="U226" i="14"/>
  <c r="X17" i="14"/>
  <c r="V17" i="14"/>
  <c r="W17" i="14"/>
  <c r="U17" i="14"/>
  <c r="X33" i="14"/>
  <c r="V33" i="14"/>
  <c r="W33" i="14"/>
  <c r="U33" i="14"/>
  <c r="X49" i="14"/>
  <c r="V49" i="14"/>
  <c r="W49" i="14"/>
  <c r="U49" i="14"/>
  <c r="X65" i="14"/>
  <c r="V65" i="14"/>
  <c r="W65" i="14"/>
  <c r="U65" i="14"/>
  <c r="X81" i="14"/>
  <c r="V81" i="14"/>
  <c r="W81" i="14"/>
  <c r="U81" i="14"/>
  <c r="X97" i="14"/>
  <c r="V97" i="14"/>
  <c r="W97" i="14"/>
  <c r="U97" i="14"/>
  <c r="X113" i="14"/>
  <c r="V113" i="14"/>
  <c r="W113" i="14"/>
  <c r="U113" i="14"/>
  <c r="X129" i="14"/>
  <c r="V129" i="14"/>
  <c r="W129" i="14"/>
  <c r="U129" i="14"/>
  <c r="V145" i="14"/>
  <c r="X145" i="14"/>
  <c r="W145" i="14"/>
  <c r="U145" i="14"/>
  <c r="X161" i="14"/>
  <c r="V161" i="14"/>
  <c r="W161" i="14"/>
  <c r="U161" i="14"/>
  <c r="X177" i="14"/>
  <c r="V177" i="14"/>
  <c r="W177" i="14"/>
  <c r="U177" i="14"/>
  <c r="X193" i="14"/>
  <c r="V193" i="14"/>
  <c r="W193" i="14"/>
  <c r="U193" i="14"/>
  <c r="X209" i="14"/>
  <c r="V209" i="14"/>
  <c r="W209" i="14"/>
  <c r="U209" i="14"/>
  <c r="X225" i="14"/>
  <c r="V225" i="14"/>
  <c r="W225" i="14"/>
  <c r="U225" i="14"/>
  <c r="X12" i="14"/>
  <c r="W12" i="14"/>
  <c r="V12" i="14"/>
  <c r="U12" i="14"/>
  <c r="X28" i="14"/>
  <c r="W28" i="14"/>
  <c r="V28" i="14"/>
  <c r="U28" i="14"/>
  <c r="X44" i="14"/>
  <c r="W44" i="14"/>
  <c r="V44" i="14"/>
  <c r="U44" i="14"/>
  <c r="X60" i="14"/>
  <c r="W60" i="14"/>
  <c r="V60" i="14"/>
  <c r="U60" i="14"/>
  <c r="X76" i="14"/>
  <c r="W76" i="14"/>
  <c r="V76" i="14"/>
  <c r="U76" i="14"/>
  <c r="X92" i="14"/>
  <c r="W92" i="14"/>
  <c r="U92" i="14"/>
  <c r="V92" i="14"/>
  <c r="X108" i="14"/>
  <c r="W108" i="14"/>
  <c r="U108" i="14"/>
  <c r="V108" i="14"/>
  <c r="X124" i="14"/>
  <c r="W124" i="14"/>
  <c r="U124" i="14"/>
  <c r="V124" i="14"/>
  <c r="X140" i="14"/>
  <c r="W140" i="14"/>
  <c r="U140" i="14"/>
  <c r="V140" i="14"/>
  <c r="X152" i="14"/>
  <c r="W152" i="14"/>
  <c r="V152" i="14"/>
  <c r="U152" i="14"/>
  <c r="W172" i="14"/>
  <c r="X172" i="14"/>
  <c r="V172" i="14"/>
  <c r="U172" i="14"/>
  <c r="W188" i="14"/>
  <c r="X188" i="14"/>
  <c r="V188" i="14"/>
  <c r="U188" i="14"/>
  <c r="W204" i="14"/>
  <c r="X204" i="14"/>
  <c r="V204" i="14"/>
  <c r="U204" i="14"/>
  <c r="W220" i="14"/>
  <c r="X220" i="14"/>
  <c r="V220" i="14"/>
  <c r="U220" i="14"/>
  <c r="W236" i="14"/>
  <c r="X236" i="14"/>
  <c r="V236" i="14"/>
  <c r="U236" i="14"/>
  <c r="X15" i="14"/>
  <c r="W15" i="14"/>
  <c r="U15" i="14"/>
  <c r="X31" i="14"/>
  <c r="W31" i="14"/>
  <c r="U31" i="14"/>
  <c r="V31" i="14"/>
  <c r="X47" i="14"/>
  <c r="W47" i="14"/>
  <c r="U47" i="14"/>
  <c r="V47" i="14"/>
  <c r="X63" i="14"/>
  <c r="W63" i="14"/>
  <c r="U63" i="14"/>
  <c r="V63" i="14"/>
  <c r="X79" i="14"/>
  <c r="W79" i="14"/>
  <c r="V79" i="14"/>
  <c r="U79" i="14"/>
  <c r="X95" i="14"/>
  <c r="W95" i="14"/>
  <c r="V95" i="14"/>
  <c r="U95" i="14"/>
  <c r="X111" i="14"/>
  <c r="W111" i="14"/>
  <c r="V111" i="14"/>
  <c r="U111" i="14"/>
  <c r="X127" i="14"/>
  <c r="W127" i="14"/>
  <c r="V127" i="14"/>
  <c r="U127" i="14"/>
  <c r="X143" i="14"/>
  <c r="W143" i="14"/>
  <c r="V143" i="14"/>
  <c r="U143" i="14"/>
  <c r="W159" i="14"/>
  <c r="X159" i="14"/>
  <c r="V159" i="14"/>
  <c r="U159" i="14"/>
  <c r="W175" i="14"/>
  <c r="X175" i="14"/>
  <c r="V175" i="14"/>
  <c r="U175" i="14"/>
  <c r="W191" i="14"/>
  <c r="X191" i="14"/>
  <c r="V191" i="14"/>
  <c r="U191" i="14"/>
  <c r="X207" i="14"/>
  <c r="V207" i="14"/>
  <c r="U207" i="14"/>
  <c r="W223" i="14"/>
  <c r="X223" i="14"/>
  <c r="V223" i="14"/>
  <c r="U223" i="14"/>
  <c r="W239" i="14"/>
  <c r="X239" i="14"/>
  <c r="V239" i="14"/>
  <c r="U239" i="14"/>
  <c r="X22" i="14"/>
  <c r="V22" i="14"/>
  <c r="W22" i="14"/>
  <c r="U22" i="14"/>
  <c r="X38" i="14"/>
  <c r="V38" i="14"/>
  <c r="W38" i="14"/>
  <c r="U38" i="14"/>
  <c r="X54" i="14"/>
  <c r="V54" i="14"/>
  <c r="W54" i="14"/>
  <c r="U54" i="14"/>
  <c r="X70" i="14"/>
  <c r="V70" i="14"/>
  <c r="W70" i="14"/>
  <c r="U70" i="14"/>
  <c r="X86" i="14"/>
  <c r="V86" i="14"/>
  <c r="W86" i="14"/>
  <c r="U86" i="14"/>
  <c r="X102" i="14"/>
  <c r="V102" i="14"/>
  <c r="W102" i="14"/>
  <c r="U102" i="14"/>
  <c r="V118" i="14"/>
  <c r="W118" i="14"/>
  <c r="U118" i="14"/>
  <c r="X134" i="14"/>
  <c r="V134" i="14"/>
  <c r="W134" i="14"/>
  <c r="U134" i="14"/>
  <c r="X150" i="14"/>
  <c r="V150" i="14"/>
  <c r="W150" i="14"/>
  <c r="U150" i="14"/>
  <c r="X166" i="14"/>
  <c r="W166" i="14"/>
  <c r="V166" i="14"/>
  <c r="U166" i="14"/>
  <c r="X182" i="14"/>
  <c r="W182" i="14"/>
  <c r="V182" i="14"/>
  <c r="U182" i="14"/>
  <c r="X198" i="14"/>
  <c r="W198" i="14"/>
  <c r="V198" i="14"/>
  <c r="U198" i="14"/>
  <c r="X214" i="14"/>
  <c r="W214" i="14"/>
  <c r="V214" i="14"/>
  <c r="U214" i="14"/>
  <c r="X230" i="14"/>
  <c r="W230" i="14"/>
  <c r="V230" i="14"/>
  <c r="U230" i="14"/>
  <c r="W164" i="14"/>
  <c r="X164" i="14"/>
  <c r="V164" i="14"/>
  <c r="U164" i="14"/>
  <c r="X21" i="14"/>
  <c r="V21" i="14"/>
  <c r="W21" i="14"/>
  <c r="U21" i="14"/>
  <c r="X37" i="14"/>
  <c r="V37" i="14"/>
  <c r="W37" i="14"/>
  <c r="U37" i="14"/>
  <c r="X53" i="14"/>
  <c r="V53" i="14"/>
  <c r="W53" i="14"/>
  <c r="U53" i="14"/>
  <c r="X69" i="14"/>
  <c r="V69" i="14"/>
  <c r="W69" i="14"/>
  <c r="U69" i="14"/>
  <c r="X85" i="14"/>
  <c r="V85" i="14"/>
  <c r="W85" i="14"/>
  <c r="U85" i="14"/>
  <c r="X101" i="14"/>
  <c r="V101" i="14"/>
  <c r="W101" i="14"/>
  <c r="U101" i="14"/>
  <c r="X117" i="14"/>
  <c r="V117" i="14"/>
  <c r="W117" i="14"/>
  <c r="U117" i="14"/>
  <c r="X133" i="14"/>
  <c r="W133" i="14"/>
  <c r="U133" i="14"/>
  <c r="X149" i="14"/>
  <c r="V149" i="14"/>
  <c r="W149" i="14"/>
  <c r="U149" i="14"/>
  <c r="X165" i="14"/>
  <c r="V165" i="14"/>
  <c r="W165" i="14"/>
  <c r="U165" i="14"/>
  <c r="X181" i="14"/>
  <c r="V181" i="14"/>
  <c r="W181" i="14"/>
  <c r="U181" i="14"/>
  <c r="X197" i="14"/>
  <c r="V197" i="14"/>
  <c r="W197" i="14"/>
  <c r="U197" i="14"/>
  <c r="X213" i="14"/>
  <c r="V213" i="14"/>
  <c r="W213" i="14"/>
  <c r="U213" i="14"/>
  <c r="X229" i="14"/>
  <c r="V229" i="14"/>
  <c r="W229" i="14"/>
  <c r="U229" i="14"/>
  <c r="X16" i="14"/>
  <c r="W16" i="14"/>
  <c r="V16" i="14"/>
  <c r="U16" i="14"/>
  <c r="X32" i="14"/>
  <c r="W32" i="14"/>
  <c r="V32" i="14"/>
  <c r="U32" i="14"/>
  <c r="X48" i="14"/>
  <c r="W48" i="14"/>
  <c r="U48" i="14"/>
  <c r="V48" i="14"/>
  <c r="X64" i="14"/>
  <c r="W64" i="14"/>
  <c r="U64" i="14"/>
  <c r="V64" i="14"/>
  <c r="X80" i="14"/>
  <c r="W80" i="14"/>
  <c r="U80" i="14"/>
  <c r="V80" i="14"/>
  <c r="X96" i="14"/>
  <c r="W96" i="14"/>
  <c r="U96" i="14"/>
  <c r="V96" i="14"/>
  <c r="X112" i="14"/>
  <c r="W112" i="14"/>
  <c r="U112" i="14"/>
  <c r="V112" i="14"/>
  <c r="X128" i="14"/>
  <c r="W128" i="14"/>
  <c r="U128" i="14"/>
  <c r="V128" i="14"/>
  <c r="X156" i="14"/>
  <c r="W156" i="14"/>
  <c r="U156" i="14"/>
  <c r="V156" i="14"/>
  <c r="W176" i="14"/>
  <c r="X176" i="14"/>
  <c r="U176" i="14"/>
  <c r="V176" i="14"/>
  <c r="W192" i="14"/>
  <c r="X192" i="14"/>
  <c r="U192" i="14"/>
  <c r="V192" i="14"/>
  <c r="W208" i="14"/>
  <c r="X208" i="14"/>
  <c r="U208" i="14"/>
  <c r="V208" i="14"/>
  <c r="W224" i="14"/>
  <c r="X224" i="14"/>
  <c r="U224" i="14"/>
  <c r="V224" i="14"/>
  <c r="W240" i="14"/>
  <c r="X240" i="14"/>
  <c r="U240" i="14"/>
  <c r="V240" i="14"/>
  <c r="X19" i="14"/>
  <c r="W19" i="14"/>
  <c r="U19" i="14"/>
  <c r="V19" i="14"/>
  <c r="X35" i="14"/>
  <c r="W35" i="14"/>
  <c r="U35" i="14"/>
  <c r="V35" i="14"/>
  <c r="X51" i="14"/>
  <c r="W51" i="14"/>
  <c r="U51" i="14"/>
  <c r="V51" i="14"/>
  <c r="X67" i="14"/>
  <c r="W67" i="14"/>
  <c r="U67" i="14"/>
  <c r="V67" i="14"/>
  <c r="X83" i="14"/>
  <c r="W83" i="14"/>
  <c r="V83" i="14"/>
  <c r="U83" i="14"/>
  <c r="X99" i="14"/>
  <c r="W99" i="14"/>
  <c r="V99" i="14"/>
  <c r="U99" i="14"/>
  <c r="X115" i="14"/>
  <c r="W115" i="14"/>
  <c r="V115" i="14"/>
  <c r="U115" i="14"/>
  <c r="X131" i="14"/>
  <c r="W131" i="14"/>
  <c r="V131" i="14"/>
  <c r="U131" i="14"/>
  <c r="X147" i="14"/>
  <c r="W147" i="14"/>
  <c r="V147" i="14"/>
  <c r="U147" i="14"/>
  <c r="W163" i="14"/>
  <c r="X163" i="14"/>
  <c r="V163" i="14"/>
  <c r="U163" i="14"/>
  <c r="W179" i="14"/>
  <c r="X179" i="14"/>
  <c r="V179" i="14"/>
  <c r="U179" i="14"/>
  <c r="W195" i="14"/>
  <c r="X195" i="14"/>
  <c r="V195" i="14"/>
  <c r="U195" i="14"/>
  <c r="W211" i="14"/>
  <c r="X211" i="14"/>
  <c r="V211" i="14"/>
  <c r="U211" i="14"/>
  <c r="W227" i="14"/>
  <c r="X227" i="14"/>
  <c r="V227" i="14"/>
  <c r="U227" i="14"/>
  <c r="X10" i="14"/>
  <c r="V10" i="14"/>
  <c r="W10" i="14"/>
  <c r="U10" i="14"/>
  <c r="X26" i="14"/>
  <c r="V26" i="14"/>
  <c r="W26" i="14"/>
  <c r="U26" i="14"/>
  <c r="X42" i="14"/>
  <c r="V42" i="14"/>
  <c r="W42" i="14"/>
  <c r="U42" i="14"/>
  <c r="X58" i="14"/>
  <c r="V58" i="14"/>
  <c r="W58" i="14"/>
  <c r="U58" i="14"/>
  <c r="X74" i="14"/>
  <c r="V74" i="14"/>
  <c r="W74" i="14"/>
  <c r="U74" i="14"/>
  <c r="X90" i="14"/>
  <c r="V90" i="14"/>
  <c r="W90" i="14"/>
  <c r="U90" i="14"/>
  <c r="X106" i="14"/>
  <c r="V106" i="14"/>
  <c r="W106" i="14"/>
  <c r="U106" i="14"/>
  <c r="X122" i="14"/>
  <c r="V122" i="14"/>
  <c r="W122" i="14"/>
  <c r="U122" i="14"/>
  <c r="X138" i="14"/>
  <c r="V138" i="14"/>
  <c r="W138" i="14"/>
  <c r="U138" i="14"/>
  <c r="V154" i="14"/>
  <c r="X154" i="14"/>
  <c r="W154" i="14"/>
  <c r="U154" i="14"/>
  <c r="X170" i="14"/>
  <c r="W170" i="14"/>
  <c r="V170" i="14"/>
  <c r="U170" i="14"/>
  <c r="X186" i="14"/>
  <c r="W186" i="14"/>
  <c r="V186" i="14"/>
  <c r="U186" i="14"/>
  <c r="X202" i="14"/>
  <c r="W202" i="14"/>
  <c r="V202" i="14"/>
  <c r="U202" i="14"/>
  <c r="X218" i="14"/>
  <c r="W218" i="14"/>
  <c r="V218" i="14"/>
  <c r="U218" i="14"/>
  <c r="X234" i="14"/>
  <c r="W234" i="14"/>
  <c r="V234" i="14"/>
  <c r="U234" i="14"/>
  <c r="X9" i="14"/>
  <c r="V9" i="14"/>
  <c r="W9" i="14"/>
  <c r="U9" i="14"/>
  <c r="X25" i="14"/>
  <c r="V25" i="14"/>
  <c r="W25" i="14"/>
  <c r="U25" i="14"/>
  <c r="X41" i="14"/>
  <c r="V41" i="14"/>
  <c r="W41" i="14"/>
  <c r="U41" i="14"/>
  <c r="X57" i="14"/>
  <c r="V57" i="14"/>
  <c r="W57" i="14"/>
  <c r="U57" i="14"/>
  <c r="X73" i="14"/>
  <c r="V73" i="14"/>
  <c r="W73" i="14"/>
  <c r="U73" i="14"/>
  <c r="X89" i="14"/>
  <c r="V89" i="14"/>
  <c r="W89" i="14"/>
  <c r="U89" i="14"/>
  <c r="X105" i="14"/>
  <c r="V105" i="14"/>
  <c r="W105" i="14"/>
  <c r="U105" i="14"/>
  <c r="X121" i="14"/>
  <c r="V121" i="14"/>
  <c r="W121" i="14"/>
  <c r="U121" i="14"/>
  <c r="X137" i="14"/>
  <c r="V137" i="14"/>
  <c r="W137" i="14"/>
  <c r="U137" i="14"/>
  <c r="V153" i="14"/>
  <c r="X153" i="14"/>
  <c r="W153" i="14"/>
  <c r="U153" i="14"/>
  <c r="X169" i="14"/>
  <c r="V169" i="14"/>
  <c r="W169" i="14"/>
  <c r="U169" i="14"/>
  <c r="X185" i="14"/>
  <c r="V185" i="14"/>
  <c r="W185" i="14"/>
  <c r="U185" i="14"/>
  <c r="X201" i="14"/>
  <c r="V201" i="14"/>
  <c r="W201" i="14"/>
  <c r="U201" i="14"/>
  <c r="X217" i="14"/>
  <c r="V217" i="14"/>
  <c r="W217" i="14"/>
  <c r="U217" i="14"/>
  <c r="X233" i="14"/>
  <c r="V233" i="14"/>
  <c r="W233" i="14"/>
  <c r="U233" i="14"/>
  <c r="X20" i="14"/>
  <c r="W20" i="14"/>
  <c r="V20" i="14"/>
  <c r="U20" i="14"/>
  <c r="X36" i="14"/>
  <c r="W36" i="14"/>
  <c r="V36" i="14"/>
  <c r="U36" i="14"/>
  <c r="X52" i="14"/>
  <c r="W52" i="14"/>
  <c r="V52" i="14"/>
  <c r="U52" i="14"/>
  <c r="X68" i="14"/>
  <c r="W68" i="14"/>
  <c r="V68" i="14"/>
  <c r="U68" i="14"/>
  <c r="X84" i="14"/>
  <c r="W84" i="14"/>
  <c r="V84" i="14"/>
  <c r="U84" i="14"/>
  <c r="X100" i="14"/>
  <c r="W100" i="14"/>
  <c r="V100" i="14"/>
  <c r="U100" i="14"/>
  <c r="X116" i="14"/>
  <c r="W116" i="14"/>
  <c r="V116" i="14"/>
  <c r="U116" i="14"/>
  <c r="X132" i="14"/>
  <c r="W132" i="14"/>
  <c r="V132" i="14"/>
  <c r="U132" i="14"/>
  <c r="X144" i="14"/>
  <c r="W144" i="14"/>
  <c r="U144" i="14"/>
  <c r="V144" i="14"/>
  <c r="W160" i="14"/>
  <c r="X160" i="14"/>
  <c r="U160" i="14"/>
  <c r="V160" i="14"/>
  <c r="W180" i="14"/>
  <c r="X180" i="14"/>
  <c r="V180" i="14"/>
  <c r="U180" i="14"/>
  <c r="W196" i="14"/>
  <c r="X196" i="14"/>
  <c r="V196" i="14"/>
  <c r="U196" i="14"/>
  <c r="W212" i="14"/>
  <c r="X212" i="14"/>
  <c r="V212" i="14"/>
  <c r="U212" i="14"/>
  <c r="W228" i="14"/>
  <c r="X228" i="14"/>
  <c r="V228" i="14"/>
  <c r="U228" i="14"/>
  <c r="X7" i="14"/>
  <c r="W7" i="14"/>
  <c r="U7" i="14"/>
  <c r="V7" i="14"/>
  <c r="X23" i="14"/>
  <c r="W23" i="14"/>
  <c r="U23" i="14"/>
  <c r="V23" i="14"/>
  <c r="X39" i="14"/>
  <c r="W39" i="14"/>
  <c r="U39" i="14"/>
  <c r="V39" i="14"/>
  <c r="X55" i="14"/>
  <c r="W55" i="14"/>
  <c r="U55" i="14"/>
  <c r="V55" i="14"/>
  <c r="X71" i="14"/>
  <c r="W71" i="14"/>
  <c r="U71" i="14"/>
  <c r="V71" i="14"/>
  <c r="X87" i="14"/>
  <c r="W87" i="14"/>
  <c r="V87" i="14"/>
  <c r="U87" i="14"/>
  <c r="X103" i="14"/>
  <c r="W103" i="14"/>
  <c r="V103" i="14"/>
  <c r="U103" i="14"/>
  <c r="X119" i="14"/>
  <c r="W119" i="14"/>
  <c r="V119" i="14"/>
  <c r="U119" i="14"/>
  <c r="X135" i="14"/>
  <c r="W135" i="14"/>
  <c r="V135" i="14"/>
  <c r="U135" i="14"/>
  <c r="X151" i="14"/>
  <c r="W151" i="14"/>
  <c r="V151" i="14"/>
  <c r="U151" i="14"/>
  <c r="W167" i="14"/>
  <c r="X167" i="14"/>
  <c r="V167" i="14"/>
  <c r="U167" i="14"/>
  <c r="W183" i="14"/>
  <c r="X183" i="14"/>
  <c r="V183" i="14"/>
  <c r="U183" i="14"/>
  <c r="W199" i="14"/>
  <c r="X199" i="14"/>
  <c r="V199" i="14"/>
  <c r="U199" i="14"/>
  <c r="W215" i="14"/>
  <c r="X215" i="14"/>
  <c r="V215" i="14"/>
  <c r="U215" i="14"/>
  <c r="W231" i="14"/>
  <c r="X231" i="14"/>
  <c r="V231" i="14"/>
  <c r="U231" i="14"/>
  <c r="X14" i="14"/>
  <c r="V14" i="14"/>
  <c r="W14" i="14"/>
  <c r="U14" i="14"/>
  <c r="X30" i="14"/>
  <c r="V30" i="14"/>
  <c r="W30" i="14"/>
  <c r="U30" i="14"/>
  <c r="X46" i="14"/>
  <c r="V46" i="14"/>
  <c r="W46" i="14"/>
  <c r="U46" i="14"/>
  <c r="X62" i="14"/>
  <c r="V62" i="14"/>
  <c r="W62" i="14"/>
  <c r="U62" i="14"/>
  <c r="X78" i="14"/>
  <c r="V78" i="14"/>
  <c r="W78" i="14"/>
  <c r="U78" i="14"/>
  <c r="X94" i="14"/>
  <c r="V94" i="14"/>
  <c r="W94" i="14"/>
  <c r="U94" i="14"/>
  <c r="X110" i="14"/>
  <c r="V110" i="14"/>
  <c r="W110" i="14"/>
  <c r="U110" i="14"/>
  <c r="X126" i="14"/>
  <c r="V126" i="14"/>
  <c r="W126" i="14"/>
  <c r="U126" i="14"/>
  <c r="X142" i="14"/>
  <c r="V142" i="14"/>
  <c r="W142" i="14"/>
  <c r="U142" i="14"/>
  <c r="X158" i="14"/>
  <c r="V158" i="14"/>
  <c r="W158" i="14"/>
  <c r="U158" i="14"/>
  <c r="X174" i="14"/>
  <c r="W174" i="14"/>
  <c r="V174" i="14"/>
  <c r="U174" i="14"/>
  <c r="X190" i="14"/>
  <c r="W190" i="14"/>
  <c r="V190" i="14"/>
  <c r="U190" i="14"/>
  <c r="X206" i="14"/>
  <c r="W206" i="14"/>
  <c r="V206" i="14"/>
  <c r="U206" i="14"/>
  <c r="X222" i="14"/>
  <c r="W222" i="14"/>
  <c r="V222" i="14"/>
  <c r="U222" i="14"/>
  <c r="X238" i="14"/>
  <c r="W238" i="14"/>
  <c r="V238" i="14"/>
  <c r="U238" i="14"/>
  <c r="X13" i="14"/>
  <c r="V13" i="14"/>
  <c r="W13" i="14"/>
  <c r="U13" i="14"/>
  <c r="X29" i="14"/>
  <c r="V29" i="14"/>
  <c r="W29" i="14"/>
  <c r="U29" i="14"/>
  <c r="X45" i="14"/>
  <c r="V45" i="14"/>
  <c r="W45" i="14"/>
  <c r="U45" i="14"/>
  <c r="X61" i="14"/>
  <c r="V61" i="14"/>
  <c r="W61" i="14"/>
  <c r="U61" i="14"/>
  <c r="X77" i="14"/>
  <c r="V77" i="14"/>
  <c r="W77" i="14"/>
  <c r="U77" i="14"/>
  <c r="X93" i="14"/>
  <c r="V93" i="14"/>
  <c r="W93" i="14"/>
  <c r="U93" i="14"/>
  <c r="X109" i="14"/>
  <c r="V109" i="14"/>
  <c r="W109" i="14"/>
  <c r="U109" i="14"/>
  <c r="X125" i="14"/>
  <c r="V125" i="14"/>
  <c r="W125" i="14"/>
  <c r="U125" i="14"/>
  <c r="X141" i="14"/>
  <c r="V141" i="14"/>
  <c r="W141" i="14"/>
  <c r="U141" i="14"/>
  <c r="X157" i="14"/>
  <c r="V157" i="14"/>
  <c r="W157" i="14"/>
  <c r="U157" i="14"/>
  <c r="X173" i="14"/>
  <c r="V173" i="14"/>
  <c r="W173" i="14"/>
  <c r="U173" i="14"/>
  <c r="X189" i="14"/>
  <c r="V189" i="14"/>
  <c r="W189" i="14"/>
  <c r="U189" i="14"/>
  <c r="X205" i="14"/>
  <c r="V205" i="14"/>
  <c r="W205" i="14"/>
  <c r="U205" i="14"/>
  <c r="X221" i="14"/>
  <c r="V221" i="14"/>
  <c r="W221" i="14"/>
  <c r="U221" i="14"/>
  <c r="X237" i="14"/>
  <c r="V237" i="14"/>
  <c r="W237" i="14"/>
  <c r="U237" i="14"/>
  <c r="X8" i="14"/>
  <c r="W8" i="14"/>
  <c r="V8" i="14"/>
  <c r="U8" i="14"/>
  <c r="X24" i="14"/>
  <c r="W24" i="14"/>
  <c r="V24" i="14"/>
  <c r="U24" i="14"/>
  <c r="X40" i="14"/>
  <c r="W40" i="14"/>
  <c r="V40" i="14"/>
  <c r="U40" i="14"/>
  <c r="X56" i="14"/>
  <c r="W56" i="14"/>
  <c r="U56" i="14"/>
  <c r="V56" i="14"/>
  <c r="X72" i="14"/>
  <c r="W72" i="14"/>
  <c r="U72" i="14"/>
  <c r="V72" i="14"/>
  <c r="X88" i="14"/>
  <c r="W88" i="14"/>
  <c r="V88" i="14"/>
  <c r="U88" i="14"/>
  <c r="X104" i="14"/>
  <c r="W104" i="14"/>
  <c r="V104" i="14"/>
  <c r="U104" i="14"/>
  <c r="X120" i="14"/>
  <c r="W120" i="14"/>
  <c r="V120" i="14"/>
  <c r="U120" i="14"/>
  <c r="X136" i="14"/>
  <c r="W136" i="14"/>
  <c r="V136" i="14"/>
  <c r="U136" i="14"/>
  <c r="X148" i="14"/>
  <c r="W148" i="14"/>
  <c r="V148" i="14"/>
  <c r="U148" i="14"/>
  <c r="W168" i="14"/>
  <c r="X168" i="14"/>
  <c r="U168" i="14"/>
  <c r="V168" i="14"/>
  <c r="W184" i="14"/>
  <c r="X184" i="14"/>
  <c r="U184" i="14"/>
  <c r="V184" i="14"/>
  <c r="W200" i="14"/>
  <c r="X200" i="14"/>
  <c r="U200" i="14"/>
  <c r="V200" i="14"/>
  <c r="W216" i="14"/>
  <c r="X216" i="14"/>
  <c r="U216" i="14"/>
  <c r="V216" i="14"/>
  <c r="W232" i="14"/>
  <c r="X232" i="14"/>
  <c r="U232" i="14"/>
  <c r="V232" i="14"/>
  <c r="V15" i="14"/>
  <c r="W207" i="14"/>
  <c r="V34" i="14"/>
  <c r="W34" i="14"/>
  <c r="W50" i="14"/>
  <c r="V133" i="14"/>
  <c r="X118" i="14"/>
  <c r="V59" i="14"/>
  <c r="E208" i="14"/>
  <c r="E80" i="14"/>
  <c r="E32" i="14"/>
  <c r="E169" i="14"/>
  <c r="E89" i="14"/>
  <c r="E25" i="14"/>
  <c r="E194" i="14"/>
  <c r="E146" i="14"/>
  <c r="E82" i="14"/>
  <c r="E18" i="14"/>
  <c r="E203" i="14"/>
  <c r="E123" i="14"/>
  <c r="E11" i="14"/>
  <c r="E204" i="14"/>
  <c r="E92" i="14"/>
  <c r="E28" i="14"/>
  <c r="E229" i="14"/>
  <c r="E213" i="14"/>
  <c r="E165" i="14"/>
  <c r="E149" i="14"/>
  <c r="E133" i="14"/>
  <c r="E69" i="14"/>
  <c r="E206" i="14"/>
  <c r="E158" i="14"/>
  <c r="E183" i="14"/>
  <c r="E103" i="14"/>
  <c r="E23" i="14"/>
  <c r="E88" i="14"/>
  <c r="E209" i="14"/>
  <c r="E193" i="14"/>
  <c r="E145" i="14"/>
  <c r="E129" i="14"/>
  <c r="E81" i="14"/>
  <c r="E65" i="14"/>
  <c r="E218" i="14"/>
  <c r="E106" i="14"/>
  <c r="E227" i="14"/>
  <c r="E212" i="14"/>
  <c r="E196" i="14"/>
  <c r="E148" i="14"/>
  <c r="E109" i="14"/>
  <c r="E29" i="14"/>
  <c r="E13" i="14"/>
  <c r="E182" i="14"/>
  <c r="E118" i="14"/>
  <c r="E54" i="14"/>
  <c r="E191" i="14"/>
  <c r="E143" i="14"/>
  <c r="E79" i="14"/>
  <c r="E224" i="14"/>
  <c r="E96" i="14"/>
  <c r="E48" i="14"/>
  <c r="E41" i="14"/>
  <c r="E210" i="14"/>
  <c r="E34" i="14"/>
  <c r="E219" i="14"/>
  <c r="E155" i="14"/>
  <c r="E139" i="14"/>
  <c r="E75" i="14"/>
  <c r="E27" i="14"/>
  <c r="E220" i="14"/>
  <c r="E156" i="14"/>
  <c r="E108" i="14"/>
  <c r="E44" i="14"/>
  <c r="E85" i="14"/>
  <c r="E21" i="14"/>
  <c r="E222" i="14"/>
  <c r="E174" i="14"/>
  <c r="E142" i="14"/>
  <c r="E126" i="14"/>
  <c r="E78" i="14"/>
  <c r="E62" i="14"/>
  <c r="E199" i="14"/>
  <c r="E119" i="14"/>
  <c r="E39" i="14"/>
  <c r="E200" i="14"/>
  <c r="E184" i="14"/>
  <c r="E104" i="14"/>
  <c r="E56" i="14"/>
  <c r="E40" i="14"/>
  <c r="E17" i="14"/>
  <c r="E164" i="14"/>
  <c r="E205" i="14"/>
  <c r="E198" i="14"/>
  <c r="E134" i="14"/>
  <c r="E70" i="14"/>
  <c r="E207" i="14"/>
  <c r="E95" i="14"/>
  <c r="E240" i="14"/>
  <c r="E176" i="14"/>
  <c r="E112" i="14"/>
  <c r="E153" i="14"/>
  <c r="E162" i="14"/>
  <c r="E98" i="14"/>
  <c r="E50" i="14"/>
  <c r="E235" i="14"/>
  <c r="E171" i="14"/>
  <c r="E91" i="14"/>
  <c r="E43" i="14"/>
  <c r="E236" i="14"/>
  <c r="E124" i="14"/>
  <c r="E60" i="14"/>
  <c r="E197" i="14"/>
  <c r="E181" i="14"/>
  <c r="E101" i="14"/>
  <c r="E37" i="14"/>
  <c r="E238" i="14"/>
  <c r="E14" i="14"/>
  <c r="E215" i="14"/>
  <c r="E151" i="14"/>
  <c r="E135" i="14"/>
  <c r="E71" i="14"/>
  <c r="E55" i="14"/>
  <c r="E120" i="14"/>
  <c r="E225" i="14"/>
  <c r="E177" i="14"/>
  <c r="E161" i="14"/>
  <c r="E113" i="14"/>
  <c r="E97" i="14"/>
  <c r="E173" i="14"/>
  <c r="E157" i="14"/>
  <c r="E141" i="14"/>
  <c r="E125" i="14"/>
  <c r="E93" i="14"/>
  <c r="E77" i="14"/>
  <c r="E61" i="14"/>
  <c r="E214" i="14"/>
  <c r="E150" i="14"/>
  <c r="E86" i="14"/>
  <c r="E22" i="14"/>
  <c r="E223" i="14"/>
  <c r="E111" i="14"/>
  <c r="E15" i="14"/>
  <c r="E192" i="14"/>
  <c r="E128" i="14"/>
  <c r="E64" i="14"/>
  <c r="E16" i="14"/>
  <c r="E226" i="14"/>
  <c r="E178" i="14"/>
  <c r="E130" i="14"/>
  <c r="E114" i="14"/>
  <c r="E66" i="14"/>
  <c r="E187" i="14"/>
  <c r="E107" i="14"/>
  <c r="E59" i="14"/>
  <c r="E188" i="14"/>
  <c r="E172" i="14"/>
  <c r="E140" i="14"/>
  <c r="E76" i="14"/>
  <c r="E12" i="14"/>
  <c r="E117" i="14"/>
  <c r="E53" i="14"/>
  <c r="E190" i="14"/>
  <c r="E110" i="14"/>
  <c r="E94" i="14"/>
  <c r="E46" i="14"/>
  <c r="E30" i="14"/>
  <c r="E231" i="14"/>
  <c r="E167" i="14"/>
  <c r="E87" i="14"/>
  <c r="E7" i="14"/>
  <c r="E232" i="14"/>
  <c r="E216" i="14"/>
  <c r="E168" i="14"/>
  <c r="E152" i="14"/>
  <c r="E136" i="14"/>
  <c r="E72" i="14"/>
  <c r="E24" i="14"/>
  <c r="E8" i="14"/>
  <c r="E49" i="14"/>
  <c r="E33" i="14"/>
  <c r="E138" i="14"/>
  <c r="E211" i="14"/>
  <c r="E237" i="14"/>
  <c r="E221" i="14"/>
  <c r="E189" i="14"/>
  <c r="E45" i="14"/>
  <c r="E230" i="14"/>
  <c r="E166" i="14"/>
  <c r="E102" i="14"/>
  <c r="E38" i="14"/>
  <c r="E239" i="14"/>
  <c r="E175" i="14"/>
  <c r="E127" i="14"/>
  <c r="E51" i="14" l="1"/>
  <c r="E90" i="14"/>
  <c r="E144" i="14"/>
  <c r="E195" i="14"/>
  <c r="E202" i="14"/>
  <c r="E217" i="14"/>
  <c r="E63" i="14"/>
  <c r="E58" i="14"/>
  <c r="E180" i="14"/>
  <c r="E31" i="14"/>
  <c r="E147" i="14"/>
  <c r="E47" i="14"/>
  <c r="E116" i="14"/>
  <c r="E159" i="14"/>
  <c r="E186" i="14"/>
  <c r="E185" i="14"/>
  <c r="E132" i="14"/>
  <c r="E35" i="14"/>
  <c r="E201" i="14"/>
  <c r="E115" i="14"/>
  <c r="E42" i="14"/>
  <c r="E20" i="14"/>
  <c r="E170" i="14"/>
  <c r="E160" i="14"/>
  <c r="E26" i="14"/>
  <c r="E74" i="14"/>
  <c r="E36" i="14"/>
  <c r="E84" i="14"/>
  <c r="E99" i="14"/>
  <c r="E233" i="14"/>
  <c r="E52" i="14"/>
  <c r="E73" i="14"/>
  <c r="E131" i="14"/>
  <c r="E234" i="14"/>
  <c r="E19" i="14"/>
  <c r="E154" i="14"/>
  <c r="E10" i="14"/>
  <c r="E57" i="14"/>
  <c r="E163" i="14"/>
  <c r="E9" i="14"/>
  <c r="E68" i="14"/>
  <c r="E83" i="14"/>
  <c r="E100" i="14"/>
  <c r="E179" i="14"/>
  <c r="E137" i="14"/>
  <c r="E67" i="14"/>
  <c r="E121" i="14"/>
  <c r="E228" i="14"/>
  <c r="E122" i="14"/>
  <c r="E105" i="14"/>
  <c r="A2" i="17"/>
  <c r="F4" i="14" l="1"/>
  <c r="E4" i="14"/>
  <c r="D252" i="20"/>
  <c r="B252" i="20"/>
  <c r="D251" i="20"/>
  <c r="B251" i="20"/>
  <c r="D250" i="20"/>
  <c r="B250" i="20"/>
  <c r="D249" i="20"/>
  <c r="B249" i="20"/>
  <c r="D248" i="20"/>
  <c r="B248" i="20"/>
  <c r="D247" i="20"/>
  <c r="B247" i="20"/>
  <c r="D246" i="20"/>
  <c r="B246" i="20"/>
  <c r="D245" i="20"/>
  <c r="B245" i="20"/>
  <c r="D244" i="20"/>
  <c r="B244" i="20"/>
  <c r="D243" i="20"/>
  <c r="B243" i="20"/>
  <c r="D242" i="20"/>
  <c r="B242" i="20"/>
  <c r="D241" i="20"/>
  <c r="B241" i="20"/>
  <c r="D240" i="20"/>
  <c r="B240" i="20"/>
  <c r="D239" i="20"/>
  <c r="B239" i="20"/>
  <c r="D238" i="20"/>
  <c r="B238" i="20"/>
  <c r="D237" i="20"/>
  <c r="B237" i="20"/>
  <c r="D236" i="20"/>
  <c r="B236" i="20"/>
  <c r="D235" i="20"/>
  <c r="B235" i="20"/>
  <c r="D234" i="20"/>
  <c r="B234" i="20"/>
  <c r="D233" i="20"/>
  <c r="B233" i="20"/>
  <c r="D232" i="20"/>
  <c r="B232" i="20"/>
  <c r="D231" i="20"/>
  <c r="B231" i="20"/>
  <c r="D230" i="20"/>
  <c r="B230" i="20"/>
  <c r="D229" i="20"/>
  <c r="B229" i="20"/>
  <c r="D228" i="20"/>
  <c r="B228" i="20"/>
  <c r="D227" i="20"/>
  <c r="B227" i="20"/>
  <c r="D226" i="20"/>
  <c r="B226" i="20"/>
  <c r="D225" i="20"/>
  <c r="B225" i="20"/>
  <c r="D224" i="20"/>
  <c r="B224" i="20"/>
  <c r="D223" i="20"/>
  <c r="B223" i="20"/>
  <c r="D222" i="20"/>
  <c r="B222" i="20"/>
  <c r="D221" i="20"/>
  <c r="B221" i="20"/>
  <c r="D220" i="20"/>
  <c r="B220" i="20"/>
  <c r="D219" i="20"/>
  <c r="B219" i="20"/>
  <c r="D218" i="20"/>
  <c r="B218" i="20"/>
  <c r="D217" i="20"/>
  <c r="B217" i="20"/>
  <c r="D216" i="20"/>
  <c r="B216" i="20"/>
  <c r="D215" i="20"/>
  <c r="B215" i="20"/>
  <c r="D214" i="20"/>
  <c r="B214" i="20"/>
  <c r="D213" i="20"/>
  <c r="B213" i="20"/>
  <c r="D212" i="20"/>
  <c r="B212" i="20"/>
  <c r="D211" i="20"/>
  <c r="B211" i="20"/>
  <c r="D210" i="20"/>
  <c r="B210" i="20"/>
  <c r="D209" i="20"/>
  <c r="B209" i="20"/>
  <c r="D208" i="20"/>
  <c r="B208" i="20"/>
  <c r="D207" i="20"/>
  <c r="B207" i="20"/>
  <c r="D206" i="20"/>
  <c r="B206" i="20"/>
  <c r="D205" i="20"/>
  <c r="B205" i="20"/>
  <c r="D204" i="20"/>
  <c r="B204" i="20"/>
  <c r="D203" i="20"/>
  <c r="B203" i="20"/>
  <c r="D202" i="20"/>
  <c r="B202" i="20"/>
  <c r="D201" i="20"/>
  <c r="B201" i="20"/>
  <c r="G5" i="17"/>
  <c r="F5" i="17"/>
  <c r="E5" i="17"/>
  <c r="C4" i="9"/>
  <c r="B4" i="9"/>
  <c r="A4" i="9"/>
  <c r="A5" i="17" l="1"/>
  <c r="D243" i="9"/>
  <c r="D235" i="9"/>
  <c r="D231" i="9"/>
  <c r="D227" i="9"/>
  <c r="D207" i="9"/>
  <c r="D203" i="9"/>
  <c r="D179" i="9"/>
  <c r="D163" i="9"/>
  <c r="D159" i="9"/>
  <c r="D151" i="9"/>
  <c r="D139" i="9"/>
  <c r="D135" i="9"/>
  <c r="D127" i="9"/>
  <c r="D123" i="9"/>
  <c r="D103" i="9"/>
  <c r="D99" i="9"/>
  <c r="D87" i="9"/>
  <c r="D75" i="9"/>
  <c r="D71" i="9"/>
  <c r="D67" i="9"/>
  <c r="D55" i="9"/>
  <c r="D39" i="9"/>
  <c r="D35" i="9"/>
  <c r="D27" i="9"/>
  <c r="D23" i="9"/>
  <c r="D11" i="9"/>
  <c r="D7" i="9"/>
  <c r="D167" i="9"/>
  <c r="D43" i="9"/>
  <c r="D91" i="9"/>
  <c r="D195" i="9"/>
  <c r="D119" i="9"/>
  <c r="D83" i="9"/>
  <c r="D51" i="9"/>
  <c r="D19" i="9"/>
  <c r="D175" i="9"/>
  <c r="D143" i="9"/>
  <c r="D111" i="9"/>
  <c r="D95" i="9"/>
  <c r="D79" i="9"/>
  <c r="D63" i="9"/>
  <c r="D47" i="9"/>
  <c r="D31" i="9"/>
  <c r="D15" i="9"/>
  <c r="H4" i="14"/>
  <c r="J4" i="14"/>
  <c r="L4" i="14"/>
  <c r="N4" i="14"/>
  <c r="P4" i="14"/>
  <c r="R4" i="14"/>
  <c r="G4" i="14"/>
  <c r="I4" i="14"/>
  <c r="K4" i="14"/>
  <c r="M4" i="14"/>
  <c r="O4" i="14"/>
  <c r="Q4" i="14"/>
  <c r="S4" i="14"/>
  <c r="D211" i="9"/>
  <c r="D171" i="9"/>
  <c r="D147" i="9"/>
  <c r="D131" i="9"/>
  <c r="D115" i="9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D165" i="9"/>
  <c r="D161" i="9"/>
  <c r="D157" i="9"/>
  <c r="D153" i="9"/>
  <c r="D149" i="9"/>
  <c r="D145" i="9"/>
  <c r="D141" i="9"/>
  <c r="D137" i="9"/>
  <c r="D133" i="9"/>
  <c r="D129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5" i="9"/>
  <c r="D61" i="9"/>
  <c r="D57" i="9"/>
  <c r="D53" i="9"/>
  <c r="D49" i="9"/>
  <c r="D45" i="9"/>
  <c r="D37" i="9"/>
  <c r="D21" i="9"/>
  <c r="D9" i="9"/>
  <c r="D5" i="9"/>
  <c r="D219" i="9"/>
  <c r="D187" i="9"/>
  <c r="D177" i="9"/>
  <c r="D173" i="9"/>
  <c r="D41" i="9"/>
  <c r="D33" i="9"/>
  <c r="D29" i="9"/>
  <c r="D25" i="9"/>
  <c r="D17" i="9"/>
  <c r="D13" i="9"/>
  <c r="D239" i="9"/>
  <c r="D223" i="9"/>
  <c r="D191" i="9"/>
  <c r="D157" i="20"/>
  <c r="D155" i="20"/>
  <c r="D153" i="20"/>
  <c r="D151" i="20"/>
  <c r="D149" i="20"/>
  <c r="D147" i="20"/>
  <c r="D145" i="20"/>
  <c r="D143" i="20"/>
  <c r="D141" i="20"/>
  <c r="D139" i="20"/>
  <c r="D137" i="20"/>
  <c r="D135" i="20"/>
  <c r="D133" i="20"/>
  <c r="D131" i="20"/>
  <c r="D129" i="20"/>
  <c r="D125" i="20"/>
  <c r="D123" i="20"/>
  <c r="D121" i="20"/>
  <c r="D119" i="20"/>
  <c r="D117" i="20"/>
  <c r="D115" i="20"/>
  <c r="D113" i="20"/>
  <c r="D111" i="20"/>
  <c r="D109" i="20"/>
  <c r="D107" i="20"/>
  <c r="D105" i="20"/>
  <c r="D103" i="20"/>
  <c r="D101" i="20"/>
  <c r="D99" i="20"/>
  <c r="D97" i="20"/>
  <c r="D95" i="20"/>
  <c r="D93" i="20"/>
  <c r="D91" i="20"/>
  <c r="D89" i="20"/>
  <c r="D87" i="20"/>
  <c r="D85" i="20"/>
  <c r="D83" i="20"/>
  <c r="D81" i="20"/>
  <c r="D79" i="20"/>
  <c r="D77" i="20"/>
  <c r="D75" i="20"/>
  <c r="D73" i="20"/>
  <c r="D71" i="20"/>
  <c r="D69" i="20"/>
  <c r="D67" i="20"/>
  <c r="D65" i="20"/>
  <c r="D63" i="20"/>
  <c r="D61" i="20"/>
  <c r="D59" i="20"/>
  <c r="D57" i="20"/>
  <c r="D55" i="20"/>
  <c r="D53" i="20"/>
  <c r="D51" i="20"/>
  <c r="D49" i="20"/>
  <c r="D47" i="20"/>
  <c r="D45" i="20"/>
  <c r="D43" i="20"/>
  <c r="D41" i="20"/>
  <c r="D39" i="20"/>
  <c r="D37" i="20"/>
  <c r="D35" i="20"/>
  <c r="D33" i="20"/>
  <c r="D31" i="20"/>
  <c r="D29" i="20"/>
  <c r="D27" i="20"/>
  <c r="D25" i="20"/>
  <c r="D23" i="20"/>
  <c r="D21" i="20"/>
  <c r="D19" i="20"/>
  <c r="D17" i="20"/>
  <c r="D15" i="20"/>
  <c r="D13" i="20"/>
  <c r="D11" i="20"/>
  <c r="D127" i="20"/>
  <c r="D158" i="20"/>
  <c r="D156" i="20"/>
  <c r="D154" i="20"/>
  <c r="D152" i="20"/>
  <c r="D150" i="20"/>
  <c r="D148" i="20"/>
  <c r="D146" i="20"/>
  <c r="D144" i="20"/>
  <c r="D142" i="20"/>
  <c r="D140" i="20"/>
  <c r="D138" i="20"/>
  <c r="D136" i="20"/>
  <c r="D134" i="20"/>
  <c r="D132" i="20"/>
  <c r="D130" i="20"/>
  <c r="D128" i="20"/>
  <c r="D126" i="20"/>
  <c r="D124" i="20"/>
  <c r="D122" i="20"/>
  <c r="D120" i="20"/>
  <c r="D118" i="20"/>
  <c r="D116" i="20"/>
  <c r="D114" i="20"/>
  <c r="D112" i="20"/>
  <c r="D110" i="20"/>
  <c r="D108" i="20"/>
  <c r="D106" i="20"/>
  <c r="D104" i="20"/>
  <c r="D102" i="20"/>
  <c r="D100" i="20"/>
  <c r="D98" i="20"/>
  <c r="D96" i="20"/>
  <c r="D94" i="20"/>
  <c r="D92" i="20"/>
  <c r="D90" i="20"/>
  <c r="D88" i="20"/>
  <c r="D86" i="20"/>
  <c r="D84" i="20"/>
  <c r="D82" i="20"/>
  <c r="D80" i="20"/>
  <c r="D78" i="20"/>
  <c r="D76" i="20"/>
  <c r="D74" i="20"/>
  <c r="D72" i="20"/>
  <c r="D70" i="20"/>
  <c r="D68" i="20"/>
  <c r="D66" i="20"/>
  <c r="D64" i="20"/>
  <c r="D62" i="20"/>
  <c r="D60" i="20"/>
  <c r="D58" i="20"/>
  <c r="D56" i="20"/>
  <c r="D54" i="20"/>
  <c r="D52" i="20"/>
  <c r="D50" i="20"/>
  <c r="D48" i="20"/>
  <c r="D46" i="20"/>
  <c r="D44" i="20"/>
  <c r="D42" i="20"/>
  <c r="D40" i="20"/>
  <c r="D38" i="20"/>
  <c r="D36" i="20"/>
  <c r="D34" i="20"/>
  <c r="D32" i="20"/>
  <c r="D30" i="20"/>
  <c r="D28" i="20"/>
  <c r="D26" i="20"/>
  <c r="D24" i="20"/>
  <c r="D22" i="20"/>
  <c r="D20" i="20"/>
  <c r="D18" i="20"/>
  <c r="D16" i="20"/>
  <c r="D14" i="20"/>
  <c r="D12" i="20"/>
  <c r="D10" i="20"/>
  <c r="D199" i="20"/>
  <c r="D197" i="20"/>
  <c r="D195" i="20"/>
  <c r="D193" i="20"/>
  <c r="D191" i="20"/>
  <c r="D189" i="20"/>
  <c r="D187" i="20"/>
  <c r="D185" i="20"/>
  <c r="D183" i="20"/>
  <c r="D181" i="20"/>
  <c r="D179" i="20"/>
  <c r="D177" i="20"/>
  <c r="D175" i="20"/>
  <c r="D173" i="20"/>
  <c r="D171" i="20"/>
  <c r="D169" i="20"/>
  <c r="D167" i="20"/>
  <c r="D165" i="20"/>
  <c r="D163" i="20"/>
  <c r="D161" i="20"/>
  <c r="D159" i="20"/>
  <c r="D200" i="20"/>
  <c r="D198" i="20"/>
  <c r="D196" i="20"/>
  <c r="D194" i="20"/>
  <c r="D192" i="20"/>
  <c r="D190" i="20"/>
  <c r="D188" i="20"/>
  <c r="D186" i="20"/>
  <c r="D184" i="20"/>
  <c r="D182" i="20"/>
  <c r="D180" i="20"/>
  <c r="D178" i="20"/>
  <c r="D176" i="20"/>
  <c r="D174" i="20"/>
  <c r="D172" i="20"/>
  <c r="D170" i="20"/>
  <c r="D168" i="20"/>
  <c r="D166" i="20"/>
  <c r="D164" i="20"/>
  <c r="D162" i="20"/>
  <c r="D160" i="20"/>
  <c r="D249" i="9"/>
  <c r="D245" i="9"/>
  <c r="D241" i="9"/>
  <c r="D237" i="9"/>
  <c r="D233" i="9"/>
  <c r="D229" i="9"/>
  <c r="D225" i="9"/>
  <c r="D221" i="9"/>
  <c r="D217" i="9"/>
  <c r="D213" i="9"/>
  <c r="D209" i="9"/>
  <c r="D205" i="9"/>
  <c r="D201" i="9"/>
  <c r="D197" i="9"/>
  <c r="D193" i="9"/>
  <c r="D189" i="9"/>
  <c r="D185" i="9"/>
  <c r="D181" i="9"/>
  <c r="D250" i="9"/>
  <c r="D248" i="9"/>
  <c r="D246" i="9"/>
  <c r="D244" i="9"/>
  <c r="D242" i="9"/>
  <c r="D240" i="9"/>
  <c r="D238" i="9"/>
  <c r="D236" i="9"/>
  <c r="D234" i="9"/>
  <c r="D232" i="9"/>
  <c r="D230" i="9"/>
  <c r="D228" i="9"/>
  <c r="D226" i="9"/>
  <c r="D224" i="9"/>
  <c r="D222" i="9"/>
  <c r="D220" i="9"/>
  <c r="D218" i="9"/>
  <c r="D216" i="9"/>
  <c r="D214" i="9"/>
  <c r="D212" i="9"/>
  <c r="D210" i="9"/>
  <c r="D208" i="9"/>
  <c r="D206" i="9"/>
  <c r="D204" i="9"/>
  <c r="D202" i="9"/>
  <c r="D200" i="9"/>
  <c r="D198" i="9"/>
  <c r="D196" i="9"/>
  <c r="D194" i="9"/>
  <c r="D192" i="9"/>
  <c r="D190" i="9"/>
  <c r="D188" i="9"/>
  <c r="D186" i="9"/>
  <c r="D184" i="9"/>
  <c r="D182" i="9"/>
  <c r="D180" i="9"/>
  <c r="D178" i="9"/>
  <c r="D176" i="9"/>
  <c r="D174" i="9"/>
  <c r="D172" i="9"/>
  <c r="D170" i="9"/>
  <c r="D168" i="9"/>
  <c r="D166" i="9"/>
  <c r="D164" i="9"/>
  <c r="D162" i="9"/>
  <c r="D160" i="9"/>
  <c r="D158" i="9"/>
  <c r="D156" i="9"/>
  <c r="D154" i="9"/>
  <c r="D152" i="9"/>
  <c r="D150" i="9"/>
  <c r="D148" i="9"/>
  <c r="D146" i="9"/>
  <c r="D144" i="9"/>
  <c r="D142" i="9"/>
  <c r="D140" i="9"/>
  <c r="D138" i="9"/>
  <c r="D136" i="9"/>
  <c r="D134" i="9"/>
  <c r="D132" i="9"/>
  <c r="D130" i="9"/>
  <c r="D128" i="9"/>
  <c r="D126" i="9"/>
  <c r="D124" i="9"/>
  <c r="D122" i="9"/>
  <c r="D120" i="9"/>
  <c r="D118" i="9"/>
  <c r="D116" i="9"/>
  <c r="D114" i="9"/>
  <c r="D112" i="9"/>
  <c r="D110" i="9"/>
  <c r="D108" i="9"/>
  <c r="D106" i="9"/>
  <c r="D104" i="9"/>
  <c r="D102" i="9"/>
  <c r="D100" i="9"/>
  <c r="D98" i="9"/>
  <c r="D96" i="9"/>
  <c r="D94" i="9"/>
  <c r="D92" i="9"/>
  <c r="D90" i="9"/>
  <c r="D88" i="9"/>
  <c r="D86" i="9"/>
  <c r="D84" i="9"/>
  <c r="D82" i="9"/>
  <c r="D80" i="9"/>
  <c r="D78" i="9"/>
  <c r="D76" i="9"/>
  <c r="D74" i="9"/>
  <c r="D72" i="9"/>
  <c r="D70" i="9"/>
  <c r="D68" i="9"/>
  <c r="D66" i="9"/>
  <c r="D64" i="9"/>
  <c r="D62" i="9"/>
  <c r="D60" i="9"/>
  <c r="D58" i="9"/>
  <c r="D56" i="9"/>
  <c r="D54" i="9"/>
  <c r="D52" i="9"/>
  <c r="D50" i="9"/>
  <c r="D48" i="9"/>
  <c r="D46" i="9"/>
  <c r="D44" i="9"/>
  <c r="D42" i="9"/>
  <c r="D40" i="9"/>
  <c r="D38" i="9"/>
  <c r="D36" i="9"/>
  <c r="D34" i="9"/>
  <c r="D32" i="9"/>
  <c r="D30" i="9"/>
  <c r="D28" i="9"/>
  <c r="D26" i="9"/>
  <c r="D24" i="9"/>
  <c r="D22" i="9"/>
  <c r="D20" i="9"/>
  <c r="D18" i="9"/>
  <c r="D16" i="9"/>
  <c r="D14" i="9"/>
  <c r="D12" i="9"/>
  <c r="D10" i="9"/>
  <c r="D8" i="9"/>
  <c r="D6" i="9"/>
  <c r="D183" i="9" l="1"/>
  <c r="D199" i="9"/>
  <c r="D215" i="9"/>
  <c r="D247" i="9"/>
  <c r="D169" i="9"/>
  <c r="D155" i="9"/>
  <c r="D59" i="9"/>
  <c r="D107" i="9"/>
  <c r="D9" i="20"/>
  <c r="C9" i="20" l="1"/>
  <c r="B9" i="20"/>
  <c r="C2" i="14" l="1"/>
  <c r="D5" i="17" l="1"/>
  <c r="B5" i="17" l="1"/>
  <c r="C6" i="14" l="1"/>
  <c r="B6" i="14"/>
  <c r="D3" i="14"/>
  <c r="D2" i="14"/>
  <c r="E9" i="20" l="1"/>
  <c r="V6" i="14" l="1"/>
  <c r="U6" i="14"/>
  <c r="X6" i="14"/>
  <c r="W6" i="14"/>
  <c r="F7" i="6"/>
  <c r="F6" i="6"/>
  <c r="F5" i="6"/>
  <c r="H5" i="6" l="1"/>
  <c r="G5" i="6"/>
  <c r="H7" i="6"/>
  <c r="G7" i="6"/>
  <c r="D4" i="9"/>
  <c r="C12" i="10" l="1"/>
  <c r="C11" i="10"/>
  <c r="E6" i="14" l="1"/>
  <c r="H6" i="14" l="1"/>
  <c r="L6" i="14"/>
  <c r="P6" i="14"/>
  <c r="G6" i="14"/>
  <c r="K6" i="14"/>
  <c r="O6" i="14"/>
  <c r="S6" i="14"/>
  <c r="J6" i="14"/>
  <c r="N6" i="14"/>
  <c r="R6" i="14"/>
  <c r="I6" i="14"/>
  <c r="M6" i="14"/>
  <c r="Q6" i="14"/>
  <c r="F6" i="14"/>
  <c r="C15" i="10" l="1"/>
  <c r="A2" i="9"/>
  <c r="C3" i="5" l="1"/>
  <c r="B14" i="10" l="1"/>
  <c r="B13" i="10"/>
  <c r="D2" i="9" l="1"/>
  <c r="B12" i="10" l="1"/>
  <c r="B11" i="10"/>
  <c r="C17" i="5" l="1"/>
  <c r="C16" i="5"/>
  <c r="C15" i="5"/>
  <c r="C14" i="5"/>
  <c r="C13" i="5"/>
  <c r="C12" i="5"/>
  <c r="C11" i="5"/>
  <c r="C10" i="5"/>
  <c r="C9" i="5"/>
  <c r="C8" i="5"/>
  <c r="C7" i="5"/>
  <c r="C6" i="5"/>
  <c r="C5" i="5"/>
  <c r="C4" i="5"/>
  <c r="F4" i="6" l="1"/>
  <c r="G6" i="6" s="1"/>
  <c r="E11" i="10" l="1"/>
  <c r="F8" i="6"/>
  <c r="F10" i="6"/>
  <c r="H6" i="6" s="1"/>
  <c r="F9" i="6" l="1"/>
  <c r="F11" i="6"/>
  <c r="F13" i="6" l="1"/>
  <c r="F40" i="20" l="1"/>
  <c r="F147" i="20"/>
  <c r="F29" i="20"/>
  <c r="F218" i="20"/>
  <c r="F87" i="20"/>
  <c r="F43" i="20"/>
  <c r="F190" i="20"/>
  <c r="F44" i="20"/>
  <c r="F84" i="20"/>
  <c r="F213" i="20"/>
  <c r="F217" i="20"/>
  <c r="F72" i="20"/>
  <c r="F239" i="20"/>
  <c r="F64" i="20"/>
  <c r="F181" i="20"/>
  <c r="F203" i="20"/>
  <c r="F233" i="20"/>
  <c r="F121" i="20"/>
  <c r="F215" i="20"/>
  <c r="F166" i="20"/>
  <c r="F207" i="20"/>
  <c r="F223" i="20"/>
  <c r="F211" i="20"/>
  <c r="F156" i="20"/>
  <c r="F143" i="20"/>
  <c r="F234" i="20"/>
  <c r="F11" i="20"/>
  <c r="F193" i="20"/>
  <c r="F228" i="20"/>
  <c r="F13" i="20"/>
  <c r="F41" i="20"/>
  <c r="F104" i="20"/>
  <c r="F241" i="20"/>
  <c r="F20" i="20"/>
  <c r="F108" i="20"/>
  <c r="F164" i="20"/>
  <c r="F210" i="20"/>
  <c r="F242" i="20"/>
  <c r="F225" i="20"/>
  <c r="F188" i="20"/>
  <c r="F236" i="20"/>
  <c r="F243" i="20"/>
  <c r="F120" i="20"/>
  <c r="F219" i="20"/>
  <c r="F25" i="20"/>
  <c r="F116" i="20"/>
  <c r="F250" i="20"/>
  <c r="F235" i="20"/>
  <c r="F38" i="20"/>
  <c r="F158" i="20"/>
  <c r="F212" i="20"/>
  <c r="F244" i="20"/>
  <c r="F201" i="20"/>
  <c r="F18" i="20"/>
  <c r="F214" i="20"/>
  <c r="F221" i="20"/>
  <c r="F251" i="20"/>
  <c r="F36" i="20"/>
  <c r="F71" i="20"/>
  <c r="F148" i="20"/>
  <c r="F111" i="20"/>
  <c r="F226" i="20"/>
  <c r="F231" i="20"/>
  <c r="F220" i="20"/>
  <c r="F245" i="20"/>
  <c r="F159" i="20"/>
  <c r="F246" i="20"/>
  <c r="F209" i="20"/>
  <c r="F247" i="20"/>
  <c r="F237" i="20"/>
  <c r="F252" i="20"/>
  <c r="F14" i="20" l="1"/>
  <c r="F16" i="20"/>
  <c r="F176" i="20"/>
  <c r="F119" i="20"/>
  <c r="F31" i="20"/>
  <c r="F160" i="20"/>
  <c r="F98" i="20"/>
  <c r="F175" i="20"/>
  <c r="F177" i="20"/>
  <c r="F206" i="20"/>
  <c r="F91" i="20"/>
  <c r="F24" i="20"/>
  <c r="F161" i="20"/>
  <c r="F184" i="20"/>
  <c r="F81" i="20"/>
  <c r="F73" i="20"/>
  <c r="F69" i="20"/>
  <c r="F97" i="20"/>
  <c r="F33" i="20"/>
  <c r="A215" i="20"/>
  <c r="A251" i="20"/>
  <c r="F99" i="20"/>
  <c r="F174" i="20"/>
  <c r="F34" i="20"/>
  <c r="F26" i="20"/>
  <c r="F130" i="20"/>
  <c r="F149" i="20"/>
  <c r="F46" i="20"/>
  <c r="F145" i="20"/>
  <c r="F85" i="20"/>
  <c r="F131" i="20"/>
  <c r="F106" i="20"/>
  <c r="F171" i="20"/>
  <c r="F93" i="20"/>
  <c r="F115" i="20"/>
  <c r="F173" i="20"/>
  <c r="F102" i="20"/>
  <c r="F103" i="20"/>
  <c r="F49" i="20"/>
  <c r="F95" i="20"/>
  <c r="F77" i="20"/>
  <c r="F216" i="20"/>
  <c r="F114" i="20"/>
  <c r="F238" i="20"/>
  <c r="F122" i="20"/>
  <c r="F222" i="20"/>
  <c r="F152" i="20"/>
  <c r="F167" i="20"/>
  <c r="A237" i="20"/>
  <c r="F30" i="20"/>
  <c r="F60" i="20"/>
  <c r="F138" i="20"/>
  <c r="F134" i="20"/>
  <c r="F192" i="20"/>
  <c r="F187" i="20"/>
  <c r="F180" i="20"/>
  <c r="F151" i="20"/>
  <c r="F56" i="20"/>
  <c r="F101" i="20"/>
  <c r="F204" i="20"/>
  <c r="F109" i="20"/>
  <c r="F113" i="20"/>
  <c r="F110" i="20"/>
  <c r="F142" i="20"/>
  <c r="F140" i="20"/>
  <c r="F178" i="20"/>
  <c r="F154" i="20"/>
  <c r="F96" i="20"/>
  <c r="F39" i="20"/>
  <c r="F28" i="20"/>
  <c r="F55" i="20"/>
  <c r="F118" i="20"/>
  <c r="F224" i="20"/>
  <c r="F126" i="20"/>
  <c r="F51" i="20"/>
  <c r="F208" i="20"/>
  <c r="F112" i="20"/>
  <c r="F89" i="20"/>
  <c r="F124" i="20"/>
  <c r="A252" i="20"/>
  <c r="F53" i="20"/>
  <c r="F54" i="20"/>
  <c r="F94" i="20"/>
  <c r="F74" i="20"/>
  <c r="F129" i="20"/>
  <c r="F194" i="20"/>
  <c r="F50" i="20"/>
  <c r="F137" i="20"/>
  <c r="F195" i="20"/>
  <c r="F125" i="20"/>
  <c r="F86" i="20"/>
  <c r="F165" i="20"/>
  <c r="F205" i="20"/>
  <c r="F21" i="20"/>
  <c r="F172" i="20"/>
  <c r="F169" i="20"/>
  <c r="F19" i="20"/>
  <c r="F80" i="20"/>
  <c r="F182" i="20"/>
  <c r="F157" i="20"/>
  <c r="F70" i="20"/>
  <c r="F168" i="20"/>
  <c r="F76" i="20"/>
  <c r="F105" i="20"/>
  <c r="F179" i="20"/>
  <c r="F136" i="20"/>
  <c r="F186" i="20"/>
  <c r="F23" i="20"/>
  <c r="F45" i="20"/>
  <c r="F230" i="20"/>
  <c r="F128" i="20"/>
  <c r="F227" i="20"/>
  <c r="F185" i="20"/>
  <c r="F240" i="20"/>
  <c r="F249" i="20"/>
  <c r="E4" i="20"/>
  <c r="A250" i="20"/>
  <c r="F35" i="20"/>
  <c r="F48" i="20"/>
  <c r="F63" i="20"/>
  <c r="F65" i="20"/>
  <c r="F66" i="20"/>
  <c r="F183" i="20"/>
  <c r="F150" i="20"/>
  <c r="F62" i="20"/>
  <c r="F61" i="20"/>
  <c r="F133" i="20"/>
  <c r="F132" i="20"/>
  <c r="F117" i="20"/>
  <c r="F75" i="20"/>
  <c r="F79" i="20"/>
  <c r="F135" i="20"/>
  <c r="F139" i="20"/>
  <c r="F68" i="20"/>
  <c r="F123" i="20"/>
  <c r="F47" i="20"/>
  <c r="F90" i="20"/>
  <c r="F57" i="20"/>
  <c r="F59" i="20"/>
  <c r="F107" i="20"/>
  <c r="F196" i="20"/>
  <c r="F67" i="20"/>
  <c r="F27" i="20"/>
  <c r="F162" i="20"/>
  <c r="F32" i="20"/>
  <c r="F144" i="20"/>
  <c r="F153" i="20"/>
  <c r="F198" i="20"/>
  <c r="F229" i="20"/>
  <c r="F52" i="20"/>
  <c r="F248" i="20"/>
  <c r="F232" i="20"/>
  <c r="F155" i="20"/>
  <c r="F191" i="20"/>
  <c r="F141" i="20"/>
  <c r="F199" i="20"/>
  <c r="F202" i="20"/>
  <c r="F200" i="20"/>
  <c r="F78" i="20"/>
  <c r="F163" i="20"/>
  <c r="F197" i="20"/>
  <c r="F189" i="20"/>
  <c r="F170" i="20"/>
  <c r="F88" i="20"/>
  <c r="T83" i="14"/>
  <c r="T39" i="14"/>
  <c r="T216" i="14"/>
  <c r="T12" i="14"/>
  <c r="T55" i="14"/>
  <c r="T58" i="14"/>
  <c r="T206" i="14"/>
  <c r="T171" i="14"/>
  <c r="T218" i="14"/>
  <c r="T10" i="14"/>
  <c r="T225" i="14"/>
  <c r="T215" i="14"/>
  <c r="T140" i="14"/>
  <c r="T14" i="14"/>
  <c r="T210" i="14"/>
  <c r="T91" i="14"/>
  <c r="T200" i="14"/>
  <c r="T156" i="14"/>
  <c r="T227" i="14"/>
  <c r="T162" i="14"/>
  <c r="T223" i="14"/>
  <c r="T163" i="14"/>
  <c r="T101" i="14"/>
  <c r="T222" i="14"/>
  <c r="T205" i="14"/>
  <c r="T221" i="14"/>
  <c r="T214" i="14"/>
  <c r="T8" i="14"/>
  <c r="T80" i="14"/>
  <c r="T181" i="14"/>
  <c r="T81" i="14"/>
  <c r="T199" i="14"/>
  <c r="T11" i="14"/>
  <c r="T208" i="14"/>
  <c r="T217" i="14"/>
  <c r="T13" i="14"/>
  <c r="T203" i="14"/>
  <c r="T22" i="14"/>
  <c r="T231" i="14"/>
  <c r="T79" i="14"/>
  <c r="T188" i="14"/>
  <c r="T30" i="14"/>
  <c r="T187" i="14"/>
  <c r="T96" i="14"/>
  <c r="T212" i="14"/>
  <c r="T108" i="14"/>
  <c r="T172" i="14"/>
  <c r="T41" i="14"/>
  <c r="T207" i="14"/>
  <c r="T116" i="14"/>
  <c r="T213" i="14"/>
  <c r="T182" i="14"/>
  <c r="T17" i="14"/>
  <c r="T240" i="14"/>
  <c r="T89" i="14"/>
  <c r="T34" i="14"/>
  <c r="T31" i="14"/>
  <c r="T238" i="14"/>
  <c r="T9" i="14"/>
  <c r="T230" i="14"/>
  <c r="T209" i="14"/>
  <c r="T233" i="14"/>
  <c r="T226" i="14"/>
  <c r="T236" i="14"/>
  <c r="T118" i="14"/>
  <c r="T237" i="14"/>
  <c r="T232" i="14"/>
  <c r="T113" i="14"/>
  <c r="T228" i="14"/>
  <c r="T37" i="14"/>
  <c r="T224" i="14"/>
  <c r="T202" i="14"/>
  <c r="F100" i="20" l="1"/>
  <c r="F83" i="20"/>
  <c r="F42" i="20"/>
  <c r="F127" i="20"/>
  <c r="E20" i="5"/>
  <c r="E21" i="5"/>
  <c r="F37" i="20"/>
  <c r="F92" i="20"/>
  <c r="F82" i="20"/>
  <c r="F58" i="20"/>
  <c r="A230" i="20"/>
  <c r="A207" i="20"/>
  <c r="A226" i="20"/>
  <c r="A225" i="20"/>
  <c r="A227" i="20"/>
  <c r="A245" i="20"/>
  <c r="A210" i="20"/>
  <c r="A197" i="20"/>
  <c r="A219" i="20"/>
  <c r="A199" i="20"/>
  <c r="A247" i="20"/>
  <c r="A16" i="20"/>
  <c r="A188" i="20"/>
  <c r="A186" i="20"/>
  <c r="A14" i="20"/>
  <c r="A246" i="20"/>
  <c r="A189" i="20"/>
  <c r="A187" i="20"/>
  <c r="A222" i="20"/>
  <c r="A211" i="20"/>
  <c r="A208" i="20"/>
  <c r="A231" i="20"/>
  <c r="A221" i="20"/>
  <c r="A249" i="20"/>
  <c r="A234" i="20"/>
  <c r="A236" i="20"/>
  <c r="A200" i="20"/>
  <c r="A238" i="20"/>
  <c r="A198" i="20"/>
  <c r="A203" i="20"/>
  <c r="A239" i="20"/>
  <c r="A13" i="20"/>
  <c r="A242" i="20"/>
  <c r="A243" i="20"/>
  <c r="A212" i="20"/>
  <c r="A205" i="20"/>
  <c r="A228" i="20"/>
  <c r="A241" i="20"/>
  <c r="A214" i="20"/>
  <c r="A233" i="20"/>
  <c r="A217" i="20"/>
  <c r="A202" i="20"/>
  <c r="A240" i="20"/>
  <c r="A201" i="20"/>
  <c r="A244" i="20"/>
  <c r="A229" i="20"/>
  <c r="A232" i="20"/>
  <c r="A206" i="20"/>
  <c r="A216" i="20"/>
  <c r="A224" i="20"/>
  <c r="A248" i="20"/>
  <c r="A235" i="20"/>
  <c r="A196" i="20"/>
  <c r="A220" i="20"/>
  <c r="A204" i="20"/>
  <c r="A218" i="20"/>
  <c r="A223" i="20"/>
  <c r="A209" i="20"/>
  <c r="A213" i="20"/>
  <c r="T51" i="14"/>
  <c r="T54" i="14"/>
  <c r="T127" i="14"/>
  <c r="T102" i="14"/>
  <c r="T107" i="14"/>
  <c r="T169" i="14"/>
  <c r="T128" i="14"/>
  <c r="T47" i="14"/>
  <c r="T154" i="14"/>
  <c r="T18" i="14"/>
  <c r="T94" i="14"/>
  <c r="T19" i="14"/>
  <c r="T148" i="14"/>
  <c r="T176" i="14"/>
  <c r="T164" i="14"/>
  <c r="T92" i="14"/>
  <c r="T129" i="14"/>
  <c r="T24" i="14"/>
  <c r="T86" i="14"/>
  <c r="T73" i="14"/>
  <c r="T72" i="14"/>
  <c r="T147" i="14"/>
  <c r="T151" i="14"/>
  <c r="T160" i="14"/>
  <c r="T191" i="14"/>
  <c r="T75" i="14"/>
  <c r="T36" i="14"/>
  <c r="T175" i="14"/>
  <c r="T125" i="14"/>
  <c r="T196" i="14"/>
  <c r="T50" i="14"/>
  <c r="T150" i="14"/>
  <c r="T157" i="14"/>
  <c r="T84" i="14"/>
  <c r="T149" i="14"/>
  <c r="T76" i="14"/>
  <c r="T111" i="14"/>
  <c r="T239" i="14"/>
  <c r="T220" i="14"/>
  <c r="T234" i="14"/>
  <c r="T38" i="14"/>
  <c r="T35" i="14"/>
  <c r="T219" i="14"/>
  <c r="D208" i="14"/>
  <c r="A208" i="14"/>
  <c r="D199" i="14"/>
  <c r="A199" i="14"/>
  <c r="D181" i="14"/>
  <c r="A181" i="14"/>
  <c r="D8" i="14"/>
  <c r="A8" i="14"/>
  <c r="D221" i="14"/>
  <c r="A221" i="14"/>
  <c r="D222" i="14"/>
  <c r="A222" i="14"/>
  <c r="D163" i="14"/>
  <c r="A163" i="14"/>
  <c r="D162" i="14"/>
  <c r="A162" i="14"/>
  <c r="A156" i="14"/>
  <c r="D156" i="14"/>
  <c r="A91" i="14"/>
  <c r="D91" i="14"/>
  <c r="D14" i="14"/>
  <c r="A14" i="14"/>
  <c r="D215" i="14"/>
  <c r="A215" i="14"/>
  <c r="D10" i="14"/>
  <c r="A10" i="14"/>
  <c r="D171" i="14"/>
  <c r="A171" i="14"/>
  <c r="D58" i="14"/>
  <c r="A58" i="14"/>
  <c r="D12" i="14"/>
  <c r="A12" i="14"/>
  <c r="D39" i="14"/>
  <c r="A39" i="14"/>
  <c r="T124" i="14"/>
  <c r="T170" i="14"/>
  <c r="T136" i="14"/>
  <c r="T67" i="14"/>
  <c r="T165" i="14"/>
  <c r="T62" i="14"/>
  <c r="T112" i="14"/>
  <c r="T122" i="14"/>
  <c r="T190" i="14"/>
  <c r="T60" i="14"/>
  <c r="T174" i="14"/>
  <c r="T135" i="14"/>
  <c r="T137" i="14"/>
  <c r="T45" i="14"/>
  <c r="T184" i="14"/>
  <c r="T97" i="14"/>
  <c r="T33" i="14"/>
  <c r="T183" i="14"/>
  <c r="T197" i="14"/>
  <c r="T110" i="14"/>
  <c r="T167" i="14"/>
  <c r="T104" i="14"/>
  <c r="T43" i="14"/>
  <c r="T93" i="14"/>
  <c r="T192" i="14"/>
  <c r="T145" i="14"/>
  <c r="T28" i="14"/>
  <c r="T63" i="14"/>
  <c r="T153" i="14"/>
  <c r="T87" i="14"/>
  <c r="T21" i="14"/>
  <c r="T119" i="14"/>
  <c r="T134" i="14"/>
  <c r="T152" i="14"/>
  <c r="T177" i="14"/>
  <c r="T198" i="14"/>
  <c r="T15" i="14"/>
  <c r="T195" i="14"/>
  <c r="A224" i="14"/>
  <c r="D224" i="14"/>
  <c r="D228" i="14"/>
  <c r="A228" i="14"/>
  <c r="D232" i="14"/>
  <c r="A232" i="14"/>
  <c r="A118" i="14"/>
  <c r="D118" i="14"/>
  <c r="D226" i="14"/>
  <c r="A226" i="14"/>
  <c r="D209" i="14"/>
  <c r="A209" i="14"/>
  <c r="D9" i="14"/>
  <c r="A9" i="14"/>
  <c r="D31" i="14"/>
  <c r="A31" i="14"/>
  <c r="D89" i="14"/>
  <c r="A89" i="14"/>
  <c r="D17" i="14"/>
  <c r="A17" i="14"/>
  <c r="D213" i="14"/>
  <c r="A213" i="14"/>
  <c r="D207" i="14"/>
  <c r="A207" i="14"/>
  <c r="D172" i="14"/>
  <c r="A172" i="14"/>
  <c r="D212" i="14"/>
  <c r="A212" i="14"/>
  <c r="D187" i="14"/>
  <c r="A187" i="14"/>
  <c r="D188" i="14"/>
  <c r="A188" i="14"/>
  <c r="D231" i="14"/>
  <c r="A231" i="14"/>
  <c r="A203" i="14"/>
  <c r="D203" i="14"/>
  <c r="D217" i="14"/>
  <c r="A217" i="14"/>
  <c r="T7" i="14"/>
  <c r="T27" i="14"/>
  <c r="T85" i="14"/>
  <c r="T123" i="14"/>
  <c r="T70" i="14"/>
  <c r="T90" i="14"/>
  <c r="T179" i="14"/>
  <c r="T69" i="14"/>
  <c r="T193" i="14"/>
  <c r="T194" i="14"/>
  <c r="T117" i="14"/>
  <c r="T29" i="14"/>
  <c r="T143" i="14"/>
  <c r="T61" i="14"/>
  <c r="T139" i="14"/>
  <c r="T141" i="14"/>
  <c r="T25" i="14"/>
  <c r="T121" i="14"/>
  <c r="T46" i="14"/>
  <c r="T99" i="14"/>
  <c r="T20" i="14"/>
  <c r="T186" i="14"/>
  <c r="T158" i="14"/>
  <c r="T130" i="14"/>
  <c r="T103" i="14"/>
  <c r="T132" i="14"/>
  <c r="T53" i="14"/>
  <c r="T100" i="14"/>
  <c r="T23" i="14"/>
  <c r="T114" i="14"/>
  <c r="T40" i="14"/>
  <c r="T126" i="14"/>
  <c r="T161" i="14"/>
  <c r="T120" i="14"/>
  <c r="T71" i="14"/>
  <c r="T115" i="14"/>
  <c r="T82" i="14"/>
  <c r="T229" i="14"/>
  <c r="T235" i="14"/>
  <c r="T59" i="14"/>
  <c r="A11" i="14"/>
  <c r="D11" i="14"/>
  <c r="D81" i="14"/>
  <c r="A81" i="14"/>
  <c r="A80" i="14"/>
  <c r="D80" i="14"/>
  <c r="D214" i="14"/>
  <c r="A214" i="14"/>
  <c r="D205" i="14"/>
  <c r="A205" i="14"/>
  <c r="D101" i="14"/>
  <c r="A101" i="14"/>
  <c r="D223" i="14"/>
  <c r="A223" i="14"/>
  <c r="D227" i="14"/>
  <c r="A227" i="14"/>
  <c r="D200" i="14"/>
  <c r="A200" i="14"/>
  <c r="A210" i="14"/>
  <c r="D210" i="14"/>
  <c r="D140" i="14"/>
  <c r="A140" i="14"/>
  <c r="D225" i="14"/>
  <c r="A225" i="14"/>
  <c r="A218" i="14"/>
  <c r="D218" i="14"/>
  <c r="A206" i="14"/>
  <c r="D206" i="14"/>
  <c r="D55" i="14"/>
  <c r="A55" i="14"/>
  <c r="D216" i="14"/>
  <c r="A216" i="14"/>
  <c r="D83" i="14"/>
  <c r="A83" i="14"/>
  <c r="T42" i="14"/>
  <c r="T168" i="14"/>
  <c r="T159" i="14"/>
  <c r="T65" i="14"/>
  <c r="T77" i="14"/>
  <c r="T16" i="14"/>
  <c r="T173" i="14"/>
  <c r="T32" i="14"/>
  <c r="T185" i="14"/>
  <c r="T74" i="14"/>
  <c r="T44" i="14"/>
  <c r="T109" i="14"/>
  <c r="T105" i="14"/>
  <c r="T180" i="14"/>
  <c r="T98" i="14"/>
  <c r="T189" i="14"/>
  <c r="T52" i="14"/>
  <c r="T138" i="14"/>
  <c r="T106" i="14"/>
  <c r="T201" i="14"/>
  <c r="T166" i="14"/>
  <c r="T56" i="14"/>
  <c r="T131" i="14"/>
  <c r="T95" i="14"/>
  <c r="T26" i="14"/>
  <c r="T68" i="14"/>
  <c r="T49" i="14"/>
  <c r="T146" i="14"/>
  <c r="T144" i="14"/>
  <c r="T142" i="14"/>
  <c r="T88" i="14"/>
  <c r="T48" i="14"/>
  <c r="T178" i="14"/>
  <c r="T133" i="14"/>
  <c r="T64" i="14"/>
  <c r="T66" i="14"/>
  <c r="T155" i="14"/>
  <c r="T78" i="14"/>
  <c r="T204" i="14"/>
  <c r="T57" i="14"/>
  <c r="T211" i="14"/>
  <c r="D202" i="14"/>
  <c r="A202" i="14"/>
  <c r="D37" i="14"/>
  <c r="A37" i="14"/>
  <c r="D113" i="14"/>
  <c r="A113" i="14"/>
  <c r="D237" i="14"/>
  <c r="A237" i="14"/>
  <c r="D236" i="14"/>
  <c r="A236" i="14"/>
  <c r="A233" i="14"/>
  <c r="D233" i="14"/>
  <c r="D230" i="14"/>
  <c r="A230" i="14"/>
  <c r="D238" i="14"/>
  <c r="A238" i="14"/>
  <c r="D34" i="14"/>
  <c r="A34" i="14"/>
  <c r="D240" i="14"/>
  <c r="A240" i="14"/>
  <c r="D182" i="14"/>
  <c r="A182" i="14"/>
  <c r="D116" i="14"/>
  <c r="A116" i="14"/>
  <c r="D41" i="14"/>
  <c r="A41" i="14"/>
  <c r="D108" i="14"/>
  <c r="A108" i="14"/>
  <c r="A96" i="14"/>
  <c r="D96" i="14"/>
  <c r="D30" i="14"/>
  <c r="A30" i="14"/>
  <c r="A79" i="14"/>
  <c r="D79" i="14"/>
  <c r="D22" i="14"/>
  <c r="A22" i="14"/>
  <c r="D13" i="14"/>
  <c r="A13" i="14"/>
  <c r="E19" i="5"/>
  <c r="E22" i="5"/>
  <c r="F14" i="6"/>
  <c r="F17" i="20" l="1"/>
  <c r="A17" i="20"/>
  <c r="F15" i="20"/>
  <c r="F12" i="20"/>
  <c r="A77" i="20"/>
  <c r="A118" i="20"/>
  <c r="A21" i="20"/>
  <c r="A169" i="20"/>
  <c r="A80" i="20"/>
  <c r="A32" i="20"/>
  <c r="A37" i="20"/>
  <c r="A191" i="20"/>
  <c r="A41" i="20"/>
  <c r="A190" i="20"/>
  <c r="A6" i="14"/>
  <c r="D6" i="14"/>
  <c r="D66" i="14"/>
  <c r="A66" i="14"/>
  <c r="D142" i="14"/>
  <c r="A142" i="14"/>
  <c r="D95" i="14"/>
  <c r="A95" i="14"/>
  <c r="D138" i="14"/>
  <c r="A138" i="14"/>
  <c r="A109" i="14"/>
  <c r="D109" i="14"/>
  <c r="D16" i="14"/>
  <c r="A16" i="14"/>
  <c r="D71" i="14"/>
  <c r="A71" i="14"/>
  <c r="A23" i="14"/>
  <c r="D23" i="14"/>
  <c r="D158" i="14"/>
  <c r="A158" i="14"/>
  <c r="D25" i="14"/>
  <c r="A25" i="14"/>
  <c r="D117" i="14"/>
  <c r="A117" i="14"/>
  <c r="A70" i="14"/>
  <c r="D70" i="14"/>
  <c r="D195" i="14"/>
  <c r="A195" i="14"/>
  <c r="D119" i="14"/>
  <c r="A119" i="14"/>
  <c r="A145" i="14"/>
  <c r="D145" i="14"/>
  <c r="D110" i="14"/>
  <c r="A110" i="14"/>
  <c r="D45" i="14"/>
  <c r="A45" i="14"/>
  <c r="D122" i="14"/>
  <c r="A122" i="14"/>
  <c r="D170" i="14"/>
  <c r="A170" i="14"/>
  <c r="D35" i="14"/>
  <c r="A35" i="14"/>
  <c r="D234" i="14"/>
  <c r="A234" i="14"/>
  <c r="D239" i="14"/>
  <c r="A239" i="14"/>
  <c r="D76" i="14"/>
  <c r="A76" i="14"/>
  <c r="D84" i="14"/>
  <c r="A84" i="14"/>
  <c r="D150" i="14"/>
  <c r="A150" i="14"/>
  <c r="D196" i="14"/>
  <c r="A196" i="14"/>
  <c r="D175" i="14"/>
  <c r="A175" i="14"/>
  <c r="D75" i="14"/>
  <c r="A75" i="14"/>
  <c r="D160" i="14"/>
  <c r="A160" i="14"/>
  <c r="D147" i="14"/>
  <c r="A147" i="14"/>
  <c r="D73" i="14"/>
  <c r="A73" i="14"/>
  <c r="D24" i="14"/>
  <c r="A24" i="14"/>
  <c r="A92" i="14"/>
  <c r="D92" i="14"/>
  <c r="A176" i="14"/>
  <c r="D176" i="14"/>
  <c r="D19" i="14"/>
  <c r="A19" i="14"/>
  <c r="D18" i="14"/>
  <c r="A18" i="14"/>
  <c r="D47" i="14"/>
  <c r="A47" i="14"/>
  <c r="A169" i="14"/>
  <c r="D169" i="14"/>
  <c r="D102" i="14"/>
  <c r="A102" i="14"/>
  <c r="D54" i="14"/>
  <c r="A54" i="14"/>
  <c r="D57" i="14"/>
  <c r="A57" i="14"/>
  <c r="D133" i="14"/>
  <c r="A133" i="14"/>
  <c r="D146" i="14"/>
  <c r="A146" i="14"/>
  <c r="D56" i="14"/>
  <c r="A56" i="14"/>
  <c r="D189" i="14"/>
  <c r="A189" i="14"/>
  <c r="D74" i="14"/>
  <c r="A74" i="14"/>
  <c r="D65" i="14"/>
  <c r="A65" i="14"/>
  <c r="D235" i="14"/>
  <c r="A235" i="14"/>
  <c r="D161" i="14"/>
  <c r="A161" i="14"/>
  <c r="D53" i="14"/>
  <c r="A53" i="14"/>
  <c r="D20" i="14"/>
  <c r="A20" i="14"/>
  <c r="A139" i="14"/>
  <c r="D139" i="14"/>
  <c r="D179" i="14"/>
  <c r="A179" i="14"/>
  <c r="D85" i="14"/>
  <c r="A85" i="14"/>
  <c r="D198" i="14"/>
  <c r="A198" i="14"/>
  <c r="D63" i="14"/>
  <c r="A63" i="14"/>
  <c r="D93" i="14"/>
  <c r="A93" i="14"/>
  <c r="D97" i="14"/>
  <c r="A97" i="14"/>
  <c r="D135" i="14"/>
  <c r="A135" i="14"/>
  <c r="A67" i="14"/>
  <c r="D67" i="14"/>
  <c r="D204" i="14"/>
  <c r="A204" i="14"/>
  <c r="D155" i="14"/>
  <c r="A155" i="14"/>
  <c r="D64" i="14"/>
  <c r="A64" i="14"/>
  <c r="D178" i="14"/>
  <c r="A178" i="14"/>
  <c r="D88" i="14"/>
  <c r="A88" i="14"/>
  <c r="D144" i="14"/>
  <c r="A144" i="14"/>
  <c r="D49" i="14"/>
  <c r="A49" i="14"/>
  <c r="D26" i="14"/>
  <c r="A26" i="14"/>
  <c r="D131" i="14"/>
  <c r="A131" i="14"/>
  <c r="D166" i="14"/>
  <c r="A166" i="14"/>
  <c r="A106" i="14"/>
  <c r="D106" i="14"/>
  <c r="D52" i="14"/>
  <c r="A52" i="14"/>
  <c r="A98" i="14"/>
  <c r="D98" i="14"/>
  <c r="D105" i="14"/>
  <c r="A105" i="14"/>
  <c r="D44" i="14"/>
  <c r="A44" i="14"/>
  <c r="D185" i="14"/>
  <c r="A185" i="14"/>
  <c r="A173" i="14"/>
  <c r="D173" i="14"/>
  <c r="D77" i="14"/>
  <c r="A77" i="14"/>
  <c r="D159" i="14"/>
  <c r="A159" i="14"/>
  <c r="A42" i="14"/>
  <c r="D42" i="14"/>
  <c r="D59" i="14"/>
  <c r="A59" i="14"/>
  <c r="D229" i="14"/>
  <c r="A229" i="14"/>
  <c r="A115" i="14"/>
  <c r="D115" i="14"/>
  <c r="D120" i="14"/>
  <c r="A120" i="14"/>
  <c r="D126" i="14"/>
  <c r="A126" i="14"/>
  <c r="D114" i="14"/>
  <c r="A114" i="14"/>
  <c r="D100" i="14"/>
  <c r="A100" i="14"/>
  <c r="D132" i="14"/>
  <c r="A132" i="14"/>
  <c r="D130" i="14"/>
  <c r="A130" i="14"/>
  <c r="D186" i="14"/>
  <c r="A186" i="14"/>
  <c r="A99" i="14"/>
  <c r="D99" i="14"/>
  <c r="D121" i="14"/>
  <c r="A121" i="14"/>
  <c r="D141" i="14"/>
  <c r="A141" i="14"/>
  <c r="D61" i="14"/>
  <c r="A61" i="14"/>
  <c r="D29" i="14"/>
  <c r="A29" i="14"/>
  <c r="A194" i="14"/>
  <c r="D194" i="14"/>
  <c r="D69" i="14"/>
  <c r="A69" i="14"/>
  <c r="D90" i="14"/>
  <c r="A90" i="14"/>
  <c r="D123" i="14"/>
  <c r="A123" i="14"/>
  <c r="A27" i="14"/>
  <c r="D27" i="14"/>
  <c r="D15" i="14"/>
  <c r="A15" i="14"/>
  <c r="D177" i="14"/>
  <c r="A177" i="14"/>
  <c r="D134" i="14"/>
  <c r="A134" i="14"/>
  <c r="D21" i="14"/>
  <c r="A21" i="14"/>
  <c r="A153" i="14"/>
  <c r="D153" i="14"/>
  <c r="D28" i="14"/>
  <c r="A28" i="14"/>
  <c r="D192" i="14"/>
  <c r="A192" i="14"/>
  <c r="D43" i="14"/>
  <c r="A43" i="14"/>
  <c r="D167" i="14"/>
  <c r="A167" i="14"/>
  <c r="D197" i="14"/>
  <c r="A197" i="14"/>
  <c r="D33" i="14"/>
  <c r="A33" i="14"/>
  <c r="D184" i="14"/>
  <c r="A184" i="14"/>
  <c r="D137" i="14"/>
  <c r="A137" i="14"/>
  <c r="A174" i="14"/>
  <c r="D174" i="14"/>
  <c r="D190" i="14"/>
  <c r="A190" i="14"/>
  <c r="D112" i="14"/>
  <c r="A112" i="14"/>
  <c r="A165" i="14"/>
  <c r="D165" i="14"/>
  <c r="D136" i="14"/>
  <c r="A136" i="14"/>
  <c r="D124" i="14"/>
  <c r="A124" i="14"/>
  <c r="D219" i="14"/>
  <c r="A219" i="14"/>
  <c r="D38" i="14"/>
  <c r="A38" i="14"/>
  <c r="D220" i="14"/>
  <c r="A220" i="14"/>
  <c r="D111" i="14"/>
  <c r="A111" i="14"/>
  <c r="D149" i="14"/>
  <c r="A149" i="14"/>
  <c r="D157" i="14"/>
  <c r="A157" i="14"/>
  <c r="D50" i="14"/>
  <c r="A50" i="14"/>
  <c r="D125" i="14"/>
  <c r="A125" i="14"/>
  <c r="A36" i="14"/>
  <c r="D36" i="14"/>
  <c r="D191" i="14"/>
  <c r="A191" i="14"/>
  <c r="D151" i="14"/>
  <c r="A151" i="14"/>
  <c r="D72" i="14"/>
  <c r="A72" i="14"/>
  <c r="D86" i="14"/>
  <c r="A86" i="14"/>
  <c r="D129" i="14"/>
  <c r="A129" i="14"/>
  <c r="D164" i="14"/>
  <c r="A164" i="14"/>
  <c r="A148" i="14"/>
  <c r="D148" i="14"/>
  <c r="D94" i="14"/>
  <c r="A94" i="14"/>
  <c r="D154" i="14"/>
  <c r="A154" i="14"/>
  <c r="D128" i="14"/>
  <c r="A128" i="14"/>
  <c r="D107" i="14"/>
  <c r="A107" i="14"/>
  <c r="D127" i="14"/>
  <c r="A127" i="14"/>
  <c r="D51" i="14"/>
  <c r="A51" i="14"/>
  <c r="D78" i="14"/>
  <c r="A78" i="14"/>
  <c r="D48" i="14"/>
  <c r="A48" i="14"/>
  <c r="D68" i="14"/>
  <c r="A68" i="14"/>
  <c r="D201" i="14"/>
  <c r="A201" i="14"/>
  <c r="D180" i="14"/>
  <c r="A180" i="14"/>
  <c r="D32" i="14"/>
  <c r="A32" i="14"/>
  <c r="D168" i="14"/>
  <c r="A168" i="14"/>
  <c r="D82" i="14"/>
  <c r="A82" i="14"/>
  <c r="D40" i="14"/>
  <c r="A40" i="14"/>
  <c r="D103" i="14"/>
  <c r="A103" i="14"/>
  <c r="D46" i="14"/>
  <c r="A46" i="14"/>
  <c r="D143" i="14"/>
  <c r="A143" i="14"/>
  <c r="D193" i="14"/>
  <c r="A193" i="14"/>
  <c r="D7" i="14"/>
  <c r="A7" i="14"/>
  <c r="D152" i="14"/>
  <c r="A152" i="14"/>
  <c r="D87" i="14"/>
  <c r="A87" i="14"/>
  <c r="D104" i="14"/>
  <c r="A104" i="14"/>
  <c r="A183" i="14"/>
  <c r="D183" i="14"/>
  <c r="A60" i="14"/>
  <c r="D60" i="14"/>
  <c r="A62" i="14"/>
  <c r="D62" i="14"/>
  <c r="D211" i="14"/>
  <c r="A211" i="14"/>
  <c r="T6" i="14"/>
  <c r="F10" i="20" l="1"/>
  <c r="A100" i="20"/>
  <c r="A35" i="20"/>
  <c r="A185" i="20"/>
  <c r="A184" i="20"/>
  <c r="A180" i="20"/>
  <c r="A24" i="20"/>
  <c r="A159" i="20"/>
  <c r="A81" i="20"/>
  <c r="A181" i="20"/>
  <c r="A178" i="20"/>
  <c r="A68" i="20"/>
  <c r="A179" i="20"/>
  <c r="A98" i="20"/>
  <c r="A11" i="20"/>
  <c r="A95" i="20"/>
  <c r="A152" i="20"/>
  <c r="A170" i="20"/>
  <c r="A72" i="20"/>
  <c r="A109" i="20"/>
  <c r="A156" i="20"/>
  <c r="A85" i="20"/>
  <c r="A192" i="20"/>
  <c r="A122" i="20"/>
  <c r="A57" i="20"/>
  <c r="A175" i="20"/>
  <c r="A127" i="20"/>
  <c r="A126" i="20"/>
  <c r="A140" i="20"/>
  <c r="A171" i="20"/>
  <c r="A76" i="20"/>
  <c r="A138" i="20"/>
  <c r="A120" i="20"/>
  <c r="A128" i="20"/>
  <c r="A55" i="20"/>
  <c r="A116" i="20"/>
  <c r="A151" i="20"/>
  <c r="A15" i="20"/>
  <c r="A10" i="20"/>
  <c r="A183" i="20"/>
  <c r="A113" i="20"/>
  <c r="A12" i="20"/>
  <c r="A92" i="20"/>
  <c r="A38" i="20"/>
  <c r="A60" i="20"/>
  <c r="A102" i="20"/>
  <c r="A103" i="20"/>
  <c r="A71" i="20"/>
  <c r="A193" i="20"/>
  <c r="A79" i="20"/>
  <c r="A27" i="20"/>
  <c r="A45" i="20"/>
  <c r="A48" i="20"/>
  <c r="A40" i="20"/>
  <c r="A141" i="20"/>
  <c r="A93" i="20"/>
  <c r="A112" i="20"/>
  <c r="A101" i="20"/>
  <c r="A94" i="20"/>
  <c r="A84" i="20"/>
  <c r="A90" i="20"/>
  <c r="A75" i="20"/>
  <c r="A107" i="20"/>
  <c r="A149" i="20"/>
  <c r="A165" i="20"/>
  <c r="A62" i="20"/>
  <c r="A52" i="20"/>
  <c r="A54" i="20"/>
  <c r="A70" i="20"/>
  <c r="A162" i="20"/>
  <c r="A135" i="20"/>
  <c r="A53" i="20"/>
  <c r="A150" i="20"/>
  <c r="A58" i="20"/>
  <c r="A82" i="20"/>
  <c r="A25" i="20"/>
  <c r="A78" i="20"/>
  <c r="A19" i="20"/>
  <c r="A31" i="20"/>
  <c r="A64" i="20"/>
  <c r="A108" i="20"/>
  <c r="A34" i="20"/>
  <c r="A20" i="20"/>
  <c r="A99" i="20"/>
  <c r="A36" i="20"/>
  <c r="A110" i="20"/>
  <c r="A166" i="20"/>
  <c r="A182" i="20"/>
  <c r="A33" i="20"/>
  <c r="A142" i="20"/>
  <c r="A46" i="20"/>
  <c r="A105" i="20"/>
  <c r="A121" i="20"/>
  <c r="A91" i="20"/>
  <c r="A124" i="20"/>
  <c r="A104" i="20"/>
  <c r="A195" i="20"/>
  <c r="A69" i="20"/>
  <c r="A63" i="20"/>
  <c r="A119" i="20"/>
  <c r="A133" i="20"/>
  <c r="A67" i="20"/>
  <c r="A173" i="20"/>
  <c r="A132" i="20"/>
  <c r="A65" i="20"/>
  <c r="A174" i="20"/>
  <c r="A194" i="20"/>
  <c r="A125" i="20"/>
  <c r="A160" i="20"/>
  <c r="A117" i="20"/>
  <c r="A114" i="20"/>
  <c r="A148" i="20"/>
  <c r="A167" i="20"/>
  <c r="A164" i="20"/>
  <c r="A143" i="20"/>
  <c r="A50" i="20"/>
  <c r="A139" i="20"/>
  <c r="A168" i="20"/>
  <c r="A47" i="20"/>
  <c r="A28" i="20"/>
  <c r="A18" i="20"/>
  <c r="A30" i="20"/>
  <c r="A176" i="20"/>
  <c r="A177" i="20"/>
  <c r="A61" i="20"/>
  <c r="A26" i="20"/>
  <c r="A51" i="20"/>
  <c r="A97" i="20"/>
  <c r="A39" i="20"/>
  <c r="A134" i="20"/>
  <c r="A87" i="20"/>
  <c r="A145" i="20"/>
  <c r="A23" i="20"/>
  <c r="A115" i="20"/>
  <c r="A56" i="20"/>
  <c r="A153" i="20"/>
  <c r="A29" i="20"/>
  <c r="A43" i="20"/>
  <c r="A42" i="20"/>
  <c r="A44" i="20"/>
  <c r="A158" i="20"/>
  <c r="A136" i="20"/>
  <c r="A66" i="20"/>
  <c r="A144" i="20"/>
  <c r="A106" i="20"/>
  <c r="A161" i="20"/>
  <c r="A83" i="20"/>
  <c r="A154" i="20"/>
  <c r="A123" i="20"/>
  <c r="A155" i="20"/>
  <c r="A49" i="20"/>
  <c r="A89" i="20"/>
  <c r="A130" i="20"/>
  <c r="A111" i="20"/>
  <c r="A157" i="20"/>
  <c r="A59" i="20"/>
  <c r="A88" i="20"/>
  <c r="A137" i="20"/>
  <c r="A131" i="20"/>
  <c r="A86" i="20"/>
  <c r="A172" i="20"/>
  <c r="A129" i="20"/>
  <c r="A74" i="20"/>
  <c r="A73" i="20"/>
  <c r="A163" i="20"/>
  <c r="A147" i="20"/>
  <c r="A96" i="20"/>
  <c r="E12" i="5"/>
  <c r="E13" i="5"/>
  <c r="E11" i="5"/>
  <c r="E10" i="5"/>
  <c r="E17" i="5"/>
  <c r="E9" i="5"/>
  <c r="E7" i="5"/>
  <c r="E16" i="5"/>
  <c r="E14" i="5"/>
  <c r="E8" i="5"/>
  <c r="E15" i="5"/>
  <c r="F22" i="20" l="1"/>
  <c r="A22" i="20"/>
  <c r="F146" i="20"/>
  <c r="A146" i="20"/>
  <c r="C2" i="5"/>
  <c r="A9" i="20"/>
  <c r="F9" i="20"/>
  <c r="D253" i="20" l="1"/>
  <c r="E5" i="5"/>
  <c r="E6" i="5"/>
  <c r="E4" i="5"/>
  <c r="E18" i="5"/>
  <c r="E3" i="5" l="1"/>
</calcChain>
</file>

<file path=xl/sharedStrings.xml><?xml version="1.0" encoding="utf-8"?>
<sst xmlns="http://schemas.openxmlformats.org/spreadsheetml/2006/main" count="1851" uniqueCount="718">
  <si>
    <t>LIVRAISON</t>
  </si>
  <si>
    <t>OFFRE</t>
  </si>
  <si>
    <t>❤️</t>
  </si>
  <si>
    <t>RESPONSABLE</t>
  </si>
  <si>
    <t>TOTAL</t>
  </si>
  <si>
    <t>CODE</t>
  </si>
  <si>
    <t>INFO</t>
  </si>
  <si>
    <t>DESIGNATION</t>
  </si>
  <si>
    <t>ORIGINE</t>
  </si>
  <si>
    <t>UNITE</t>
  </si>
  <si>
    <t>QTÉ</t>
  </si>
  <si>
    <t>PRIX</t>
  </si>
  <si>
    <t>FDP/kg</t>
  </si>
  <si>
    <t>FDP estimé</t>
  </si>
  <si>
    <t>Total</t>
  </si>
  <si>
    <t>TRIE</t>
  </si>
  <si>
    <t>PRIX
UNITAIRE</t>
  </si>
  <si>
    <t>RÉDUCTION</t>
  </si>
  <si>
    <t>CMD</t>
  </si>
  <si>
    <t>Indice Gazole</t>
  </si>
  <si>
    <t>Frais Admin</t>
  </si>
  <si>
    <t>Redevance Sanitaire</t>
  </si>
  <si>
    <t>Total FDP</t>
  </si>
  <si>
    <t>Poids arr</t>
  </si>
  <si>
    <t>FACT</t>
  </si>
  <si>
    <t>FDP : 1 à 100kg</t>
  </si>
  <si>
    <t>FDP : 101 à 200kg</t>
  </si>
  <si>
    <t>FDP : &gt; 200kg</t>
  </si>
  <si>
    <t>FDP estimé /kg</t>
  </si>
  <si>
    <t>FDP auto</t>
  </si>
  <si>
    <t>FDP manuel</t>
  </si>
  <si>
    <t>Total sans fdp</t>
  </si>
  <si>
    <r>
      <t>L</t>
    </r>
    <r>
      <rPr>
        <b/>
        <sz val="11"/>
        <color theme="0"/>
        <rFont val="Calibri"/>
        <family val="2"/>
      </rPr>
      <t>É</t>
    </r>
    <r>
      <rPr>
        <b/>
        <sz val="11"/>
        <color theme="0"/>
        <rFont val="Calibri"/>
        <family val="2"/>
        <scheme val="minor"/>
      </rPr>
      <t>GENDE</t>
    </r>
  </si>
  <si>
    <t>Modifiable manuellement</t>
  </si>
  <si>
    <t>Formule automatique</t>
  </si>
  <si>
    <t>BON DE LIVRAISON - FRUITSTOCK</t>
  </si>
  <si>
    <t xml:space="preserve">N° Commande </t>
  </si>
  <si>
    <t>Date</t>
  </si>
  <si>
    <t>**/**/2020</t>
  </si>
  <si>
    <t>N° Adhérent</t>
  </si>
  <si>
    <t xml:space="preserve">Adhérent </t>
  </si>
  <si>
    <t>Email</t>
  </si>
  <si>
    <t>N° de Facture</t>
  </si>
  <si>
    <t>Commentaire</t>
  </si>
  <si>
    <t>UNITÉ</t>
  </si>
  <si>
    <t>PRODUCTO</t>
  </si>
  <si>
    <t>ORIGEN</t>
  </si>
  <si>
    <t>PRIX
(sans FDP)</t>
  </si>
  <si>
    <t>10kg</t>
  </si>
  <si>
    <t>30kg</t>
  </si>
  <si>
    <t>60kg</t>
  </si>
  <si>
    <t>5kg
Min</t>
  </si>
  <si>
    <t>Brésil</t>
  </si>
  <si>
    <t>Acai Iofilizado en polvo BIO (env. 250 grs.) ¡¡¡Calidad superior!!! Conservacion refrigerada</t>
  </si>
  <si>
    <t>Brasil</t>
  </si>
  <si>
    <t>Pièce</t>
  </si>
  <si>
    <t>X</t>
  </si>
  <si>
    <t>Grenade</t>
  </si>
  <si>
    <t>Granada</t>
  </si>
  <si>
    <t>Ail blanc ou violet BIO</t>
  </si>
  <si>
    <t>Malaga</t>
  </si>
  <si>
    <t>Ajo blanco o morado BIO</t>
  </si>
  <si>
    <t>Málaga</t>
  </si>
  <si>
    <t>kg</t>
  </si>
  <si>
    <t>Inde</t>
  </si>
  <si>
    <t>Alga Chlorella polvo BIO (env. 1 kg.)</t>
  </si>
  <si>
    <t>India</t>
  </si>
  <si>
    <t>Alga Chlorella polvo BIO (env. 500 grs.)</t>
  </si>
  <si>
    <t>Irlande</t>
  </si>
  <si>
    <t>Alga Dulse deshidratada BIO (env. 1 kg.)</t>
  </si>
  <si>
    <t>Alga Dulse deshidratada BIO (env. 500 grs.)</t>
  </si>
  <si>
    <t>Galice</t>
  </si>
  <si>
    <t>Alga Kombu deshidratada BIO (env. 1 kg.)</t>
  </si>
  <si>
    <t>Galicia</t>
  </si>
  <si>
    <t>Alga Kombu deshidratada BIO (env. 500 grs.)</t>
  </si>
  <si>
    <t>Alga Nori entera deshidratada BIO (env. 500 grs.)</t>
  </si>
  <si>
    <t>Aloe Vera hoja fresca BIO (por pieza) ¡¡¡Plantas con más de 40 años!!!</t>
  </si>
  <si>
    <t>Amande Desmayo avec coque</t>
  </si>
  <si>
    <t>Amande Lauren avec coque (saveur sucrée)</t>
  </si>
  <si>
    <t>Almendra Comuna cruda sin cáscara BIO (env. 1 kg.)</t>
  </si>
  <si>
    <t>Costa Rica</t>
  </si>
  <si>
    <t>Piña madurada en planta (recibida por avión) ¡¡¡Súper buena, color intenso, muy aromática!!!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</si>
  <si>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</si>
  <si>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</si>
  <si>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</si>
  <si>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</si>
  <si>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</si>
  <si>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</si>
  <si>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</si>
  <si>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 BIO</t>
  </si>
  <si>
    <t>Aguacate Bacon BIO</t>
  </si>
  <si>
    <t>Tibet</t>
  </si>
  <si>
    <t>Bayas de Goji BIO (env. 1 kg.)</t>
  </si>
  <si>
    <t>Tíbet</t>
  </si>
  <si>
    <t>Bayas de Goji BIO (env. 500 grs.)</t>
  </si>
  <si>
    <t>Plátano Cavendish local (madurado en la planta) ¡¡¡Excelente!!!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</si>
  <si>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</si>
  <si>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</si>
  <si>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</si>
  <si>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</si>
  <si>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Hongrie</t>
  </si>
  <si>
    <t>Remolacha en polvo BIO (env. 1 kg.)</t>
  </si>
  <si>
    <t>Hungría</t>
  </si>
  <si>
    <t>Remolacha en polvo BIO (env. 500 grs.)</t>
  </si>
  <si>
    <t>Pérou</t>
  </si>
  <si>
    <t>Cacao BIO semilla grano crudo entero (env. 1 kg.)</t>
  </si>
  <si>
    <t>Perú</t>
  </si>
  <si>
    <t>Camu Camu en polvo BIO (env. 250 grs.) Conservacion refrigerada</t>
  </si>
  <si>
    <t>Carambole / fruit étoilé</t>
  </si>
  <si>
    <t>Carambola/Star Fruit local</t>
  </si>
  <si>
    <t>Carotte avec fane</t>
  </si>
  <si>
    <t>Zanahoria con rama local</t>
  </si>
  <si>
    <t>Zanahoria sin rama BIO</t>
  </si>
  <si>
    <t>Carotte sans fane</t>
  </si>
  <si>
    <t>Zanahoria sin rama local</t>
  </si>
  <si>
    <t>Apio verde local</t>
  </si>
  <si>
    <t>Céleri vert BIO</t>
  </si>
  <si>
    <t>Apio verde BIO</t>
  </si>
  <si>
    <t>Bolivie</t>
  </si>
  <si>
    <t>Chía semillas BIO (env. 1 kg.)</t>
  </si>
  <si>
    <t>Bolivia</t>
  </si>
  <si>
    <t>Sri Lanka</t>
  </si>
  <si>
    <t>Chips de coco crudo BIO (env. 1 kg.)</t>
  </si>
  <si>
    <t>Chou vert BIO</t>
  </si>
  <si>
    <t>Col verde lisa BIO</t>
  </si>
  <si>
    <t>Salobrena</t>
  </si>
  <si>
    <t>Caviar cítrico/citrus australasica local, piezas de 0,10/0,15 grs., cultivo natural .Precio por bandeja de 200 grs.</t>
  </si>
  <si>
    <t>Caviar cítrico/citrus australasica local, piezas de 0,10/0,15 grs., cultivo natural (precio por bandeja de 500 grs.)</t>
  </si>
  <si>
    <t>Citron jaune BIO (seconde catégorie)</t>
  </si>
  <si>
    <t>Limón BIO de 2ª categoría</t>
  </si>
  <si>
    <t>Limón Verna BIO calibre grande, madurado en  planta</t>
  </si>
  <si>
    <t>Citron vert</t>
  </si>
  <si>
    <t>Lima verde local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</si>
  <si>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</si>
  <si>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</si>
  <si>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</si>
  <si>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</si>
  <si>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</si>
  <si>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</si>
  <si>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</si>
  <si>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</si>
  <si>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Espagne</t>
  </si>
  <si>
    <t>Crackers deshidratados BIO de tomate, pipa de girasol, trigo sarraceno, lino, cebolla y moringa de cultivo ecológico (env. 200 grs.) RAW</t>
  </si>
  <si>
    <t>Nacional</t>
  </si>
  <si>
    <t>Cúrcuma fresca BIO (pedido mínimo 500 grs.)</t>
  </si>
  <si>
    <t>Israël</t>
  </si>
  <si>
    <t>Israel</t>
  </si>
  <si>
    <t>Dátil Deglet Nour en rama de Israel BIO</t>
  </si>
  <si>
    <t>Dattes Deglet sans noyau BIO</t>
  </si>
  <si>
    <t>Tunisie</t>
  </si>
  <si>
    <t>Dátil Deglet sin hueso BIO</t>
  </si>
  <si>
    <t>Túnez</t>
  </si>
  <si>
    <t>Iran</t>
  </si>
  <si>
    <t>Datil Mazafati de Bam BIO nueva cosecha (env. 250 grs.)</t>
  </si>
  <si>
    <t>Irán</t>
  </si>
  <si>
    <t>1997</t>
  </si>
  <si>
    <t>Dátil Medjool Súper Jumbo semi-seco BIO</t>
  </si>
  <si>
    <t>Ibiza</t>
  </si>
  <si>
    <t>Agua de mar micro-filtrada hipertónica (bag in box 11 litros)</t>
  </si>
  <si>
    <t>Mar Mediterráneo (Ibiza)</t>
  </si>
  <si>
    <t>Agua de mar micro-filtrada hipertónica (bag in box 20 litros)</t>
  </si>
  <si>
    <t>Epi de maïs doux frais</t>
  </si>
  <si>
    <t>Extracteur de jus ANGEL 5500</t>
  </si>
  <si>
    <t>Union européenne</t>
  </si>
  <si>
    <t>Extractor de zumo ANGEL JUICER Cool Press 5500 Luxury</t>
  </si>
  <si>
    <t>Unión Europea</t>
  </si>
  <si>
    <t>Égypte</t>
  </si>
  <si>
    <t>Fenogreco en semillas BIO (env. 500 grs.)</t>
  </si>
  <si>
    <t>Egipto</t>
  </si>
  <si>
    <t>Figue de Barbarie</t>
  </si>
  <si>
    <t>Higo chumbo local ¡¡ máxima calidad!!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</si>
  <si>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</si>
  <si>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</si>
  <si>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</si>
  <si>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</si>
  <si>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</si>
  <si>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</si>
  <si>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</si>
  <si>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</si>
  <si>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</si>
  <si>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</si>
  <si>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</si>
  <si>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</si>
  <si>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Semillas de cáñamo pelado crudo BIO (env. 1 kg.)</t>
  </si>
  <si>
    <t>Grenade BIO</t>
  </si>
  <si>
    <t>Huile d'olive Aloreña 5L BIO</t>
  </si>
  <si>
    <t>Aceite de oliva BIO variedad Aloreña (lata 5 litros)</t>
  </si>
  <si>
    <t>5l</t>
  </si>
  <si>
    <t>Kaki diferentes varidades local (persimon, brillante...)</t>
  </si>
  <si>
    <t>Nouvelle
Zélande</t>
  </si>
  <si>
    <t>Nueva Zelanda</t>
  </si>
  <si>
    <t>Kiwi Sun Gold</t>
  </si>
  <si>
    <t xml:space="preserve">Kiwi Sun Gold </t>
  </si>
  <si>
    <t>Leche de coco en polvo 100% cruda BIO (env. 1 kg.)</t>
  </si>
  <si>
    <t>Leche de coco en polvo 100% cruda BIO (env. 500 grs.)</t>
  </si>
  <si>
    <t>Lúcuma cruda en polvo BIO (env. 1 kg.)</t>
  </si>
  <si>
    <t>Maca en polvo cruda BIO (env. 1 kg.)</t>
  </si>
  <si>
    <t>Maca en polvo cruda BIO (env. 500 grs.)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</si>
  <si>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</si>
  <si>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</si>
  <si>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</si>
  <si>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</si>
  <si>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</si>
  <si>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Mango Irwin gourmet deshidratado a  baja temperatura. Crudo. En laminas</t>
  </si>
  <si>
    <t>Mangue Irwin (grande)</t>
  </si>
  <si>
    <t>Mango Irwin local (grande)</t>
  </si>
  <si>
    <t>Mango Kent BIO (ligeras quemaduras superficiales al lado del pedúnculo producidas por el sol, pulpa perfecta). Finca con certificado ecológico desde 1985 ¡¡¡Oferta!!!</t>
  </si>
  <si>
    <t>Mangue Lipens</t>
  </si>
  <si>
    <t>Mango Lipens local ¡¡¡Excelente!!!</t>
  </si>
  <si>
    <t>3190. 658</t>
  </si>
  <si>
    <t>Mango Osteen BIO. Primera calidad. Madurado en la planta</t>
  </si>
  <si>
    <t>Mango deshidratado semi-seco artesanal Palmer rojo de Brasil (env. 500 grs.)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</si>
  <si>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</si>
  <si>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</si>
  <si>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</si>
  <si>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</si>
  <si>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</si>
  <si>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</si>
  <si>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</si>
  <si>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</si>
  <si>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de aguacate (env. 1 kg.)</t>
  </si>
  <si>
    <t>Miel de azahar (env. 1 kg.)</t>
  </si>
  <si>
    <t>Huelva</t>
  </si>
  <si>
    <t>Miel Huelva multiflora BIO cruda sin filtrar (env. 1 kg.)</t>
  </si>
  <si>
    <t>Miel de montaña (env. 1 kg)</t>
  </si>
  <si>
    <t>Miel de romero (env. 1 kg.)</t>
  </si>
  <si>
    <t>Miel de eucalipto BIO (env. 1 kg.)</t>
  </si>
  <si>
    <t>Miel multiflora (env. 1 kg.)</t>
  </si>
  <si>
    <t>National</t>
  </si>
  <si>
    <t>Avellana cruda BIO sin cáscara (env. 1 kg.)</t>
  </si>
  <si>
    <t>Indes</t>
  </si>
  <si>
    <t>Anacardo crudo BIO (env. 1 kg.)</t>
  </si>
  <si>
    <t>1816</t>
  </si>
  <si>
    <t>Kenya</t>
  </si>
  <si>
    <t>Nuez de Macadamia sin cáscara BIO (env. 500 grs.)</t>
  </si>
  <si>
    <t>Kenia</t>
  </si>
  <si>
    <t>Nuez de Macadamia sin cáscara BIO  (env. 1 kg.)</t>
  </si>
  <si>
    <t>Mexique</t>
  </si>
  <si>
    <t>Nuez Pecana sin cáscara BIO (env. 500 grs.)</t>
  </si>
  <si>
    <t>Mexico</t>
  </si>
  <si>
    <t>Nuez Pecana sin cáscara BIO  (env. 1 kg.)</t>
  </si>
  <si>
    <t>Oignon blanc BIO</t>
  </si>
  <si>
    <t>Cebolla blanca seca BIO</t>
  </si>
  <si>
    <t>Oignon rouge BIO</t>
  </si>
  <si>
    <t>Cebolla roja BIO</t>
  </si>
  <si>
    <t>Aceituna Aloreña aliñada BIO (env.800 grs.)</t>
  </si>
  <si>
    <t>Valence</t>
  </si>
  <si>
    <t>Aceituna fermentada BIO (bote cristal 450 grs.) Varios tipos: frescas, semi-secas, secas, ...a elección (sin sal y sin ningún otro complemento)</t>
  </si>
  <si>
    <t>Valencia</t>
  </si>
  <si>
    <t>Aceituna negra s/hueso semi-seca BIO (env. 500 grs.)</t>
  </si>
  <si>
    <t>Olives vertes Gordal Manzanilla fraîches</t>
  </si>
  <si>
    <t>Aceituna Manzanilla verde Gordal fresca local</t>
  </si>
  <si>
    <t>Orange Valencialate</t>
  </si>
  <si>
    <t>Naranja Valencialate local</t>
  </si>
  <si>
    <t>Boniato BIO (grande)</t>
  </si>
  <si>
    <t>Boniato BIO (mediano)</t>
  </si>
  <si>
    <t xml:space="preserve">Poire Conférence  </t>
  </si>
  <si>
    <t>Pera Conferencia</t>
  </si>
  <si>
    <t>Poire Conférence BIO</t>
  </si>
  <si>
    <t>Pera Conferencia BIO</t>
  </si>
  <si>
    <t>Poireau BIO</t>
  </si>
  <si>
    <t>Puerro BIO</t>
  </si>
  <si>
    <t>Poivron mini en couleur</t>
  </si>
  <si>
    <t>Pimiento mini dulce de colores local</t>
  </si>
  <si>
    <t>Cordoue</t>
  </si>
  <si>
    <t>Polen fresco BIO (env. 500 grs.)</t>
  </si>
  <si>
    <t>1564</t>
  </si>
  <si>
    <t>Polen seco BIO (env. 500 grs.)</t>
  </si>
  <si>
    <t>Pomme de terre rouge BIO</t>
  </si>
  <si>
    <t>Patata roja BIO</t>
  </si>
  <si>
    <t>5124-3852</t>
  </si>
  <si>
    <t>Manzana Golden local de la Sierra (nueva cosecha)</t>
  </si>
  <si>
    <t>Manzana Reineta local Sierra Nevada</t>
  </si>
  <si>
    <t>Manzana Starky roja local Sierra Nevada</t>
  </si>
  <si>
    <t>Manzana roja Top Red local de Sierra Nevada</t>
  </si>
  <si>
    <t>Radis Daikon</t>
  </si>
  <si>
    <t>Rábano Daikon</t>
  </si>
  <si>
    <t>Uva pasa Sultana BIO (env. 1 kg.)</t>
  </si>
  <si>
    <t>Uva pasa Moscatel en grano (nueva cosecha)en env. de 500 grs</t>
  </si>
  <si>
    <t>500g</t>
  </si>
  <si>
    <t>Pakistan</t>
  </si>
  <si>
    <t>Sal del Himalaya molida (env. 1 kg.)</t>
  </si>
  <si>
    <t>Pakistán</t>
  </si>
  <si>
    <t>Sésamo crudo BIO (env. 1 kg.)</t>
  </si>
  <si>
    <t>Chufa BIO (env. 1 kg.)</t>
  </si>
  <si>
    <t>Alga Espagueti de mar deshidratada BIO (env. 500 grs.)</t>
  </si>
  <si>
    <t>Alga Espagueti de mar deshidratada BIO (env. 1 kg.)</t>
  </si>
  <si>
    <t>Indonésie</t>
  </si>
  <si>
    <t>Azúcar de coco BIO (env. 1 kg.)</t>
  </si>
  <si>
    <t>Indonesia</t>
  </si>
  <si>
    <t>Tomate seco BIO laminado (env. 200 grs.) ¡¡¡Deshidratado a baja temperatura 35º, calidad superior!!! RAW</t>
  </si>
  <si>
    <t>200g</t>
  </si>
  <si>
    <t>Tomate seco BIO laminado (env. 1 kg.) ¡¡¡Deshidratado a baja temperatura 35º, calidad superior!!! RAW</t>
  </si>
  <si>
    <t>CATALOGUE FRUITSTOCK</t>
  </si>
  <si>
    <t>Les fdp peuvent varier en fonction du secteur et du poids total (entre 0,5€ et 1,5€ du kg)</t>
  </si>
  <si>
    <t>PRIX
UNITAIRE
(sans fdp)</t>
  </si>
  <si>
    <t>+ 30 kg
(- 20%)</t>
  </si>
  <si>
    <t>+ 60 kg
(- 30%)</t>
  </si>
  <si>
    <t>N° Facture</t>
  </si>
  <si>
    <t>Responsable</t>
  </si>
  <si>
    <t xml:space="preserve">A destination de : </t>
  </si>
  <si>
    <t>Forfait H.T</t>
  </si>
  <si>
    <t>Prix/Tonne HT</t>
  </si>
  <si>
    <t>NOM</t>
  </si>
  <si>
    <t>DPT</t>
  </si>
  <si>
    <t>1 à 100 kg</t>
  </si>
  <si>
    <t>101 à 200 kg</t>
  </si>
  <si>
    <t>AIN 01</t>
  </si>
  <si>
    <t>AISNE 02</t>
  </si>
  <si>
    <t>ALLIER 03</t>
  </si>
  <si>
    <t>ALPES DE HAUTE PROVENCE 04</t>
  </si>
  <si>
    <t>HAUTES ALPES 05</t>
  </si>
  <si>
    <t>ALPES MARITIMES 06</t>
  </si>
  <si>
    <t>ARDECHE 07</t>
  </si>
  <si>
    <t>ARDENNES 08</t>
  </si>
  <si>
    <t>HTES MONTAGNES 09</t>
  </si>
  <si>
    <t>09-H</t>
  </si>
  <si>
    <t>ARIEGE 09</t>
  </si>
  <si>
    <t>AUBE 10</t>
  </si>
  <si>
    <t>AUDE 11</t>
  </si>
  <si>
    <t>AVEYRON 12</t>
  </si>
  <si>
    <t>BOUCHES DU RHONE 13</t>
  </si>
  <si>
    <t>CALVADOS 14</t>
  </si>
  <si>
    <t>HTES MONTAGNES 15</t>
  </si>
  <si>
    <t>15-H</t>
  </si>
  <si>
    <t>CANTAL 15</t>
  </si>
  <si>
    <t>CHARENTE 16</t>
  </si>
  <si>
    <t>CHARENTE MARITIME 17</t>
  </si>
  <si>
    <t>CHER 18</t>
  </si>
  <si>
    <t>CORREZE 19</t>
  </si>
  <si>
    <t>COTE D'OR 21</t>
  </si>
  <si>
    <t>COTES D'ARMOR 22</t>
  </si>
  <si>
    <t>CREUSE 23</t>
  </si>
  <si>
    <t>DORDOGNE 24</t>
  </si>
  <si>
    <t>DOUBS 25</t>
  </si>
  <si>
    <t>DROME 26</t>
  </si>
  <si>
    <t>EURE 27</t>
  </si>
  <si>
    <t>EURE ET LOIR 28</t>
  </si>
  <si>
    <t>FINISTERE 29</t>
  </si>
  <si>
    <t>GARD 30</t>
  </si>
  <si>
    <t>HTES MONTAGNES 31</t>
  </si>
  <si>
    <t>31-H</t>
  </si>
  <si>
    <t>HAUTE GARONNE 31</t>
  </si>
  <si>
    <t>GERS 32</t>
  </si>
  <si>
    <t>GIRONDE 33</t>
  </si>
  <si>
    <t>HERAULT 34</t>
  </si>
  <si>
    <t>ILLE ET VILAINE 35</t>
  </si>
  <si>
    <t>INDRE 36</t>
  </si>
  <si>
    <t>INDRE ET LOIRE 37</t>
  </si>
  <si>
    <t>HTES MONTAGNES 38</t>
  </si>
  <si>
    <t>38-H</t>
  </si>
  <si>
    <t>ISERE 38</t>
  </si>
  <si>
    <t>JURA 39</t>
  </si>
  <si>
    <t>LANDES 40</t>
  </si>
  <si>
    <t>LOIR ET CHER 41</t>
  </si>
  <si>
    <t>LOIRE 42</t>
  </si>
  <si>
    <t>HAUTE LOIRE 43</t>
  </si>
  <si>
    <t>LOIRE ATLANTIQUE 44</t>
  </si>
  <si>
    <t>LOIRET 45</t>
  </si>
  <si>
    <t>LOT 46</t>
  </si>
  <si>
    <t>LOT ET GARONNE 47</t>
  </si>
  <si>
    <t>LOZERE 48</t>
  </si>
  <si>
    <t>MAINE ET LOIRE 49</t>
  </si>
  <si>
    <t>MANCHE 50</t>
  </si>
  <si>
    <t>MARNE 51</t>
  </si>
  <si>
    <t>HAUTE MARNE 52</t>
  </si>
  <si>
    <t>MAYENNE 53</t>
  </si>
  <si>
    <t>MEURTHE ET MOSELLE 54</t>
  </si>
  <si>
    <t>MEUSE 55</t>
  </si>
  <si>
    <t>MORBIHAN 56</t>
  </si>
  <si>
    <t>MOSELLE 57</t>
  </si>
  <si>
    <t>NIEVRE 58</t>
  </si>
  <si>
    <t>NORD 59</t>
  </si>
  <si>
    <t>OISE 60</t>
  </si>
  <si>
    <t>ORNE 61</t>
  </si>
  <si>
    <t>PAS DE CALAIS 62</t>
  </si>
  <si>
    <t>HTES MONTAGNES 63</t>
  </si>
  <si>
    <t>63-H</t>
  </si>
  <si>
    <t>PUY DE DOME 63</t>
  </si>
  <si>
    <t>HTES MONTAGNES 64</t>
  </si>
  <si>
    <t>64-H</t>
  </si>
  <si>
    <t>PYRENEES ATLANTIQUES 64</t>
  </si>
  <si>
    <t>HTES MONTAGNES 65</t>
  </si>
  <si>
    <t>65-H</t>
  </si>
  <si>
    <t>HAUTES PYRENEES 65</t>
  </si>
  <si>
    <t>PYRENEES ORIENTALES 66</t>
  </si>
  <si>
    <t>BAS RHIN 67</t>
  </si>
  <si>
    <t>HAUT RHIN 68</t>
  </si>
  <si>
    <t>RHONE 69</t>
  </si>
  <si>
    <t>HAUTE SAONE 70</t>
  </si>
  <si>
    <t>SAONE ET LOIRE 71</t>
  </si>
  <si>
    <t>SARTHE 72</t>
  </si>
  <si>
    <t>HTES MONTAGNES 73</t>
  </si>
  <si>
    <t>73-H</t>
  </si>
  <si>
    <t>SAVOIE 73</t>
  </si>
  <si>
    <t>HTES MONTAGNES 74</t>
  </si>
  <si>
    <t>74-H</t>
  </si>
  <si>
    <t>HAUTE SAVOIE 74</t>
  </si>
  <si>
    <t>PARIS 75</t>
  </si>
  <si>
    <t>SEINE MARITIME 76</t>
  </si>
  <si>
    <t>SEINE ET MARNE 77</t>
  </si>
  <si>
    <t>YVELINES 78</t>
  </si>
  <si>
    <t>DEUX SEVRES 79</t>
  </si>
  <si>
    <t>SOMME 80</t>
  </si>
  <si>
    <t>TARN 81</t>
  </si>
  <si>
    <t>TARN ET GARONNE 82</t>
  </si>
  <si>
    <t>VAR 83</t>
  </si>
  <si>
    <t>VAUCLUSE 84</t>
  </si>
  <si>
    <t>VENDEE 85</t>
  </si>
  <si>
    <t>VIENNE 86</t>
  </si>
  <si>
    <t>HAUTE VIENNE 87</t>
  </si>
  <si>
    <t>VOSGES 88</t>
  </si>
  <si>
    <t>YONNE 89</t>
  </si>
  <si>
    <t>TERRITOIRE DE BELFORT 90</t>
  </si>
  <si>
    <t>ESSONNE 91</t>
  </si>
  <si>
    <t>HAUTS DE SEINE 92</t>
  </si>
  <si>
    <t>SEINE SAINT DENIS 93</t>
  </si>
  <si>
    <t>VAL DE MARNE 94</t>
  </si>
  <si>
    <t>VAL D'OISE 95</t>
  </si>
  <si>
    <t>MONACO 98</t>
  </si>
  <si>
    <t>BE</t>
  </si>
  <si>
    <t>"À REMPLIR EN PREMIER POUR AFFICHER LES PRIX"</t>
  </si>
  <si>
    <t>Prix à la Palette H.T. en €</t>
  </si>
  <si>
    <t>1 à 1 pal</t>
  </si>
  <si>
    <t>Número del Pedido</t>
  </si>
  <si>
    <t>SOLYFRUTA BIO &amp; LOCAL FRUIT</t>
  </si>
  <si>
    <t>Tarifa Ofertas Semana</t>
  </si>
  <si>
    <t>I.V.A. no Incluido</t>
  </si>
  <si>
    <t>Código</t>
  </si>
  <si>
    <t>Producto</t>
  </si>
  <si>
    <t>Origen</t>
  </si>
  <si>
    <t>Su Pedido</t>
  </si>
  <si>
    <t>151, rue des Anciens Combattants d’Algérie
64170 ARTIX
Téléphone : 05.59.84.80.70 – pau.exploitation@stg.fr</t>
  </si>
  <si>
    <t>BORDEREAU DE REMISE DU :</t>
  </si>
  <si>
    <t xml:space="preserve">   **/**/2020</t>
  </si>
  <si>
    <t>EXPEDITEUR</t>
  </si>
  <si>
    <t>DESTINATAIRE</t>
  </si>
  <si>
    <t>PORTABLE</t>
  </si>
  <si>
    <t>COLIS
/PAL</t>
  </si>
  <si>
    <t>POIDS (kg)</t>
  </si>
  <si>
    <t>LES FRUITS DU SOLEIL
004531178421 (Numéro Danois)</t>
  </si>
  <si>
    <t>1 PAL</t>
  </si>
  <si>
    <t>NUMERO DE COMMANDE :</t>
  </si>
  <si>
    <t>COMMENTAIRE IMPORTANT :</t>
  </si>
  <si>
    <t>Merci de contacter le client la veille de la livraison</t>
  </si>
  <si>
    <t>Eau de mer micro-filtrée hypertonique
    - (n°2 : box 11L)</t>
  </si>
  <si>
    <t>Eau de mer micro-filtrée hypertonique
    - (n°3 : box 20L)</t>
  </si>
  <si>
    <t>Baie de Goji BIO (env. 1kg)</t>
  </si>
  <si>
    <t>Baie de Goji BIO (envi. 500g)</t>
  </si>
  <si>
    <t>Curcuma frais BIO (paquet 500g)</t>
  </si>
  <si>
    <t>Maca noire BIO (env. 1kg)</t>
  </si>
  <si>
    <t>Adhérents</t>
  </si>
  <si>
    <t>3601-5043-3261</t>
  </si>
  <si>
    <t>Importacion</t>
  </si>
  <si>
    <t>Poivron rouge Ramiro BIO</t>
  </si>
  <si>
    <t>Pimiento Rojo Ramiro BIO</t>
  </si>
  <si>
    <t>Kaki Fuyu</t>
  </si>
  <si>
    <t>Mangue Keitt BIO</t>
  </si>
  <si>
    <t>Mango Keitt BIO</t>
  </si>
  <si>
    <t>Caviar cítrico/citrus australasica BIO, piezas de 0,10/0,15 grs. (precio por bandeja de 200 grs.)</t>
  </si>
  <si>
    <t>Caviar cítrico/citrus australasica BIO, piezas de 0,10/0,15 grs. (precio por bandeja de 500 grs.)</t>
  </si>
  <si>
    <t>Acelga Baby verde BIO producción propia (ideal para ensaladas o batidos)</t>
  </si>
  <si>
    <t>1100-1312</t>
  </si>
  <si>
    <t>Almendra Desmayo con cáscara local</t>
  </si>
  <si>
    <t>Almendra Lauren con cáscara semimollar. Sabor dulce, nueva cosecha, local (procedente de finca con cultivo orgánico sin certificar)</t>
  </si>
  <si>
    <t>Aguacate Bacon local (nueva temporada, calibre grande)</t>
  </si>
  <si>
    <t>Avocat Bacon (grand)</t>
  </si>
  <si>
    <t>Banane Cavendish (mûri sur plante)</t>
  </si>
  <si>
    <t>Blette BIO</t>
  </si>
  <si>
    <t>Salobreña</t>
  </si>
  <si>
    <t>Limón local amarillo madurado en el árbol</t>
  </si>
  <si>
    <t xml:space="preserve">Citron jaune Verna BIO (mûri sur arbre)
    - (grand/moyen) </t>
  </si>
  <si>
    <t>Lima-limón variedad india BIO (se recolecta con color)</t>
  </si>
  <si>
    <t>Citronela local (manojo de 5 piezas) producción propia. Cultivo orgánico en finca certificada, pero hemos olvidado darla de alta en la certificadora ecológica</t>
  </si>
  <si>
    <t xml:space="preserve">Citronnelle BIO
    - (bouquet de 5 tiges) </t>
  </si>
  <si>
    <t>Mazorca maiz dulce fresca (piezas grandes y jugosas, con toda la hoja alrededor de la mazorca)</t>
  </si>
  <si>
    <t>Mangue Kent Bio (légères brûlures superficielles à côté de la tige produites par le soleil)</t>
  </si>
  <si>
    <t>Mango Osteen finca EParadise (certificado Global Gap) ¡¡¡Máxima selección, madurado en el árbol y recolectado a diario!!!</t>
  </si>
  <si>
    <t>Mango Osteen cultivo natural local ¡¡¡Procedente de finca ecológica sin certificado!!!</t>
  </si>
  <si>
    <t>Mango Palmer rojo BIO. Recién recolectado, piezas grandes</t>
  </si>
  <si>
    <t>Mangue Palmer Rouge BIO (Grand)</t>
  </si>
  <si>
    <t>Miel de Fleur d'oranger (Bocal en verre 1kg)</t>
  </si>
  <si>
    <t>Miel d'avocat (Bocal en verre 1kg)</t>
  </si>
  <si>
    <t>Miel de Huelva multifleurs sans filtration CRU BIO  
    - (Bocal en verre 1kg)</t>
  </si>
  <si>
    <t>Miel de montagne (Bocal en verre 1kg)</t>
  </si>
  <si>
    <t>Miel de Romarin (Bocal en verre 1kg)</t>
  </si>
  <si>
    <t>Miel d'eucalyptus BIO (Bocal en verre 1kg)</t>
  </si>
  <si>
    <t>Miel Multi-fleurs (Bocal en verre 1kg)</t>
  </si>
  <si>
    <t>Patate douce BIO (Moyenne)</t>
  </si>
  <si>
    <t>Patate douce BIO (Grande)</t>
  </si>
  <si>
    <t>Boniato violeta BIO (mediano/grande, nueva cosecha)¡¡Excelente!!</t>
  </si>
  <si>
    <t>Paraguay
Egipto</t>
  </si>
  <si>
    <t>Paraguay
Egypte</t>
  </si>
  <si>
    <t xml:space="preserve">Grenade Purple Queen BIO </t>
  </si>
  <si>
    <t>Granada Purple Queen BIO</t>
  </si>
  <si>
    <t>Avocat Bacon Cocktail (petit calibre)</t>
  </si>
  <si>
    <t>Aguacate Bacon cocktail local</t>
  </si>
  <si>
    <t>Dátil Deglet Nour sin rama BIO</t>
  </si>
  <si>
    <t>Pitahaya roja BIO</t>
  </si>
  <si>
    <t>Amande Romera avec coque</t>
  </si>
  <si>
    <t>Almendra Romera con cáscara local</t>
  </si>
  <si>
    <t xml:space="preserve">Kiwi </t>
  </si>
  <si>
    <t>Kiwi local</t>
  </si>
  <si>
    <t>Hoja de Remolacha Baby BIO Producción Producción</t>
  </si>
  <si>
    <t>Col Kale Winterbor Crespa BIO baby. Producción Propia</t>
  </si>
  <si>
    <t>Mangue Keitt</t>
  </si>
  <si>
    <t>Mango Keitt Local</t>
  </si>
  <si>
    <t>1007-2364</t>
  </si>
  <si>
    <t>Iles Canaries</t>
  </si>
  <si>
    <t>Plátano Cavendish de las Islas BIO/RECO</t>
  </si>
  <si>
    <t>Canarias</t>
  </si>
  <si>
    <t>Bulgarie</t>
  </si>
  <si>
    <t>Girasol pipa sin cáscara BIO (env. 500 grs.)</t>
  </si>
  <si>
    <t>Bulgaria</t>
  </si>
  <si>
    <t>Girasol pipa sin cáscara BIO (env. 1kg)</t>
  </si>
  <si>
    <t>Chou Kale Winterbor Crespa BIO baby (Production de Rufino)</t>
  </si>
  <si>
    <t xml:space="preserve"> + 10 kg
(- 10%)</t>
  </si>
  <si>
    <t>Chirimoya BIO (produción propia, nueva temporada)</t>
  </si>
  <si>
    <t>Chirimoya (grand)</t>
  </si>
  <si>
    <t>Chirimoya BIO (production Rufino)</t>
  </si>
  <si>
    <t>2A</t>
  </si>
  <si>
    <t>BELGIQUE</t>
  </si>
  <si>
    <t>CORSE</t>
  </si>
  <si>
    <t>BELGIGUE</t>
  </si>
  <si>
    <t>CH12</t>
  </si>
  <si>
    <t>LAUSANNE</t>
  </si>
  <si>
    <t>GENEVE</t>
  </si>
  <si>
    <t>CH10</t>
  </si>
  <si>
    <t>Açaï en poudre iofilisée BIO (env. 250g)</t>
  </si>
  <si>
    <t>Algue Chlorella en poudre BIO (env. 1kg)</t>
  </si>
  <si>
    <t>Algue Chlorella en poudre BIO (env. 500g)</t>
  </si>
  <si>
    <t>Algue Dulse déshydratée BIO (env. 1kg)</t>
  </si>
  <si>
    <t>Algue Dulse déshydratée BIO (env. 500g)</t>
  </si>
  <si>
    <t>Algue Kombu déshydratées BIO (env. 1kg)</t>
  </si>
  <si>
    <t>Algue Kombu déshydratées BIO (env. 500g)</t>
  </si>
  <si>
    <t>Algue Nori entière déshydratées BIO (env. 1kg)</t>
  </si>
  <si>
    <t>Algue Nori entière déshydratées BIO (env. 500g)</t>
  </si>
  <si>
    <t>Amande sans coque CRU BIO (env. 1kg)</t>
  </si>
  <si>
    <t>Avocat Fuerte</t>
  </si>
  <si>
    <t>Aguacate Fuerte local</t>
  </si>
  <si>
    <t>Avocat Fuerte BIO</t>
  </si>
  <si>
    <t>Aguacate Fuerte BIO</t>
  </si>
  <si>
    <t>Bâtons de cannelle BIO (env. 100g)</t>
  </si>
  <si>
    <t>Canela en rama BIO (env. 100 grs.)</t>
  </si>
  <si>
    <t>Betterave en poudre BIO (env. 1kg)</t>
  </si>
  <si>
    <t>Betterave en poudre BIO (env. 500g)</t>
  </si>
  <si>
    <t>Beurre de cacao BIO (env. 1kg)</t>
  </si>
  <si>
    <t>Manteca de cacao BIO (env. 1 kg.)</t>
  </si>
  <si>
    <t>Cacao en polvo crudo BIO (env. 1 kg.)</t>
  </si>
  <si>
    <t>Camu Camu en poudre BIO (env. 250g)</t>
  </si>
  <si>
    <t>Algarroba BIO de la Alpujarra al natural en vaina (nueva cosecha) (env. 400 grs.)</t>
  </si>
  <si>
    <t>Chia BIO (env. 1kg)</t>
  </si>
  <si>
    <t>Chips de coco CRU BIO (env. 1kg)</t>
  </si>
  <si>
    <t>Crackers déshydratés CRU BIO (env. 200g)
    - (tomate, tournesol, sarrasin, lin, oignons, ...)</t>
  </si>
  <si>
    <t>Agua de mar micro-filtrada hipertónica (bag in box 3 litros) (pendientes de recibir en esta semana)</t>
  </si>
  <si>
    <t>Farine de coco (env. 1kg)</t>
  </si>
  <si>
    <t>Harina de coco BIO (env. 1 kg.)</t>
  </si>
  <si>
    <t>Fenugrec en graines BIO (env. 500g)</t>
  </si>
  <si>
    <t>Aceite de oliva BIO variedad Aloreña (env. 1 litro cristal)</t>
  </si>
  <si>
    <t>Mangue Keitt BIO (légères brûlures superficielles à côté du pédoncule causées par le soleil)</t>
  </si>
  <si>
    <t>Mango Keitt BIO (ligeras quemaduras superficiales al lado del pedúnculo producidas por el sol, pulpa perfecta). Finca con certificado ecológico desde 1985 ¡¡¡Oferta!!!</t>
  </si>
  <si>
    <t>Mangue Osteen BIO (Qualité supérieure, mûrie sur plante)</t>
  </si>
  <si>
    <t>3214-3248-3174-3194-3190-3175</t>
  </si>
  <si>
    <t>Mangue plusieurs variétés
    - (Haden, Irwin, Lipens, Osteen, Tommy Atkins)</t>
  </si>
  <si>
    <t>Mango variado local empezando a madurar (Haden, Supér Haden, Irwin, Lipens, Osteen, Tommy Atkins)</t>
  </si>
  <si>
    <t>Noisette sans coque CRU BIO (env. 1kg)</t>
  </si>
  <si>
    <t>Noix de cajou BIO (env. 1kg)</t>
  </si>
  <si>
    <t>Noix de Macadamia sans coque BIO
    - (env. 1kg)</t>
  </si>
  <si>
    <t>Noix de Macadamia sans coque BIO
    - (env. 500g)</t>
  </si>
  <si>
    <t>Noix de Pécan sans coque BIO (env. 1kg)</t>
  </si>
  <si>
    <t>Noix de Pécan sans coque BIO (env. 500g)</t>
  </si>
  <si>
    <t>Paprika épicé de la Vera BIO (env. 1kg)</t>
  </si>
  <si>
    <t>Espagne
Sierra de Gredos</t>
  </si>
  <si>
    <t>Pimentón Picante de la Vera BIO         (env. 1 kg.)</t>
  </si>
  <si>
    <t>Sierra de Gredos</t>
  </si>
  <si>
    <t>Patate Douce Violette BIO (Moyenne, grande) Nouvelle récolte</t>
  </si>
  <si>
    <t>Pistache avec coque CRU (env. 1kg)</t>
  </si>
  <si>
    <t>Pistacho en grano natural (env. 1 kg.)</t>
  </si>
  <si>
    <t>Pistache avec coque CRU (env. 500g)</t>
  </si>
  <si>
    <t>Pistacho en grano natural (env. 500 grs.)</t>
  </si>
  <si>
    <t>Manzana Granny Smith local de Sierra Nevada</t>
  </si>
  <si>
    <t>Raisin sec Sultana BIO
    - (env. 1kg)</t>
  </si>
  <si>
    <t>Raisins secs Muscat en grains
    - (env. 500g)</t>
  </si>
  <si>
    <t>Sésame CRU BIO (env. 1kg)</t>
  </si>
  <si>
    <t>Souchet BIO (env. 1kg)</t>
  </si>
  <si>
    <t>Spaguetti de mer déshydraté BIO (env. 1kg)</t>
  </si>
  <si>
    <t>Spaguetti de mer déshydraté BIO (env. 500g)</t>
  </si>
  <si>
    <t>Spiruline en poudre</t>
  </si>
  <si>
    <t>Spirulina en polvo BIO (env. 1 kg.)</t>
  </si>
  <si>
    <t>Sucre de coco BIO (env. 1kg)</t>
  </si>
  <si>
    <t>Xylitol (sucre de bouleau) (env. 1kg)</t>
  </si>
  <si>
    <t>Xilitol (azúcar de abedul) env. 1 kg.</t>
  </si>
  <si>
    <t xml:space="preserve"> </t>
  </si>
  <si>
    <t>Dattes Deglet Nour sans rame BIO</t>
  </si>
  <si>
    <t>Olives Aloreña BIO non pasteurisées (Bocal 800g)</t>
  </si>
  <si>
    <t>Aloe Vera (feuille fraîche) BIO</t>
  </si>
  <si>
    <t>Banane Cavendish BIO/RECO
    - (robuste et ferme)</t>
  </si>
  <si>
    <t>Banane deshydratée BIO semi-sèche
    - (Production Rufino, env. 200g)</t>
  </si>
  <si>
    <t>Fane de Betterave Baby BIO
    - (Production de Rufino)</t>
  </si>
  <si>
    <t>Fève de Cacao entière CRU BIO (env. 1kg)</t>
  </si>
  <si>
    <t>Carotte sans fane BIO</t>
  </si>
  <si>
    <t>Caroube de l'Alpujarra BIO (env 400g)</t>
  </si>
  <si>
    <t>Céleri vert</t>
  </si>
  <si>
    <t>Citron Caviar BIO
    - (plateau de 500g)</t>
  </si>
  <si>
    <t>Citron Caviar BIO
    - (plateau de 200g)</t>
  </si>
  <si>
    <t>Citron jaune (mûri sur plante)</t>
  </si>
  <si>
    <t>Lima-Limon BIO (entre citron vert et jaune)
    - (Variété indienne)</t>
  </si>
  <si>
    <t>Dattes Deglet Nour en rame BIO</t>
  </si>
  <si>
    <t>Dattes Medjool Jumbo semi-sèche BIO</t>
  </si>
  <si>
    <t>Graines de chanvre pelées CRU BIO
    - (env. 1 kg)</t>
  </si>
  <si>
    <t>Graines de tournesol sans coque CRU BIO
    - (env. 1kg)</t>
  </si>
  <si>
    <t>Graines de tournesol sans coque CRU BIO
    - (env. 500g)</t>
  </si>
  <si>
    <t>Huile d'olive Alorena 1L BIO</t>
  </si>
  <si>
    <t>Eau de mer micro-filtrée hypertonique
    - (n°1 : box 3L)</t>
  </si>
  <si>
    <t>Kaki différentes variétés
    - (persimon, rouge brillant, tomatero)</t>
  </si>
  <si>
    <t>Lucuma cru en poudre CRU BIO (env. 1 kg)</t>
  </si>
  <si>
    <t>Lait de coco en poudre CRU BIO (1kg)</t>
  </si>
  <si>
    <t>Lait de coco en poudre CRU BIO (500g)</t>
  </si>
  <si>
    <t>Maca brute en poudre CRU BIO (env. 500g)</t>
  </si>
  <si>
    <t>Maca brute en poudre CRU BIO (env. 1kg)</t>
  </si>
  <si>
    <t>Mangue Osteen (Ferme Eparadise, mûrie sur plante, récoltée quotidiennement)</t>
  </si>
  <si>
    <t>Mangue Osteen</t>
  </si>
  <si>
    <t>Sel rose de l'Himalaya moulu
    - (sous vide, env. 1kg)</t>
  </si>
  <si>
    <t>LIBELLÉ VIREMENT</t>
  </si>
  <si>
    <t>FACTURE - FRUITSTOCK</t>
  </si>
  <si>
    <t>LES FRUITS DU SOLEIL
Monsieur FRAIZE Alexandre
31 Avenue Larochefoucauld
64200 BIARRITZ
Tel : 004531178421 (danois)
Mail : fraize.alexandre@live.fr</t>
  </si>
  <si>
    <t>###_S44_DEPT_GRP_Prénom</t>
  </si>
  <si>
    <t>Ananas (mûri sur plante, env. 2kg)
Super bon, couleur intense, très aromatique</t>
  </si>
  <si>
    <t>Ananas deshydraté BIO (env. 1kg)</t>
  </si>
  <si>
    <t>Aubergine</t>
  </si>
  <si>
    <t>Berenjena BIO ¡¡¡Súper oferta!!!</t>
  </si>
  <si>
    <t>6119-1265</t>
  </si>
  <si>
    <t>Avocat Bacon médium BIO</t>
  </si>
  <si>
    <t>Aguacate Bacon BIO Mediano (piezas 100 a 150 grs.) Finca con certificado ecológico desde 1985 ¡¡¡Oferta!!!</t>
  </si>
  <si>
    <t xml:space="preserve">Cacao en poudre CRU BIO (env. 1 kg) </t>
  </si>
  <si>
    <t>Chirimoya local ( producción propia en proceso de reconversión a la agricultura ecológica). Piezas grandes</t>
  </si>
  <si>
    <t>Chou Kale BIO (production Rufino)</t>
  </si>
  <si>
    <t>Col Kale Lacitano/Cavolo Nero BIO baby (producción propia)</t>
  </si>
  <si>
    <t>Citron Caviar (culture naturelle, plateau 200g)</t>
  </si>
  <si>
    <t>Citron Caviar (culture naturelle, plateau 500g)</t>
  </si>
  <si>
    <t>Coing</t>
  </si>
  <si>
    <t>Membrillo local</t>
  </si>
  <si>
    <t>1002.133</t>
  </si>
  <si>
    <t>Courgette BIO (2nd catégorie)</t>
  </si>
  <si>
    <t>Calabacín verde BIO 2ª (calibres Variados)</t>
  </si>
  <si>
    <t>Dattes Mazafati de Bam BIO (env. 250g)</t>
  </si>
  <si>
    <t>Fane de betterave BIO (production Rufino)</t>
  </si>
  <si>
    <t>Hoja de Remolacha Baby BIO (producción propia)</t>
  </si>
  <si>
    <t>Granada local ¡¡¡Muy roja, excelente!!!</t>
  </si>
  <si>
    <t>Granada mollar BIO (piezas grandes y rosadas)</t>
  </si>
  <si>
    <t>Kaki Fuyu local  (procedente de finca con cultivo orgánico) ¡¡¡Calidad súper!!!</t>
  </si>
  <si>
    <t>Kiwi  BIO</t>
  </si>
  <si>
    <t>Portugal</t>
  </si>
  <si>
    <t>Mangue Keitt BIO (petit)</t>
  </si>
  <si>
    <t>Mango Keitt calibre pequeño (de 170 a 400 grs aproximadamente) BIO</t>
  </si>
  <si>
    <t>Mangue Kent (moyen) murie sur l'arbre</t>
  </si>
  <si>
    <t>Mango Kent calibre mediano local madurado en árbol</t>
  </si>
  <si>
    <t>Mangue Osteen mini gourmet</t>
  </si>
  <si>
    <t>Mango Osteen mini gourmet local</t>
  </si>
  <si>
    <t>Mangue Palmer rouge gourmet BIO</t>
  </si>
  <si>
    <t xml:space="preserve">Mango palmer rojo gourmet BIO </t>
  </si>
  <si>
    <t>Néfle d'hiver</t>
  </si>
  <si>
    <t>Níspero de invierno local</t>
  </si>
  <si>
    <t>Olives fermentées BIO non pasteurisées (env. 450g, Fraîches, semi-sèches, sèches, au choix, sans sel, sans eau et sans autres ajouts)</t>
  </si>
  <si>
    <t>Olives noires BIO (bocal 500g, sans noyau, semi-séchées, non pasteurisées)</t>
  </si>
  <si>
    <t>Pitaya (fruit du dragon, jaune à l'extérieur et pulpe blanche)</t>
  </si>
  <si>
    <t>Pitahaya/ Dragon Fruit amarilla por fuera pulpa blanca local</t>
  </si>
  <si>
    <t>Pitaya rouge BIO</t>
  </si>
  <si>
    <t>Polen Frais BIO (bocal 500g)</t>
  </si>
  <si>
    <t>Polen sec BIO (bocal 500g)</t>
  </si>
  <si>
    <t>Pomme de terre Lucinda blanche BIO</t>
  </si>
  <si>
    <t>Patata Lucinda blanca BIO</t>
  </si>
  <si>
    <t>Pomme Golden</t>
  </si>
  <si>
    <t>Pomme Granny Smith</t>
  </si>
  <si>
    <t>Pomme Reineta</t>
  </si>
  <si>
    <t>Pomme rouge Starky</t>
  </si>
  <si>
    <t>Pomme rouge Top Red</t>
  </si>
  <si>
    <t>Pomme verte Doncella</t>
  </si>
  <si>
    <t>Manzana Verde Doncella de Sierra Nevada</t>
  </si>
  <si>
    <t>Tomate déshydratée CRU BIO (env. 1kg, à basse température 35º, qualité supérieure)</t>
  </si>
  <si>
    <t>Tomate déshydratée CRU BIO (env. 200g, à basse température 35º, qualité supérieure)</t>
  </si>
  <si>
    <t>Mangue déshydratée Irwin gourmet (à basse température, tranches)</t>
  </si>
  <si>
    <t>Mangue déshydratée rouge Palmer (semi-sèche  de fabrication artisanale, env. 500g)</t>
  </si>
  <si>
    <t>QTE</t>
  </si>
  <si>
    <t>BON DE COMMANDE - FRUITSTOCK</t>
  </si>
  <si>
    <t>N° de Commande</t>
  </si>
  <si>
    <t>FRUITSTOCK ADMIN</t>
  </si>
  <si>
    <t>Département :</t>
  </si>
  <si>
    <t>Numéro de Commande</t>
  </si>
  <si>
    <t>Nom, Prénom :</t>
  </si>
  <si>
    <t>Adresse :</t>
  </si>
  <si>
    <t>268_S46_45</t>
  </si>
  <si>
    <t>Code Postal :</t>
  </si>
  <si>
    <t>Ville :</t>
  </si>
  <si>
    <t>Téléphone 1 :</t>
  </si>
  <si>
    <t>Téléphone 2 :</t>
  </si>
  <si>
    <t>FDP/kg estimé</t>
  </si>
  <si>
    <t>SUPPRIME</t>
  </si>
  <si>
    <t>REMPLACE</t>
  </si>
  <si>
    <t>Total (-10%)</t>
  </si>
  <si>
    <t>FDP</t>
  </si>
  <si>
    <t>Qté</t>
  </si>
  <si>
    <t>Qté env</t>
  </si>
  <si>
    <t>Téléphone :</t>
  </si>
  <si>
    <t>Email :</t>
  </si>
  <si>
    <t>COMMANDE</t>
  </si>
  <si>
    <t>FACTURE</t>
  </si>
  <si>
    <t>REGULARISATION</t>
  </si>
  <si>
    <t>NOM PRENOM</t>
  </si>
  <si>
    <t>DÉSIGNATION</t>
  </si>
  <si>
    <t>€/kg
(cmd)</t>
  </si>
  <si>
    <t>€/kg
(fact)</t>
  </si>
  <si>
    <t xml:space="preserve"> + 10 kg
(cmd)</t>
  </si>
  <si>
    <t>+ 30 kg
(cmd)</t>
  </si>
  <si>
    <t>+ 60 kg
(cmd)</t>
  </si>
  <si>
    <t xml:space="preserve"> + 10 kg
(fact)</t>
  </si>
  <si>
    <t>+ 30 kg
(fact)</t>
  </si>
  <si>
    <t>+ 60 kg
(fact)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</si>
</sst>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_ * #,##0.00_)\ &quot;€&quot;_ ;_ * \(#,##0.00\)\ &quot;€&quot;_ ;_ * &quot;-&quot;??_)\ &quot;€&quot;_ ;_ @_ "/>
    <numFmt numFmtId="165" formatCode="00"/>
    <numFmt numFmtId="166" formatCode="_-* #,##0.00\ [$€-40C]_-;\-* #,##0.00\ [$€-40C]_-;_-* &quot;-&quot;??\ [$€-40C]_-;_-@_-"/>
    <numFmt numFmtId="167" formatCode="#,##0.00\ &quot;€&quot;"/>
  </numFmts>
  <fonts count="7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1"/>
      <color rgb="FFC0000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5" tint="0.59999389629810485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0"/>
      <color indexed="65"/>
      <name val="Arial"/>
      <family val="2"/>
    </font>
    <font>
      <b/>
      <sz val="11"/>
      <color indexed="65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b/>
      <u/>
      <sz val="28"/>
      <color indexed="50"/>
      <name val="Arial Black"/>
      <family val="2"/>
    </font>
    <font>
      <sz val="15"/>
      <color theme="1"/>
      <name val="Arial"/>
      <family val="2"/>
    </font>
    <font>
      <b/>
      <sz val="15"/>
      <color theme="1"/>
      <name val="Arial"/>
      <family val="2"/>
    </font>
    <font>
      <b/>
      <sz val="18"/>
      <name val="Arial"/>
      <family val="2"/>
    </font>
    <font>
      <sz val="11"/>
      <color theme="1"/>
      <name val="Calibri"/>
      <family val="2"/>
      <scheme val="minor"/>
    </font>
    <font>
      <b/>
      <sz val="14"/>
      <color rgb="FFC00000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6" tint="-0.499984740745262"/>
      <name val="Arial"/>
      <family val="2"/>
    </font>
    <font>
      <b/>
      <sz val="11"/>
      <color theme="9" tint="-0.249977111117893"/>
      <name val="Calibri"/>
      <family val="2"/>
      <scheme val="minor"/>
    </font>
    <font>
      <b/>
      <sz val="11"/>
      <color theme="6" tint="0.59999389629810485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8"/>
      <color rgb="FFFF0000"/>
      <name val="Arial"/>
      <family val="2"/>
    </font>
    <font>
      <b/>
      <sz val="15"/>
      <color rgb="FFC00000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b/>
      <sz val="8"/>
      <color theme="0"/>
      <name val="Arial"/>
      <family val="2"/>
    </font>
    <font>
      <b/>
      <sz val="12"/>
      <color theme="4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8"/>
      <color theme="3"/>
      <name val="Arial"/>
      <family val="2"/>
    </font>
    <font>
      <sz val="8"/>
      <color theme="1"/>
      <name val="Calibri"/>
      <family val="2"/>
      <scheme val="minor"/>
    </font>
    <font>
      <b/>
      <sz val="24"/>
      <color theme="0"/>
      <name val="Arial"/>
      <family val="2"/>
    </font>
    <font>
      <b/>
      <sz val="20"/>
      <color theme="0"/>
      <name val="Arial"/>
      <family val="2"/>
    </font>
    <font>
      <sz val="10"/>
      <color theme="1"/>
      <name val="Arial"/>
      <family val="2"/>
    </font>
    <font>
      <b/>
      <u/>
      <sz val="10"/>
      <color theme="0"/>
      <name val="Arial"/>
      <family val="2"/>
    </font>
    <font>
      <b/>
      <sz val="12"/>
      <color rgb="FFC00000"/>
      <name val="Arial"/>
      <family val="2"/>
    </font>
    <font>
      <b/>
      <sz val="10"/>
      <color rgb="FFC00000"/>
      <name val="Arial"/>
      <family val="2"/>
    </font>
    <font>
      <sz val="8"/>
      <color theme="3"/>
      <name val="Arial"/>
      <family val="2"/>
    </font>
    <font>
      <b/>
      <sz val="10"/>
      <color theme="1"/>
      <name val="Calibri"/>
      <family val="2"/>
      <scheme val="minor"/>
    </font>
    <font>
      <sz val="10"/>
      <color theme="3"/>
      <name val="Arial"/>
      <family val="2"/>
    </font>
    <font>
      <b/>
      <sz val="16"/>
      <color rgb="FFC00000"/>
      <name val="Arial"/>
      <family val="2"/>
    </font>
    <font>
      <sz val="11"/>
      <color theme="3"/>
      <name val="Arial"/>
      <family val="2"/>
    </font>
    <font>
      <sz val="11"/>
      <color rgb="FFC00000"/>
      <name val="Calibri"/>
      <family val="2"/>
      <scheme val="minor"/>
    </font>
    <font>
      <sz val="8"/>
      <color rgb="FFC00000"/>
      <name val="Arial"/>
      <family val="2"/>
    </font>
    <font>
      <sz val="12"/>
      <color theme="4"/>
      <name val="Arial"/>
      <family val="2"/>
    </font>
    <font>
      <sz val="11"/>
      <color theme="1"/>
      <name val="Arial"/>
      <family val="2"/>
    </font>
    <font>
      <sz val="8"/>
      <name val="Calibri"/>
      <scheme val="minor"/>
    </font>
    <font>
      <b/>
      <sz val="11"/>
      <color rgb="FFFF0000"/>
      <name val="Arial"/>
      <family val="2"/>
    </font>
    <font>
      <sz val="11"/>
      <color rgb="FF000000"/>
      <name val="Calibri"/>
      <family val="2"/>
    </font>
    <font>
      <b/>
      <sz val="8"/>
      <color rgb="FF0070C0"/>
      <name val="Arial"/>
      <family val="2"/>
    </font>
    <font>
      <b/>
      <sz val="18"/>
      <color rgb="FFC00000"/>
      <name val="Arial"/>
      <family val="2"/>
    </font>
    <font>
      <u/>
      <sz val="18"/>
      <color theme="10"/>
      <name val="Arial"/>
      <family val="2"/>
    </font>
    <font>
      <b/>
      <sz val="8"/>
      <color theme="1"/>
      <name val="Arial"/>
      <family val="2"/>
    </font>
    <font>
      <b/>
      <i/>
      <sz val="10"/>
      <color rgb="FFC00000"/>
      <name val="Arial"/>
      <family val="2"/>
    </font>
    <font>
      <b/>
      <sz val="20"/>
      <color indexed="2"/>
      <name val="Arial"/>
      <family val="2"/>
    </font>
    <font>
      <b/>
      <sz val="8"/>
      <color theme="6" tint="-0.249977111117893"/>
      <name val="Arial"/>
      <family val="2"/>
    </font>
    <font>
      <b/>
      <sz val="24"/>
      <color indexed="2"/>
      <name val="Arial"/>
      <family val="2"/>
    </font>
    <font>
      <b/>
      <sz val="11"/>
      <color theme="6" tint="-0.499984740745262"/>
      <name val="Arial"/>
      <family val="2"/>
    </font>
    <font>
      <b/>
      <sz val="11"/>
      <color theme="4"/>
      <name val="Arial"/>
      <family val="2"/>
    </font>
    <font>
      <b/>
      <i/>
      <sz val="10"/>
      <name val="Arial"/>
      <family val="2"/>
    </font>
    <font>
      <b/>
      <i/>
      <sz val="11"/>
      <name val="Arial"/>
      <family val="2"/>
    </font>
    <font>
      <b/>
      <i/>
      <sz val="11"/>
      <color theme="0"/>
      <name val="Arial"/>
      <family val="2"/>
    </font>
    <font>
      <b/>
      <i/>
      <sz val="9"/>
      <name val="Arial"/>
      <family val="2"/>
    </font>
    <font>
      <b/>
      <sz val="12"/>
      <color theme="6" tint="-0.24997711111789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7901E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ck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/>
      </top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 style="thin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medium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 style="medium">
        <color indexed="64"/>
      </right>
      <top/>
      <bottom style="thin">
        <color theme="0" tint="-0.249977111117893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249977111117893"/>
      </bottom>
      <diagonal/>
    </border>
    <border>
      <left/>
      <right/>
      <top style="medium">
        <color indexed="64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/>
      </top>
      <bottom/>
      <diagonal/>
    </border>
    <border>
      <left/>
      <right style="thick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ck">
        <color theme="0"/>
      </right>
      <top/>
      <bottom style="thin">
        <color theme="0" tint="-0.2499465926084170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/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24994659260841701"/>
      </left>
      <right style="thin">
        <color theme="0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24994659260841701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n">
        <color theme="0" tint="-0.24994659260841701"/>
      </bottom>
      <diagonal/>
    </border>
    <border>
      <left style="thin">
        <color theme="0"/>
      </left>
      <right style="thick">
        <color theme="0"/>
      </right>
      <top style="thin">
        <color theme="0" tint="-0.249977111117893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n">
        <color theme="0" tint="-0.249977111117893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/>
      <top style="thin">
        <color theme="0" tint="-0.249977111117893"/>
      </top>
      <bottom style="thin">
        <color theme="0"/>
      </bottom>
      <diagonal/>
    </border>
    <border>
      <left/>
      <right/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 tint="-0.249977111117893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n">
        <color theme="0" tint="-0.249977111117893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6">
    <xf numFmtId="0" fontId="0" fillId="0" borderId="0"/>
    <xf numFmtId="44" fontId="5" fillId="0" borderId="0" applyFont="0" applyFill="0" applyBorder="0"/>
    <xf numFmtId="44" fontId="5" fillId="0" borderId="0" applyFont="0" applyFill="0" applyBorder="0"/>
    <xf numFmtId="44" fontId="25" fillId="0" borderId="0" applyFont="0" applyFill="0" applyBorder="0"/>
    <xf numFmtId="0" fontId="25" fillId="0" borderId="0"/>
    <xf numFmtId="0" fontId="37" fillId="0" borderId="0" applyNumberFormat="0" applyFill="0" applyBorder="0" applyAlignment="0" applyProtection="0"/>
    <xf numFmtId="0" fontId="4" fillId="0" borderId="0"/>
    <xf numFmtId="0" fontId="3" fillId="0" borderId="0"/>
    <xf numFmtId="0" fontId="3" fillId="0" borderId="0"/>
    <xf numFmtId="44" fontId="3" fillId="0" borderId="0" applyFont="0" applyFill="0" applyBorder="0"/>
    <xf numFmtId="0" fontId="2" fillId="0" borderId="0"/>
    <xf numFmtId="0" fontId="2" fillId="0" borderId="0"/>
    <xf numFmtId="44" fontId="2" fillId="0" borderId="0" applyFont="0" applyFill="0" applyBorder="0"/>
    <xf numFmtId="0" fontId="1" fillId="0" borderId="0"/>
    <xf numFmtId="0" fontId="1" fillId="0" borderId="0"/>
    <xf numFmtId="44" fontId="1" fillId="0" borderId="0" applyFont="0" applyFill="0" applyBorder="0"/>
  </cellStyleXfs>
  <cellXfs count="519">
    <xf numFmtId="0" fontId="0" fillId="0" borderId="0" xfId="0"/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12" fillId="2" borderId="14" xfId="0" applyFont="1" applyFill="1" applyBorder="1" applyAlignment="1">
      <alignment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2" fillId="2" borderId="16" xfId="0" applyFont="1" applyFill="1" applyBorder="1" applyAlignment="1">
      <alignment vertical="center"/>
    </xf>
    <xf numFmtId="0" fontId="12" fillId="2" borderId="7" xfId="0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2" borderId="32" xfId="0" applyFont="1" applyFill="1" applyBorder="1" applyAlignment="1">
      <alignment vertical="center"/>
    </xf>
    <xf numFmtId="0" fontId="13" fillId="2" borderId="19" xfId="0" applyFont="1" applyFill="1" applyBorder="1" applyAlignment="1">
      <alignment vertical="center"/>
    </xf>
    <xf numFmtId="0" fontId="14" fillId="0" borderId="0" xfId="0" applyFont="1" applyAlignment="1">
      <alignment vertical="center"/>
    </xf>
    <xf numFmtId="165" fontId="14" fillId="0" borderId="0" xfId="0" applyNumberFormat="1" applyFont="1" applyAlignment="1">
      <alignment horizontal="center" vertical="center"/>
    </xf>
    <xf numFmtId="0" fontId="15" fillId="0" borderId="0" xfId="0" applyFont="1"/>
    <xf numFmtId="0" fontId="16" fillId="5" borderId="0" xfId="0" applyFont="1" applyFill="1" applyAlignment="1">
      <alignment horizontal="center" vertical="center"/>
    </xf>
    <xf numFmtId="0" fontId="17" fillId="5" borderId="34" xfId="0" applyFont="1" applyFill="1" applyBorder="1" applyAlignment="1">
      <alignment horizontal="left" vertical="center"/>
    </xf>
    <xf numFmtId="165" fontId="17" fillId="5" borderId="34" xfId="0" applyNumberFormat="1" applyFont="1" applyFill="1" applyBorder="1" applyAlignment="1">
      <alignment horizontal="center" vertical="center"/>
    </xf>
    <xf numFmtId="4" fontId="17" fillId="5" borderId="34" xfId="0" applyNumberFormat="1" applyFont="1" applyFill="1" applyBorder="1" applyAlignment="1">
      <alignment horizontal="center" vertical="center"/>
    </xf>
    <xf numFmtId="4" fontId="17" fillId="5" borderId="35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4" fontId="14" fillId="0" borderId="0" xfId="0" applyNumberFormat="1" applyFont="1" applyAlignment="1">
      <alignment horizontal="center" vertical="center"/>
    </xf>
    <xf numFmtId="0" fontId="17" fillId="5" borderId="0" xfId="0" applyFont="1" applyFill="1" applyAlignment="1">
      <alignment horizontal="left" vertical="center"/>
    </xf>
    <xf numFmtId="165" fontId="17" fillId="5" borderId="0" xfId="0" applyNumberFormat="1" applyFont="1" applyFill="1" applyAlignment="1">
      <alignment horizontal="center" vertical="center"/>
    </xf>
    <xf numFmtId="4" fontId="17" fillId="5" borderId="0" xfId="0" applyNumberFormat="1" applyFont="1" applyFill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2" fontId="20" fillId="0" borderId="0" xfId="0" applyNumberFormat="1" applyFont="1" applyAlignment="1">
      <alignment horizontal="center" vertical="center" wrapText="1"/>
    </xf>
    <xf numFmtId="2" fontId="14" fillId="0" borderId="0" xfId="0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2" fontId="0" fillId="0" borderId="0" xfId="0" applyNumberFormat="1" applyAlignment="1">
      <alignment vertical="center" wrapText="1"/>
    </xf>
    <xf numFmtId="0" fontId="22" fillId="0" borderId="0" xfId="0" applyFont="1" applyAlignment="1">
      <alignment vertical="center" wrapText="1"/>
    </xf>
    <xf numFmtId="2" fontId="9" fillId="0" borderId="17" xfId="0" applyNumberFormat="1" applyFont="1" applyBorder="1" applyAlignment="1">
      <alignment horizontal="center" vertical="center" wrapText="1"/>
    </xf>
    <xf numFmtId="2" fontId="22" fillId="0" borderId="0" xfId="0" applyNumberFormat="1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24" fillId="6" borderId="17" xfId="0" applyFont="1" applyFill="1" applyBorder="1" applyAlignment="1">
      <alignment horizontal="center" vertical="center" wrapText="1"/>
    </xf>
    <xf numFmtId="2" fontId="24" fillId="6" borderId="17" xfId="0" applyNumberFormat="1" applyFont="1" applyFill="1" applyBorder="1" applyAlignment="1">
      <alignment horizontal="center" vertical="center" wrapText="1"/>
    </xf>
    <xf numFmtId="2" fontId="18" fillId="0" borderId="0" xfId="0" applyNumberFormat="1" applyFont="1" applyAlignment="1">
      <alignment vertical="center" wrapText="1"/>
    </xf>
    <xf numFmtId="0" fontId="9" fillId="0" borderId="17" xfId="0" applyFont="1" applyBorder="1" applyAlignment="1">
      <alignment horizontal="left" vertical="center" wrapText="1"/>
    </xf>
    <xf numFmtId="0" fontId="9" fillId="0" borderId="17" xfId="0" applyFont="1" applyBorder="1" applyAlignment="1">
      <alignment horizontal="center" vertical="center" wrapText="1"/>
    </xf>
    <xf numFmtId="2" fontId="20" fillId="0" borderId="17" xfId="0" applyNumberFormat="1" applyFont="1" applyBorder="1" applyAlignment="1">
      <alignment horizontal="center" vertical="center" wrapText="1"/>
    </xf>
    <xf numFmtId="0" fontId="23" fillId="0" borderId="0" xfId="0" applyFont="1" applyAlignment="1">
      <alignment vertical="center" wrapText="1"/>
    </xf>
    <xf numFmtId="2" fontId="23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center" vertical="center" wrapText="1"/>
    </xf>
    <xf numFmtId="0" fontId="28" fillId="0" borderId="0" xfId="0" applyFont="1" applyAlignment="1"/>
    <xf numFmtId="0" fontId="27" fillId="0" borderId="0" xfId="0" applyFont="1" applyAlignment="1">
      <alignment vertical="center" wrapText="1"/>
    </xf>
    <xf numFmtId="0" fontId="31" fillId="2" borderId="19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2" borderId="43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vertical="center"/>
    </xf>
    <xf numFmtId="44" fontId="0" fillId="9" borderId="18" xfId="0" applyNumberFormat="1" applyFill="1" applyBorder="1" applyAlignment="1">
      <alignment horizontal="center" vertical="center"/>
    </xf>
    <xf numFmtId="1" fontId="0" fillId="9" borderId="18" xfId="0" applyNumberFormat="1" applyFill="1" applyBorder="1" applyAlignment="1">
      <alignment horizontal="center" vertical="center"/>
    </xf>
    <xf numFmtId="44" fontId="0" fillId="9" borderId="21" xfId="0" applyNumberFormat="1" applyFill="1" applyBorder="1" applyAlignment="1">
      <alignment vertical="center"/>
    </xf>
    <xf numFmtId="0" fontId="13" fillId="2" borderId="32" xfId="0" applyFont="1" applyFill="1" applyBorder="1" applyAlignment="1">
      <alignment vertical="center"/>
    </xf>
    <xf numFmtId="44" fontId="0" fillId="9" borderId="33" xfId="0" applyNumberFormat="1" applyFill="1" applyBorder="1" applyAlignment="1">
      <alignment horizontal="center" vertical="center"/>
    </xf>
    <xf numFmtId="44" fontId="0" fillId="9" borderId="25" xfId="0" applyNumberFormat="1" applyFill="1" applyBorder="1" applyAlignment="1">
      <alignment horizontal="center" vertical="center"/>
    </xf>
    <xf numFmtId="44" fontId="0" fillId="9" borderId="39" xfId="0" applyNumberFormat="1" applyFill="1" applyBorder="1" applyAlignment="1">
      <alignment horizontal="center" vertical="center"/>
    </xf>
    <xf numFmtId="44" fontId="0" fillId="9" borderId="39" xfId="0" applyNumberFormat="1" applyFill="1" applyBorder="1"/>
    <xf numFmtId="44" fontId="0" fillId="9" borderId="18" xfId="0" applyNumberFormat="1" applyFill="1" applyBorder="1" applyAlignment="1">
      <alignment vertical="center"/>
    </xf>
    <xf numFmtId="44" fontId="0" fillId="9" borderId="33" xfId="0" applyNumberFormat="1" applyFill="1" applyBorder="1" applyAlignment="1">
      <alignment vertical="center"/>
    </xf>
    <xf numFmtId="44" fontId="0" fillId="9" borderId="11" xfId="0" applyNumberFormat="1" applyFill="1" applyBorder="1" applyAlignment="1">
      <alignment vertical="center"/>
    </xf>
    <xf numFmtId="1" fontId="18" fillId="0" borderId="17" xfId="0" applyNumberFormat="1" applyFont="1" applyBorder="1" applyAlignment="1">
      <alignment horizontal="center" vertical="center" wrapText="1"/>
    </xf>
    <xf numFmtId="0" fontId="0" fillId="0" borderId="0" xfId="0" applyFill="1"/>
    <xf numFmtId="0" fontId="24" fillId="6" borderId="22" xfId="0" applyFont="1" applyFill="1" applyBorder="1" applyAlignment="1">
      <alignment horizontal="center" vertical="center" wrapText="1"/>
    </xf>
    <xf numFmtId="0" fontId="26" fillId="4" borderId="43" xfId="0" applyFont="1" applyFill="1" applyBorder="1" applyAlignment="1">
      <alignment horizontal="center" vertical="center" wrapText="1"/>
    </xf>
    <xf numFmtId="0" fontId="34" fillId="0" borderId="39" xfId="0" applyFont="1" applyBorder="1" applyAlignment="1">
      <alignment horizontal="center" vertical="center" wrapText="1"/>
    </xf>
    <xf numFmtId="0" fontId="12" fillId="0" borderId="0" xfId="0" applyFont="1" applyFill="1" applyAlignment="1">
      <alignment horizontal="center" vertical="center"/>
    </xf>
    <xf numFmtId="0" fontId="31" fillId="2" borderId="16" xfId="0" applyFont="1" applyFill="1" applyBorder="1" applyAlignment="1">
      <alignment vertical="center"/>
    </xf>
    <xf numFmtId="1" fontId="0" fillId="9" borderId="15" xfId="0" applyNumberFormat="1" applyFill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0" fontId="34" fillId="0" borderId="26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 vertical="center" wrapText="1"/>
    </xf>
    <xf numFmtId="0" fontId="0" fillId="0" borderId="6" xfId="0" applyBorder="1"/>
    <xf numFmtId="0" fontId="0" fillId="9" borderId="5" xfId="0" applyFill="1" applyBorder="1"/>
    <xf numFmtId="9" fontId="12" fillId="2" borderId="16" xfId="0" applyNumberFormat="1" applyFont="1" applyFill="1" applyBorder="1" applyAlignment="1">
      <alignment horizontal="center" vertical="center"/>
    </xf>
    <xf numFmtId="9" fontId="12" fillId="2" borderId="19" xfId="0" applyNumberFormat="1" applyFont="1" applyFill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3" fillId="0" borderId="0" xfId="0" applyFont="1"/>
    <xf numFmtId="0" fontId="4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 wrapText="1"/>
    </xf>
    <xf numFmtId="0" fontId="44" fillId="0" borderId="0" xfId="0" applyFont="1" applyFill="1" applyAlignment="1"/>
    <xf numFmtId="0" fontId="50" fillId="10" borderId="57" xfId="0" applyFont="1" applyFill="1" applyBorder="1" applyAlignment="1">
      <alignment horizontal="center" vertical="center"/>
    </xf>
    <xf numFmtId="0" fontId="50" fillId="10" borderId="57" xfId="0" applyFont="1" applyFill="1" applyBorder="1" applyAlignment="1">
      <alignment horizontal="center" vertical="center" wrapText="1"/>
    </xf>
    <xf numFmtId="2" fontId="50" fillId="10" borderId="57" xfId="0" applyNumberFormat="1" applyFont="1" applyFill="1" applyBorder="1" applyAlignment="1">
      <alignment horizontal="center" vertical="center"/>
    </xf>
    <xf numFmtId="44" fontId="50" fillId="10" borderId="57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9" fontId="28" fillId="0" borderId="0" xfId="0" applyNumberFormat="1" applyFont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12" fillId="3" borderId="0" xfId="0" applyFont="1" applyFill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26" fillId="11" borderId="57" xfId="0" applyFont="1" applyFill="1" applyBorder="1" applyAlignment="1" applyProtection="1">
      <alignment horizontal="center" vertical="center" wrapText="1"/>
      <protection locked="0"/>
    </xf>
    <xf numFmtId="0" fontId="52" fillId="0" borderId="57" xfId="0" applyFont="1" applyBorder="1" applyAlignment="1" applyProtection="1">
      <alignment horizontal="left" vertical="center" wrapText="1"/>
      <protection locked="0"/>
    </xf>
    <xf numFmtId="0" fontId="15" fillId="0" borderId="0" xfId="0" applyFont="1" applyAlignment="1">
      <alignment horizontal="center" vertical="center"/>
    </xf>
    <xf numFmtId="0" fontId="12" fillId="8" borderId="27" xfId="0" applyFont="1" applyFill="1" applyBorder="1" applyAlignment="1">
      <alignment horizontal="center" vertical="center"/>
    </xf>
    <xf numFmtId="0" fontId="12" fillId="8" borderId="28" xfId="0" applyFont="1" applyFill="1" applyBorder="1" applyAlignment="1">
      <alignment horizontal="center" vertical="center"/>
    </xf>
    <xf numFmtId="0" fontId="12" fillId="8" borderId="28" xfId="0" applyFont="1" applyFill="1" applyBorder="1" applyAlignment="1">
      <alignment horizontal="center" vertical="center" wrapText="1"/>
    </xf>
    <xf numFmtId="0" fontId="12" fillId="8" borderId="29" xfId="0" applyFont="1" applyFill="1" applyBorder="1" applyAlignment="1">
      <alignment horizontal="center" vertical="center"/>
    </xf>
    <xf numFmtId="49" fontId="4" fillId="0" borderId="23" xfId="0" applyNumberFormat="1" applyFont="1" applyBorder="1" applyAlignment="1">
      <alignment vertical="center" wrapText="1"/>
    </xf>
    <xf numFmtId="49" fontId="4" fillId="0" borderId="23" xfId="0" applyNumberFormat="1" applyFont="1" applyBorder="1" applyAlignment="1">
      <alignment horizontal="center" vertical="center" wrapText="1"/>
    </xf>
    <xf numFmtId="49" fontId="4" fillId="0" borderId="17" xfId="0" applyNumberFormat="1" applyFont="1" applyBorder="1" applyAlignment="1">
      <alignment vertical="center" wrapText="1"/>
    </xf>
    <xf numFmtId="49" fontId="4" fillId="0" borderId="20" xfId="0" applyNumberFormat="1" applyFont="1" applyBorder="1" applyAlignment="1">
      <alignment vertical="center" wrapText="1"/>
    </xf>
    <xf numFmtId="0" fontId="55" fillId="11" borderId="57" xfId="0" applyFont="1" applyFill="1" applyBorder="1" applyAlignment="1">
      <alignment horizontal="center" vertical="center"/>
    </xf>
    <xf numFmtId="0" fontId="0" fillId="11" borderId="57" xfId="0" applyFill="1" applyBorder="1" applyAlignment="1">
      <alignment horizontal="left"/>
    </xf>
    <xf numFmtId="0" fontId="0" fillId="11" borderId="57" xfId="0" applyFill="1" applyBorder="1"/>
    <xf numFmtId="44" fontId="0" fillId="11" borderId="57" xfId="0" applyNumberFormat="1" applyFill="1" applyBorder="1" applyAlignment="1">
      <alignment horizontal="center"/>
    </xf>
    <xf numFmtId="0" fontId="0" fillId="11" borderId="57" xfId="0" applyFill="1" applyBorder="1" applyAlignment="1" applyProtection="1">
      <alignment horizontal="center"/>
      <protection locked="0"/>
    </xf>
    <xf numFmtId="0" fontId="55" fillId="0" borderId="57" xfId="0" applyFont="1" applyFill="1" applyBorder="1" applyAlignment="1">
      <alignment horizontal="center" vertical="center"/>
    </xf>
    <xf numFmtId="0" fontId="0" fillId="0" borderId="57" xfId="0" applyFill="1" applyBorder="1" applyAlignment="1">
      <alignment horizontal="left"/>
    </xf>
    <xf numFmtId="0" fontId="0" fillId="0" borderId="57" xfId="0" applyFill="1" applyBorder="1"/>
    <xf numFmtId="44" fontId="0" fillId="0" borderId="57" xfId="0" applyNumberFormat="1" applyFill="1" applyBorder="1" applyAlignment="1">
      <alignment horizontal="center"/>
    </xf>
    <xf numFmtId="0" fontId="0" fillId="0" borderId="57" xfId="0" applyFill="1" applyBorder="1" applyAlignment="1" applyProtection="1">
      <alignment horizontal="center"/>
      <protection locked="0"/>
    </xf>
    <xf numFmtId="0" fontId="0" fillId="0" borderId="60" xfId="0" applyBorder="1" applyAlignment="1">
      <alignment horizontal="center"/>
    </xf>
    <xf numFmtId="0" fontId="6" fillId="0" borderId="0" xfId="0" applyFont="1" applyFill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33" fillId="0" borderId="0" xfId="0" applyFont="1" applyAlignment="1" applyProtection="1">
      <alignment horizontal="center" vertical="center" wrapText="1"/>
      <protection locked="0"/>
    </xf>
    <xf numFmtId="0" fontId="7" fillId="0" borderId="0" xfId="1" applyNumberFormat="1" applyFont="1" applyFill="1" applyBorder="1" applyAlignment="1" applyProtection="1">
      <alignment horizontal="center" vertical="center"/>
      <protection locked="0"/>
    </xf>
    <xf numFmtId="0" fontId="28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1" applyNumberFormat="1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 wrapText="1"/>
      <protection locked="0"/>
    </xf>
    <xf numFmtId="44" fontId="0" fillId="0" borderId="18" xfId="0" applyNumberFormat="1" applyBorder="1" applyAlignment="1" applyProtection="1">
      <alignment horizontal="center" vertical="center"/>
      <protection locked="0"/>
    </xf>
    <xf numFmtId="0" fontId="28" fillId="0" borderId="0" xfId="0" applyFont="1" applyFill="1" applyAlignment="1">
      <alignment horizontal="center" vertical="center" wrapText="1"/>
    </xf>
    <xf numFmtId="0" fontId="56" fillId="0" borderId="0" xfId="0" applyFont="1" applyFill="1" applyAlignment="1" applyProtection="1">
      <alignment horizontal="center" vertical="center" wrapText="1"/>
      <protection locked="0"/>
    </xf>
    <xf numFmtId="0" fontId="49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 applyProtection="1">
      <alignment vertical="center" wrapText="1"/>
      <protection locked="0"/>
    </xf>
    <xf numFmtId="164" fontId="7" fillId="0" borderId="0" xfId="0" applyNumberFormat="1" applyFont="1" applyAlignment="1" applyProtection="1">
      <alignment vertical="center" wrapText="1"/>
      <protection locked="0"/>
    </xf>
    <xf numFmtId="0" fontId="7" fillId="0" borderId="0" xfId="0" applyFont="1" applyFill="1" applyAlignment="1" applyProtection="1">
      <alignment horizontal="center" vertical="center" wrapText="1"/>
      <protection locked="0"/>
    </xf>
    <xf numFmtId="0" fontId="14" fillId="0" borderId="57" xfId="0" applyFont="1" applyBorder="1" applyAlignment="1">
      <alignment horizontal="center" vertical="center"/>
    </xf>
    <xf numFmtId="0" fontId="40" fillId="3" borderId="57" xfId="0" applyFont="1" applyFill="1" applyBorder="1" applyAlignment="1">
      <alignment vertical="center" wrapText="1"/>
    </xf>
    <xf numFmtId="0" fontId="41" fillId="3" borderId="57" xfId="0" applyFont="1" applyFill="1" applyBorder="1" applyAlignment="1">
      <alignment horizontal="center" vertical="center"/>
    </xf>
    <xf numFmtId="0" fontId="41" fillId="3" borderId="57" xfId="0" applyFont="1" applyFill="1" applyBorder="1" applyAlignment="1">
      <alignment horizontal="center" vertical="center" wrapText="1"/>
    </xf>
    <xf numFmtId="0" fontId="50" fillId="10" borderId="57" xfId="0" applyFont="1" applyFill="1" applyBorder="1" applyAlignment="1">
      <alignment vertical="center" wrapText="1"/>
    </xf>
    <xf numFmtId="0" fontId="14" fillId="0" borderId="57" xfId="0" applyFont="1" applyBorder="1" applyAlignment="1">
      <alignment horizontal="center" vertical="center" wrapText="1"/>
    </xf>
    <xf numFmtId="0" fontId="49" fillId="0" borderId="57" xfId="0" applyNumberFormat="1" applyFont="1" applyFill="1" applyBorder="1" applyAlignment="1">
      <alignment vertical="center"/>
    </xf>
    <xf numFmtId="0" fontId="6" fillId="0" borderId="77" xfId="0" applyFont="1" applyBorder="1"/>
    <xf numFmtId="0" fontId="40" fillId="3" borderId="77" xfId="0" applyFont="1" applyFill="1" applyBorder="1" applyAlignment="1">
      <alignment horizontal="center" vertical="center" wrapText="1"/>
    </xf>
    <xf numFmtId="49" fontId="40" fillId="3" borderId="77" xfId="0" applyNumberFormat="1" applyFont="1" applyFill="1" applyBorder="1" applyAlignment="1">
      <alignment horizontal="center" vertical="center" wrapText="1"/>
    </xf>
    <xf numFmtId="0" fontId="6" fillId="0" borderId="77" xfId="0" applyFont="1" applyFill="1" applyBorder="1"/>
    <xf numFmtId="0" fontId="42" fillId="0" borderId="77" xfId="0" applyFont="1" applyFill="1" applyBorder="1" applyAlignment="1">
      <alignment vertical="center" wrapText="1"/>
    </xf>
    <xf numFmtId="164" fontId="42" fillId="0" borderId="77" xfId="0" applyNumberFormat="1" applyFont="1" applyFill="1" applyBorder="1" applyAlignment="1">
      <alignment horizontal="center" vertical="center"/>
    </xf>
    <xf numFmtId="0" fontId="42" fillId="0" borderId="77" xfId="0" applyFont="1" applyFill="1" applyBorder="1" applyAlignment="1">
      <alignment horizontal="center" vertical="center"/>
    </xf>
    <xf numFmtId="0" fontId="42" fillId="0" borderId="77" xfId="0" applyNumberFormat="1" applyFont="1" applyFill="1" applyBorder="1" applyAlignment="1">
      <alignment horizontal="center" vertical="center"/>
    </xf>
    <xf numFmtId="0" fontId="6" fillId="0" borderId="77" xfId="0" applyFont="1" applyBorder="1" applyAlignment="1">
      <alignment horizontal="center" vertical="center"/>
    </xf>
    <xf numFmtId="2" fontId="49" fillId="0" borderId="57" xfId="0" applyNumberFormat="1" applyFont="1" applyFill="1" applyBorder="1" applyAlignment="1">
      <alignment vertical="center" wrapText="1"/>
    </xf>
    <xf numFmtId="2" fontId="49" fillId="0" borderId="57" xfId="0" applyNumberFormat="1" applyFont="1" applyFill="1" applyBorder="1" applyAlignment="1">
      <alignment vertical="center"/>
    </xf>
    <xf numFmtId="44" fontId="49" fillId="0" borderId="57" xfId="0" applyNumberFormat="1" applyFont="1" applyFill="1" applyBorder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165" fontId="58" fillId="0" borderId="0" xfId="0" applyNumberFormat="1" applyFont="1" applyAlignment="1">
      <alignment horizontal="center" vertical="center"/>
    </xf>
    <xf numFmtId="0" fontId="58" fillId="0" borderId="0" xfId="0" applyFont="1" applyAlignment="1">
      <alignment horizontal="left" vertical="center"/>
    </xf>
    <xf numFmtId="4" fontId="58" fillId="0" borderId="0" xfId="0" applyNumberFormat="1" applyFont="1" applyAlignment="1">
      <alignment horizontal="center" vertical="center"/>
    </xf>
    <xf numFmtId="0" fontId="33" fillId="0" borderId="77" xfId="0" applyFont="1" applyBorder="1" applyAlignment="1">
      <alignment horizontal="center" vertical="center"/>
    </xf>
    <xf numFmtId="0" fontId="51" fillId="0" borderId="77" xfId="0" applyFont="1" applyFill="1" applyBorder="1" applyAlignment="1">
      <alignment horizontal="left" vertical="center" wrapText="1"/>
    </xf>
    <xf numFmtId="0" fontId="43" fillId="0" borderId="77" xfId="0" applyFont="1" applyBorder="1" applyAlignment="1">
      <alignment horizontal="center" vertical="center"/>
    </xf>
    <xf numFmtId="0" fontId="51" fillId="0" borderId="77" xfId="0" applyFont="1" applyFill="1" applyBorder="1" applyAlignment="1">
      <alignment horizontal="left" vertical="center"/>
    </xf>
    <xf numFmtId="0" fontId="43" fillId="0" borderId="77" xfId="0" applyFont="1" applyBorder="1" applyAlignment="1" applyProtection="1">
      <alignment horizontal="center" vertical="center"/>
      <protection locked="0"/>
    </xf>
    <xf numFmtId="1" fontId="41" fillId="3" borderId="77" xfId="0" applyNumberFormat="1" applyFont="1" applyFill="1" applyBorder="1" applyAlignment="1">
      <alignment horizontal="center" vertical="center"/>
    </xf>
    <xf numFmtId="0" fontId="42" fillId="10" borderId="77" xfId="0" applyFont="1" applyFill="1" applyBorder="1" applyAlignment="1">
      <alignment horizontal="center" vertical="center"/>
    </xf>
    <xf numFmtId="0" fontId="42" fillId="10" borderId="77" xfId="0" applyFont="1" applyFill="1" applyBorder="1" applyAlignment="1">
      <alignment horizontal="center" vertical="center" wrapText="1"/>
    </xf>
    <xf numFmtId="0" fontId="42" fillId="10" borderId="77" xfId="0" applyFont="1" applyFill="1" applyBorder="1" applyAlignment="1">
      <alignment horizontal="left" vertical="center" wrapText="1"/>
    </xf>
    <xf numFmtId="2" fontId="42" fillId="10" borderId="77" xfId="0" applyNumberFormat="1" applyFont="1" applyFill="1" applyBorder="1" applyAlignment="1">
      <alignment horizontal="center" vertical="center"/>
    </xf>
    <xf numFmtId="1" fontId="41" fillId="3" borderId="79" xfId="0" applyNumberFormat="1" applyFont="1" applyFill="1" applyBorder="1" applyAlignment="1">
      <alignment horizontal="center" vertical="center"/>
    </xf>
    <xf numFmtId="0" fontId="41" fillId="3" borderId="80" xfId="0" applyFont="1" applyFill="1" applyBorder="1" applyAlignment="1">
      <alignment horizontal="center" vertical="center"/>
    </xf>
    <xf numFmtId="0" fontId="41" fillId="3" borderId="81" xfId="0" applyFont="1" applyFill="1" applyBorder="1" applyAlignment="1">
      <alignment horizontal="center" vertical="center"/>
    </xf>
    <xf numFmtId="2" fontId="42" fillId="10" borderId="82" xfId="0" applyNumberFormat="1" applyFont="1" applyFill="1" applyBorder="1" applyAlignment="1">
      <alignment horizontal="center" vertical="center"/>
    </xf>
    <xf numFmtId="0" fontId="46" fillId="0" borderId="65" xfId="0" applyFont="1" applyBorder="1" applyAlignment="1">
      <alignment horizontal="center" vertical="center"/>
    </xf>
    <xf numFmtId="0" fontId="51" fillId="0" borderId="83" xfId="0" applyFont="1" applyFill="1" applyBorder="1" applyAlignment="1">
      <alignment horizontal="left" vertical="center"/>
    </xf>
    <xf numFmtId="0" fontId="26" fillId="10" borderId="77" xfId="0" applyFont="1" applyFill="1" applyBorder="1" applyAlignment="1">
      <alignment horizontal="center" vertical="center"/>
    </xf>
    <xf numFmtId="0" fontId="42" fillId="10" borderId="77" xfId="0" applyFont="1" applyFill="1" applyBorder="1" applyAlignment="1">
      <alignment horizontal="center" textRotation="90" wrapText="1"/>
    </xf>
    <xf numFmtId="0" fontId="40" fillId="3" borderId="57" xfId="0" applyFont="1" applyFill="1" applyBorder="1" applyAlignment="1">
      <alignment horizontal="center" vertical="center" wrapText="1"/>
    </xf>
    <xf numFmtId="0" fontId="0" fillId="0" borderId="57" xfId="0" applyNumberFormat="1" applyFill="1" applyBorder="1" applyAlignment="1" applyProtection="1">
      <alignment horizontal="left" vertical="center"/>
      <protection locked="0"/>
    </xf>
    <xf numFmtId="0" fontId="0" fillId="11" borderId="57" xfId="0" applyNumberFormat="1" applyFill="1" applyBorder="1" applyAlignment="1" applyProtection="1">
      <alignment horizontal="left" vertical="center"/>
      <protection locked="0"/>
    </xf>
    <xf numFmtId="49" fontId="0" fillId="11" borderId="57" xfId="0" applyNumberFormat="1" applyFill="1" applyBorder="1" applyAlignment="1" applyProtection="1">
      <alignment horizontal="left" vertical="center"/>
      <protection locked="0"/>
    </xf>
    <xf numFmtId="0" fontId="50" fillId="10" borderId="88" xfId="0" applyFont="1" applyFill="1" applyBorder="1" applyAlignment="1">
      <alignment vertical="center" wrapText="1"/>
    </xf>
    <xf numFmtId="0" fontId="50" fillId="10" borderId="88" xfId="0" applyFont="1" applyFill="1" applyBorder="1" applyAlignment="1">
      <alignment horizontal="center" vertical="center" wrapText="1"/>
    </xf>
    <xf numFmtId="2" fontId="50" fillId="10" borderId="88" xfId="0" applyNumberFormat="1" applyFont="1" applyFill="1" applyBorder="1" applyAlignment="1">
      <alignment horizontal="center" vertical="center"/>
    </xf>
    <xf numFmtId="44" fontId="50" fillId="10" borderId="88" xfId="0" applyNumberFormat="1" applyFont="1" applyFill="1" applyBorder="1" applyAlignment="1">
      <alignment horizontal="center" vertical="center"/>
    </xf>
    <xf numFmtId="2" fontId="49" fillId="0" borderId="67" xfId="0" applyNumberFormat="1" applyFont="1" applyFill="1" applyBorder="1" applyAlignment="1">
      <alignment vertical="center" wrapText="1"/>
    </xf>
    <xf numFmtId="0" fontId="49" fillId="0" borderId="67" xfId="0" applyNumberFormat="1" applyFont="1" applyFill="1" applyBorder="1" applyAlignment="1">
      <alignment vertical="center"/>
    </xf>
    <xf numFmtId="2" fontId="49" fillId="0" borderId="67" xfId="0" applyNumberFormat="1" applyFont="1" applyFill="1" applyBorder="1" applyAlignment="1">
      <alignment vertical="center"/>
    </xf>
    <xf numFmtId="44" fontId="49" fillId="0" borderId="67" xfId="0" applyNumberFormat="1" applyFont="1" applyFill="1" applyBorder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52" fillId="0" borderId="0" xfId="0" applyFont="1" applyFill="1" applyBorder="1" applyAlignment="1" applyProtection="1">
      <alignment horizontal="center" vertical="center" wrapText="1"/>
      <protection locked="0"/>
    </xf>
    <xf numFmtId="0" fontId="40" fillId="0" borderId="0" xfId="0" applyFont="1" applyFill="1" applyBorder="1" applyAlignment="1">
      <alignment horizontal="center" vertical="center" wrapText="1"/>
    </xf>
    <xf numFmtId="0" fontId="40" fillId="3" borderId="92" xfId="0" applyFont="1" applyFill="1" applyBorder="1" applyAlignment="1">
      <alignment vertical="center" wrapText="1"/>
    </xf>
    <xf numFmtId="0" fontId="40" fillId="3" borderId="97" xfId="0" applyFont="1" applyFill="1" applyBorder="1" applyAlignment="1">
      <alignment vertical="center" wrapText="1"/>
    </xf>
    <xf numFmtId="0" fontId="14" fillId="0" borderId="95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left" vertical="center" wrapText="1"/>
    </xf>
    <xf numFmtId="0" fontId="14" fillId="0" borderId="0" xfId="0" applyFont="1" applyBorder="1" applyAlignment="1">
      <alignment horizontal="center" vertical="center"/>
    </xf>
    <xf numFmtId="0" fontId="14" fillId="0" borderId="99" xfId="0" applyFont="1" applyBorder="1" applyAlignment="1">
      <alignment horizontal="center" vertical="center"/>
    </xf>
    <xf numFmtId="0" fontId="54" fillId="0" borderId="95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left" vertical="center" wrapText="1"/>
    </xf>
    <xf numFmtId="0" fontId="54" fillId="0" borderId="0" xfId="0" applyFont="1" applyBorder="1" applyAlignment="1">
      <alignment horizontal="center" vertical="center"/>
    </xf>
    <xf numFmtId="7" fontId="54" fillId="0" borderId="99" xfId="0" applyNumberFormat="1" applyFont="1" applyBorder="1" applyAlignment="1">
      <alignment horizontal="center" vertical="center"/>
    </xf>
    <xf numFmtId="0" fontId="14" fillId="3" borderId="96" xfId="0" applyFont="1" applyFill="1" applyBorder="1" applyAlignment="1">
      <alignment horizontal="center" vertical="center" wrapText="1"/>
    </xf>
    <xf numFmtId="0" fontId="54" fillId="3" borderId="95" xfId="0" applyFont="1" applyFill="1" applyBorder="1" applyAlignment="1">
      <alignment horizontal="center" vertical="center" wrapText="1"/>
    </xf>
    <xf numFmtId="0" fontId="54" fillId="3" borderId="0" xfId="0" applyFont="1" applyFill="1" applyBorder="1" applyAlignment="1">
      <alignment horizontal="left" vertical="center" wrapText="1"/>
    </xf>
    <xf numFmtId="0" fontId="54" fillId="3" borderId="0" xfId="0" applyFont="1" applyFill="1" applyBorder="1" applyAlignment="1">
      <alignment horizontal="center" vertical="center"/>
    </xf>
    <xf numFmtId="7" fontId="54" fillId="3" borderId="99" xfId="0" applyNumberFormat="1" applyFont="1" applyFill="1" applyBorder="1" applyAlignment="1">
      <alignment horizontal="center" vertical="center"/>
    </xf>
    <xf numFmtId="0" fontId="60" fillId="3" borderId="100" xfId="0" applyFont="1" applyFill="1" applyBorder="1" applyAlignment="1">
      <alignment horizontal="center" vertical="center" wrapText="1"/>
    </xf>
    <xf numFmtId="0" fontId="60" fillId="0" borderId="100" xfId="0" applyFont="1" applyFill="1" applyBorder="1" applyAlignment="1">
      <alignment vertical="center"/>
    </xf>
    <xf numFmtId="7" fontId="60" fillId="0" borderId="101" xfId="0" applyNumberFormat="1" applyFont="1" applyFill="1" applyBorder="1" applyAlignment="1">
      <alignment horizontal="center" vertical="center"/>
    </xf>
    <xf numFmtId="0" fontId="64" fillId="0" borderId="52" xfId="5" applyFont="1" applyBorder="1" applyAlignment="1" applyProtection="1">
      <alignment horizontal="left" vertical="center"/>
    </xf>
    <xf numFmtId="167" fontId="8" fillId="0" borderId="57" xfId="1" applyNumberFormat="1" applyFont="1" applyBorder="1" applyAlignment="1">
      <alignment horizontal="center" vertical="center"/>
    </xf>
    <xf numFmtId="0" fontId="8" fillId="0" borderId="57" xfId="1" applyNumberFormat="1" applyFont="1" applyBorder="1" applyAlignment="1">
      <alignment horizontal="center" vertical="center"/>
    </xf>
    <xf numFmtId="44" fontId="6" fillId="11" borderId="57" xfId="1" applyFont="1" applyFill="1" applyBorder="1" applyAlignment="1">
      <alignment horizontal="center" vertical="center" wrapText="1"/>
    </xf>
    <xf numFmtId="167" fontId="8" fillId="0" borderId="61" xfId="1" applyNumberFormat="1" applyFont="1" applyBorder="1" applyAlignment="1">
      <alignment horizontal="center" vertical="center"/>
    </xf>
    <xf numFmtId="0" fontId="8" fillId="0" borderId="61" xfId="1" applyNumberFormat="1" applyFont="1" applyBorder="1" applyAlignment="1">
      <alignment horizontal="center" vertical="center"/>
    </xf>
    <xf numFmtId="44" fontId="6" fillId="0" borderId="61" xfId="1" applyFont="1" applyFill="1" applyBorder="1" applyAlignment="1">
      <alignment horizontal="center" vertical="center" wrapText="1"/>
    </xf>
    <xf numFmtId="0" fontId="26" fillId="0" borderId="74" xfId="14" applyFont="1" applyBorder="1" applyAlignment="1">
      <alignment vertical="center" wrapText="1"/>
    </xf>
    <xf numFmtId="0" fontId="26" fillId="0" borderId="72" xfId="14" applyFont="1" applyBorder="1" applyAlignment="1">
      <alignment vertical="center" wrapText="1"/>
    </xf>
    <xf numFmtId="0" fontId="26" fillId="0" borderId="106" xfId="14" applyFont="1" applyBorder="1" applyAlignment="1">
      <alignment vertical="center" wrapText="1"/>
    </xf>
    <xf numFmtId="0" fontId="26" fillId="11" borderId="54" xfId="14" applyFont="1" applyFill="1" applyBorder="1" applyAlignment="1">
      <alignment horizontal="center" vertical="center" wrapText="1"/>
    </xf>
    <xf numFmtId="0" fontId="26" fillId="11" borderId="109" xfId="14" applyFont="1" applyFill="1" applyBorder="1" applyAlignment="1">
      <alignment horizontal="center" vertical="center" wrapText="1"/>
    </xf>
    <xf numFmtId="166" fontId="8" fillId="0" borderId="57" xfId="15" applyNumberFormat="1" applyFont="1" applyBorder="1" applyAlignment="1">
      <alignment horizontal="center" vertical="center"/>
    </xf>
    <xf numFmtId="166" fontId="8" fillId="0" borderId="61" xfId="15" applyNumberFormat="1" applyFont="1" applyBorder="1" applyAlignment="1">
      <alignment horizontal="center" vertical="center"/>
    </xf>
    <xf numFmtId="0" fontId="6" fillId="0" borderId="52" xfId="14" applyFont="1" applyBorder="1" applyAlignment="1">
      <alignment horizontal="center" vertical="center" wrapText="1"/>
    </xf>
    <xf numFmtId="2" fontId="11" fillId="0" borderId="52" xfId="14" applyNumberFormat="1" applyFont="1" applyBorder="1" applyAlignment="1">
      <alignment vertical="center" wrapText="1"/>
    </xf>
    <xf numFmtId="1" fontId="11" fillId="0" borderId="52" xfId="14" applyNumberFormat="1" applyFont="1" applyBorder="1" applyAlignment="1">
      <alignment horizontal="center" vertical="center" wrapText="1"/>
    </xf>
    <xf numFmtId="164" fontId="11" fillId="0" borderId="52" xfId="14" applyNumberFormat="1" applyFont="1" applyBorder="1" applyAlignment="1">
      <alignment horizontal="center" vertical="center" wrapText="1"/>
    </xf>
    <xf numFmtId="1" fontId="11" fillId="0" borderId="52" xfId="14" applyNumberFormat="1" applyFont="1" applyBorder="1" applyAlignment="1">
      <alignment vertical="center" textRotation="255" wrapText="1"/>
    </xf>
    <xf numFmtId="2" fontId="62" fillId="0" borderId="52" xfId="14" applyNumberFormat="1" applyFont="1" applyBorder="1" applyAlignment="1">
      <alignment vertical="center" wrapText="1"/>
    </xf>
    <xf numFmtId="1" fontId="62" fillId="0" borderId="52" xfId="14" applyNumberFormat="1" applyFont="1" applyBorder="1" applyAlignment="1">
      <alignment horizontal="center" vertical="center" wrapText="1"/>
    </xf>
    <xf numFmtId="164" fontId="62" fillId="0" borderId="52" xfId="14" applyNumberFormat="1" applyFont="1" applyBorder="1" applyAlignment="1">
      <alignment horizontal="center" vertical="center" wrapText="1"/>
    </xf>
    <xf numFmtId="0" fontId="63" fillId="0" borderId="52" xfId="14" applyFont="1" applyBorder="1" applyAlignment="1">
      <alignment vertical="center"/>
    </xf>
    <xf numFmtId="0" fontId="65" fillId="0" borderId="52" xfId="14" applyFont="1" applyBorder="1" applyAlignment="1">
      <alignment horizontal="center" vertical="center" wrapText="1"/>
    </xf>
    <xf numFmtId="0" fontId="6" fillId="0" borderId="52" xfId="14" applyFont="1" applyBorder="1" applyAlignment="1">
      <alignment vertical="center" wrapText="1"/>
    </xf>
    <xf numFmtId="0" fontId="38" fillId="3" borderId="52" xfId="14" applyFont="1" applyFill="1" applyBorder="1" applyAlignment="1">
      <alignment horizontal="left" vertical="center" wrapText="1"/>
    </xf>
    <xf numFmtId="0" fontId="66" fillId="0" borderId="65" xfId="14" applyFont="1" applyBorder="1" applyAlignment="1">
      <alignment vertical="center" wrapText="1"/>
    </xf>
    <xf numFmtId="0" fontId="66" fillId="0" borderId="72" xfId="14" applyFont="1" applyBorder="1" applyAlignment="1">
      <alignment vertical="center" wrapText="1"/>
    </xf>
    <xf numFmtId="0" fontId="66" fillId="0" borderId="106" xfId="14" applyFont="1" applyBorder="1" applyAlignment="1">
      <alignment vertical="center" wrapText="1"/>
    </xf>
    <xf numFmtId="0" fontId="26" fillId="0" borderId="52" xfId="14" applyFont="1" applyBorder="1" applyAlignment="1">
      <alignment horizontal="center" vertical="center" wrapText="1"/>
    </xf>
    <xf numFmtId="164" fontId="62" fillId="0" borderId="50" xfId="14" applyNumberFormat="1" applyFont="1" applyBorder="1" applyAlignment="1">
      <alignment horizontal="center" vertical="center" wrapText="1"/>
    </xf>
    <xf numFmtId="0" fontId="67" fillId="0" borderId="52" xfId="14" applyFont="1" applyBorder="1" applyAlignment="1">
      <alignment vertical="center" wrapText="1"/>
    </xf>
    <xf numFmtId="2" fontId="11" fillId="0" borderId="53" xfId="14" applyNumberFormat="1" applyFont="1" applyBorder="1" applyAlignment="1">
      <alignment vertical="center" wrapText="1"/>
    </xf>
    <xf numFmtId="1" fontId="11" fillId="0" borderId="53" xfId="14" applyNumberFormat="1" applyFont="1" applyBorder="1" applyAlignment="1">
      <alignment horizontal="center" vertical="center" wrapText="1"/>
    </xf>
    <xf numFmtId="164" fontId="11" fillId="0" borderId="53" xfId="14" applyNumberFormat="1" applyFont="1" applyBorder="1" applyAlignment="1">
      <alignment horizontal="center" vertical="center" wrapText="1"/>
    </xf>
    <xf numFmtId="1" fontId="11" fillId="0" borderId="53" xfId="14" applyNumberFormat="1" applyFont="1" applyBorder="1" applyAlignment="1">
      <alignment vertical="center" textRotation="255" wrapText="1"/>
    </xf>
    <xf numFmtId="0" fontId="38" fillId="3" borderId="52" xfId="14" applyFont="1" applyFill="1" applyBorder="1" applyAlignment="1">
      <alignment vertical="center" wrapText="1"/>
    </xf>
    <xf numFmtId="164" fontId="68" fillId="0" borderId="57" xfId="14" applyNumberFormat="1" applyFont="1" applyBorder="1" applyAlignment="1">
      <alignment vertical="center" wrapText="1"/>
    </xf>
    <xf numFmtId="166" fontId="11" fillId="0" borderId="57" xfId="14" applyNumberFormat="1" applyFont="1" applyBorder="1" applyAlignment="1">
      <alignment vertical="center" wrapText="1"/>
    </xf>
    <xf numFmtId="164" fontId="65" fillId="0" borderId="114" xfId="14" applyNumberFormat="1" applyFont="1" applyBorder="1" applyAlignment="1">
      <alignment horizontal="center" vertical="center" wrapText="1"/>
    </xf>
    <xf numFmtId="0" fontId="69" fillId="0" borderId="115" xfId="14" applyFont="1" applyBorder="1" applyAlignment="1">
      <alignment vertical="center" wrapText="1"/>
    </xf>
    <xf numFmtId="0" fontId="69" fillId="0" borderId="55" xfId="14" applyFont="1" applyBorder="1" applyAlignment="1">
      <alignment vertical="center" wrapText="1"/>
    </xf>
    <xf numFmtId="0" fontId="69" fillId="0" borderId="56" xfId="14" applyFont="1" applyBorder="1" applyAlignment="1">
      <alignment vertical="center" wrapText="1"/>
    </xf>
    <xf numFmtId="0" fontId="69" fillId="0" borderId="64" xfId="14" applyFont="1" applyBorder="1" applyAlignment="1">
      <alignment vertical="center" wrapText="1"/>
    </xf>
    <xf numFmtId="0" fontId="65" fillId="0" borderId="51" xfId="14" applyFont="1" applyBorder="1" applyAlignment="1">
      <alignment horizontal="center" vertical="center" wrapText="1"/>
    </xf>
    <xf numFmtId="1" fontId="40" fillId="3" borderId="54" xfId="14" applyNumberFormat="1" applyFont="1" applyFill="1" applyBorder="1" applyAlignment="1">
      <alignment horizontal="center" vertical="center" wrapText="1"/>
    </xf>
    <xf numFmtId="1" fontId="40" fillId="3" borderId="53" xfId="14" applyNumberFormat="1" applyFont="1" applyFill="1" applyBorder="1" applyAlignment="1">
      <alignment horizontal="center" vertical="center" wrapText="1"/>
    </xf>
    <xf numFmtId="1" fontId="40" fillId="3" borderId="116" xfId="14" applyNumberFormat="1" applyFont="1" applyFill="1" applyBorder="1" applyAlignment="1">
      <alignment horizontal="center" vertical="center" wrapText="1"/>
    </xf>
    <xf numFmtId="1" fontId="40" fillId="3" borderId="65" xfId="14" applyNumberFormat="1" applyFont="1" applyFill="1" applyBorder="1" applyAlignment="1">
      <alignment horizontal="center" vertical="center" wrapText="1"/>
    </xf>
    <xf numFmtId="1" fontId="40" fillId="3" borderId="117" xfId="14" applyNumberFormat="1" applyFont="1" applyFill="1" applyBorder="1" applyAlignment="1">
      <alignment horizontal="center" vertical="center" wrapText="1"/>
    </xf>
    <xf numFmtId="1" fontId="40" fillId="3" borderId="118" xfId="14" applyNumberFormat="1" applyFont="1" applyFill="1" applyBorder="1" applyAlignment="1">
      <alignment horizontal="center" vertical="center" wrapText="1"/>
    </xf>
    <xf numFmtId="1" fontId="40" fillId="3" borderId="119" xfId="14" applyNumberFormat="1" applyFont="1" applyFill="1" applyBorder="1" applyAlignment="1">
      <alignment horizontal="center" vertical="center" wrapText="1"/>
    </xf>
    <xf numFmtId="1" fontId="40" fillId="3" borderId="72" xfId="14" applyNumberFormat="1" applyFont="1" applyFill="1" applyBorder="1" applyAlignment="1">
      <alignment horizontal="center" vertical="center" wrapText="1"/>
    </xf>
    <xf numFmtId="1" fontId="8" fillId="0" borderId="51" xfId="14" applyNumberFormat="1" applyFont="1" applyBorder="1" applyAlignment="1">
      <alignment horizontal="center" vertical="center" wrapText="1"/>
    </xf>
    <xf numFmtId="2" fontId="68" fillId="0" borderId="57" xfId="14" applyNumberFormat="1" applyFont="1" applyBorder="1" applyAlignment="1">
      <alignment horizontal="center" vertical="center" wrapText="1"/>
    </xf>
    <xf numFmtId="2" fontId="11" fillId="0" borderId="57" xfId="14" applyNumberFormat="1" applyFont="1" applyBorder="1" applyAlignment="1">
      <alignment horizontal="center" vertical="center" wrapText="1"/>
    </xf>
    <xf numFmtId="2" fontId="62" fillId="0" borderId="57" xfId="14" applyNumberFormat="1" applyFont="1" applyBorder="1" applyAlignment="1">
      <alignment horizontal="center" vertical="center" wrapText="1"/>
    </xf>
    <xf numFmtId="1" fontId="65" fillId="0" borderId="57" xfId="14" applyNumberFormat="1" applyFont="1" applyBorder="1" applyAlignment="1">
      <alignment horizontal="center" vertical="center" wrapText="1"/>
    </xf>
    <xf numFmtId="2" fontId="65" fillId="0" borderId="57" xfId="14" applyNumberFormat="1" applyFont="1" applyBorder="1" applyAlignment="1">
      <alignment horizontal="center" vertical="center" wrapText="1"/>
    </xf>
    <xf numFmtId="164" fontId="65" fillId="0" borderId="67" xfId="14" applyNumberFormat="1" applyFont="1" applyBorder="1" applyAlignment="1">
      <alignment horizontal="center" vertical="center" wrapText="1"/>
    </xf>
    <xf numFmtId="1" fontId="65" fillId="0" borderId="67" xfId="14" applyNumberFormat="1" applyFont="1" applyBorder="1" applyAlignment="1">
      <alignment horizontal="center" vertical="center" wrapText="1"/>
    </xf>
    <xf numFmtId="2" fontId="65" fillId="0" borderId="67" xfId="14" applyNumberFormat="1" applyFont="1" applyBorder="1" applyAlignment="1">
      <alignment horizontal="center" vertical="center" wrapText="1"/>
    </xf>
    <xf numFmtId="164" fontId="65" fillId="0" borderId="0" xfId="14" applyNumberFormat="1" applyFont="1" applyAlignment="1">
      <alignment horizontal="center" vertical="center" wrapText="1"/>
    </xf>
    <xf numFmtId="0" fontId="73" fillId="11" borderId="64" xfId="14" applyFont="1" applyFill="1" applyBorder="1" applyAlignment="1">
      <alignment horizontal="center" vertical="center" wrapText="1"/>
    </xf>
    <xf numFmtId="1" fontId="26" fillId="11" borderId="53" xfId="14" applyNumberFormat="1" applyFont="1" applyFill="1" applyBorder="1" applyAlignment="1">
      <alignment horizontal="center" vertical="center" wrapText="1"/>
    </xf>
    <xf numFmtId="1" fontId="40" fillId="3" borderId="116" xfId="14" applyNumberFormat="1" applyFont="1" applyFill="1" applyBorder="1" applyAlignment="1">
      <alignment horizontal="center" vertical="center"/>
    </xf>
    <xf numFmtId="1" fontId="49" fillId="3" borderId="116" xfId="14" applyNumberFormat="1" applyFont="1" applyFill="1" applyBorder="1" applyAlignment="1">
      <alignment horizontal="center" vertical="center" wrapText="1"/>
    </xf>
    <xf numFmtId="49" fontId="40" fillId="3" borderId="116" xfId="14" applyNumberFormat="1" applyFont="1" applyFill="1" applyBorder="1" applyAlignment="1">
      <alignment horizontal="center" vertical="center" wrapText="1"/>
    </xf>
    <xf numFmtId="0" fontId="73" fillId="11" borderId="72" xfId="14" applyFont="1" applyFill="1" applyBorder="1" applyAlignment="1">
      <alignment horizontal="center" vertical="center" wrapText="1"/>
    </xf>
    <xf numFmtId="0" fontId="75" fillId="0" borderId="51" xfId="14" applyFont="1" applyBorder="1" applyAlignment="1">
      <alignment vertical="center" wrapText="1"/>
    </xf>
    <xf numFmtId="0" fontId="65" fillId="0" borderId="52" xfId="14" applyFont="1" applyBorder="1" applyAlignment="1">
      <alignment vertical="center" wrapText="1"/>
    </xf>
    <xf numFmtId="0" fontId="7" fillId="0" borderId="77" xfId="14" applyFont="1" applyBorder="1" applyAlignment="1">
      <alignment horizontal="center" vertical="center" wrapText="1"/>
    </xf>
    <xf numFmtId="0" fontId="7" fillId="0" borderId="60" xfId="14" applyFont="1" applyBorder="1" applyAlignment="1">
      <alignment horizontal="center" vertical="center" wrapText="1"/>
    </xf>
    <xf numFmtId="0" fontId="6" fillId="0" borderId="57" xfId="14" applyFont="1" applyBorder="1" applyAlignment="1">
      <alignment horizontal="center" vertical="center" wrapText="1"/>
    </xf>
    <xf numFmtId="0" fontId="8" fillId="0" borderId="57" xfId="14" applyFont="1" applyBorder="1" applyAlignment="1">
      <alignment vertical="center" wrapText="1"/>
    </xf>
    <xf numFmtId="0" fontId="33" fillId="0" borderId="57" xfId="14" applyFont="1" applyBorder="1" applyAlignment="1">
      <alignment horizontal="center" vertical="center" wrapText="1"/>
    </xf>
    <xf numFmtId="0" fontId="8" fillId="0" borderId="57" xfId="14" applyFont="1" applyBorder="1" applyAlignment="1">
      <alignment horizontal="center" vertical="center" wrapText="1"/>
    </xf>
    <xf numFmtId="2" fontId="76" fillId="0" borderId="57" xfId="14" applyNumberFormat="1" applyFont="1" applyBorder="1" applyAlignment="1">
      <alignment horizontal="center" vertical="center" wrapText="1"/>
    </xf>
    <xf numFmtId="164" fontId="7" fillId="11" borderId="57" xfId="14" applyNumberFormat="1" applyFont="1" applyFill="1" applyBorder="1" applyAlignment="1">
      <alignment horizontal="center" vertical="center" wrapText="1"/>
    </xf>
    <xf numFmtId="2" fontId="48" fillId="0" borderId="57" xfId="14" applyNumberFormat="1" applyFont="1" applyBorder="1" applyAlignment="1" applyProtection="1">
      <alignment horizontal="center" vertical="center" wrapText="1"/>
      <protection locked="0"/>
    </xf>
    <xf numFmtId="164" fontId="7" fillId="11" borderId="57" xfId="14" applyNumberFormat="1" applyFont="1" applyFill="1" applyBorder="1" applyAlignment="1">
      <alignment vertical="center" wrapText="1"/>
    </xf>
    <xf numFmtId="0" fontId="7" fillId="0" borderId="57" xfId="14" applyFont="1" applyBorder="1" applyAlignment="1">
      <alignment horizontal="center" vertical="center" wrapText="1"/>
    </xf>
    <xf numFmtId="2" fontId="39" fillId="0" borderId="57" xfId="14" applyNumberFormat="1" applyFont="1" applyBorder="1" applyAlignment="1">
      <alignment horizontal="center" vertical="center" wrapText="1"/>
    </xf>
    <xf numFmtId="1" fontId="7" fillId="0" borderId="57" xfId="14" applyNumberFormat="1" applyFont="1" applyBorder="1" applyAlignment="1">
      <alignment horizontal="center" vertical="center" wrapText="1"/>
    </xf>
    <xf numFmtId="2" fontId="6" fillId="0" borderId="57" xfId="14" applyNumberFormat="1" applyFont="1" applyBorder="1" applyAlignment="1">
      <alignment horizontal="center" vertical="center" wrapText="1"/>
    </xf>
    <xf numFmtId="164" fontId="6" fillId="11" borderId="70" xfId="14" applyNumberFormat="1" applyFont="1" applyFill="1" applyBorder="1" applyAlignment="1">
      <alignment vertical="center" wrapText="1"/>
    </xf>
    <xf numFmtId="1" fontId="7" fillId="0" borderId="68" xfId="14" applyNumberFormat="1" applyFont="1" applyBorder="1" applyAlignment="1">
      <alignment horizontal="center" vertical="center" wrapText="1"/>
    </xf>
    <xf numFmtId="164" fontId="6" fillId="11" borderId="69" xfId="14" applyNumberFormat="1" applyFont="1" applyFill="1" applyBorder="1" applyAlignment="1">
      <alignment vertical="center" wrapText="1"/>
    </xf>
    <xf numFmtId="1" fontId="7" fillId="0" borderId="60" xfId="14" applyNumberFormat="1" applyFont="1" applyBorder="1" applyAlignment="1">
      <alignment horizontal="center" vertical="center" wrapText="1"/>
    </xf>
    <xf numFmtId="164" fontId="6" fillId="11" borderId="66" xfId="14" applyNumberFormat="1" applyFont="1" applyFill="1" applyBorder="1" applyAlignment="1">
      <alignment vertical="center" wrapText="1"/>
    </xf>
    <xf numFmtId="164" fontId="6" fillId="11" borderId="64" xfId="14" applyNumberFormat="1" applyFont="1" applyFill="1" applyBorder="1" applyAlignment="1">
      <alignment vertical="center" wrapText="1"/>
    </xf>
    <xf numFmtId="0" fontId="6" fillId="0" borderId="51" xfId="14" applyFont="1" applyBorder="1" applyAlignment="1">
      <alignment horizontal="center" vertical="center" wrapText="1"/>
    </xf>
    <xf numFmtId="1" fontId="7" fillId="0" borderId="51" xfId="14" applyNumberFormat="1" applyFont="1" applyBorder="1" applyAlignment="1">
      <alignment horizontal="center" vertical="center" wrapText="1"/>
    </xf>
    <xf numFmtId="0" fontId="6" fillId="2" borderId="52" xfId="14" applyFont="1" applyFill="1" applyBorder="1" applyAlignment="1">
      <alignment vertical="center" wrapText="1"/>
    </xf>
    <xf numFmtId="0" fontId="6" fillId="0" borderId="77" xfId="14" applyFont="1" applyBorder="1" applyAlignment="1">
      <alignment horizontal="center" vertical="center" wrapText="1"/>
    </xf>
    <xf numFmtId="164" fontId="6" fillId="11" borderId="128" xfId="14" applyNumberFormat="1" applyFont="1" applyFill="1" applyBorder="1" applyAlignment="1">
      <alignment vertical="center" wrapText="1"/>
    </xf>
    <xf numFmtId="164" fontId="6" fillId="11" borderId="57" xfId="14" applyNumberFormat="1" applyFont="1" applyFill="1" applyBorder="1" applyAlignment="1">
      <alignment vertical="center" wrapText="1"/>
    </xf>
    <xf numFmtId="0" fontId="6" fillId="0" borderId="55" xfId="14" applyFont="1" applyBorder="1" applyAlignment="1">
      <alignment horizontal="center" vertical="center" wrapText="1"/>
    </xf>
    <xf numFmtId="0" fontId="6" fillId="0" borderId="56" xfId="14" applyFont="1" applyBorder="1" applyAlignment="1">
      <alignment horizontal="center" vertical="center" wrapText="1"/>
    </xf>
    <xf numFmtId="0" fontId="7" fillId="0" borderId="61" xfId="14" applyFont="1" applyBorder="1" applyAlignment="1">
      <alignment horizontal="center" vertical="center" wrapText="1"/>
    </xf>
    <xf numFmtId="0" fontId="6" fillId="0" borderId="61" xfId="14" applyFont="1" applyBorder="1" applyAlignment="1">
      <alignment horizontal="center" vertical="center" wrapText="1"/>
    </xf>
    <xf numFmtId="0" fontId="8" fillId="0" borderId="61" xfId="14" applyFont="1" applyBorder="1" applyAlignment="1">
      <alignment vertical="center" wrapText="1"/>
    </xf>
    <xf numFmtId="0" fontId="33" fillId="0" borderId="61" xfId="14" applyFont="1" applyBorder="1" applyAlignment="1">
      <alignment horizontal="center" vertical="center"/>
    </xf>
    <xf numFmtId="0" fontId="8" fillId="0" borderId="61" xfId="14" applyFont="1" applyBorder="1" applyAlignment="1">
      <alignment horizontal="center" vertical="center" wrapText="1"/>
    </xf>
    <xf numFmtId="2" fontId="7" fillId="0" borderId="61" xfId="14" applyNumberFormat="1" applyFont="1" applyBorder="1" applyAlignment="1">
      <alignment horizontal="center" vertical="center" wrapText="1"/>
    </xf>
    <xf numFmtId="164" fontId="7" fillId="0" borderId="61" xfId="14" applyNumberFormat="1" applyFont="1" applyBorder="1" applyAlignment="1">
      <alignment horizontal="center" vertical="center" wrapText="1"/>
    </xf>
    <xf numFmtId="1" fontId="11" fillId="0" borderId="64" xfId="14" applyNumberFormat="1" applyFont="1" applyBorder="1" applyAlignment="1">
      <alignment vertical="center" textRotation="255" wrapText="1"/>
    </xf>
    <xf numFmtId="164" fontId="7" fillId="0" borderId="61" xfId="14" applyNumberFormat="1" applyFont="1" applyBorder="1" applyAlignment="1">
      <alignment vertical="center" wrapText="1"/>
    </xf>
    <xf numFmtId="1" fontId="11" fillId="0" borderId="0" xfId="14" applyNumberFormat="1" applyFont="1" applyAlignment="1">
      <alignment vertical="center" textRotation="255" wrapText="1"/>
    </xf>
    <xf numFmtId="1" fontId="7" fillId="0" borderId="71" xfId="14" applyNumberFormat="1" applyFont="1" applyBorder="1" applyAlignment="1">
      <alignment horizontal="center" vertical="center" wrapText="1"/>
    </xf>
    <xf numFmtId="2" fontId="6" fillId="0" borderId="71" xfId="14" applyNumberFormat="1" applyFont="1" applyBorder="1" applyAlignment="1">
      <alignment horizontal="center" vertical="center" wrapText="1"/>
    </xf>
    <xf numFmtId="164" fontId="6" fillId="0" borderId="71" xfId="14" applyNumberFormat="1" applyFont="1" applyBorder="1" applyAlignment="1">
      <alignment vertical="center" wrapText="1"/>
    </xf>
    <xf numFmtId="2" fontId="6" fillId="0" borderId="61" xfId="14" applyNumberFormat="1" applyFont="1" applyBorder="1" applyAlignment="1">
      <alignment horizontal="center" vertical="center" wrapText="1"/>
    </xf>
    <xf numFmtId="164" fontId="6" fillId="0" borderId="61" xfId="14" applyNumberFormat="1" applyFont="1" applyBorder="1" applyAlignment="1">
      <alignment vertical="center" wrapText="1"/>
    </xf>
    <xf numFmtId="1" fontId="7" fillId="0" borderId="61" xfId="14" applyNumberFormat="1" applyFont="1" applyBorder="1" applyAlignment="1">
      <alignment horizontal="center" vertical="center" wrapText="1"/>
    </xf>
    <xf numFmtId="164" fontId="6" fillId="0" borderId="0" xfId="14" applyNumberFormat="1" applyFont="1" applyAlignment="1">
      <alignment vertical="center" wrapText="1"/>
    </xf>
    <xf numFmtId="0" fontId="6" fillId="0" borderId="54" xfId="14" applyFont="1" applyBorder="1" applyAlignment="1">
      <alignment horizontal="center" vertical="center" wrapText="1"/>
    </xf>
    <xf numFmtId="1" fontId="65" fillId="0" borderId="55" xfId="14" applyNumberFormat="1" applyFont="1" applyBorder="1" applyAlignment="1">
      <alignment horizontal="center" vertical="center" wrapText="1"/>
    </xf>
    <xf numFmtId="0" fontId="6" fillId="0" borderId="55" xfId="14" applyFont="1" applyBorder="1" applyAlignment="1">
      <alignment vertical="center" wrapText="1"/>
    </xf>
    <xf numFmtId="0" fontId="6" fillId="0" borderId="55" xfId="14" applyFont="1" applyBorder="1" applyAlignment="1">
      <alignment horizontal="center" vertical="center"/>
    </xf>
    <xf numFmtId="167" fontId="6" fillId="0" borderId="55" xfId="14" applyNumberFormat="1" applyFont="1" applyBorder="1" applyAlignment="1">
      <alignment horizontal="center" vertical="center"/>
    </xf>
    <xf numFmtId="1" fontId="7" fillId="0" borderId="55" xfId="14" applyNumberFormat="1" applyFont="1" applyBorder="1" applyAlignment="1">
      <alignment horizontal="center" vertical="center" wrapText="1"/>
    </xf>
    <xf numFmtId="2" fontId="6" fillId="0" borderId="55" xfId="14" applyNumberFormat="1" applyFont="1" applyBorder="1" applyAlignment="1">
      <alignment horizontal="center" vertical="center" wrapText="1"/>
    </xf>
    <xf numFmtId="1" fontId="7" fillId="0" borderId="52" xfId="14" applyNumberFormat="1" applyFont="1" applyBorder="1" applyAlignment="1">
      <alignment horizontal="center" vertical="center" wrapText="1"/>
    </xf>
    <xf numFmtId="1" fontId="65" fillId="0" borderId="52" xfId="14" applyNumberFormat="1" applyFont="1" applyBorder="1" applyAlignment="1">
      <alignment horizontal="center" vertical="center" wrapText="1"/>
    </xf>
    <xf numFmtId="0" fontId="6" fillId="0" borderId="52" xfId="14" applyFont="1" applyBorder="1" applyAlignment="1">
      <alignment horizontal="center" vertical="center"/>
    </xf>
    <xf numFmtId="167" fontId="6" fillId="0" borderId="52" xfId="14" applyNumberFormat="1" applyFont="1" applyBorder="1" applyAlignment="1">
      <alignment horizontal="center" vertical="center"/>
    </xf>
    <xf numFmtId="2" fontId="6" fillId="0" borderId="52" xfId="14" applyNumberFormat="1" applyFont="1" applyBorder="1" applyAlignment="1">
      <alignment horizontal="center" vertical="center" wrapText="1"/>
    </xf>
    <xf numFmtId="0" fontId="4" fillId="0" borderId="17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31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12" fillId="2" borderId="14" xfId="0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3" fillId="2" borderId="44" xfId="0" applyFont="1" applyFill="1" applyBorder="1" applyAlignment="1">
      <alignment horizontal="center" vertical="center"/>
    </xf>
    <xf numFmtId="0" fontId="13" fillId="2" borderId="45" xfId="0" applyFont="1" applyFill="1" applyBorder="1" applyAlignment="1">
      <alignment horizontal="center" vertical="center"/>
    </xf>
    <xf numFmtId="0" fontId="13" fillId="2" borderId="49" xfId="0" applyFont="1" applyFill="1" applyBorder="1" applyAlignment="1">
      <alignment horizontal="center" vertical="center"/>
    </xf>
    <xf numFmtId="0" fontId="31" fillId="2" borderId="44" xfId="0" applyFont="1" applyFill="1" applyBorder="1" applyAlignment="1">
      <alignment horizontal="center" vertical="center"/>
    </xf>
    <xf numFmtId="0" fontId="31" fillId="2" borderId="45" xfId="0" applyFont="1" applyFill="1" applyBorder="1" applyAlignment="1">
      <alignment horizontal="center" vertical="center"/>
    </xf>
    <xf numFmtId="0" fontId="31" fillId="2" borderId="49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2" fillId="2" borderId="30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44" fillId="3" borderId="77" xfId="0" applyFont="1" applyFill="1" applyBorder="1" applyAlignment="1">
      <alignment horizontal="center" vertical="center"/>
    </xf>
    <xf numFmtId="49" fontId="43" fillId="0" borderId="77" xfId="0" applyNumberFormat="1" applyFont="1" applyBorder="1" applyAlignment="1">
      <alignment horizontal="left" vertical="center"/>
    </xf>
    <xf numFmtId="0" fontId="43" fillId="0" borderId="77" xfId="0" applyNumberFormat="1" applyFont="1" applyBorder="1" applyAlignment="1">
      <alignment horizontal="left" vertical="center"/>
    </xf>
    <xf numFmtId="0" fontId="43" fillId="0" borderId="78" xfId="0" applyNumberFormat="1" applyFont="1" applyBorder="1" applyAlignment="1">
      <alignment horizontal="left" vertical="center"/>
    </xf>
    <xf numFmtId="0" fontId="57" fillId="0" borderId="76" xfId="0" applyFont="1" applyFill="1" applyBorder="1" applyAlignment="1" applyProtection="1">
      <alignment horizontal="left" vertical="top"/>
      <protection locked="0"/>
    </xf>
    <xf numFmtId="0" fontId="57" fillId="0" borderId="0" xfId="0" applyFont="1" applyFill="1" applyBorder="1" applyAlignment="1" applyProtection="1">
      <alignment horizontal="left" vertical="top"/>
      <protection locked="0"/>
    </xf>
    <xf numFmtId="0" fontId="73" fillId="11" borderId="126" xfId="14" applyFont="1" applyFill="1" applyBorder="1" applyAlignment="1">
      <alignment horizontal="center" vertical="center" wrapText="1"/>
    </xf>
    <xf numFmtId="0" fontId="73" fillId="11" borderId="127" xfId="14" applyFont="1" applyFill="1" applyBorder="1" applyAlignment="1">
      <alignment horizontal="center" vertical="center" wrapText="1"/>
    </xf>
    <xf numFmtId="0" fontId="73" fillId="11" borderId="121" xfId="14" applyFont="1" applyFill="1" applyBorder="1" applyAlignment="1">
      <alignment horizontal="center" vertical="center" wrapText="1"/>
    </xf>
    <xf numFmtId="0" fontId="73" fillId="11" borderId="122" xfId="14" applyFont="1" applyFill="1" applyBorder="1" applyAlignment="1">
      <alignment horizontal="center" vertical="center" wrapText="1"/>
    </xf>
    <xf numFmtId="0" fontId="74" fillId="0" borderId="123" xfId="14" applyFont="1" applyBorder="1" applyAlignment="1">
      <alignment horizontal="center" vertical="center" wrapText="1"/>
    </xf>
    <xf numFmtId="0" fontId="74" fillId="0" borderId="124" xfId="14" applyFont="1" applyBorder="1" applyAlignment="1">
      <alignment horizontal="center" vertical="center" wrapText="1"/>
    </xf>
    <xf numFmtId="0" fontId="74" fillId="0" borderId="112" xfId="14" applyFont="1" applyBorder="1" applyAlignment="1">
      <alignment horizontal="center" vertical="center" wrapText="1"/>
    </xf>
    <xf numFmtId="49" fontId="73" fillId="11" borderId="125" xfId="14" applyNumberFormat="1" applyFont="1" applyFill="1" applyBorder="1" applyAlignment="1">
      <alignment horizontal="center" vertical="center" wrapText="1"/>
    </xf>
    <xf numFmtId="1" fontId="71" fillId="3" borderId="55" xfId="14" applyNumberFormat="1" applyFont="1" applyFill="1" applyBorder="1" applyAlignment="1">
      <alignment horizontal="center" vertical="center" wrapText="1"/>
    </xf>
    <xf numFmtId="49" fontId="72" fillId="11" borderId="120" xfId="14" applyNumberFormat="1" applyFont="1" applyFill="1" applyBorder="1" applyAlignment="1">
      <alignment horizontal="center" vertical="center" wrapText="1"/>
    </xf>
    <xf numFmtId="0" fontId="72" fillId="11" borderId="121" xfId="14" applyFont="1" applyFill="1" applyBorder="1" applyAlignment="1">
      <alignment horizontal="center" vertical="center" wrapText="1"/>
    </xf>
    <xf numFmtId="1" fontId="38" fillId="3" borderId="110" xfId="14" applyNumberFormat="1" applyFont="1" applyFill="1" applyBorder="1" applyAlignment="1">
      <alignment horizontal="center" vertical="center" textRotation="255" wrapText="1"/>
    </xf>
    <xf numFmtId="1" fontId="38" fillId="3" borderId="52" xfId="14" applyNumberFormat="1" applyFont="1" applyFill="1" applyBorder="1" applyAlignment="1">
      <alignment horizontal="center" vertical="center" textRotation="255" wrapText="1"/>
    </xf>
    <xf numFmtId="1" fontId="38" fillId="3" borderId="53" xfId="14" applyNumberFormat="1" applyFont="1" applyFill="1" applyBorder="1" applyAlignment="1">
      <alignment horizontal="center" vertical="center" textRotation="255" wrapText="1"/>
    </xf>
    <xf numFmtId="1" fontId="38" fillId="3" borderId="52" xfId="14" applyNumberFormat="1" applyFont="1" applyFill="1" applyBorder="1" applyAlignment="1">
      <alignment horizontal="center" vertical="center" wrapText="1"/>
    </xf>
    <xf numFmtId="1" fontId="38" fillId="3" borderId="113" xfId="14" applyNumberFormat="1" applyFont="1" applyFill="1" applyBorder="1" applyAlignment="1">
      <alignment horizontal="center" vertical="center" wrapText="1"/>
    </xf>
    <xf numFmtId="1" fontId="47" fillId="3" borderId="52" xfId="14" applyNumberFormat="1" applyFont="1" applyFill="1" applyBorder="1" applyAlignment="1">
      <alignment horizontal="center" vertical="center" wrapText="1"/>
    </xf>
    <xf numFmtId="49" fontId="8" fillId="0" borderId="57" xfId="14" applyNumberFormat="1" applyFont="1" applyBorder="1" applyAlignment="1">
      <alignment horizontal="left" vertical="center" wrapText="1"/>
    </xf>
    <xf numFmtId="0" fontId="8" fillId="0" borderId="57" xfId="14" applyFont="1" applyBorder="1" applyAlignment="1">
      <alignment horizontal="left" vertical="center" wrapText="1"/>
    </xf>
    <xf numFmtId="1" fontId="40" fillId="3" borderId="53" xfId="14" applyNumberFormat="1" applyFont="1" applyFill="1" applyBorder="1" applyAlignment="1">
      <alignment horizontal="center" vertical="center" wrapText="1"/>
    </xf>
    <xf numFmtId="1" fontId="40" fillId="3" borderId="65" xfId="14" applyNumberFormat="1" applyFont="1" applyFill="1" applyBorder="1" applyAlignment="1">
      <alignment horizontal="center" vertical="center" wrapText="1"/>
    </xf>
    <xf numFmtId="164" fontId="62" fillId="0" borderId="57" xfId="14" applyNumberFormat="1" applyFont="1" applyBorder="1" applyAlignment="1">
      <alignment horizontal="center" vertical="center" wrapText="1"/>
    </xf>
    <xf numFmtId="1" fontId="70" fillId="3" borderId="58" xfId="14" applyNumberFormat="1" applyFont="1" applyFill="1" applyBorder="1" applyAlignment="1">
      <alignment horizontal="center" vertical="center" wrapText="1"/>
    </xf>
    <xf numFmtId="1" fontId="70" fillId="3" borderId="55" xfId="14" applyNumberFormat="1" applyFont="1" applyFill="1" applyBorder="1" applyAlignment="1">
      <alignment horizontal="center" vertical="center" wrapText="1"/>
    </xf>
    <xf numFmtId="1" fontId="10" fillId="3" borderId="55" xfId="14" applyNumberFormat="1" applyFont="1" applyFill="1" applyBorder="1" applyAlignment="1">
      <alignment horizontal="center" vertical="center" wrapText="1"/>
    </xf>
    <xf numFmtId="0" fontId="38" fillId="3" borderId="59" xfId="14" applyFont="1" applyFill="1" applyBorder="1" applyAlignment="1">
      <alignment horizontal="center" vertical="center" wrapText="1"/>
    </xf>
    <xf numFmtId="0" fontId="38" fillId="3" borderId="71" xfId="14" applyFont="1" applyFill="1" applyBorder="1" applyAlignment="1">
      <alignment horizontal="center" vertical="center" wrapText="1"/>
    </xf>
    <xf numFmtId="0" fontId="38" fillId="3" borderId="60" xfId="14" applyFont="1" applyFill="1" applyBorder="1" applyAlignment="1">
      <alignment horizontal="center" vertical="center" wrapText="1"/>
    </xf>
    <xf numFmtId="2" fontId="40" fillId="3" borderId="58" xfId="14" applyNumberFormat="1" applyFont="1" applyFill="1" applyBorder="1" applyAlignment="1">
      <alignment horizontal="center" vertical="center" wrapText="1"/>
    </xf>
    <xf numFmtId="2" fontId="40" fillId="3" borderId="56" xfId="14" applyNumberFormat="1" applyFont="1" applyFill="1" applyBorder="1" applyAlignment="1">
      <alignment horizontal="center" vertical="center" wrapText="1"/>
    </xf>
    <xf numFmtId="2" fontId="40" fillId="3" borderId="110" xfId="14" applyNumberFormat="1" applyFont="1" applyFill="1" applyBorder="1" applyAlignment="1">
      <alignment horizontal="center" vertical="center" wrapText="1"/>
    </xf>
    <xf numFmtId="2" fontId="40" fillId="3" borderId="111" xfId="14" applyNumberFormat="1" applyFont="1" applyFill="1" applyBorder="1" applyAlignment="1">
      <alignment horizontal="center" vertical="center" wrapText="1"/>
    </xf>
    <xf numFmtId="1" fontId="38" fillId="3" borderId="112" xfId="14" applyNumberFormat="1" applyFont="1" applyFill="1" applyBorder="1" applyAlignment="1">
      <alignment horizontal="center" vertical="center" textRotation="255" wrapText="1"/>
    </xf>
    <xf numFmtId="1" fontId="38" fillId="3" borderId="51" xfId="14" applyNumberFormat="1" applyFont="1" applyFill="1" applyBorder="1" applyAlignment="1">
      <alignment horizontal="center" vertical="center" textRotation="255" wrapText="1"/>
    </xf>
    <xf numFmtId="0" fontId="26" fillId="11" borderId="75" xfId="14" applyFont="1" applyFill="1" applyBorder="1" applyAlignment="1">
      <alignment horizontal="center" vertical="center" wrapText="1"/>
    </xf>
    <xf numFmtId="0" fontId="26" fillId="11" borderId="0" xfId="14" applyFont="1" applyFill="1" applyAlignment="1">
      <alignment horizontal="center" vertical="center" wrapText="1"/>
    </xf>
    <xf numFmtId="0" fontId="26" fillId="11" borderId="73" xfId="14" applyFont="1" applyFill="1" applyBorder="1" applyAlignment="1">
      <alignment horizontal="center" vertical="center" wrapText="1"/>
    </xf>
    <xf numFmtId="0" fontId="26" fillId="11" borderId="74" xfId="14" applyFont="1" applyFill="1" applyBorder="1" applyAlignment="1">
      <alignment horizontal="center" vertical="center" wrapText="1"/>
    </xf>
    <xf numFmtId="0" fontId="26" fillId="11" borderId="72" xfId="14" applyFont="1" applyFill="1" applyBorder="1" applyAlignment="1">
      <alignment horizontal="center" vertical="center" wrapText="1"/>
    </xf>
    <xf numFmtId="0" fontId="26" fillId="11" borderId="106" xfId="14" applyFont="1" applyFill="1" applyBorder="1" applyAlignment="1">
      <alignment horizontal="center" vertical="center" wrapText="1"/>
    </xf>
    <xf numFmtId="0" fontId="26" fillId="11" borderId="54" xfId="14" applyFont="1" applyFill="1" applyBorder="1" applyAlignment="1">
      <alignment horizontal="center" vertical="center" wrapText="1"/>
    </xf>
    <xf numFmtId="0" fontId="26" fillId="11" borderId="109" xfId="14" applyFont="1" applyFill="1" applyBorder="1" applyAlignment="1">
      <alignment horizontal="center" vertical="center" wrapText="1"/>
    </xf>
    <xf numFmtId="0" fontId="66" fillId="11" borderId="107" xfId="14" applyFont="1" applyFill="1" applyBorder="1" applyAlignment="1">
      <alignment horizontal="center" vertical="center" wrapText="1"/>
    </xf>
    <xf numFmtId="0" fontId="66" fillId="11" borderId="0" xfId="14" applyFont="1" applyFill="1" applyAlignment="1">
      <alignment horizontal="center" vertical="center" wrapText="1"/>
    </xf>
    <xf numFmtId="0" fontId="66" fillId="11" borderId="73" xfId="14" applyFont="1" applyFill="1" applyBorder="1" applyAlignment="1">
      <alignment horizontal="center" vertical="center" wrapText="1"/>
    </xf>
    <xf numFmtId="49" fontId="8" fillId="0" borderId="59" xfId="14" applyNumberFormat="1" applyFont="1" applyBorder="1" applyAlignment="1">
      <alignment horizontal="left" vertical="center" wrapText="1"/>
    </xf>
    <xf numFmtId="49" fontId="8" fillId="0" borderId="71" xfId="14" applyNumberFormat="1" applyFont="1" applyBorder="1" applyAlignment="1">
      <alignment horizontal="left" vertical="center" wrapText="1"/>
    </xf>
    <xf numFmtId="49" fontId="8" fillId="0" borderId="60" xfId="14" applyNumberFormat="1" applyFont="1" applyBorder="1" applyAlignment="1">
      <alignment horizontal="left" vertical="center" wrapText="1"/>
    </xf>
    <xf numFmtId="0" fontId="26" fillId="0" borderId="86" xfId="14" applyFont="1" applyBorder="1" applyAlignment="1" applyProtection="1">
      <alignment horizontal="center" vertical="center" wrapText="1"/>
      <protection locked="0"/>
    </xf>
    <xf numFmtId="0" fontId="26" fillId="0" borderId="61" xfId="14" applyFont="1" applyBorder="1" applyAlignment="1" applyProtection="1">
      <alignment horizontal="center" vertical="center" wrapText="1"/>
      <protection locked="0"/>
    </xf>
    <xf numFmtId="0" fontId="26" fillId="0" borderId="84" xfId="14" applyFont="1" applyBorder="1" applyAlignment="1" applyProtection="1">
      <alignment horizontal="center" vertical="center" wrapText="1"/>
      <protection locked="0"/>
    </xf>
    <xf numFmtId="0" fontId="26" fillId="0" borderId="76" xfId="14" applyFont="1" applyBorder="1" applyAlignment="1" applyProtection="1">
      <alignment horizontal="center" vertical="center" wrapText="1"/>
      <protection locked="0"/>
    </xf>
    <xf numFmtId="0" fontId="26" fillId="0" borderId="0" xfId="14" applyFont="1" applyAlignment="1" applyProtection="1">
      <alignment horizontal="center" vertical="center" wrapText="1"/>
      <protection locked="0"/>
    </xf>
    <xf numFmtId="0" fontId="26" fillId="0" borderId="85" xfId="14" applyFont="1" applyBorder="1" applyAlignment="1" applyProtection="1">
      <alignment horizontal="center" vertical="center" wrapText="1"/>
      <protection locked="0"/>
    </xf>
    <xf numFmtId="0" fontId="26" fillId="0" borderId="62" xfId="14" applyFont="1" applyBorder="1" applyAlignment="1" applyProtection="1">
      <alignment horizontal="center" vertical="center" wrapText="1"/>
      <protection locked="0"/>
    </xf>
    <xf numFmtId="0" fontId="26" fillId="0" borderId="63" xfId="14" applyFont="1" applyBorder="1" applyAlignment="1" applyProtection="1">
      <alignment horizontal="center" vertical="center" wrapText="1"/>
      <protection locked="0"/>
    </xf>
    <xf numFmtId="0" fontId="26" fillId="0" borderId="87" xfId="14" applyFont="1" applyBorder="1" applyAlignment="1" applyProtection="1">
      <alignment horizontal="center" vertical="center" wrapText="1"/>
      <protection locked="0"/>
    </xf>
    <xf numFmtId="0" fontId="26" fillId="11" borderId="65" xfId="14" applyFont="1" applyFill="1" applyBorder="1" applyAlignment="1">
      <alignment horizontal="center" vertical="center" wrapText="1"/>
    </xf>
    <xf numFmtId="0" fontId="26" fillId="11" borderId="107" xfId="14" applyFont="1" applyFill="1" applyBorder="1" applyAlignment="1">
      <alignment horizontal="center" vertical="center" wrapText="1"/>
    </xf>
    <xf numFmtId="0" fontId="26" fillId="11" borderId="108" xfId="14" applyFont="1" applyFill="1" applyBorder="1" applyAlignment="1">
      <alignment horizontal="center" vertical="center" wrapText="1"/>
    </xf>
    <xf numFmtId="0" fontId="44" fillId="12" borderId="65" xfId="14" applyFont="1" applyFill="1" applyBorder="1" applyAlignment="1">
      <alignment horizontal="center" vertical="center" wrapText="1"/>
    </xf>
    <xf numFmtId="0" fontId="44" fillId="12" borderId="72" xfId="14" applyFont="1" applyFill="1" applyBorder="1" applyAlignment="1">
      <alignment horizontal="center" vertical="center" wrapText="1"/>
    </xf>
    <xf numFmtId="0" fontId="44" fillId="12" borderId="105" xfId="14" applyFont="1" applyFill="1" applyBorder="1" applyAlignment="1">
      <alignment horizontal="center" vertical="center" wrapText="1"/>
    </xf>
    <xf numFmtId="0" fontId="48" fillId="0" borderId="57" xfId="14" applyFont="1" applyBorder="1" applyAlignment="1">
      <alignment horizontal="center" vertical="center" wrapText="1"/>
    </xf>
    <xf numFmtId="1" fontId="11" fillId="3" borderId="72" xfId="14" applyNumberFormat="1" applyFont="1" applyFill="1" applyBorder="1" applyAlignment="1">
      <alignment horizontal="center" vertical="center" textRotation="255" wrapText="1"/>
    </xf>
    <xf numFmtId="1" fontId="11" fillId="3" borderId="0" xfId="14" applyNumberFormat="1" applyFont="1" applyFill="1" applyAlignment="1">
      <alignment horizontal="center" vertical="center" textRotation="255" wrapText="1"/>
    </xf>
    <xf numFmtId="0" fontId="26" fillId="0" borderId="52" xfId="14" applyFont="1" applyBorder="1" applyAlignment="1">
      <alignment horizontal="center" vertical="center" wrapText="1"/>
    </xf>
    <xf numFmtId="0" fontId="64" fillId="0" borderId="52" xfId="5" applyFont="1" applyBorder="1" applyAlignment="1" applyProtection="1">
      <alignment horizontal="left" vertical="center"/>
    </xf>
    <xf numFmtId="165" fontId="8" fillId="0" borderId="59" xfId="14" applyNumberFormat="1" applyFont="1" applyBorder="1" applyAlignment="1">
      <alignment horizontal="left" vertical="center" wrapText="1"/>
    </xf>
    <xf numFmtId="165" fontId="8" fillId="0" borderId="71" xfId="14" applyNumberFormat="1" applyFont="1" applyBorder="1" applyAlignment="1">
      <alignment horizontal="left" vertical="center" wrapText="1"/>
    </xf>
    <xf numFmtId="165" fontId="8" fillId="0" borderId="60" xfId="14" applyNumberFormat="1" applyFont="1" applyBorder="1" applyAlignment="1">
      <alignment horizontal="left" vertical="center" wrapText="1"/>
    </xf>
    <xf numFmtId="0" fontId="41" fillId="3" borderId="58" xfId="14" applyFont="1" applyFill="1" applyBorder="1" applyAlignment="1">
      <alignment horizontal="center" vertical="center" wrapText="1"/>
    </xf>
    <xf numFmtId="0" fontId="41" fillId="3" borderId="55" xfId="14" applyFont="1" applyFill="1" applyBorder="1" applyAlignment="1">
      <alignment horizontal="center" vertical="center" wrapText="1"/>
    </xf>
    <xf numFmtId="0" fontId="41" fillId="3" borderId="54" xfId="14" applyFont="1" applyFill="1" applyBorder="1" applyAlignment="1">
      <alignment horizontal="center" vertical="center" wrapText="1"/>
    </xf>
    <xf numFmtId="0" fontId="41" fillId="3" borderId="53" xfId="14" applyFont="1" applyFill="1" applyBorder="1" applyAlignment="1">
      <alignment horizontal="center" vertical="center" wrapText="1"/>
    </xf>
    <xf numFmtId="0" fontId="52" fillId="0" borderId="88" xfId="0" applyFont="1" applyBorder="1" applyAlignment="1" applyProtection="1">
      <alignment horizontal="center" vertical="center" wrapText="1"/>
      <protection locked="0"/>
    </xf>
    <xf numFmtId="0" fontId="52" fillId="0" borderId="98" xfId="0" applyFont="1" applyBorder="1" applyAlignment="1" applyProtection="1">
      <alignment horizontal="center" vertical="center" wrapText="1"/>
      <protection locked="0"/>
    </xf>
    <xf numFmtId="0" fontId="40" fillId="0" borderId="86" xfId="0" applyFont="1" applyFill="1" applyBorder="1" applyAlignment="1">
      <alignment horizontal="center" vertical="center" wrapText="1"/>
    </xf>
    <xf numFmtId="0" fontId="40" fillId="0" borderId="61" xfId="0" applyFont="1" applyFill="1" applyBorder="1" applyAlignment="1">
      <alignment horizontal="center" vertical="center" wrapText="1"/>
    </xf>
    <xf numFmtId="0" fontId="40" fillId="0" borderId="93" xfId="0" applyFont="1" applyFill="1" applyBorder="1" applyAlignment="1">
      <alignment horizontal="center" vertical="center" wrapText="1"/>
    </xf>
    <xf numFmtId="0" fontId="40" fillId="0" borderId="62" xfId="0" applyFont="1" applyFill="1" applyBorder="1" applyAlignment="1">
      <alignment horizontal="center" vertical="center" wrapText="1"/>
    </xf>
    <xf numFmtId="0" fontId="40" fillId="0" borderId="63" xfId="0" applyFont="1" applyFill="1" applyBorder="1" applyAlignment="1">
      <alignment horizontal="center" vertical="center" wrapText="1"/>
    </xf>
    <xf numFmtId="0" fontId="40" fillId="0" borderId="94" xfId="0" applyFont="1" applyFill="1" applyBorder="1" applyAlignment="1">
      <alignment horizontal="center" vertical="center" wrapText="1"/>
    </xf>
    <xf numFmtId="0" fontId="44" fillId="3" borderId="102" xfId="0" applyFont="1" applyFill="1" applyBorder="1" applyAlignment="1">
      <alignment horizontal="center" vertical="center"/>
    </xf>
    <xf numFmtId="0" fontId="44" fillId="3" borderId="103" xfId="0" applyFont="1" applyFill="1" applyBorder="1" applyAlignment="1">
      <alignment horizontal="center" vertical="center"/>
    </xf>
    <xf numFmtId="0" fontId="44" fillId="3" borderId="104" xfId="0" applyFont="1" applyFill="1" applyBorder="1" applyAlignment="1">
      <alignment horizontal="center" vertical="center"/>
    </xf>
    <xf numFmtId="0" fontId="42" fillId="0" borderId="90" xfId="0" applyFont="1" applyFill="1" applyBorder="1" applyAlignment="1">
      <alignment horizontal="left" vertical="center" wrapText="1"/>
    </xf>
    <xf numFmtId="0" fontId="42" fillId="0" borderId="60" xfId="0" applyFont="1" applyFill="1" applyBorder="1" applyAlignment="1">
      <alignment horizontal="left" vertical="center"/>
    </xf>
    <xf numFmtId="0" fontId="42" fillId="0" borderId="59" xfId="0" applyFont="1" applyFill="1" applyBorder="1" applyAlignment="1">
      <alignment horizontal="left" vertical="top" wrapText="1"/>
    </xf>
    <xf numFmtId="0" fontId="42" fillId="0" borderId="71" xfId="0" applyFont="1" applyFill="1" applyBorder="1" applyAlignment="1">
      <alignment horizontal="left" vertical="top"/>
    </xf>
    <xf numFmtId="0" fontId="42" fillId="0" borderId="91" xfId="0" applyFont="1" applyFill="1" applyBorder="1" applyAlignment="1">
      <alignment horizontal="left" vertical="top"/>
    </xf>
    <xf numFmtId="14" fontId="52" fillId="0" borderId="59" xfId="0" applyNumberFormat="1" applyFont="1" applyFill="1" applyBorder="1" applyAlignment="1" applyProtection="1">
      <alignment horizontal="center" vertical="center" wrapText="1"/>
      <protection locked="0"/>
    </xf>
    <xf numFmtId="0" fontId="52" fillId="0" borderId="91" xfId="0" applyFont="1" applyFill="1" applyBorder="1" applyAlignment="1" applyProtection="1">
      <alignment horizontal="center" vertical="center" wrapText="1"/>
      <protection locked="0"/>
    </xf>
    <xf numFmtId="44" fontId="52" fillId="0" borderId="59" xfId="3" applyFont="1" applyFill="1" applyBorder="1"/>
    <xf numFmtId="44" fontId="52" fillId="0" borderId="91" xfId="3" applyFont="1" applyFill="1" applyBorder="1"/>
    <xf numFmtId="0" fontId="14" fillId="0" borderId="59" xfId="0" applyFont="1" applyBorder="1" applyAlignment="1">
      <alignment horizontal="center" vertical="center"/>
    </xf>
    <xf numFmtId="0" fontId="14" fillId="0" borderId="71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44" fillId="3" borderId="57" xfId="0" applyFont="1" applyFill="1" applyBorder="1" applyAlignment="1">
      <alignment horizontal="center" vertical="center"/>
    </xf>
    <xf numFmtId="0" fontId="52" fillId="0" borderId="57" xfId="0" applyFont="1" applyBorder="1" applyAlignment="1" applyProtection="1">
      <alignment horizontal="center" vertical="center" wrapText="1"/>
      <protection locked="0"/>
    </xf>
    <xf numFmtId="0" fontId="52" fillId="0" borderId="59" xfId="0" applyFont="1" applyFill="1" applyBorder="1" applyAlignment="1" applyProtection="1">
      <alignment horizontal="center" vertical="center" wrapText="1"/>
      <protection locked="0"/>
    </xf>
    <xf numFmtId="0" fontId="52" fillId="0" borderId="60" xfId="0" applyFont="1" applyFill="1" applyBorder="1" applyAlignment="1" applyProtection="1">
      <alignment horizontal="center" vertical="center" wrapText="1"/>
      <protection locked="0"/>
    </xf>
    <xf numFmtId="0" fontId="40" fillId="0" borderId="84" xfId="0" applyFont="1" applyFill="1" applyBorder="1" applyAlignment="1">
      <alignment horizontal="center" vertical="center" wrapText="1"/>
    </xf>
    <xf numFmtId="0" fontId="40" fillId="0" borderId="87" xfId="0" applyFont="1" applyFill="1" applyBorder="1" applyAlignment="1">
      <alignment horizontal="center" vertical="center" wrapText="1"/>
    </xf>
    <xf numFmtId="0" fontId="42" fillId="0" borderId="59" xfId="0" applyFont="1" applyFill="1" applyBorder="1" applyAlignment="1">
      <alignment horizontal="left" vertical="center" wrapText="1"/>
    </xf>
    <xf numFmtId="0" fontId="44" fillId="0" borderId="59" xfId="0" applyFont="1" applyFill="1" applyBorder="1" applyAlignment="1">
      <alignment horizontal="center" vertical="center"/>
    </xf>
    <xf numFmtId="0" fontId="44" fillId="0" borderId="71" xfId="0" applyFont="1" applyFill="1" applyBorder="1" applyAlignment="1">
      <alignment horizontal="center" vertical="center"/>
    </xf>
    <xf numFmtId="0" fontId="44" fillId="0" borderId="60" xfId="0" applyFont="1" applyFill="1" applyBorder="1" applyAlignment="1">
      <alignment horizontal="center" vertical="center"/>
    </xf>
    <xf numFmtId="44" fontId="48" fillId="10" borderId="77" xfId="0" applyNumberFormat="1" applyFont="1" applyFill="1" applyBorder="1" applyAlignment="1">
      <alignment horizontal="center" vertical="center"/>
    </xf>
    <xf numFmtId="0" fontId="48" fillId="0" borderId="77" xfId="0" applyNumberFormat="1" applyFont="1" applyFill="1" applyBorder="1" applyAlignment="1">
      <alignment horizontal="center" vertical="center" wrapText="1"/>
    </xf>
    <xf numFmtId="0" fontId="48" fillId="3" borderId="76" xfId="0" applyNumberFormat="1" applyFont="1" applyFill="1" applyBorder="1" applyAlignment="1">
      <alignment horizontal="center" vertical="center"/>
    </xf>
    <xf numFmtId="0" fontId="48" fillId="3" borderId="89" xfId="0" applyNumberFormat="1" applyFont="1" applyFill="1" applyBorder="1" applyAlignment="1">
      <alignment horizontal="center" vertical="center"/>
    </xf>
    <xf numFmtId="0" fontId="48" fillId="3" borderId="76" xfId="0" applyNumberFormat="1" applyFont="1" applyFill="1" applyBorder="1" applyAlignment="1">
      <alignment horizontal="center" vertical="center" wrapText="1"/>
    </xf>
    <xf numFmtId="0" fontId="48" fillId="3" borderId="89" xfId="0" applyNumberFormat="1" applyFont="1" applyFill="1" applyBorder="1" applyAlignment="1">
      <alignment horizontal="center" vertical="center" wrapText="1"/>
    </xf>
    <xf numFmtId="0" fontId="45" fillId="3" borderId="77" xfId="0" applyFont="1" applyFill="1" applyBorder="1" applyAlignment="1">
      <alignment horizontal="center" vertical="center" wrapText="1"/>
    </xf>
    <xf numFmtId="0" fontId="53" fillId="0" borderId="77" xfId="0" applyFont="1" applyFill="1" applyBorder="1" applyAlignment="1">
      <alignment horizontal="center" vertical="center" wrapText="1"/>
    </xf>
    <xf numFmtId="0" fontId="54" fillId="0" borderId="77" xfId="0" applyFont="1" applyFill="1" applyBorder="1" applyAlignment="1">
      <alignment horizontal="center" vertical="center"/>
    </xf>
    <xf numFmtId="0" fontId="12" fillId="3" borderId="57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2" fillId="3" borderId="63" xfId="0" applyFont="1" applyFill="1" applyBorder="1" applyAlignment="1">
      <alignment horizontal="center" vertical="center"/>
    </xf>
    <xf numFmtId="0" fontId="12" fillId="3" borderId="76" xfId="0" applyFont="1" applyFill="1" applyBorder="1" applyAlignment="1">
      <alignment horizontal="center" vertical="center"/>
    </xf>
    <xf numFmtId="0" fontId="12" fillId="3" borderId="62" xfId="0" applyFont="1" applyFill="1" applyBorder="1" applyAlignment="1">
      <alignment horizontal="center" vertical="center"/>
    </xf>
    <xf numFmtId="0" fontId="55" fillId="11" borderId="84" xfId="0" applyFont="1" applyFill="1" applyBorder="1" applyAlignment="1">
      <alignment horizontal="center" vertical="center"/>
    </xf>
    <xf numFmtId="0" fontId="55" fillId="11" borderId="85" xfId="0" applyFont="1" applyFill="1" applyBorder="1" applyAlignment="1">
      <alignment horizontal="center" vertical="center"/>
    </xf>
    <xf numFmtId="0" fontId="21" fillId="0" borderId="26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32" fillId="7" borderId="8" xfId="0" applyFont="1" applyFill="1" applyBorder="1" applyAlignment="1">
      <alignment horizontal="center" vertical="center"/>
    </xf>
    <xf numFmtId="0" fontId="32" fillId="7" borderId="9" xfId="0" applyFont="1" applyFill="1" applyBorder="1" applyAlignment="1">
      <alignment horizontal="center" vertical="center"/>
    </xf>
    <xf numFmtId="0" fontId="32" fillId="7" borderId="10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30" fillId="0" borderId="8" xfId="0" applyFont="1" applyBorder="1" applyAlignment="1" applyProtection="1">
      <alignment horizontal="left" vertical="top" wrapText="1"/>
      <protection locked="0"/>
    </xf>
    <xf numFmtId="0" fontId="30" fillId="0" borderId="9" xfId="0" applyFont="1" applyBorder="1" applyAlignment="1" applyProtection="1">
      <alignment horizontal="left" vertical="top" wrapText="1"/>
      <protection locked="0"/>
    </xf>
    <xf numFmtId="0" fontId="30" fillId="0" borderId="10" xfId="0" applyFont="1" applyBorder="1" applyAlignment="1" applyProtection="1">
      <alignment horizontal="left" vertical="top" wrapText="1"/>
      <protection locked="0"/>
    </xf>
    <xf numFmtId="0" fontId="29" fillId="0" borderId="8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9" fillId="0" borderId="38" xfId="0" applyFont="1" applyBorder="1" applyAlignment="1" applyProtection="1">
      <alignment horizontal="center" vertical="center"/>
      <protection locked="0"/>
    </xf>
    <xf numFmtId="0" fontId="29" fillId="0" borderId="9" xfId="0" applyFont="1" applyBorder="1" applyAlignment="1" applyProtection="1">
      <alignment horizontal="center" vertical="center"/>
      <protection locked="0"/>
    </xf>
    <xf numFmtId="0" fontId="29" fillId="0" borderId="10" xfId="0" applyFont="1" applyBorder="1" applyAlignment="1" applyProtection="1">
      <alignment horizontal="center" vertical="center"/>
      <protection locked="0"/>
    </xf>
    <xf numFmtId="49" fontId="4" fillId="0" borderId="32" xfId="0" applyNumberFormat="1" applyFont="1" applyBorder="1" applyAlignment="1">
      <alignment horizontal="center" vertical="top" wrapText="1"/>
    </xf>
    <xf numFmtId="49" fontId="4" fillId="0" borderId="24" xfId="0" applyNumberFormat="1" applyFont="1" applyBorder="1" applyAlignment="1">
      <alignment horizontal="center" vertical="top" wrapText="1"/>
    </xf>
    <xf numFmtId="49" fontId="4" fillId="0" borderId="42" xfId="0" applyNumberFormat="1" applyFont="1" applyBorder="1" applyAlignment="1">
      <alignment horizontal="center" vertical="top" wrapText="1"/>
    </xf>
    <xf numFmtId="49" fontId="4" fillId="0" borderId="47" xfId="0" applyNumberFormat="1" applyFont="1" applyBorder="1" applyAlignment="1">
      <alignment horizontal="center" vertical="top" wrapText="1"/>
    </xf>
    <xf numFmtId="0" fontId="4" fillId="0" borderId="47" xfId="0" applyNumberFormat="1" applyFont="1" applyBorder="1" applyAlignment="1">
      <alignment horizontal="center" vertical="top" wrapText="1"/>
    </xf>
    <xf numFmtId="0" fontId="4" fillId="0" borderId="36" xfId="0" applyNumberFormat="1" applyFont="1" applyBorder="1" applyAlignment="1">
      <alignment horizontal="center" vertical="top" wrapText="1"/>
    </xf>
    <xf numFmtId="0" fontId="4" fillId="0" borderId="48" xfId="0" applyFont="1" applyBorder="1" applyAlignment="1">
      <alignment horizontal="center" vertical="top" wrapText="1"/>
    </xf>
    <xf numFmtId="0" fontId="4" fillId="0" borderId="46" xfId="0" applyFont="1" applyBorder="1" applyAlignment="1">
      <alignment horizontal="center" vertical="top" wrapText="1"/>
    </xf>
    <xf numFmtId="0" fontId="4" fillId="0" borderId="41" xfId="0" applyFont="1" applyBorder="1" applyAlignment="1">
      <alignment horizontal="center" vertical="top" wrapText="1"/>
    </xf>
    <xf numFmtId="0" fontId="4" fillId="0" borderId="33" xfId="0" applyFont="1" applyBorder="1" applyAlignment="1">
      <alignment horizontal="center" vertical="top" wrapText="1"/>
    </xf>
    <xf numFmtId="0" fontId="4" fillId="0" borderId="40" xfId="0" applyFont="1" applyBorder="1" applyAlignment="1">
      <alignment horizontal="center" vertical="top" wrapText="1"/>
    </xf>
    <xf numFmtId="0" fontId="4" fillId="0" borderId="37" xfId="0" applyFont="1" applyBorder="1" applyAlignment="1">
      <alignment horizontal="center" vertical="top" wrapText="1"/>
    </xf>
    <xf numFmtId="0" fontId="35" fillId="0" borderId="8" xfId="0" applyFont="1" applyBorder="1" applyAlignment="1" applyProtection="1">
      <alignment horizontal="center" vertical="top" wrapText="1"/>
      <protection locked="0"/>
    </xf>
    <xf numFmtId="0" fontId="35" fillId="0" borderId="9" xfId="0" applyFont="1" applyBorder="1" applyAlignment="1" applyProtection="1">
      <alignment horizontal="center" vertical="top" wrapText="1"/>
      <protection locked="0"/>
    </xf>
    <xf numFmtId="0" fontId="35" fillId="0" borderId="10" xfId="0" applyFont="1" applyBorder="1" applyAlignment="1" applyProtection="1">
      <alignment horizontal="center" vertical="top" wrapText="1"/>
      <protection locked="0"/>
    </xf>
  </cellXfs>
  <cellStyles count="16">
    <cellStyle name="Euro" xfId="1" xr:uid="{00000000-0005-0000-0000-000000000000}"/>
    <cellStyle name="Euro 2" xfId="2" xr:uid="{00000000-0005-0000-0000-000001000000}"/>
    <cellStyle name="Lien hypertexte" xfId="5" builtinId="8"/>
    <cellStyle name="Monétaire" xfId="3" builtinId="4"/>
    <cellStyle name="Monétaire 2" xfId="9" xr:uid="{0FA4B8A4-50B1-4BA2-968A-3A1B21A24B27}"/>
    <cellStyle name="Monétaire 3" xfId="12" xr:uid="{3450215A-04E8-4186-83DC-4D8DBF2DD172}"/>
    <cellStyle name="Monétaire 4" xfId="15" xr:uid="{BEA6C099-460B-42C2-9587-96EC25C815E7}"/>
    <cellStyle name="Normal" xfId="0" builtinId="0"/>
    <cellStyle name="Normal 2" xfId="4" xr:uid="{00000000-0005-0000-0000-000005000000}"/>
    <cellStyle name="Normal 3" xfId="6" xr:uid="{9425A43B-5DB3-4BA5-A419-E9F2F98B583B}"/>
    <cellStyle name="Normal 3 2" xfId="8" xr:uid="{E7E7B264-226D-4D22-842C-D4AED053CD92}"/>
    <cellStyle name="Normal 3 3" xfId="11" xr:uid="{2C0AB050-9D0C-433E-A20F-CA557BCD4652}"/>
    <cellStyle name="Normal 3 4" xfId="14" xr:uid="{C2A18DB9-0B84-4832-B8C4-1566195C9593}"/>
    <cellStyle name="Normal 4" xfId="7" xr:uid="{115DE186-EF13-4EE9-BB50-F5EB60E970C8}"/>
    <cellStyle name="Normal 5" xfId="10" xr:uid="{F406F434-D879-43C6-A74A-0D3A6B775926}"/>
    <cellStyle name="Normal 6" xfId="13" xr:uid="{29B6B1A1-DF39-4E0C-B910-B59DAC97E058}"/>
  </cellStyles>
  <dxfs count="102">
    <dxf>
      <fill>
        <patternFill patternType="solid">
          <fgColor indexed="2"/>
          <bgColor indexed="2"/>
        </patternFill>
      </fill>
    </dxf>
    <dxf>
      <fill>
        <patternFill patternType="solid">
          <fgColor indexed="2"/>
          <bgColor indexed="2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165" formatCode="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165" formatCode="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64" formatCode="_ * #,##0.00_)\ &quot;€&quot;_ ;_ * \(#,##0.00\)\ &quot;€&quot;_ ;_ * &quot;-&quot;??_)\ &quot;€&quot;_ ;_ @_ "/>
      <alignment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theme="6"/>
        </patternFill>
      </fill>
    </dxf>
    <dxf>
      <fill>
        <patternFill>
          <bgColor theme="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thin">
          <color rgb="FFBFBFBF"/>
        </top>
      </border>
    </dxf>
    <dxf>
      <font>
        <strike val="0"/>
        <outline val="0"/>
        <shadow val="0"/>
        <u val="none"/>
        <vertAlign val="baseline"/>
        <sz val="11"/>
        <color rgb="FF1F497D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thin">
          <color theme="0" tint="-0.249977111117893"/>
        </top>
      </border>
    </dxf>
    <dxf>
      <font>
        <strike val="0"/>
        <outline val="0"/>
        <shadow val="0"/>
        <u val="none"/>
        <vertAlign val="baseline"/>
        <sz val="11"/>
        <color theme="3"/>
        <name val="Arial"/>
        <family val="2"/>
        <scheme val="none"/>
      </font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>
          <bgColor theme="6" tint="0.59996337778862885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 patternType="solid">
          <fgColor theme="0" tint="-0.24994659260841701"/>
          <bgColor theme="0" tint="-0.14996795556505021"/>
        </patternFill>
      </fill>
    </dxf>
    <dxf>
      <numFmt numFmtId="0" formatCode="General"/>
      <fill>
        <patternFill patternType="solid">
          <fgColor theme="0" tint="-0.24994659260841701"/>
          <bgColor theme="0" tint="-0.14996795556505021"/>
        </patternFill>
      </fill>
    </dxf>
    <dxf>
      <fill>
        <patternFill patternType="solid">
          <fgColor indexed="2"/>
          <bgColor theme="5" tint="0.39994506668294322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 patternType="solid">
          <fgColor rgb="FFFF66CC"/>
          <bgColor rgb="FFFF66CC"/>
        </patternFill>
      </fill>
    </dxf>
  </dxfs>
  <tableStyles count="0" defaultTableStyle="TableStyleMedium2" defaultPivotStyle="PivotStyleLight16"/>
  <colors>
    <mruColors>
      <color rgb="FFFFCC00"/>
      <color rgb="FFFFFF99"/>
      <color rgb="FFFF66CC"/>
      <color rgb="FFFF9999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2362200</xdr:colOff>
          <xdr:row>3</xdr:row>
          <xdr:rowOff>57150</xdr:rowOff>
        </xdr:from>
        <xdr:to>
          <xdr:col>7</xdr:col>
          <xdr:colOff>4305300</xdr:colOff>
          <xdr:row>5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les commandes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1971675</xdr:colOff>
          <xdr:row>2</xdr:row>
          <xdr:rowOff>504825</xdr:rowOff>
        </xdr:from>
        <xdr:to>
          <xdr:col>7</xdr:col>
          <xdr:colOff>3429000</xdr:colOff>
          <xdr:row>3</xdr:row>
          <xdr:rowOff>38100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les factures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133350</xdr:rowOff>
    </xdr:from>
    <xdr:to>
      <xdr:col>2</xdr:col>
      <xdr:colOff>895350</xdr:colOff>
      <xdr:row>5</xdr:row>
      <xdr:rowOff>142875</xdr:rowOff>
    </xdr:to>
    <xdr:pic>
      <xdr:nvPicPr>
        <xdr:cNvPr id="2" name="Image 1" descr="ST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38325" y="133350"/>
          <a:ext cx="23145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act_268_S46_45_ORLEANS_Lilian_GITT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>
        <row r="2">
          <cell r="E2">
            <v>45</v>
          </cell>
        </row>
        <row r="3">
          <cell r="E3" t="str">
            <v>Lilian GITTON</v>
          </cell>
        </row>
        <row r="4">
          <cell r="E4" t="str">
            <v>24 rue du clos Rozé</v>
          </cell>
          <cell r="K4" t="str">
            <v>Lilian GITTON</v>
          </cell>
        </row>
        <row r="5">
          <cell r="E5" t="str">
            <v>45100</v>
          </cell>
          <cell r="K5" t="str">
            <v>0687035649</v>
          </cell>
          <cell r="Q5" t="str">
            <v>Victoria WETLEY</v>
          </cell>
          <cell r="S5" t="str">
            <v>Jasmine MACIA</v>
          </cell>
          <cell r="U5" t="str">
            <v>Valérie DA SILVA</v>
          </cell>
          <cell r="W5" t="str">
            <v>Prénom NOM</v>
          </cell>
          <cell r="Y5" t="str">
            <v>Prénom NOM</v>
          </cell>
          <cell r="AA5" t="str">
            <v>Prénom NOM</v>
          </cell>
          <cell r="AC5" t="str">
            <v>Prénom NOM</v>
          </cell>
          <cell r="AE5" t="str">
            <v>Prénom NOM</v>
          </cell>
          <cell r="AG5" t="str">
            <v>Prénom NOM</v>
          </cell>
          <cell r="AI5" t="str">
            <v>Prénom NOM</v>
          </cell>
          <cell r="AK5" t="str">
            <v>Prénom NOM</v>
          </cell>
          <cell r="AM5" t="str">
            <v>Prénom NOM</v>
          </cell>
          <cell r="AO5" t="str">
            <v>Prénom NOM</v>
          </cell>
          <cell r="AQ5" t="str">
            <v>Prénom NOM</v>
          </cell>
          <cell r="AS5" t="str">
            <v>Prénom NOM</v>
          </cell>
          <cell r="AU5" t="str">
            <v>Prénom NOM</v>
          </cell>
          <cell r="AW5" t="str">
            <v>Prénom NOM</v>
          </cell>
          <cell r="AY5" t="str">
            <v>Prénom NOM</v>
          </cell>
          <cell r="BA5" t="str">
            <v>Prénom NOM</v>
          </cell>
        </row>
        <row r="6">
          <cell r="E6" t="str">
            <v>Orléans</v>
          </cell>
          <cell r="K6" t="str">
            <v>liliangitton@yahoo.fr</v>
          </cell>
          <cell r="Q6" t="str">
            <v>victoria.wetley@gmail.com</v>
          </cell>
          <cell r="S6" t="str">
            <v>jasmine.macia@hotmail.com</v>
          </cell>
          <cell r="U6" t="str">
            <v>valerie.dslva@lilo.org</v>
          </cell>
          <cell r="W6" t="str">
            <v>Email</v>
          </cell>
          <cell r="Y6" t="str">
            <v>Email</v>
          </cell>
          <cell r="AA6" t="str">
            <v>Email</v>
          </cell>
          <cell r="AC6" t="str">
            <v>Email</v>
          </cell>
          <cell r="AE6" t="str">
            <v>Email</v>
          </cell>
          <cell r="AG6" t="str">
            <v>Email</v>
          </cell>
          <cell r="AI6" t="str">
            <v>Email</v>
          </cell>
          <cell r="AK6" t="str">
            <v>Email</v>
          </cell>
          <cell r="AM6" t="str">
            <v>Email</v>
          </cell>
          <cell r="AO6" t="str">
            <v>Email</v>
          </cell>
          <cell r="AQ6" t="str">
            <v>Email</v>
          </cell>
          <cell r="AS6" t="str">
            <v>Email</v>
          </cell>
          <cell r="AU6" t="str">
            <v>Email</v>
          </cell>
          <cell r="AW6" t="str">
            <v>Email</v>
          </cell>
          <cell r="AY6" t="str">
            <v>Email</v>
          </cell>
          <cell r="BA6" t="str">
            <v>Email</v>
          </cell>
        </row>
        <row r="7">
          <cell r="E7" t="str">
            <v>0687035649</v>
          </cell>
        </row>
        <row r="8">
          <cell r="E8" t="str">
            <v>À REMPLIR</v>
          </cell>
        </row>
        <row r="10"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</row>
        <row r="11"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</row>
        <row r="12"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</row>
        <row r="13">
          <cell r="O13"/>
          <cell r="Q13"/>
          <cell r="S13"/>
          <cell r="U13"/>
          <cell r="W13"/>
          <cell r="Y13"/>
          <cell r="AA13"/>
          <cell r="AC13"/>
          <cell r="AE13"/>
          <cell r="AG13"/>
          <cell r="AI13"/>
          <cell r="AK13"/>
          <cell r="AM13"/>
          <cell r="AO13"/>
          <cell r="AQ13"/>
          <cell r="AS13"/>
          <cell r="AU13"/>
          <cell r="AW13"/>
          <cell r="AY13"/>
          <cell r="BA13"/>
        </row>
        <row r="14"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</row>
        <row r="15"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</row>
        <row r="16"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</row>
        <row r="17"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</row>
        <row r="18"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</row>
        <row r="19"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</row>
        <row r="20"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</row>
        <row r="21"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</row>
        <row r="22"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</row>
        <row r="23"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</row>
        <row r="24"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</row>
        <row r="25"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</row>
        <row r="26"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</row>
        <row r="27"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</row>
        <row r="28"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</row>
        <row r="29"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</row>
        <row r="30"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</row>
        <row r="31"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</row>
        <row r="32"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</row>
        <row r="33"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</row>
        <row r="34"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</row>
        <row r="35">
          <cell r="O35"/>
          <cell r="Q35"/>
          <cell r="S35"/>
          <cell r="U35"/>
          <cell r="W35"/>
          <cell r="Y35"/>
          <cell r="AA35"/>
          <cell r="AC35"/>
          <cell r="AE35"/>
          <cell r="AG35"/>
          <cell r="AI35"/>
          <cell r="AK35"/>
          <cell r="AM35"/>
          <cell r="AO35"/>
          <cell r="AQ35"/>
          <cell r="AS35"/>
          <cell r="AU35"/>
          <cell r="AW35"/>
          <cell r="AY35"/>
          <cell r="BA35"/>
        </row>
        <row r="36">
          <cell r="O36">
            <v>2</v>
          </cell>
          <cell r="Q36">
            <v>2</v>
          </cell>
          <cell r="S36">
            <v>1</v>
          </cell>
          <cell r="U36"/>
          <cell r="W36"/>
          <cell r="Y36"/>
          <cell r="AA36"/>
          <cell r="AC36"/>
          <cell r="AE36"/>
          <cell r="AG36"/>
          <cell r="AI36"/>
          <cell r="AK36"/>
          <cell r="AM36"/>
          <cell r="AO36"/>
          <cell r="AQ36"/>
          <cell r="AS36"/>
          <cell r="AU36"/>
          <cell r="AW36"/>
          <cell r="AY36"/>
          <cell r="BA36"/>
        </row>
        <row r="37">
          <cell r="O37"/>
          <cell r="Q37"/>
          <cell r="S37"/>
          <cell r="U37"/>
          <cell r="W37"/>
          <cell r="Y37"/>
          <cell r="AA37"/>
          <cell r="AC37"/>
          <cell r="AE37"/>
          <cell r="AG37"/>
          <cell r="AI37"/>
          <cell r="AK37"/>
          <cell r="AM37"/>
          <cell r="AO37"/>
          <cell r="AQ37"/>
          <cell r="AS37"/>
          <cell r="AU37"/>
          <cell r="AW37"/>
          <cell r="AY37"/>
          <cell r="BA37"/>
        </row>
        <row r="38">
          <cell r="O38"/>
          <cell r="Q38"/>
          <cell r="S38"/>
          <cell r="U38"/>
          <cell r="W38"/>
          <cell r="Y38"/>
          <cell r="AA38"/>
          <cell r="AC38"/>
          <cell r="AE38"/>
          <cell r="AG38"/>
          <cell r="AI38"/>
          <cell r="AK38"/>
          <cell r="AM38"/>
          <cell r="AO38"/>
          <cell r="AQ38"/>
          <cell r="AS38"/>
          <cell r="AU38"/>
          <cell r="AW38"/>
          <cell r="AY38"/>
          <cell r="BA38"/>
        </row>
        <row r="39">
          <cell r="O39"/>
          <cell r="Q39"/>
          <cell r="S39"/>
          <cell r="U39"/>
          <cell r="W39"/>
          <cell r="Y39"/>
          <cell r="AA39"/>
          <cell r="AC39"/>
          <cell r="AE39"/>
          <cell r="AG39"/>
          <cell r="AI39"/>
          <cell r="AK39"/>
          <cell r="AM39"/>
          <cell r="AO39"/>
          <cell r="AQ39"/>
          <cell r="AS39"/>
          <cell r="AU39"/>
          <cell r="AW39"/>
          <cell r="AY39"/>
          <cell r="BA39"/>
        </row>
        <row r="40">
          <cell r="O40"/>
          <cell r="Q40"/>
          <cell r="S40"/>
          <cell r="U40"/>
          <cell r="W40"/>
          <cell r="Y40"/>
          <cell r="AA40"/>
          <cell r="AC40"/>
          <cell r="AE40"/>
          <cell r="AG40"/>
          <cell r="AI40"/>
          <cell r="AK40"/>
          <cell r="AM40"/>
          <cell r="AO40"/>
          <cell r="AQ40"/>
          <cell r="AS40"/>
          <cell r="AU40"/>
          <cell r="AW40"/>
          <cell r="AY40"/>
          <cell r="BA40"/>
        </row>
        <row r="41">
          <cell r="O41"/>
          <cell r="Q41"/>
          <cell r="S41"/>
          <cell r="U41"/>
          <cell r="W41"/>
          <cell r="Y41"/>
          <cell r="AA41"/>
          <cell r="AC41"/>
          <cell r="AE41"/>
          <cell r="AG41"/>
          <cell r="AI41"/>
          <cell r="AK41"/>
          <cell r="AM41"/>
          <cell r="AO41"/>
          <cell r="AQ41"/>
          <cell r="AS41"/>
          <cell r="AU41"/>
          <cell r="AW41"/>
          <cell r="AY41"/>
          <cell r="BA41"/>
        </row>
        <row r="42">
          <cell r="O42">
            <v>3</v>
          </cell>
          <cell r="Q42">
            <v>2</v>
          </cell>
          <cell r="S42">
            <v>1</v>
          </cell>
          <cell r="U42">
            <v>4</v>
          </cell>
          <cell r="W42"/>
          <cell r="Y42"/>
          <cell r="AA42"/>
          <cell r="AC42"/>
          <cell r="AE42"/>
          <cell r="AG42"/>
          <cell r="AI42"/>
          <cell r="AK42"/>
          <cell r="AM42"/>
          <cell r="AO42"/>
          <cell r="AQ42"/>
          <cell r="AS42"/>
          <cell r="AU42"/>
          <cell r="AW42"/>
          <cell r="AY42"/>
          <cell r="BA42"/>
        </row>
        <row r="43">
          <cell r="O43"/>
          <cell r="Q43"/>
          <cell r="S43"/>
          <cell r="U43"/>
          <cell r="W43"/>
          <cell r="Y43"/>
          <cell r="AA43"/>
          <cell r="AC43"/>
          <cell r="AE43"/>
          <cell r="AG43"/>
          <cell r="AI43"/>
          <cell r="AK43"/>
          <cell r="AM43"/>
          <cell r="AO43"/>
          <cell r="AQ43"/>
          <cell r="AS43"/>
          <cell r="AU43"/>
          <cell r="AW43"/>
          <cell r="AY43"/>
          <cell r="BA43"/>
        </row>
        <row r="44">
          <cell r="O44"/>
          <cell r="Q44"/>
          <cell r="S44"/>
          <cell r="U44"/>
          <cell r="W44"/>
          <cell r="Y44"/>
          <cell r="AA44"/>
          <cell r="AC44"/>
          <cell r="AE44"/>
          <cell r="AG44"/>
          <cell r="AI44"/>
          <cell r="AK44"/>
          <cell r="AM44"/>
          <cell r="AO44"/>
          <cell r="AQ44"/>
          <cell r="AS44"/>
          <cell r="AU44"/>
          <cell r="AW44"/>
          <cell r="AY44"/>
          <cell r="BA44"/>
        </row>
        <row r="45">
          <cell r="O45"/>
          <cell r="Q45"/>
          <cell r="S45"/>
          <cell r="U45"/>
          <cell r="W45"/>
          <cell r="Y45"/>
          <cell r="AA45"/>
          <cell r="AC45"/>
          <cell r="AE45"/>
          <cell r="AG45"/>
          <cell r="AI45"/>
          <cell r="AK45"/>
          <cell r="AM45"/>
          <cell r="AO45"/>
          <cell r="AQ45"/>
          <cell r="AS45"/>
          <cell r="AU45"/>
          <cell r="AW45"/>
          <cell r="AY45"/>
          <cell r="BA45"/>
        </row>
        <row r="46">
          <cell r="O46">
            <v>5</v>
          </cell>
          <cell r="Q46"/>
          <cell r="S46"/>
          <cell r="U46"/>
          <cell r="W46"/>
          <cell r="Y46"/>
          <cell r="AA46"/>
          <cell r="AC46"/>
          <cell r="AE46"/>
          <cell r="AG46"/>
          <cell r="AI46"/>
          <cell r="AK46"/>
          <cell r="AM46"/>
          <cell r="AO46"/>
          <cell r="AQ46"/>
          <cell r="AS46"/>
          <cell r="AU46"/>
          <cell r="AW46"/>
          <cell r="AY46"/>
          <cell r="BA46"/>
        </row>
        <row r="47">
          <cell r="O47"/>
          <cell r="Q47"/>
          <cell r="S47"/>
          <cell r="U47"/>
          <cell r="W47"/>
          <cell r="Y47"/>
          <cell r="AA47"/>
          <cell r="AC47"/>
          <cell r="AE47"/>
          <cell r="AG47"/>
          <cell r="AI47"/>
          <cell r="AK47"/>
          <cell r="AM47"/>
          <cell r="AO47"/>
          <cell r="AQ47"/>
          <cell r="AS47"/>
          <cell r="AU47"/>
          <cell r="AW47"/>
          <cell r="AY47"/>
          <cell r="BA47"/>
        </row>
        <row r="48">
          <cell r="O48"/>
          <cell r="Q48"/>
          <cell r="S48"/>
          <cell r="U48"/>
          <cell r="W48"/>
          <cell r="Y48"/>
          <cell r="AA48"/>
          <cell r="AC48"/>
          <cell r="AE48"/>
          <cell r="AG48"/>
          <cell r="AI48"/>
          <cell r="AK48"/>
          <cell r="AM48"/>
          <cell r="AO48"/>
          <cell r="AQ48"/>
          <cell r="AS48"/>
          <cell r="AU48"/>
          <cell r="AW48"/>
          <cell r="AY48"/>
          <cell r="BA48"/>
        </row>
        <row r="49">
          <cell r="O49"/>
          <cell r="Q49"/>
          <cell r="S49"/>
          <cell r="U49"/>
          <cell r="W49"/>
          <cell r="Y49"/>
          <cell r="AA49"/>
          <cell r="AC49"/>
          <cell r="AE49"/>
          <cell r="AG49"/>
          <cell r="AI49"/>
          <cell r="AK49"/>
          <cell r="AM49"/>
          <cell r="AO49"/>
          <cell r="AQ49"/>
          <cell r="AS49"/>
          <cell r="AU49"/>
          <cell r="AW49"/>
          <cell r="AY49"/>
          <cell r="BA49"/>
        </row>
        <row r="50">
          <cell r="O50"/>
          <cell r="Q50"/>
          <cell r="S50"/>
          <cell r="U50"/>
          <cell r="W50"/>
          <cell r="Y50"/>
          <cell r="AA50"/>
          <cell r="AC50"/>
          <cell r="AE50"/>
          <cell r="AG50"/>
          <cell r="AI50"/>
          <cell r="AK50"/>
          <cell r="AM50"/>
          <cell r="AO50"/>
          <cell r="AQ50"/>
          <cell r="AS50"/>
          <cell r="AU50"/>
          <cell r="AW50"/>
          <cell r="AY50"/>
          <cell r="BA50"/>
        </row>
        <row r="51">
          <cell r="O51"/>
          <cell r="Q51"/>
          <cell r="S51"/>
          <cell r="U51"/>
          <cell r="W51"/>
          <cell r="Y51"/>
          <cell r="AA51"/>
          <cell r="AC51"/>
          <cell r="AE51"/>
          <cell r="AG51"/>
          <cell r="AI51"/>
          <cell r="AK51"/>
          <cell r="AM51"/>
          <cell r="AO51"/>
          <cell r="AQ51"/>
          <cell r="AS51"/>
          <cell r="AU51"/>
          <cell r="AW51"/>
          <cell r="AY51"/>
          <cell r="BA51"/>
        </row>
        <row r="52">
          <cell r="O52"/>
          <cell r="Q52"/>
          <cell r="S52"/>
          <cell r="U52"/>
          <cell r="W52"/>
          <cell r="Y52"/>
          <cell r="AA52"/>
          <cell r="AC52"/>
          <cell r="AE52"/>
          <cell r="AG52"/>
          <cell r="AI52"/>
          <cell r="AK52"/>
          <cell r="AM52"/>
          <cell r="AO52"/>
          <cell r="AQ52"/>
          <cell r="AS52"/>
          <cell r="AU52"/>
          <cell r="AW52"/>
          <cell r="AY52"/>
          <cell r="BA52"/>
        </row>
        <row r="53">
          <cell r="O53"/>
          <cell r="Q53"/>
          <cell r="S53"/>
          <cell r="U53"/>
          <cell r="W53"/>
          <cell r="Y53"/>
          <cell r="AA53"/>
          <cell r="AC53"/>
          <cell r="AE53"/>
          <cell r="AG53"/>
          <cell r="AI53"/>
          <cell r="AK53"/>
          <cell r="AM53"/>
          <cell r="AO53"/>
          <cell r="AQ53"/>
          <cell r="AS53"/>
          <cell r="AU53"/>
          <cell r="AW53"/>
          <cell r="AY53"/>
          <cell r="BA53"/>
        </row>
        <row r="54">
          <cell r="O54"/>
          <cell r="Q54"/>
          <cell r="S54"/>
          <cell r="U54"/>
          <cell r="W54"/>
          <cell r="Y54"/>
          <cell r="AA54"/>
          <cell r="AC54"/>
          <cell r="AE54"/>
          <cell r="AG54"/>
          <cell r="AI54"/>
          <cell r="AK54"/>
          <cell r="AM54"/>
          <cell r="AO54"/>
          <cell r="AQ54"/>
          <cell r="AS54"/>
          <cell r="AU54"/>
          <cell r="AW54"/>
          <cell r="AY54"/>
          <cell r="BA54"/>
        </row>
        <row r="55">
          <cell r="O55"/>
          <cell r="Q55"/>
          <cell r="S55"/>
          <cell r="U55"/>
          <cell r="W55"/>
          <cell r="Y55"/>
          <cell r="AA55"/>
          <cell r="AC55"/>
          <cell r="AE55"/>
          <cell r="AG55"/>
          <cell r="AI55"/>
          <cell r="AK55"/>
          <cell r="AM55"/>
          <cell r="AO55"/>
          <cell r="AQ55"/>
          <cell r="AS55"/>
          <cell r="AU55"/>
          <cell r="AW55"/>
          <cell r="AY55"/>
          <cell r="BA55"/>
        </row>
        <row r="56">
          <cell r="O56"/>
          <cell r="Q56"/>
          <cell r="S56"/>
          <cell r="U56"/>
          <cell r="W56"/>
          <cell r="Y56"/>
          <cell r="AA56"/>
          <cell r="AC56"/>
          <cell r="AE56"/>
          <cell r="AG56"/>
          <cell r="AI56"/>
          <cell r="AK56"/>
          <cell r="AM56"/>
          <cell r="AO56"/>
          <cell r="AQ56"/>
          <cell r="AS56"/>
          <cell r="AU56"/>
          <cell r="AW56"/>
          <cell r="AY56"/>
          <cell r="BA56"/>
        </row>
        <row r="57">
          <cell r="O57"/>
          <cell r="Q57"/>
          <cell r="S57"/>
          <cell r="U57"/>
          <cell r="W57"/>
          <cell r="Y57"/>
          <cell r="AA57"/>
          <cell r="AC57"/>
          <cell r="AE57"/>
          <cell r="AG57"/>
          <cell r="AI57"/>
          <cell r="AK57"/>
          <cell r="AM57"/>
          <cell r="AO57"/>
          <cell r="AQ57"/>
          <cell r="AS57"/>
          <cell r="AU57"/>
          <cell r="AW57"/>
          <cell r="AY57"/>
          <cell r="BA57"/>
        </row>
        <row r="58">
          <cell r="O58"/>
          <cell r="Q58"/>
          <cell r="S58"/>
          <cell r="U58"/>
          <cell r="W58"/>
          <cell r="Y58"/>
          <cell r="AA58"/>
          <cell r="AC58"/>
          <cell r="AE58"/>
          <cell r="AG58"/>
          <cell r="AI58"/>
          <cell r="AK58"/>
          <cell r="AM58"/>
          <cell r="AO58"/>
          <cell r="AQ58"/>
          <cell r="AS58"/>
          <cell r="AU58"/>
          <cell r="AW58"/>
          <cell r="AY58"/>
          <cell r="BA58"/>
        </row>
        <row r="59">
          <cell r="O59">
            <v>10</v>
          </cell>
          <cell r="Q59"/>
          <cell r="S59"/>
          <cell r="U59"/>
          <cell r="W59"/>
          <cell r="Y59"/>
          <cell r="AA59"/>
          <cell r="AC59"/>
          <cell r="AE59"/>
          <cell r="AG59"/>
          <cell r="AI59"/>
          <cell r="AK59"/>
          <cell r="AM59"/>
          <cell r="AO59"/>
          <cell r="AQ59"/>
          <cell r="AS59"/>
          <cell r="AU59"/>
          <cell r="AW59"/>
          <cell r="AY59"/>
          <cell r="BA59"/>
        </row>
        <row r="60">
          <cell r="O60"/>
          <cell r="Q60"/>
          <cell r="S60"/>
          <cell r="U60"/>
          <cell r="W60"/>
          <cell r="Y60"/>
          <cell r="AA60"/>
          <cell r="AC60"/>
          <cell r="AE60"/>
          <cell r="AG60"/>
          <cell r="AI60"/>
          <cell r="AK60"/>
          <cell r="AM60"/>
          <cell r="AO60"/>
          <cell r="AQ60"/>
          <cell r="AS60"/>
          <cell r="AU60"/>
          <cell r="AW60"/>
          <cell r="AY60"/>
          <cell r="BA60"/>
        </row>
        <row r="61">
          <cell r="O61"/>
          <cell r="Q61"/>
          <cell r="S61"/>
          <cell r="U61"/>
          <cell r="W61"/>
          <cell r="Y61"/>
          <cell r="AA61"/>
          <cell r="AC61"/>
          <cell r="AE61"/>
          <cell r="AG61"/>
          <cell r="AI61"/>
          <cell r="AK61"/>
          <cell r="AM61"/>
          <cell r="AO61"/>
          <cell r="AQ61"/>
          <cell r="AS61"/>
          <cell r="AU61"/>
          <cell r="AW61"/>
          <cell r="AY61"/>
          <cell r="BA61"/>
        </row>
        <row r="62">
          <cell r="O62"/>
          <cell r="Q62"/>
          <cell r="S62"/>
          <cell r="U62"/>
          <cell r="W62"/>
          <cell r="Y62"/>
          <cell r="AA62"/>
          <cell r="AC62"/>
          <cell r="AE62"/>
          <cell r="AG62"/>
          <cell r="AI62"/>
          <cell r="AK62"/>
          <cell r="AM62"/>
          <cell r="AO62"/>
          <cell r="AQ62"/>
          <cell r="AS62"/>
          <cell r="AU62"/>
          <cell r="AW62"/>
          <cell r="AY62"/>
          <cell r="BA62"/>
        </row>
        <row r="63">
          <cell r="O63"/>
          <cell r="Q63"/>
          <cell r="S63"/>
          <cell r="U63"/>
          <cell r="W63"/>
          <cell r="Y63"/>
          <cell r="AA63"/>
          <cell r="AC63"/>
          <cell r="AE63"/>
          <cell r="AG63"/>
          <cell r="AI63"/>
          <cell r="AK63"/>
          <cell r="AM63"/>
          <cell r="AO63"/>
          <cell r="AQ63"/>
          <cell r="AS63"/>
          <cell r="AU63"/>
          <cell r="AW63"/>
          <cell r="AY63"/>
          <cell r="BA63"/>
        </row>
        <row r="64">
          <cell r="O64"/>
          <cell r="Q64"/>
          <cell r="S64"/>
          <cell r="U64"/>
          <cell r="W64"/>
          <cell r="Y64"/>
          <cell r="AA64"/>
          <cell r="AC64"/>
          <cell r="AE64"/>
          <cell r="AG64"/>
          <cell r="AI64"/>
          <cell r="AK64"/>
          <cell r="AM64"/>
          <cell r="AO64"/>
          <cell r="AQ64"/>
          <cell r="AS64"/>
          <cell r="AU64"/>
          <cell r="AW64"/>
          <cell r="AY64"/>
          <cell r="BA64"/>
        </row>
        <row r="65">
          <cell r="O65"/>
          <cell r="Q65"/>
          <cell r="S65"/>
          <cell r="U65"/>
          <cell r="W65"/>
          <cell r="Y65"/>
          <cell r="AA65"/>
          <cell r="AC65"/>
          <cell r="AE65"/>
          <cell r="AG65"/>
          <cell r="AI65"/>
          <cell r="AK65"/>
          <cell r="AM65"/>
          <cell r="AO65"/>
          <cell r="AQ65"/>
          <cell r="AS65"/>
          <cell r="AU65"/>
          <cell r="AW65"/>
          <cell r="AY65"/>
          <cell r="BA65"/>
        </row>
        <row r="66">
          <cell r="O66"/>
          <cell r="Q66"/>
          <cell r="S66"/>
          <cell r="U66"/>
          <cell r="W66"/>
          <cell r="Y66"/>
          <cell r="AA66"/>
          <cell r="AC66"/>
          <cell r="AE66"/>
          <cell r="AG66"/>
          <cell r="AI66"/>
          <cell r="AK66"/>
          <cell r="AM66"/>
          <cell r="AO66"/>
          <cell r="AQ66"/>
          <cell r="AS66"/>
          <cell r="AU66"/>
          <cell r="AW66"/>
          <cell r="AY66"/>
          <cell r="BA66"/>
        </row>
        <row r="67">
          <cell r="O67"/>
          <cell r="Q67"/>
          <cell r="S67"/>
          <cell r="U67"/>
          <cell r="W67"/>
          <cell r="Y67"/>
          <cell r="AA67"/>
          <cell r="AC67"/>
          <cell r="AE67"/>
          <cell r="AG67"/>
          <cell r="AI67"/>
          <cell r="AK67"/>
          <cell r="AM67"/>
          <cell r="AO67"/>
          <cell r="AQ67"/>
          <cell r="AS67"/>
          <cell r="AU67"/>
          <cell r="AW67"/>
          <cell r="AY67"/>
          <cell r="BA67"/>
        </row>
        <row r="68">
          <cell r="O68"/>
          <cell r="Q68"/>
          <cell r="S68"/>
          <cell r="U68"/>
          <cell r="W68"/>
          <cell r="Y68"/>
          <cell r="AA68"/>
          <cell r="AC68"/>
          <cell r="AE68"/>
          <cell r="AG68"/>
          <cell r="AI68"/>
          <cell r="AK68"/>
          <cell r="AM68"/>
          <cell r="AO68"/>
          <cell r="AQ68"/>
          <cell r="AS68"/>
          <cell r="AU68"/>
          <cell r="AW68"/>
          <cell r="AY68"/>
          <cell r="BA68"/>
        </row>
        <row r="69">
          <cell r="O69"/>
          <cell r="Q69"/>
          <cell r="S69"/>
          <cell r="U69"/>
          <cell r="W69"/>
          <cell r="Y69"/>
          <cell r="AA69"/>
          <cell r="AC69"/>
          <cell r="AE69"/>
          <cell r="AG69"/>
          <cell r="AI69"/>
          <cell r="AK69"/>
          <cell r="AM69"/>
          <cell r="AO69"/>
          <cell r="AQ69"/>
          <cell r="AS69"/>
          <cell r="AU69"/>
          <cell r="AW69"/>
          <cell r="AY69"/>
          <cell r="BA69"/>
        </row>
        <row r="70">
          <cell r="O70"/>
          <cell r="Q70"/>
          <cell r="S70"/>
          <cell r="U70"/>
          <cell r="W70"/>
          <cell r="Y70"/>
          <cell r="AA70"/>
          <cell r="AC70"/>
          <cell r="AE70"/>
          <cell r="AG70"/>
          <cell r="AI70"/>
          <cell r="AK70"/>
          <cell r="AM70"/>
          <cell r="AO70"/>
          <cell r="AQ70"/>
          <cell r="AS70"/>
          <cell r="AU70"/>
          <cell r="AW70"/>
          <cell r="AY70"/>
          <cell r="BA70"/>
        </row>
        <row r="71">
          <cell r="O71"/>
          <cell r="Q71"/>
          <cell r="S71"/>
          <cell r="U71"/>
          <cell r="W71"/>
          <cell r="Y71"/>
          <cell r="AA71"/>
          <cell r="AC71"/>
          <cell r="AE71"/>
          <cell r="AG71"/>
          <cell r="AI71"/>
          <cell r="AK71"/>
          <cell r="AM71"/>
          <cell r="AO71"/>
          <cell r="AQ71"/>
          <cell r="AS71"/>
          <cell r="AU71"/>
          <cell r="AW71"/>
          <cell r="AY71"/>
          <cell r="BA71"/>
        </row>
        <row r="72">
          <cell r="O72"/>
          <cell r="Q72"/>
          <cell r="S72"/>
          <cell r="U72"/>
          <cell r="W72"/>
          <cell r="Y72"/>
          <cell r="AA72"/>
          <cell r="AC72"/>
          <cell r="AE72"/>
          <cell r="AG72"/>
          <cell r="AI72"/>
          <cell r="AK72"/>
          <cell r="AM72"/>
          <cell r="AO72"/>
          <cell r="AQ72"/>
          <cell r="AS72"/>
          <cell r="AU72"/>
          <cell r="AW72"/>
          <cell r="AY72"/>
          <cell r="BA72"/>
        </row>
        <row r="73">
          <cell r="O73"/>
          <cell r="Q73"/>
          <cell r="S73"/>
          <cell r="U73"/>
          <cell r="W73"/>
          <cell r="Y73"/>
          <cell r="AA73"/>
          <cell r="AC73"/>
          <cell r="AE73"/>
          <cell r="AG73"/>
          <cell r="AI73"/>
          <cell r="AK73"/>
          <cell r="AM73"/>
          <cell r="AO73"/>
          <cell r="AQ73"/>
          <cell r="AS73"/>
          <cell r="AU73"/>
          <cell r="AW73"/>
          <cell r="AY73"/>
          <cell r="BA73"/>
        </row>
        <row r="74">
          <cell r="O74"/>
          <cell r="Q74"/>
          <cell r="S74"/>
          <cell r="U74"/>
          <cell r="W74"/>
          <cell r="Y74"/>
          <cell r="AA74"/>
          <cell r="AC74"/>
          <cell r="AE74"/>
          <cell r="AG74"/>
          <cell r="AI74"/>
          <cell r="AK74"/>
          <cell r="AM74"/>
          <cell r="AO74"/>
          <cell r="AQ74"/>
          <cell r="AS74"/>
          <cell r="AU74"/>
          <cell r="AW74"/>
          <cell r="AY74"/>
          <cell r="BA74"/>
        </row>
        <row r="75">
          <cell r="O75"/>
          <cell r="Q75"/>
          <cell r="S75"/>
          <cell r="U75"/>
          <cell r="W75"/>
          <cell r="Y75"/>
          <cell r="AA75"/>
          <cell r="AC75"/>
          <cell r="AE75"/>
          <cell r="AG75"/>
          <cell r="AI75"/>
          <cell r="AK75"/>
          <cell r="AM75"/>
          <cell r="AO75"/>
          <cell r="AQ75"/>
          <cell r="AS75"/>
          <cell r="AU75"/>
          <cell r="AW75"/>
          <cell r="AY75"/>
          <cell r="BA75"/>
        </row>
        <row r="76">
          <cell r="O76"/>
          <cell r="Q76"/>
          <cell r="S76"/>
          <cell r="U76"/>
          <cell r="W76"/>
          <cell r="Y76"/>
          <cell r="AA76"/>
          <cell r="AC76"/>
          <cell r="AE76"/>
          <cell r="AG76"/>
          <cell r="AI76"/>
          <cell r="AK76"/>
          <cell r="AM76"/>
          <cell r="AO76"/>
          <cell r="AQ76"/>
          <cell r="AS76"/>
          <cell r="AU76"/>
          <cell r="AW76"/>
          <cell r="AY76"/>
          <cell r="BA76"/>
        </row>
        <row r="77">
          <cell r="O77"/>
          <cell r="Q77"/>
          <cell r="S77"/>
          <cell r="U77"/>
          <cell r="W77"/>
          <cell r="Y77"/>
          <cell r="AA77"/>
          <cell r="AC77"/>
          <cell r="AE77"/>
          <cell r="AG77"/>
          <cell r="AI77"/>
          <cell r="AK77"/>
          <cell r="AM77"/>
          <cell r="AO77"/>
          <cell r="AQ77"/>
          <cell r="AS77"/>
          <cell r="AU77"/>
          <cell r="AW77"/>
          <cell r="AY77"/>
          <cell r="BA77"/>
        </row>
        <row r="78">
          <cell r="O78"/>
          <cell r="Q78"/>
          <cell r="S78"/>
          <cell r="U78"/>
          <cell r="W78"/>
          <cell r="Y78"/>
          <cell r="AA78"/>
          <cell r="AC78"/>
          <cell r="AE78"/>
          <cell r="AG78"/>
          <cell r="AI78"/>
          <cell r="AK78"/>
          <cell r="AM78"/>
          <cell r="AO78"/>
          <cell r="AQ78"/>
          <cell r="AS78"/>
          <cell r="AU78"/>
          <cell r="AW78"/>
          <cell r="AY78"/>
          <cell r="BA78"/>
        </row>
        <row r="79">
          <cell r="O79"/>
          <cell r="Q79"/>
          <cell r="S79"/>
          <cell r="U79"/>
          <cell r="W79"/>
          <cell r="Y79"/>
          <cell r="AA79"/>
          <cell r="AC79"/>
          <cell r="AE79"/>
          <cell r="AG79"/>
          <cell r="AI79"/>
          <cell r="AK79"/>
          <cell r="AM79"/>
          <cell r="AO79"/>
          <cell r="AQ79"/>
          <cell r="AS79"/>
          <cell r="AU79"/>
          <cell r="AW79"/>
          <cell r="AY79"/>
          <cell r="BA79"/>
        </row>
        <row r="80">
          <cell r="O80"/>
          <cell r="Q80"/>
          <cell r="S80"/>
          <cell r="U80"/>
          <cell r="W80"/>
          <cell r="Y80"/>
          <cell r="AA80"/>
          <cell r="AC80"/>
          <cell r="AE80"/>
          <cell r="AG80"/>
          <cell r="AI80"/>
          <cell r="AK80"/>
          <cell r="AM80"/>
          <cell r="AO80"/>
          <cell r="AQ80"/>
          <cell r="AS80"/>
          <cell r="AU80"/>
          <cell r="AW80"/>
          <cell r="AY80"/>
          <cell r="BA80"/>
        </row>
        <row r="81">
          <cell r="O81"/>
          <cell r="Q81"/>
          <cell r="S81"/>
          <cell r="U81"/>
          <cell r="W81"/>
          <cell r="Y81"/>
          <cell r="AA81"/>
          <cell r="AC81"/>
          <cell r="AE81"/>
          <cell r="AG81"/>
          <cell r="AI81"/>
          <cell r="AK81"/>
          <cell r="AM81"/>
          <cell r="AO81"/>
          <cell r="AQ81"/>
          <cell r="AS81"/>
          <cell r="AU81"/>
          <cell r="AW81"/>
          <cell r="AY81"/>
          <cell r="BA81"/>
        </row>
        <row r="82">
          <cell r="O82"/>
          <cell r="Q82"/>
          <cell r="S82"/>
          <cell r="U82"/>
          <cell r="W82"/>
          <cell r="Y82"/>
          <cell r="AA82"/>
          <cell r="AC82"/>
          <cell r="AE82"/>
          <cell r="AG82"/>
          <cell r="AI82"/>
          <cell r="AK82"/>
          <cell r="AM82"/>
          <cell r="AO82"/>
          <cell r="AQ82"/>
          <cell r="AS82"/>
          <cell r="AU82"/>
          <cell r="AW82"/>
          <cell r="AY82"/>
          <cell r="BA82"/>
        </row>
        <row r="83">
          <cell r="O83"/>
          <cell r="Q83"/>
          <cell r="S83"/>
          <cell r="U83"/>
          <cell r="W83"/>
          <cell r="Y83"/>
          <cell r="AA83"/>
          <cell r="AC83"/>
          <cell r="AE83"/>
          <cell r="AG83"/>
          <cell r="AI83"/>
          <cell r="AK83"/>
          <cell r="AM83"/>
          <cell r="AO83"/>
          <cell r="AQ83"/>
          <cell r="AS83"/>
          <cell r="AU83"/>
          <cell r="AW83"/>
          <cell r="AY83"/>
          <cell r="BA83"/>
        </row>
        <row r="84">
          <cell r="O84"/>
          <cell r="Q84"/>
          <cell r="S84"/>
          <cell r="U84"/>
          <cell r="W84"/>
          <cell r="Y84"/>
          <cell r="AA84"/>
          <cell r="AC84"/>
          <cell r="AE84"/>
          <cell r="AG84"/>
          <cell r="AI84"/>
          <cell r="AK84"/>
          <cell r="AM84"/>
          <cell r="AO84"/>
          <cell r="AQ84"/>
          <cell r="AS84"/>
          <cell r="AU84"/>
          <cell r="AW84"/>
          <cell r="AY84"/>
          <cell r="BA84"/>
        </row>
        <row r="85">
          <cell r="O85"/>
          <cell r="Q85"/>
          <cell r="S85"/>
          <cell r="U85"/>
          <cell r="W85"/>
          <cell r="Y85"/>
          <cell r="AA85"/>
          <cell r="AC85"/>
          <cell r="AE85"/>
          <cell r="AG85"/>
          <cell r="AI85"/>
          <cell r="AK85"/>
          <cell r="AM85"/>
          <cell r="AO85"/>
          <cell r="AQ85"/>
          <cell r="AS85"/>
          <cell r="AU85"/>
          <cell r="AW85"/>
          <cell r="AY85"/>
          <cell r="BA85"/>
        </row>
        <row r="86">
          <cell r="O86">
            <v>3</v>
          </cell>
          <cell r="Q86"/>
          <cell r="S86">
            <v>1</v>
          </cell>
          <cell r="U86">
            <v>1</v>
          </cell>
          <cell r="W86"/>
          <cell r="Y86"/>
          <cell r="AA86"/>
          <cell r="AC86"/>
          <cell r="AE86"/>
          <cell r="AG86"/>
          <cell r="AI86"/>
          <cell r="AK86"/>
          <cell r="AM86"/>
          <cell r="AO86"/>
          <cell r="AQ86"/>
          <cell r="AS86"/>
          <cell r="AU86"/>
          <cell r="AW86"/>
          <cell r="AY86"/>
          <cell r="BA86"/>
        </row>
        <row r="87">
          <cell r="O87"/>
          <cell r="Q87"/>
          <cell r="S87"/>
          <cell r="U87"/>
          <cell r="W87"/>
          <cell r="Y87"/>
          <cell r="AA87"/>
          <cell r="AC87"/>
          <cell r="AE87"/>
          <cell r="AG87"/>
          <cell r="AI87"/>
          <cell r="AK87"/>
          <cell r="AM87"/>
          <cell r="AO87"/>
          <cell r="AQ87"/>
          <cell r="AS87"/>
          <cell r="AU87"/>
          <cell r="AW87"/>
          <cell r="AY87"/>
          <cell r="BA87"/>
        </row>
        <row r="88">
          <cell r="O88"/>
          <cell r="Q88"/>
          <cell r="S88"/>
          <cell r="U88"/>
          <cell r="W88"/>
          <cell r="Y88"/>
          <cell r="AA88"/>
          <cell r="AC88"/>
          <cell r="AE88"/>
          <cell r="AG88"/>
          <cell r="AI88"/>
          <cell r="AK88"/>
          <cell r="AM88"/>
          <cell r="AO88"/>
          <cell r="AQ88"/>
          <cell r="AS88"/>
          <cell r="AU88"/>
          <cell r="AW88"/>
          <cell r="AY88"/>
          <cell r="BA88"/>
        </row>
        <row r="89">
          <cell r="O89"/>
          <cell r="Q89"/>
          <cell r="S89"/>
          <cell r="U89"/>
          <cell r="W89"/>
          <cell r="Y89"/>
          <cell r="AA89"/>
          <cell r="AC89"/>
          <cell r="AE89"/>
          <cell r="AG89"/>
          <cell r="AI89"/>
          <cell r="AK89"/>
          <cell r="AM89"/>
          <cell r="AO89"/>
          <cell r="AQ89"/>
          <cell r="AS89"/>
          <cell r="AU89"/>
          <cell r="AW89"/>
          <cell r="AY89"/>
          <cell r="BA89"/>
        </row>
        <row r="90">
          <cell r="O90">
            <v>3</v>
          </cell>
          <cell r="Q90"/>
          <cell r="S90">
            <v>1</v>
          </cell>
          <cell r="U90">
            <v>1</v>
          </cell>
          <cell r="W90"/>
          <cell r="Y90"/>
          <cell r="AA90"/>
          <cell r="AC90"/>
          <cell r="AE90"/>
          <cell r="AG90"/>
          <cell r="AI90"/>
          <cell r="AK90"/>
          <cell r="AM90"/>
          <cell r="AO90"/>
          <cell r="AQ90"/>
          <cell r="AS90"/>
          <cell r="AU90"/>
          <cell r="AW90"/>
          <cell r="AY90"/>
          <cell r="BA90"/>
        </row>
        <row r="91">
          <cell r="O91"/>
          <cell r="Q91"/>
          <cell r="S91"/>
          <cell r="U91"/>
          <cell r="W91"/>
          <cell r="Y91"/>
          <cell r="AA91"/>
          <cell r="AC91"/>
          <cell r="AE91"/>
          <cell r="AG91"/>
          <cell r="AI91"/>
          <cell r="AK91"/>
          <cell r="AM91"/>
          <cell r="AO91"/>
          <cell r="AQ91"/>
          <cell r="AS91"/>
          <cell r="AU91"/>
          <cell r="AW91"/>
          <cell r="AY91"/>
          <cell r="BA91"/>
        </row>
        <row r="92">
          <cell r="O92"/>
          <cell r="Q92"/>
          <cell r="S92"/>
          <cell r="U92"/>
          <cell r="W92"/>
          <cell r="Y92"/>
          <cell r="AA92"/>
          <cell r="AC92"/>
          <cell r="AE92"/>
          <cell r="AG92"/>
          <cell r="AI92"/>
          <cell r="AK92"/>
          <cell r="AM92"/>
          <cell r="AO92"/>
          <cell r="AQ92"/>
          <cell r="AS92"/>
          <cell r="AU92"/>
          <cell r="AW92"/>
          <cell r="AY92"/>
          <cell r="BA92"/>
        </row>
        <row r="93">
          <cell r="O93"/>
          <cell r="Q93"/>
          <cell r="S93"/>
          <cell r="U93"/>
          <cell r="W93"/>
          <cell r="Y93"/>
          <cell r="AA93"/>
          <cell r="AC93"/>
          <cell r="AE93"/>
          <cell r="AG93"/>
          <cell r="AI93"/>
          <cell r="AK93"/>
          <cell r="AM93"/>
          <cell r="AO93"/>
          <cell r="AQ93"/>
          <cell r="AS93"/>
          <cell r="AU93"/>
          <cell r="AW93"/>
          <cell r="AY93"/>
          <cell r="BA93"/>
        </row>
        <row r="94">
          <cell r="O94"/>
          <cell r="Q94"/>
          <cell r="S94"/>
          <cell r="U94"/>
          <cell r="W94"/>
          <cell r="Y94"/>
          <cell r="AA94"/>
          <cell r="AC94"/>
          <cell r="AE94"/>
          <cell r="AG94"/>
          <cell r="AI94"/>
          <cell r="AK94"/>
          <cell r="AM94"/>
          <cell r="AO94"/>
          <cell r="AQ94"/>
          <cell r="AS94"/>
          <cell r="AU94"/>
          <cell r="AW94"/>
          <cell r="AY94"/>
          <cell r="BA94"/>
        </row>
        <row r="95">
          <cell r="O95"/>
          <cell r="Q95"/>
          <cell r="S95"/>
          <cell r="U95"/>
          <cell r="W95"/>
          <cell r="Y95"/>
          <cell r="AA95"/>
          <cell r="AC95"/>
          <cell r="AE95"/>
          <cell r="AG95"/>
          <cell r="AI95"/>
          <cell r="AK95"/>
          <cell r="AM95"/>
          <cell r="AO95"/>
          <cell r="AQ95"/>
          <cell r="AS95"/>
          <cell r="AU95"/>
          <cell r="AW95"/>
          <cell r="AY95"/>
          <cell r="BA95"/>
        </row>
        <row r="96">
          <cell r="O96"/>
          <cell r="Q96"/>
          <cell r="S96"/>
          <cell r="U96"/>
          <cell r="W96"/>
          <cell r="Y96"/>
          <cell r="AA96"/>
          <cell r="AC96"/>
          <cell r="AE96"/>
          <cell r="AG96"/>
          <cell r="AI96"/>
          <cell r="AK96"/>
          <cell r="AM96"/>
          <cell r="AO96"/>
          <cell r="AQ96"/>
          <cell r="AS96"/>
          <cell r="AU96"/>
          <cell r="AW96"/>
          <cell r="AY96"/>
          <cell r="BA96"/>
        </row>
        <row r="97">
          <cell r="O97"/>
          <cell r="Q97"/>
          <cell r="S97"/>
          <cell r="U97"/>
          <cell r="W97"/>
          <cell r="Y97"/>
          <cell r="AA97"/>
          <cell r="AC97"/>
          <cell r="AE97"/>
          <cell r="AG97"/>
          <cell r="AI97"/>
          <cell r="AK97"/>
          <cell r="AM97"/>
          <cell r="AO97"/>
          <cell r="AQ97"/>
          <cell r="AS97"/>
          <cell r="AU97"/>
          <cell r="AW97"/>
          <cell r="AY97"/>
          <cell r="BA97"/>
        </row>
        <row r="98">
          <cell r="O98"/>
          <cell r="Q98"/>
          <cell r="S98"/>
          <cell r="U98"/>
          <cell r="W98"/>
          <cell r="Y98"/>
          <cell r="AA98"/>
          <cell r="AC98"/>
          <cell r="AE98"/>
          <cell r="AG98"/>
          <cell r="AI98"/>
          <cell r="AK98"/>
          <cell r="AM98"/>
          <cell r="AO98"/>
          <cell r="AQ98"/>
          <cell r="AS98"/>
          <cell r="AU98"/>
          <cell r="AW98"/>
          <cell r="AY98"/>
          <cell r="BA98"/>
        </row>
        <row r="99">
          <cell r="O99"/>
          <cell r="Q99"/>
          <cell r="S99"/>
          <cell r="U99"/>
          <cell r="W99"/>
          <cell r="Y99"/>
          <cell r="AA99"/>
          <cell r="AC99"/>
          <cell r="AE99"/>
          <cell r="AG99"/>
          <cell r="AI99"/>
          <cell r="AK99"/>
          <cell r="AM99"/>
          <cell r="AO99"/>
          <cell r="AQ99"/>
          <cell r="AS99"/>
          <cell r="AU99"/>
          <cell r="AW99"/>
          <cell r="AY99"/>
          <cell r="BA99"/>
        </row>
        <row r="100">
          <cell r="O100"/>
          <cell r="Q100"/>
          <cell r="S100"/>
          <cell r="U100"/>
          <cell r="W100"/>
          <cell r="Y100"/>
          <cell r="AA100"/>
          <cell r="AC100"/>
          <cell r="AE100"/>
          <cell r="AG100"/>
          <cell r="AI100"/>
          <cell r="AK100"/>
          <cell r="AM100"/>
          <cell r="AO100"/>
          <cell r="AQ100"/>
          <cell r="AS100"/>
          <cell r="AU100"/>
          <cell r="AW100"/>
          <cell r="AY100"/>
          <cell r="BA100"/>
        </row>
        <row r="101">
          <cell r="O101"/>
          <cell r="Q101"/>
          <cell r="S101"/>
          <cell r="U101"/>
          <cell r="W101"/>
          <cell r="Y101"/>
          <cell r="AA101"/>
          <cell r="AC101"/>
          <cell r="AE101"/>
          <cell r="AG101"/>
          <cell r="AI101"/>
          <cell r="AK101"/>
          <cell r="AM101"/>
          <cell r="AO101"/>
          <cell r="AQ101"/>
          <cell r="AS101"/>
          <cell r="AU101"/>
          <cell r="AW101"/>
          <cell r="AY101"/>
          <cell r="BA101"/>
        </row>
        <row r="102">
          <cell r="O102"/>
          <cell r="Q102"/>
          <cell r="S102"/>
          <cell r="U102"/>
          <cell r="W102"/>
          <cell r="Y102"/>
          <cell r="AA102"/>
          <cell r="AC102"/>
          <cell r="AE102"/>
          <cell r="AG102"/>
          <cell r="AI102"/>
          <cell r="AK102"/>
          <cell r="AM102"/>
          <cell r="AO102"/>
          <cell r="AQ102"/>
          <cell r="AS102"/>
          <cell r="AU102"/>
          <cell r="AW102"/>
          <cell r="AY102"/>
          <cell r="BA102"/>
        </row>
        <row r="103">
          <cell r="O103"/>
          <cell r="Q103"/>
          <cell r="S103"/>
          <cell r="U103"/>
          <cell r="W103"/>
          <cell r="Y103"/>
          <cell r="AA103"/>
          <cell r="AC103"/>
          <cell r="AE103"/>
          <cell r="AG103"/>
          <cell r="AI103"/>
          <cell r="AK103"/>
          <cell r="AM103"/>
          <cell r="AO103"/>
          <cell r="AQ103"/>
          <cell r="AS103"/>
          <cell r="AU103"/>
          <cell r="AW103"/>
          <cell r="AY103"/>
          <cell r="BA103"/>
        </row>
        <row r="104">
          <cell r="O104"/>
          <cell r="Q104"/>
          <cell r="S104"/>
          <cell r="U104"/>
          <cell r="W104"/>
          <cell r="Y104"/>
          <cell r="AA104"/>
          <cell r="AC104"/>
          <cell r="AE104"/>
          <cell r="AG104"/>
          <cell r="AI104"/>
          <cell r="AK104"/>
          <cell r="AM104"/>
          <cell r="AO104"/>
          <cell r="AQ104"/>
          <cell r="AS104"/>
          <cell r="AU104"/>
          <cell r="AW104"/>
          <cell r="AY104"/>
          <cell r="BA104"/>
        </row>
        <row r="105">
          <cell r="O105"/>
          <cell r="Q105"/>
          <cell r="S105"/>
          <cell r="U105"/>
          <cell r="W105"/>
          <cell r="Y105"/>
          <cell r="AA105"/>
          <cell r="AC105"/>
          <cell r="AE105"/>
          <cell r="AG105"/>
          <cell r="AI105"/>
          <cell r="AK105"/>
          <cell r="AM105"/>
          <cell r="AO105"/>
          <cell r="AQ105"/>
          <cell r="AS105"/>
          <cell r="AU105"/>
          <cell r="AW105"/>
          <cell r="AY105"/>
          <cell r="BA105"/>
        </row>
        <row r="106">
          <cell r="O106"/>
          <cell r="Q106"/>
          <cell r="S106"/>
          <cell r="U106"/>
          <cell r="W106"/>
          <cell r="Y106"/>
          <cell r="AA106"/>
          <cell r="AC106"/>
          <cell r="AE106"/>
          <cell r="AG106"/>
          <cell r="AI106"/>
          <cell r="AK106"/>
          <cell r="AM106"/>
          <cell r="AO106"/>
          <cell r="AQ106"/>
          <cell r="AS106"/>
          <cell r="AU106"/>
          <cell r="AW106"/>
          <cell r="AY106"/>
          <cell r="BA106"/>
        </row>
        <row r="107">
          <cell r="O107"/>
          <cell r="Q107"/>
          <cell r="S107"/>
          <cell r="U107"/>
          <cell r="W107"/>
          <cell r="Y107"/>
          <cell r="AA107"/>
          <cell r="AC107"/>
          <cell r="AE107"/>
          <cell r="AG107"/>
          <cell r="AI107"/>
          <cell r="AK107"/>
          <cell r="AM107"/>
          <cell r="AO107"/>
          <cell r="AQ107"/>
          <cell r="AS107"/>
          <cell r="AU107"/>
          <cell r="AW107"/>
          <cell r="AY107"/>
          <cell r="BA107"/>
        </row>
        <row r="108">
          <cell r="O108">
            <v>1</v>
          </cell>
          <cell r="Q108"/>
          <cell r="S108">
            <v>1</v>
          </cell>
          <cell r="U108">
            <v>3</v>
          </cell>
          <cell r="W108"/>
          <cell r="Y108"/>
          <cell r="AA108"/>
          <cell r="AC108"/>
          <cell r="AE108"/>
          <cell r="AG108"/>
          <cell r="AI108"/>
          <cell r="AK108"/>
          <cell r="AM108"/>
          <cell r="AO108"/>
          <cell r="AQ108"/>
          <cell r="AS108"/>
          <cell r="AU108"/>
          <cell r="AW108"/>
          <cell r="AY108"/>
          <cell r="BA108"/>
        </row>
        <row r="109">
          <cell r="O109"/>
          <cell r="Q109"/>
          <cell r="S109"/>
          <cell r="U109"/>
          <cell r="W109"/>
          <cell r="Y109"/>
          <cell r="AA109"/>
          <cell r="AC109"/>
          <cell r="AE109"/>
          <cell r="AG109"/>
          <cell r="AI109"/>
          <cell r="AK109"/>
          <cell r="AM109"/>
          <cell r="AO109"/>
          <cell r="AQ109"/>
          <cell r="AS109"/>
          <cell r="AU109"/>
          <cell r="AW109"/>
          <cell r="AY109"/>
          <cell r="BA109"/>
        </row>
        <row r="110">
          <cell r="O110"/>
          <cell r="Q110"/>
          <cell r="S110"/>
          <cell r="U110"/>
          <cell r="W110"/>
          <cell r="Y110"/>
          <cell r="AA110"/>
          <cell r="AC110"/>
          <cell r="AE110"/>
          <cell r="AG110"/>
          <cell r="AI110"/>
          <cell r="AK110"/>
          <cell r="AM110"/>
          <cell r="AO110"/>
          <cell r="AQ110"/>
          <cell r="AS110"/>
          <cell r="AU110"/>
          <cell r="AW110"/>
          <cell r="AY110"/>
          <cell r="BA110"/>
        </row>
        <row r="111">
          <cell r="O111"/>
          <cell r="Q111"/>
          <cell r="S111"/>
          <cell r="U111"/>
          <cell r="W111"/>
          <cell r="Y111"/>
          <cell r="AA111"/>
          <cell r="AC111"/>
          <cell r="AE111"/>
          <cell r="AG111"/>
          <cell r="AI111"/>
          <cell r="AK111"/>
          <cell r="AM111"/>
          <cell r="AO111"/>
          <cell r="AQ111"/>
          <cell r="AS111"/>
          <cell r="AU111"/>
          <cell r="AW111"/>
          <cell r="AY111"/>
          <cell r="BA111"/>
        </row>
        <row r="112">
          <cell r="O112"/>
          <cell r="Q112"/>
          <cell r="S112"/>
          <cell r="U112"/>
          <cell r="W112"/>
          <cell r="Y112"/>
          <cell r="AA112"/>
          <cell r="AC112"/>
          <cell r="AE112"/>
          <cell r="AG112"/>
          <cell r="AI112"/>
          <cell r="AK112"/>
          <cell r="AM112"/>
          <cell r="AO112"/>
          <cell r="AQ112"/>
          <cell r="AS112"/>
          <cell r="AU112"/>
          <cell r="AW112"/>
          <cell r="AY112"/>
          <cell r="BA112"/>
        </row>
        <row r="113">
          <cell r="O113"/>
          <cell r="Q113"/>
          <cell r="S113"/>
          <cell r="U113"/>
          <cell r="W113"/>
          <cell r="Y113"/>
          <cell r="AA113"/>
          <cell r="AC113"/>
          <cell r="AE113"/>
          <cell r="AG113"/>
          <cell r="AI113"/>
          <cell r="AK113"/>
          <cell r="AM113"/>
          <cell r="AO113"/>
          <cell r="AQ113"/>
          <cell r="AS113"/>
          <cell r="AU113"/>
          <cell r="AW113"/>
          <cell r="AY113"/>
          <cell r="BA113"/>
        </row>
        <row r="114">
          <cell r="O114"/>
          <cell r="Q114"/>
          <cell r="S114"/>
          <cell r="U114"/>
          <cell r="W114"/>
          <cell r="Y114"/>
          <cell r="AA114"/>
          <cell r="AC114"/>
          <cell r="AE114"/>
          <cell r="AG114"/>
          <cell r="AI114"/>
          <cell r="AK114"/>
          <cell r="AM114"/>
          <cell r="AO114"/>
          <cell r="AQ114"/>
          <cell r="AS114"/>
          <cell r="AU114"/>
          <cell r="AW114"/>
          <cell r="AY114"/>
          <cell r="BA114"/>
        </row>
        <row r="115">
          <cell r="O115"/>
          <cell r="Q115"/>
          <cell r="S115"/>
          <cell r="U115"/>
          <cell r="W115"/>
          <cell r="Y115"/>
          <cell r="AA115"/>
          <cell r="AC115"/>
          <cell r="AE115"/>
          <cell r="AG115"/>
          <cell r="AI115"/>
          <cell r="AK115"/>
          <cell r="AM115"/>
          <cell r="AO115"/>
          <cell r="AQ115"/>
          <cell r="AS115"/>
          <cell r="AU115"/>
          <cell r="AW115"/>
          <cell r="AY115"/>
          <cell r="BA115"/>
        </row>
        <row r="116">
          <cell r="O116"/>
          <cell r="Q116"/>
          <cell r="S116"/>
          <cell r="U116"/>
          <cell r="W116"/>
          <cell r="Y116"/>
          <cell r="AA116"/>
          <cell r="AC116"/>
          <cell r="AE116"/>
          <cell r="AG116"/>
          <cell r="AI116"/>
          <cell r="AK116"/>
          <cell r="AM116"/>
          <cell r="AO116"/>
          <cell r="AQ116"/>
          <cell r="AS116"/>
          <cell r="AU116"/>
          <cell r="AW116"/>
          <cell r="AY116"/>
          <cell r="BA116"/>
        </row>
        <row r="117">
          <cell r="O117"/>
          <cell r="Q117"/>
          <cell r="S117"/>
          <cell r="U117"/>
          <cell r="W117"/>
          <cell r="Y117"/>
          <cell r="AA117"/>
          <cell r="AC117"/>
          <cell r="AE117"/>
          <cell r="AG117"/>
          <cell r="AI117"/>
          <cell r="AK117"/>
          <cell r="AM117"/>
          <cell r="AO117"/>
          <cell r="AQ117"/>
          <cell r="AS117"/>
          <cell r="AU117"/>
          <cell r="AW117"/>
          <cell r="AY117"/>
          <cell r="BA117"/>
        </row>
        <row r="118">
          <cell r="O118"/>
          <cell r="Q118"/>
          <cell r="S118"/>
          <cell r="U118"/>
          <cell r="W118"/>
          <cell r="Y118"/>
          <cell r="AA118"/>
          <cell r="AC118"/>
          <cell r="AE118"/>
          <cell r="AG118"/>
          <cell r="AI118"/>
          <cell r="AK118"/>
          <cell r="AM118"/>
          <cell r="AO118"/>
          <cell r="AQ118"/>
          <cell r="AS118"/>
          <cell r="AU118"/>
          <cell r="AW118"/>
          <cell r="AY118"/>
          <cell r="BA118"/>
        </row>
        <row r="119">
          <cell r="O119"/>
          <cell r="Q119"/>
          <cell r="S119"/>
          <cell r="U119"/>
          <cell r="W119"/>
          <cell r="Y119"/>
          <cell r="AA119"/>
          <cell r="AC119"/>
          <cell r="AE119"/>
          <cell r="AG119"/>
          <cell r="AI119"/>
          <cell r="AK119"/>
          <cell r="AM119"/>
          <cell r="AO119"/>
          <cell r="AQ119"/>
          <cell r="AS119"/>
          <cell r="AU119"/>
          <cell r="AW119"/>
          <cell r="AY119"/>
          <cell r="BA119"/>
        </row>
        <row r="120">
          <cell r="O120"/>
          <cell r="Q120"/>
          <cell r="S120"/>
          <cell r="U120"/>
          <cell r="W120"/>
          <cell r="Y120"/>
          <cell r="AA120"/>
          <cell r="AC120"/>
          <cell r="AE120"/>
          <cell r="AG120"/>
          <cell r="AI120"/>
          <cell r="AK120"/>
          <cell r="AM120"/>
          <cell r="AO120"/>
          <cell r="AQ120"/>
          <cell r="AS120"/>
          <cell r="AU120"/>
          <cell r="AW120"/>
          <cell r="AY120"/>
          <cell r="BA120"/>
        </row>
        <row r="121">
          <cell r="O121"/>
          <cell r="Q121"/>
          <cell r="S121"/>
          <cell r="U121"/>
          <cell r="W121"/>
          <cell r="Y121"/>
          <cell r="AA121"/>
          <cell r="AC121"/>
          <cell r="AE121"/>
          <cell r="AG121"/>
          <cell r="AI121"/>
          <cell r="AK121"/>
          <cell r="AM121"/>
          <cell r="AO121"/>
          <cell r="AQ121"/>
          <cell r="AS121"/>
          <cell r="AU121"/>
          <cell r="AW121"/>
          <cell r="AY121"/>
          <cell r="BA121"/>
        </row>
        <row r="122">
          <cell r="O122"/>
          <cell r="Q122"/>
          <cell r="S122"/>
          <cell r="U122"/>
          <cell r="W122"/>
          <cell r="Y122"/>
          <cell r="AA122"/>
          <cell r="AC122"/>
          <cell r="AE122"/>
          <cell r="AG122"/>
          <cell r="AI122"/>
          <cell r="AK122"/>
          <cell r="AM122"/>
          <cell r="AO122"/>
          <cell r="AQ122"/>
          <cell r="AS122"/>
          <cell r="AU122"/>
          <cell r="AW122"/>
          <cell r="AY122"/>
          <cell r="BA122"/>
        </row>
        <row r="123">
          <cell r="O123"/>
          <cell r="Q123"/>
          <cell r="S123"/>
          <cell r="U123"/>
          <cell r="W123"/>
          <cell r="Y123"/>
          <cell r="AA123"/>
          <cell r="AC123"/>
          <cell r="AE123"/>
          <cell r="AG123"/>
          <cell r="AI123"/>
          <cell r="AK123"/>
          <cell r="AM123"/>
          <cell r="AO123"/>
          <cell r="AQ123"/>
          <cell r="AS123"/>
          <cell r="AU123"/>
          <cell r="AW123"/>
          <cell r="AY123"/>
          <cell r="BA123"/>
        </row>
        <row r="124">
          <cell r="O124"/>
          <cell r="Q124"/>
          <cell r="S124"/>
          <cell r="U124"/>
          <cell r="W124"/>
          <cell r="Y124"/>
          <cell r="AA124"/>
          <cell r="AC124"/>
          <cell r="AE124"/>
          <cell r="AG124"/>
          <cell r="AI124"/>
          <cell r="AK124"/>
          <cell r="AM124"/>
          <cell r="AO124"/>
          <cell r="AQ124"/>
          <cell r="AS124"/>
          <cell r="AU124"/>
          <cell r="AW124"/>
          <cell r="AY124"/>
          <cell r="BA124"/>
        </row>
        <row r="125">
          <cell r="O125">
            <v>4</v>
          </cell>
          <cell r="Q125">
            <v>5</v>
          </cell>
          <cell r="S125">
            <v>1</v>
          </cell>
          <cell r="U125"/>
          <cell r="W125"/>
          <cell r="Y125"/>
          <cell r="AA125"/>
          <cell r="AC125"/>
          <cell r="AE125"/>
          <cell r="AG125"/>
          <cell r="AI125"/>
          <cell r="AK125"/>
          <cell r="AM125"/>
          <cell r="AO125"/>
          <cell r="AQ125"/>
          <cell r="AS125"/>
          <cell r="AU125"/>
          <cell r="AW125"/>
          <cell r="AY125"/>
          <cell r="BA125"/>
        </row>
        <row r="126">
          <cell r="O126"/>
          <cell r="Q126"/>
          <cell r="S126"/>
          <cell r="U126"/>
          <cell r="W126"/>
          <cell r="Y126"/>
          <cell r="AA126"/>
          <cell r="AC126"/>
          <cell r="AE126"/>
          <cell r="AG126"/>
          <cell r="AI126"/>
          <cell r="AK126"/>
          <cell r="AM126"/>
          <cell r="AO126"/>
          <cell r="AQ126"/>
          <cell r="AS126"/>
          <cell r="AU126"/>
          <cell r="AW126"/>
          <cell r="AY126"/>
          <cell r="BA126"/>
        </row>
        <row r="127">
          <cell r="O127"/>
          <cell r="Q127"/>
          <cell r="S127"/>
          <cell r="U127"/>
          <cell r="W127"/>
          <cell r="Y127"/>
          <cell r="AA127"/>
          <cell r="AC127"/>
          <cell r="AE127"/>
          <cell r="AG127"/>
          <cell r="AI127"/>
          <cell r="AK127"/>
          <cell r="AM127"/>
          <cell r="AO127"/>
          <cell r="AQ127"/>
          <cell r="AS127"/>
          <cell r="AU127"/>
          <cell r="AW127"/>
          <cell r="AY127"/>
          <cell r="BA127"/>
        </row>
        <row r="128">
          <cell r="O128"/>
          <cell r="Q128"/>
          <cell r="S128"/>
          <cell r="U128"/>
          <cell r="W128"/>
          <cell r="Y128"/>
          <cell r="AA128"/>
          <cell r="AC128"/>
          <cell r="AE128"/>
          <cell r="AG128"/>
          <cell r="AI128"/>
          <cell r="AK128"/>
          <cell r="AM128"/>
          <cell r="AO128"/>
          <cell r="AQ128"/>
          <cell r="AS128"/>
          <cell r="AU128"/>
          <cell r="AW128"/>
          <cell r="AY128"/>
          <cell r="BA128"/>
        </row>
        <row r="129">
          <cell r="O129"/>
          <cell r="Q129"/>
          <cell r="S129"/>
          <cell r="U129"/>
          <cell r="W129"/>
          <cell r="Y129"/>
          <cell r="AA129"/>
          <cell r="AC129"/>
          <cell r="AE129"/>
          <cell r="AG129"/>
          <cell r="AI129"/>
          <cell r="AK129"/>
          <cell r="AM129"/>
          <cell r="AO129"/>
          <cell r="AQ129"/>
          <cell r="AS129"/>
          <cell r="AU129"/>
          <cell r="AW129"/>
          <cell r="AY129"/>
          <cell r="BA129"/>
        </row>
        <row r="130">
          <cell r="O130"/>
          <cell r="Q130"/>
          <cell r="S130"/>
          <cell r="U130"/>
          <cell r="W130"/>
          <cell r="Y130"/>
          <cell r="AA130"/>
          <cell r="AC130"/>
          <cell r="AE130"/>
          <cell r="AG130"/>
          <cell r="AI130"/>
          <cell r="AK130"/>
          <cell r="AM130"/>
          <cell r="AO130"/>
          <cell r="AQ130"/>
          <cell r="AS130"/>
          <cell r="AU130"/>
          <cell r="AW130"/>
          <cell r="AY130"/>
          <cell r="BA130"/>
        </row>
        <row r="131">
          <cell r="O131"/>
          <cell r="Q131"/>
          <cell r="S131"/>
          <cell r="U131"/>
          <cell r="W131"/>
          <cell r="Y131"/>
          <cell r="AA131"/>
          <cell r="AC131"/>
          <cell r="AE131"/>
          <cell r="AG131"/>
          <cell r="AI131"/>
          <cell r="AK131"/>
          <cell r="AM131"/>
          <cell r="AO131"/>
          <cell r="AQ131"/>
          <cell r="AS131"/>
          <cell r="AU131"/>
          <cell r="AW131"/>
          <cell r="AY131"/>
          <cell r="BA131"/>
        </row>
        <row r="132">
          <cell r="O132"/>
          <cell r="Q132"/>
          <cell r="S132"/>
          <cell r="U132"/>
          <cell r="W132"/>
          <cell r="Y132"/>
          <cell r="AA132"/>
          <cell r="AC132"/>
          <cell r="AE132"/>
          <cell r="AG132"/>
          <cell r="AI132"/>
          <cell r="AK132"/>
          <cell r="AM132"/>
          <cell r="AO132"/>
          <cell r="AQ132"/>
          <cell r="AS132"/>
          <cell r="AU132"/>
          <cell r="AW132"/>
          <cell r="AY132"/>
          <cell r="BA132"/>
        </row>
        <row r="133">
          <cell r="O133">
            <v>2</v>
          </cell>
          <cell r="Q133">
            <v>4</v>
          </cell>
          <cell r="S133">
            <v>1</v>
          </cell>
          <cell r="U133">
            <v>3</v>
          </cell>
          <cell r="W133"/>
          <cell r="Y133"/>
          <cell r="AA133"/>
          <cell r="AC133"/>
          <cell r="AE133"/>
          <cell r="AG133"/>
          <cell r="AI133"/>
          <cell r="AK133"/>
          <cell r="AM133"/>
          <cell r="AO133"/>
          <cell r="AQ133"/>
          <cell r="AS133"/>
          <cell r="AU133"/>
          <cell r="AW133"/>
          <cell r="AY133"/>
          <cell r="BA133"/>
        </row>
        <row r="134">
          <cell r="O134"/>
          <cell r="Q134"/>
          <cell r="S134"/>
          <cell r="U134"/>
          <cell r="W134"/>
          <cell r="Y134"/>
          <cell r="AA134"/>
          <cell r="AC134"/>
          <cell r="AE134"/>
          <cell r="AG134"/>
          <cell r="AI134"/>
          <cell r="AK134"/>
          <cell r="AM134"/>
          <cell r="AO134"/>
          <cell r="AQ134"/>
          <cell r="AS134"/>
          <cell r="AU134"/>
          <cell r="AW134"/>
          <cell r="AY134"/>
          <cell r="BA134"/>
        </row>
        <row r="135">
          <cell r="O135"/>
          <cell r="Q135"/>
          <cell r="S135"/>
          <cell r="U135"/>
          <cell r="W135"/>
          <cell r="Y135"/>
          <cell r="AA135"/>
          <cell r="AC135"/>
          <cell r="AE135"/>
          <cell r="AG135"/>
          <cell r="AI135"/>
          <cell r="AK135"/>
          <cell r="AM135"/>
          <cell r="AO135"/>
          <cell r="AQ135"/>
          <cell r="AS135"/>
          <cell r="AU135"/>
          <cell r="AW135"/>
          <cell r="AY135"/>
          <cell r="BA135"/>
        </row>
        <row r="136">
          <cell r="O136"/>
          <cell r="Q136"/>
          <cell r="S136"/>
          <cell r="U136"/>
          <cell r="W136"/>
          <cell r="Y136"/>
          <cell r="AA136"/>
          <cell r="AC136"/>
          <cell r="AE136"/>
          <cell r="AG136"/>
          <cell r="AI136"/>
          <cell r="AK136"/>
          <cell r="AM136"/>
          <cell r="AO136"/>
          <cell r="AQ136"/>
          <cell r="AS136"/>
          <cell r="AU136"/>
          <cell r="AW136"/>
          <cell r="AY136"/>
          <cell r="BA136"/>
        </row>
        <row r="137">
          <cell r="O137"/>
          <cell r="Q137"/>
          <cell r="S137"/>
          <cell r="U137"/>
          <cell r="W137"/>
          <cell r="Y137"/>
          <cell r="AA137"/>
          <cell r="AC137"/>
          <cell r="AE137"/>
          <cell r="AG137"/>
          <cell r="AI137"/>
          <cell r="AK137"/>
          <cell r="AM137"/>
          <cell r="AO137"/>
          <cell r="AQ137"/>
          <cell r="AS137"/>
          <cell r="AU137"/>
          <cell r="AW137"/>
          <cell r="AY137"/>
          <cell r="BA137"/>
        </row>
        <row r="138">
          <cell r="O138"/>
          <cell r="Q138"/>
          <cell r="S138"/>
          <cell r="U138"/>
          <cell r="W138"/>
          <cell r="Y138"/>
          <cell r="AA138"/>
          <cell r="AC138"/>
          <cell r="AE138"/>
          <cell r="AG138"/>
          <cell r="AI138"/>
          <cell r="AK138"/>
          <cell r="AM138"/>
          <cell r="AO138"/>
          <cell r="AQ138"/>
          <cell r="AS138"/>
          <cell r="AU138"/>
          <cell r="AW138"/>
          <cell r="AY138"/>
          <cell r="BA138"/>
        </row>
        <row r="139">
          <cell r="O139"/>
          <cell r="Q139"/>
          <cell r="S139"/>
          <cell r="U139"/>
          <cell r="W139"/>
          <cell r="Y139"/>
          <cell r="AA139"/>
          <cell r="AC139"/>
          <cell r="AE139"/>
          <cell r="AG139"/>
          <cell r="AI139"/>
          <cell r="AK139"/>
          <cell r="AM139"/>
          <cell r="AO139"/>
          <cell r="AQ139"/>
          <cell r="AS139"/>
          <cell r="AU139"/>
          <cell r="AW139"/>
          <cell r="AY139"/>
          <cell r="BA139"/>
        </row>
        <row r="140">
          <cell r="O140"/>
          <cell r="Q140"/>
          <cell r="S140"/>
          <cell r="U140"/>
          <cell r="W140"/>
          <cell r="Y140"/>
          <cell r="AA140"/>
          <cell r="AC140"/>
          <cell r="AE140"/>
          <cell r="AG140"/>
          <cell r="AI140"/>
          <cell r="AK140"/>
          <cell r="AM140"/>
          <cell r="AO140"/>
          <cell r="AQ140"/>
          <cell r="AS140"/>
          <cell r="AU140"/>
          <cell r="AW140"/>
          <cell r="AY140"/>
          <cell r="BA140"/>
        </row>
        <row r="141">
          <cell r="O141"/>
          <cell r="Q141"/>
          <cell r="S141"/>
          <cell r="U141"/>
          <cell r="W141"/>
          <cell r="Y141"/>
          <cell r="AA141"/>
          <cell r="AC141"/>
          <cell r="AE141"/>
          <cell r="AG141"/>
          <cell r="AI141"/>
          <cell r="AK141"/>
          <cell r="AM141"/>
          <cell r="AO141"/>
          <cell r="AQ141"/>
          <cell r="AS141"/>
          <cell r="AU141"/>
          <cell r="AW141"/>
          <cell r="AY141"/>
          <cell r="BA141"/>
        </row>
        <row r="142">
          <cell r="O142"/>
          <cell r="Q142"/>
          <cell r="S142"/>
          <cell r="U142"/>
          <cell r="W142"/>
          <cell r="Y142"/>
          <cell r="AA142"/>
          <cell r="AC142"/>
          <cell r="AE142"/>
          <cell r="AG142"/>
          <cell r="AI142"/>
          <cell r="AK142"/>
          <cell r="AM142"/>
          <cell r="AO142"/>
          <cell r="AQ142"/>
          <cell r="AS142"/>
          <cell r="AU142"/>
          <cell r="AW142"/>
          <cell r="AY142"/>
          <cell r="BA142"/>
        </row>
        <row r="143">
          <cell r="O143"/>
          <cell r="Q143"/>
          <cell r="S143"/>
          <cell r="U143"/>
          <cell r="W143"/>
          <cell r="Y143"/>
          <cell r="AA143"/>
          <cell r="AC143"/>
          <cell r="AE143"/>
          <cell r="AG143"/>
          <cell r="AI143"/>
          <cell r="AK143"/>
          <cell r="AM143"/>
          <cell r="AO143"/>
          <cell r="AQ143"/>
          <cell r="AS143"/>
          <cell r="AU143"/>
          <cell r="AW143"/>
          <cell r="AY143"/>
          <cell r="BA143"/>
        </row>
        <row r="144">
          <cell r="O144"/>
          <cell r="Q144"/>
          <cell r="S144"/>
          <cell r="U144"/>
          <cell r="W144"/>
          <cell r="Y144"/>
          <cell r="AA144"/>
          <cell r="AC144"/>
          <cell r="AE144"/>
          <cell r="AG144"/>
          <cell r="AI144"/>
          <cell r="AK144"/>
          <cell r="AM144"/>
          <cell r="AO144"/>
          <cell r="AQ144"/>
          <cell r="AS144"/>
          <cell r="AU144"/>
          <cell r="AW144"/>
          <cell r="AY144"/>
          <cell r="BA144"/>
        </row>
        <row r="145">
          <cell r="O145"/>
          <cell r="Q145"/>
          <cell r="S145"/>
          <cell r="U145"/>
          <cell r="W145"/>
          <cell r="Y145"/>
          <cell r="AA145"/>
          <cell r="AC145"/>
          <cell r="AE145"/>
          <cell r="AG145"/>
          <cell r="AI145"/>
          <cell r="AK145"/>
          <cell r="AM145"/>
          <cell r="AO145"/>
          <cell r="AQ145"/>
          <cell r="AS145"/>
          <cell r="AU145"/>
          <cell r="AW145"/>
          <cell r="AY145"/>
          <cell r="BA145"/>
        </row>
        <row r="146">
          <cell r="O146"/>
          <cell r="Q146"/>
          <cell r="S146"/>
          <cell r="U146"/>
          <cell r="W146"/>
          <cell r="Y146"/>
          <cell r="AA146"/>
          <cell r="AC146"/>
          <cell r="AE146"/>
          <cell r="AG146"/>
          <cell r="AI146"/>
          <cell r="AK146"/>
          <cell r="AM146"/>
          <cell r="AO146"/>
          <cell r="AQ146"/>
          <cell r="AS146"/>
          <cell r="AU146"/>
          <cell r="AW146"/>
          <cell r="AY146"/>
          <cell r="BA146"/>
        </row>
        <row r="147">
          <cell r="O147"/>
          <cell r="Q147"/>
          <cell r="S147"/>
          <cell r="U147"/>
          <cell r="W147"/>
          <cell r="Y147"/>
          <cell r="AA147"/>
          <cell r="AC147"/>
          <cell r="AE147"/>
          <cell r="AG147"/>
          <cell r="AI147"/>
          <cell r="AK147"/>
          <cell r="AM147"/>
          <cell r="AO147"/>
          <cell r="AQ147"/>
          <cell r="AS147"/>
          <cell r="AU147"/>
          <cell r="AW147"/>
          <cell r="AY147"/>
          <cell r="BA147"/>
        </row>
        <row r="148">
          <cell r="O148"/>
          <cell r="Q148"/>
          <cell r="S148"/>
          <cell r="U148"/>
          <cell r="W148"/>
          <cell r="Y148"/>
          <cell r="AA148"/>
          <cell r="AC148"/>
          <cell r="AE148"/>
          <cell r="AG148"/>
          <cell r="AI148"/>
          <cell r="AK148"/>
          <cell r="AM148"/>
          <cell r="AO148"/>
          <cell r="AQ148"/>
          <cell r="AS148"/>
          <cell r="AU148"/>
          <cell r="AW148"/>
          <cell r="AY148"/>
          <cell r="BA148"/>
        </row>
        <row r="149">
          <cell r="O149"/>
          <cell r="Q149"/>
          <cell r="S149"/>
          <cell r="U149"/>
          <cell r="W149"/>
          <cell r="Y149"/>
          <cell r="AA149"/>
          <cell r="AC149"/>
          <cell r="AE149"/>
          <cell r="AG149"/>
          <cell r="AI149"/>
          <cell r="AK149"/>
          <cell r="AM149"/>
          <cell r="AO149"/>
          <cell r="AQ149"/>
          <cell r="AS149"/>
          <cell r="AU149"/>
          <cell r="AW149"/>
          <cell r="AY149"/>
          <cell r="BA149"/>
        </row>
        <row r="150">
          <cell r="O150"/>
          <cell r="Q150"/>
          <cell r="S150"/>
          <cell r="U150"/>
          <cell r="W150"/>
          <cell r="Y150"/>
          <cell r="AA150"/>
          <cell r="AC150"/>
          <cell r="AE150"/>
          <cell r="AG150"/>
          <cell r="AI150"/>
          <cell r="AK150"/>
          <cell r="AM150"/>
          <cell r="AO150"/>
          <cell r="AQ150"/>
          <cell r="AS150"/>
          <cell r="AU150"/>
          <cell r="AW150"/>
          <cell r="AY150"/>
          <cell r="BA150"/>
        </row>
        <row r="151">
          <cell r="O151"/>
          <cell r="Q151"/>
          <cell r="S151"/>
          <cell r="U151"/>
          <cell r="W151"/>
          <cell r="Y151"/>
          <cell r="AA151"/>
          <cell r="AC151"/>
          <cell r="AE151"/>
          <cell r="AG151"/>
          <cell r="AI151"/>
          <cell r="AK151"/>
          <cell r="AM151"/>
          <cell r="AO151"/>
          <cell r="AQ151"/>
          <cell r="AS151"/>
          <cell r="AU151"/>
          <cell r="AW151"/>
          <cell r="AY151"/>
          <cell r="BA151"/>
        </row>
        <row r="152">
          <cell r="O152"/>
          <cell r="Q152"/>
          <cell r="S152"/>
          <cell r="U152"/>
          <cell r="W152"/>
          <cell r="Y152"/>
          <cell r="AA152"/>
          <cell r="AC152"/>
          <cell r="AE152"/>
          <cell r="AG152"/>
          <cell r="AI152"/>
          <cell r="AK152"/>
          <cell r="AM152"/>
          <cell r="AO152"/>
          <cell r="AQ152"/>
          <cell r="AS152"/>
          <cell r="AU152"/>
          <cell r="AW152"/>
          <cell r="AY152"/>
          <cell r="BA152"/>
        </row>
        <row r="153">
          <cell r="O153"/>
          <cell r="Q153"/>
          <cell r="S153"/>
          <cell r="U153"/>
          <cell r="W153"/>
          <cell r="Y153"/>
          <cell r="AA153"/>
          <cell r="AC153"/>
          <cell r="AE153"/>
          <cell r="AG153"/>
          <cell r="AI153"/>
          <cell r="AK153"/>
          <cell r="AM153"/>
          <cell r="AO153"/>
          <cell r="AQ153"/>
          <cell r="AS153"/>
          <cell r="AU153"/>
          <cell r="AW153"/>
          <cell r="AY153"/>
          <cell r="BA153"/>
        </row>
        <row r="154">
          <cell r="O154">
            <v>5</v>
          </cell>
          <cell r="Q154"/>
          <cell r="S154">
            <v>2</v>
          </cell>
          <cell r="U154">
            <v>3</v>
          </cell>
          <cell r="W154"/>
          <cell r="Y154"/>
          <cell r="AA154"/>
          <cell r="AC154"/>
          <cell r="AE154"/>
          <cell r="AG154"/>
          <cell r="AI154"/>
          <cell r="AK154"/>
          <cell r="AM154"/>
          <cell r="AO154"/>
          <cell r="AQ154"/>
          <cell r="AS154"/>
          <cell r="AU154"/>
          <cell r="AW154"/>
          <cell r="AY154"/>
          <cell r="BA154"/>
        </row>
        <row r="155">
          <cell r="O155"/>
          <cell r="Q155"/>
          <cell r="S155"/>
          <cell r="U155"/>
          <cell r="W155"/>
          <cell r="Y155"/>
          <cell r="AA155"/>
          <cell r="AC155"/>
          <cell r="AE155"/>
          <cell r="AG155"/>
          <cell r="AI155"/>
          <cell r="AK155"/>
          <cell r="AM155"/>
          <cell r="AO155"/>
          <cell r="AQ155"/>
          <cell r="AS155"/>
          <cell r="AU155"/>
          <cell r="AW155"/>
          <cell r="AY155"/>
          <cell r="BA155"/>
        </row>
        <row r="156">
          <cell r="O156"/>
          <cell r="Q156"/>
          <cell r="S156"/>
          <cell r="U156"/>
          <cell r="W156"/>
          <cell r="Y156"/>
          <cell r="AA156"/>
          <cell r="AC156"/>
          <cell r="AE156"/>
          <cell r="AG156"/>
          <cell r="AI156"/>
          <cell r="AK156"/>
          <cell r="AM156"/>
          <cell r="AO156"/>
          <cell r="AQ156"/>
          <cell r="AS156"/>
          <cell r="AU156"/>
          <cell r="AW156"/>
          <cell r="AY156"/>
          <cell r="BA156"/>
        </row>
        <row r="157">
          <cell r="O157"/>
          <cell r="Q157"/>
          <cell r="S157"/>
          <cell r="U157"/>
          <cell r="W157"/>
          <cell r="Y157"/>
          <cell r="AA157"/>
          <cell r="AC157"/>
          <cell r="AE157"/>
          <cell r="AG157"/>
          <cell r="AI157"/>
          <cell r="AK157"/>
          <cell r="AM157"/>
          <cell r="AO157"/>
          <cell r="AQ157"/>
          <cell r="AS157"/>
          <cell r="AU157"/>
          <cell r="AW157"/>
          <cell r="AY157"/>
          <cell r="BA157"/>
        </row>
        <row r="158">
          <cell r="O158"/>
          <cell r="Q158"/>
          <cell r="S158"/>
          <cell r="U158"/>
          <cell r="W158"/>
          <cell r="Y158"/>
          <cell r="AA158"/>
          <cell r="AC158"/>
          <cell r="AE158"/>
          <cell r="AG158"/>
          <cell r="AI158"/>
          <cell r="AK158"/>
          <cell r="AM158"/>
          <cell r="AO158"/>
          <cell r="AQ158"/>
          <cell r="AS158"/>
          <cell r="AU158"/>
          <cell r="AW158"/>
          <cell r="AY158"/>
          <cell r="BA158"/>
        </row>
        <row r="159">
          <cell r="O159"/>
          <cell r="Q159"/>
          <cell r="S159"/>
          <cell r="U159"/>
          <cell r="W159"/>
          <cell r="Y159"/>
          <cell r="AA159"/>
          <cell r="AC159"/>
          <cell r="AE159"/>
          <cell r="AG159"/>
          <cell r="AI159"/>
          <cell r="AK159"/>
          <cell r="AM159"/>
          <cell r="AO159"/>
          <cell r="AQ159"/>
          <cell r="AS159"/>
          <cell r="AU159"/>
          <cell r="AW159"/>
          <cell r="AY159"/>
          <cell r="BA159"/>
        </row>
        <row r="160">
          <cell r="O160"/>
          <cell r="Q160"/>
          <cell r="S160"/>
          <cell r="U160"/>
          <cell r="W160"/>
          <cell r="Y160"/>
          <cell r="AA160"/>
          <cell r="AC160"/>
          <cell r="AE160"/>
          <cell r="AG160"/>
          <cell r="AI160"/>
          <cell r="AK160"/>
          <cell r="AM160"/>
          <cell r="AO160"/>
          <cell r="AQ160"/>
          <cell r="AS160"/>
          <cell r="AU160"/>
          <cell r="AW160"/>
          <cell r="AY160"/>
          <cell r="BA160"/>
        </row>
        <row r="161">
          <cell r="O161"/>
          <cell r="Q161"/>
          <cell r="S161"/>
          <cell r="U161"/>
          <cell r="W161"/>
          <cell r="Y161"/>
          <cell r="AA161"/>
          <cell r="AC161"/>
          <cell r="AE161"/>
          <cell r="AG161"/>
          <cell r="AI161"/>
          <cell r="AK161"/>
          <cell r="AM161"/>
          <cell r="AO161"/>
          <cell r="AQ161"/>
          <cell r="AS161"/>
          <cell r="AU161"/>
          <cell r="AW161"/>
          <cell r="AY161"/>
          <cell r="BA161"/>
        </row>
        <row r="162">
          <cell r="O162">
            <v>10</v>
          </cell>
          <cell r="Q162"/>
          <cell r="S162">
            <v>3</v>
          </cell>
          <cell r="U162">
            <v>2</v>
          </cell>
          <cell r="W162"/>
          <cell r="Y162"/>
          <cell r="AA162"/>
          <cell r="AC162"/>
          <cell r="AE162"/>
          <cell r="AG162"/>
          <cell r="AI162"/>
          <cell r="AK162"/>
          <cell r="AM162"/>
          <cell r="AO162"/>
          <cell r="AQ162"/>
          <cell r="AS162"/>
          <cell r="AU162"/>
          <cell r="AW162"/>
          <cell r="AY162"/>
          <cell r="BA162"/>
        </row>
        <row r="163">
          <cell r="O163"/>
          <cell r="Q163"/>
          <cell r="S163"/>
          <cell r="U163"/>
          <cell r="W163"/>
          <cell r="Y163"/>
          <cell r="AA163"/>
          <cell r="AC163"/>
          <cell r="AE163"/>
          <cell r="AG163"/>
          <cell r="AI163"/>
          <cell r="AK163"/>
          <cell r="AM163"/>
          <cell r="AO163"/>
          <cell r="AQ163"/>
          <cell r="AS163"/>
          <cell r="AU163"/>
          <cell r="AW163"/>
          <cell r="AY163"/>
          <cell r="BA163"/>
        </row>
        <row r="164">
          <cell r="O164"/>
          <cell r="Q164"/>
          <cell r="S164"/>
          <cell r="U164"/>
          <cell r="W164"/>
          <cell r="Y164"/>
          <cell r="AA164"/>
          <cell r="AC164"/>
          <cell r="AE164"/>
          <cell r="AG164"/>
          <cell r="AI164"/>
          <cell r="AK164"/>
          <cell r="AM164"/>
          <cell r="AO164"/>
          <cell r="AQ164"/>
          <cell r="AS164"/>
          <cell r="AU164"/>
          <cell r="AW164"/>
          <cell r="AY164"/>
          <cell r="BA164"/>
        </row>
        <row r="165">
          <cell r="O165"/>
          <cell r="Q165"/>
          <cell r="S165"/>
          <cell r="U165"/>
          <cell r="W165"/>
          <cell r="Y165"/>
          <cell r="AA165"/>
          <cell r="AC165"/>
          <cell r="AE165"/>
          <cell r="AG165"/>
          <cell r="AI165"/>
          <cell r="AK165"/>
          <cell r="AM165"/>
          <cell r="AO165"/>
          <cell r="AQ165"/>
          <cell r="AS165"/>
          <cell r="AU165"/>
          <cell r="AW165"/>
          <cell r="AY165"/>
          <cell r="BA165"/>
        </row>
        <row r="166">
          <cell r="O166"/>
          <cell r="Q166"/>
          <cell r="S166"/>
          <cell r="U166"/>
          <cell r="W166"/>
          <cell r="Y166"/>
          <cell r="AA166"/>
          <cell r="AC166"/>
          <cell r="AE166"/>
          <cell r="AG166"/>
          <cell r="AI166"/>
          <cell r="AK166"/>
          <cell r="AM166"/>
          <cell r="AO166"/>
          <cell r="AQ166"/>
          <cell r="AS166"/>
          <cell r="AU166"/>
          <cell r="AW166"/>
          <cell r="AY166"/>
          <cell r="BA166"/>
        </row>
        <row r="167">
          <cell r="O167"/>
          <cell r="Q167"/>
          <cell r="S167"/>
          <cell r="U167"/>
          <cell r="W167"/>
          <cell r="Y167"/>
          <cell r="AA167"/>
          <cell r="AC167"/>
          <cell r="AE167"/>
          <cell r="AG167"/>
          <cell r="AI167"/>
          <cell r="AK167"/>
          <cell r="AM167"/>
          <cell r="AO167"/>
          <cell r="AQ167"/>
          <cell r="AS167"/>
          <cell r="AU167"/>
          <cell r="AW167"/>
          <cell r="AY167"/>
          <cell r="BA167"/>
        </row>
        <row r="168">
          <cell r="O168"/>
          <cell r="Q168"/>
          <cell r="S168"/>
          <cell r="U168"/>
          <cell r="W168"/>
          <cell r="Y168"/>
          <cell r="AA168"/>
          <cell r="AC168"/>
          <cell r="AE168"/>
          <cell r="AG168"/>
          <cell r="AI168"/>
          <cell r="AK168"/>
          <cell r="AM168"/>
          <cell r="AO168"/>
          <cell r="AQ168"/>
          <cell r="AS168"/>
          <cell r="AU168"/>
          <cell r="AW168"/>
          <cell r="AY168"/>
          <cell r="BA168"/>
        </row>
        <row r="169">
          <cell r="O169"/>
          <cell r="Q169"/>
          <cell r="S169"/>
          <cell r="U169"/>
          <cell r="W169"/>
          <cell r="Y169"/>
          <cell r="AA169"/>
          <cell r="AC169"/>
          <cell r="AE169"/>
          <cell r="AG169"/>
          <cell r="AI169"/>
          <cell r="AK169"/>
          <cell r="AM169"/>
          <cell r="AO169"/>
          <cell r="AQ169"/>
          <cell r="AS169"/>
          <cell r="AU169"/>
          <cell r="AW169"/>
          <cell r="AY169"/>
          <cell r="BA169"/>
        </row>
        <row r="170">
          <cell r="O170"/>
          <cell r="Q170"/>
          <cell r="S170"/>
          <cell r="U170"/>
          <cell r="W170"/>
          <cell r="Y170"/>
          <cell r="AA170"/>
          <cell r="AC170"/>
          <cell r="AE170"/>
          <cell r="AG170"/>
          <cell r="AI170"/>
          <cell r="AK170"/>
          <cell r="AM170"/>
          <cell r="AO170"/>
          <cell r="AQ170"/>
          <cell r="AS170"/>
          <cell r="AU170"/>
          <cell r="AW170"/>
          <cell r="AY170"/>
          <cell r="BA170"/>
        </row>
        <row r="171">
          <cell r="O171"/>
          <cell r="Q171"/>
          <cell r="S171"/>
          <cell r="U171"/>
          <cell r="W171"/>
          <cell r="Y171"/>
          <cell r="AA171"/>
          <cell r="AC171"/>
          <cell r="AE171"/>
          <cell r="AG171"/>
          <cell r="AI171"/>
          <cell r="AK171"/>
          <cell r="AM171"/>
          <cell r="AO171"/>
          <cell r="AQ171"/>
          <cell r="AS171"/>
          <cell r="AU171"/>
          <cell r="AW171"/>
          <cell r="AY171"/>
          <cell r="BA171"/>
        </row>
        <row r="172">
          <cell r="O172">
            <v>5</v>
          </cell>
          <cell r="Q172">
            <v>5</v>
          </cell>
          <cell r="S172"/>
          <cell r="U172"/>
          <cell r="W172"/>
          <cell r="Y172"/>
          <cell r="AA172"/>
          <cell r="AC172"/>
          <cell r="AE172"/>
          <cell r="AG172"/>
          <cell r="AI172"/>
          <cell r="AK172"/>
          <cell r="AM172"/>
          <cell r="AO172"/>
          <cell r="AQ172"/>
          <cell r="AS172"/>
          <cell r="AU172"/>
          <cell r="AW172"/>
          <cell r="AY172"/>
          <cell r="BA172"/>
        </row>
        <row r="173">
          <cell r="O173"/>
          <cell r="Q173"/>
          <cell r="S173"/>
          <cell r="U173"/>
          <cell r="W173"/>
          <cell r="Y173"/>
          <cell r="AA173"/>
          <cell r="AC173"/>
          <cell r="AE173"/>
          <cell r="AG173"/>
          <cell r="AI173"/>
          <cell r="AK173"/>
          <cell r="AM173"/>
          <cell r="AO173"/>
          <cell r="AQ173"/>
          <cell r="AS173"/>
          <cell r="AU173"/>
          <cell r="AW173"/>
          <cell r="AY173"/>
          <cell r="BA173"/>
        </row>
        <row r="174">
          <cell r="O174"/>
          <cell r="Q174"/>
          <cell r="S174"/>
          <cell r="U174"/>
          <cell r="W174"/>
          <cell r="Y174"/>
          <cell r="AA174"/>
          <cell r="AC174"/>
          <cell r="AE174"/>
          <cell r="AG174"/>
          <cell r="AI174"/>
          <cell r="AK174"/>
          <cell r="AM174"/>
          <cell r="AO174"/>
          <cell r="AQ174"/>
          <cell r="AS174"/>
          <cell r="AU174"/>
          <cell r="AW174"/>
          <cell r="AY174"/>
          <cell r="BA174"/>
        </row>
        <row r="175">
          <cell r="O175"/>
          <cell r="Q175"/>
          <cell r="S175"/>
          <cell r="U175"/>
          <cell r="W175"/>
          <cell r="Y175"/>
          <cell r="AA175"/>
          <cell r="AC175"/>
          <cell r="AE175"/>
          <cell r="AG175"/>
          <cell r="AI175"/>
          <cell r="AK175"/>
          <cell r="AM175"/>
          <cell r="AO175"/>
          <cell r="AQ175"/>
          <cell r="AS175"/>
          <cell r="AU175"/>
          <cell r="AW175"/>
          <cell r="AY175"/>
          <cell r="BA175"/>
        </row>
        <row r="176">
          <cell r="O176"/>
          <cell r="Q176"/>
          <cell r="S176"/>
          <cell r="U176"/>
          <cell r="W176"/>
          <cell r="Y176"/>
          <cell r="AA176"/>
          <cell r="AC176"/>
          <cell r="AE176"/>
          <cell r="AG176"/>
          <cell r="AI176"/>
          <cell r="AK176"/>
          <cell r="AM176"/>
          <cell r="AO176"/>
          <cell r="AQ176"/>
          <cell r="AS176"/>
          <cell r="AU176"/>
          <cell r="AW176"/>
          <cell r="AY176"/>
          <cell r="BA176"/>
        </row>
        <row r="177">
          <cell r="O177"/>
          <cell r="Q177"/>
          <cell r="S177"/>
          <cell r="U177"/>
          <cell r="W177"/>
          <cell r="Y177"/>
          <cell r="AA177"/>
          <cell r="AC177"/>
          <cell r="AE177"/>
          <cell r="AG177"/>
          <cell r="AI177"/>
          <cell r="AK177"/>
          <cell r="AM177"/>
          <cell r="AO177"/>
          <cell r="AQ177"/>
          <cell r="AS177"/>
          <cell r="AU177"/>
          <cell r="AW177"/>
          <cell r="AY177"/>
          <cell r="BA177"/>
        </row>
        <row r="178">
          <cell r="O178"/>
          <cell r="Q178"/>
          <cell r="S178"/>
          <cell r="U178"/>
          <cell r="W178"/>
          <cell r="Y178"/>
          <cell r="AA178"/>
          <cell r="AC178"/>
          <cell r="AE178"/>
          <cell r="AG178"/>
          <cell r="AI178"/>
          <cell r="AK178"/>
          <cell r="AM178"/>
          <cell r="AO178"/>
          <cell r="AQ178"/>
          <cell r="AS178"/>
          <cell r="AU178"/>
          <cell r="AW178"/>
          <cell r="AY178"/>
          <cell r="BA178"/>
        </row>
        <row r="179">
          <cell r="O179"/>
          <cell r="Q179"/>
          <cell r="S179"/>
          <cell r="U179"/>
          <cell r="W179"/>
          <cell r="Y179"/>
          <cell r="AA179"/>
          <cell r="AC179"/>
          <cell r="AE179"/>
          <cell r="AG179"/>
          <cell r="AI179"/>
          <cell r="AK179"/>
          <cell r="AM179"/>
          <cell r="AO179"/>
          <cell r="AQ179"/>
          <cell r="AS179"/>
          <cell r="AU179"/>
          <cell r="AW179"/>
          <cell r="AY179"/>
          <cell r="BA179"/>
        </row>
        <row r="180">
          <cell r="O180"/>
          <cell r="Q180"/>
          <cell r="S180"/>
          <cell r="U180"/>
          <cell r="W180"/>
          <cell r="Y180"/>
          <cell r="AA180"/>
          <cell r="AC180"/>
          <cell r="AE180"/>
          <cell r="AG180"/>
          <cell r="AI180"/>
          <cell r="AK180"/>
          <cell r="AM180"/>
          <cell r="AO180"/>
          <cell r="AQ180"/>
          <cell r="AS180"/>
          <cell r="AU180"/>
          <cell r="AW180"/>
          <cell r="AY180"/>
          <cell r="BA180"/>
        </row>
        <row r="181">
          <cell r="O181"/>
          <cell r="Q181"/>
          <cell r="S181"/>
          <cell r="U181"/>
          <cell r="W181"/>
          <cell r="Y181"/>
          <cell r="AA181"/>
          <cell r="AC181"/>
          <cell r="AE181"/>
          <cell r="AG181"/>
          <cell r="AI181"/>
          <cell r="AK181"/>
          <cell r="AM181"/>
          <cell r="AO181"/>
          <cell r="AQ181"/>
          <cell r="AS181"/>
          <cell r="AU181"/>
          <cell r="AW181"/>
          <cell r="AY181"/>
          <cell r="BA181"/>
        </row>
        <row r="182">
          <cell r="O182"/>
          <cell r="Q182"/>
          <cell r="S182"/>
          <cell r="U182"/>
          <cell r="W182"/>
          <cell r="Y182"/>
          <cell r="AA182"/>
          <cell r="AC182"/>
          <cell r="AE182"/>
          <cell r="AG182"/>
          <cell r="AI182"/>
          <cell r="AK182"/>
          <cell r="AM182"/>
          <cell r="AO182"/>
          <cell r="AQ182"/>
          <cell r="AS182"/>
          <cell r="AU182"/>
          <cell r="AW182"/>
          <cell r="AY182"/>
          <cell r="BA182"/>
        </row>
        <row r="183">
          <cell r="O183"/>
          <cell r="Q183"/>
          <cell r="S183"/>
          <cell r="U183"/>
          <cell r="W183"/>
          <cell r="Y183"/>
          <cell r="AA183"/>
          <cell r="AC183"/>
          <cell r="AE183"/>
          <cell r="AG183"/>
          <cell r="AI183"/>
          <cell r="AK183"/>
          <cell r="AM183"/>
          <cell r="AO183"/>
          <cell r="AQ183"/>
          <cell r="AS183"/>
          <cell r="AU183"/>
          <cell r="AW183"/>
          <cell r="AY183"/>
          <cell r="BA183"/>
        </row>
        <row r="184">
          <cell r="O184"/>
          <cell r="Q184"/>
          <cell r="S184"/>
          <cell r="U184"/>
          <cell r="W184"/>
          <cell r="Y184"/>
          <cell r="AA184"/>
          <cell r="AC184"/>
          <cell r="AE184"/>
          <cell r="AG184"/>
          <cell r="AI184"/>
          <cell r="AK184"/>
          <cell r="AM184"/>
          <cell r="AO184"/>
          <cell r="AQ184"/>
          <cell r="AS184"/>
          <cell r="AU184"/>
          <cell r="AW184"/>
          <cell r="AY184"/>
          <cell r="BA184"/>
        </row>
        <row r="185">
          <cell r="O185"/>
          <cell r="Q185"/>
          <cell r="S185"/>
          <cell r="U185"/>
          <cell r="W185"/>
          <cell r="Y185"/>
          <cell r="AA185"/>
          <cell r="AC185"/>
          <cell r="AE185"/>
          <cell r="AG185"/>
          <cell r="AI185"/>
          <cell r="AK185"/>
          <cell r="AM185"/>
          <cell r="AO185"/>
          <cell r="AQ185"/>
          <cell r="AS185"/>
          <cell r="AU185"/>
          <cell r="AW185"/>
          <cell r="AY185"/>
          <cell r="BA185"/>
        </row>
        <row r="186">
          <cell r="O186"/>
          <cell r="Q186"/>
          <cell r="S186"/>
          <cell r="U186"/>
          <cell r="W186"/>
          <cell r="Y186"/>
          <cell r="AA186"/>
          <cell r="AC186"/>
          <cell r="AE186"/>
          <cell r="AG186"/>
          <cell r="AI186"/>
          <cell r="AK186"/>
          <cell r="AM186"/>
          <cell r="AO186"/>
          <cell r="AQ186"/>
          <cell r="AS186"/>
          <cell r="AU186"/>
          <cell r="AW186"/>
          <cell r="AY186"/>
          <cell r="BA186"/>
        </row>
        <row r="187">
          <cell r="O187"/>
          <cell r="Q187"/>
          <cell r="S187"/>
          <cell r="U187"/>
          <cell r="W187"/>
          <cell r="Y187"/>
          <cell r="AA187"/>
          <cell r="AC187"/>
          <cell r="AE187"/>
          <cell r="AG187"/>
          <cell r="AI187"/>
          <cell r="AK187"/>
          <cell r="AM187"/>
          <cell r="AO187"/>
          <cell r="AQ187"/>
          <cell r="AS187"/>
          <cell r="AU187"/>
          <cell r="AW187"/>
          <cell r="AY187"/>
          <cell r="BA187"/>
        </row>
        <row r="188">
          <cell r="O188"/>
          <cell r="Q188"/>
          <cell r="S188"/>
          <cell r="U188"/>
          <cell r="W188"/>
          <cell r="Y188"/>
          <cell r="AA188"/>
          <cell r="AC188"/>
          <cell r="AE188"/>
          <cell r="AG188"/>
          <cell r="AI188"/>
          <cell r="AK188"/>
          <cell r="AM188"/>
          <cell r="AO188"/>
          <cell r="AQ188"/>
          <cell r="AS188"/>
          <cell r="AU188"/>
          <cell r="AW188"/>
          <cell r="AY188"/>
          <cell r="BA188"/>
        </row>
        <row r="189">
          <cell r="O189"/>
          <cell r="Q189"/>
          <cell r="S189"/>
          <cell r="U189"/>
          <cell r="W189"/>
          <cell r="Y189"/>
          <cell r="AA189"/>
          <cell r="AC189"/>
          <cell r="AE189"/>
          <cell r="AG189"/>
          <cell r="AI189"/>
          <cell r="AK189"/>
          <cell r="AM189"/>
          <cell r="AO189"/>
          <cell r="AQ189"/>
          <cell r="AS189"/>
          <cell r="AU189"/>
          <cell r="AW189"/>
          <cell r="AY189"/>
          <cell r="BA189"/>
        </row>
        <row r="190">
          <cell r="O190"/>
          <cell r="Q190"/>
          <cell r="S190"/>
          <cell r="U190"/>
          <cell r="W190"/>
          <cell r="Y190"/>
          <cell r="AA190"/>
          <cell r="AC190"/>
          <cell r="AE190"/>
          <cell r="AG190"/>
          <cell r="AI190"/>
          <cell r="AK190"/>
          <cell r="AM190"/>
          <cell r="AO190"/>
          <cell r="AQ190"/>
          <cell r="AS190"/>
          <cell r="AU190"/>
          <cell r="AW190"/>
          <cell r="AY190"/>
          <cell r="BA190"/>
        </row>
        <row r="191">
          <cell r="O191"/>
          <cell r="Q191"/>
          <cell r="S191"/>
          <cell r="U191"/>
          <cell r="W191"/>
          <cell r="Y191"/>
          <cell r="AA191"/>
          <cell r="AC191"/>
          <cell r="AE191"/>
          <cell r="AG191"/>
          <cell r="AI191"/>
          <cell r="AK191"/>
          <cell r="AM191"/>
          <cell r="AO191"/>
          <cell r="AQ191"/>
          <cell r="AS191"/>
          <cell r="AU191"/>
          <cell r="AW191"/>
          <cell r="AY191"/>
          <cell r="BA191"/>
        </row>
        <row r="192">
          <cell r="O192"/>
          <cell r="Q192"/>
          <cell r="S192"/>
          <cell r="U192"/>
          <cell r="W192"/>
          <cell r="Y192"/>
          <cell r="AA192"/>
          <cell r="AC192"/>
          <cell r="AE192"/>
          <cell r="AG192"/>
          <cell r="AI192"/>
          <cell r="AK192"/>
          <cell r="AM192"/>
          <cell r="AO192"/>
          <cell r="AQ192"/>
          <cell r="AS192"/>
          <cell r="AU192"/>
          <cell r="AW192"/>
          <cell r="AY192"/>
          <cell r="BA192"/>
        </row>
        <row r="193">
          <cell r="O193"/>
          <cell r="Q193"/>
          <cell r="S193"/>
          <cell r="U193"/>
          <cell r="W193"/>
          <cell r="Y193"/>
          <cell r="AA193"/>
          <cell r="AC193"/>
          <cell r="AE193"/>
          <cell r="AG193"/>
          <cell r="AI193"/>
          <cell r="AK193"/>
          <cell r="AM193"/>
          <cell r="AO193"/>
          <cell r="AQ193"/>
          <cell r="AS193"/>
          <cell r="AU193"/>
          <cell r="AW193"/>
          <cell r="AY193"/>
          <cell r="BA193"/>
        </row>
        <row r="194">
          <cell r="O194"/>
          <cell r="Q194"/>
          <cell r="S194"/>
          <cell r="U194"/>
          <cell r="W194"/>
          <cell r="Y194"/>
          <cell r="AA194"/>
          <cell r="AC194"/>
          <cell r="AE194"/>
          <cell r="AG194"/>
          <cell r="AI194"/>
          <cell r="AK194"/>
          <cell r="AM194"/>
          <cell r="AO194"/>
          <cell r="AQ194"/>
          <cell r="AS194"/>
          <cell r="AU194"/>
          <cell r="AW194"/>
          <cell r="AY194"/>
          <cell r="BA194"/>
        </row>
        <row r="195">
          <cell r="O195"/>
          <cell r="Q195"/>
          <cell r="S195"/>
          <cell r="U195"/>
          <cell r="W195"/>
          <cell r="Y195"/>
          <cell r="AA195"/>
          <cell r="AC195"/>
          <cell r="AE195"/>
          <cell r="AG195"/>
          <cell r="AI195"/>
          <cell r="AK195"/>
          <cell r="AM195"/>
          <cell r="AO195"/>
          <cell r="AQ195"/>
          <cell r="AS195"/>
          <cell r="AU195"/>
          <cell r="AW195"/>
          <cell r="AY195"/>
          <cell r="BA195"/>
        </row>
        <row r="196">
          <cell r="O196"/>
          <cell r="Q196"/>
          <cell r="S196"/>
          <cell r="U196"/>
          <cell r="W196"/>
          <cell r="Y196"/>
          <cell r="AA196"/>
          <cell r="AC196"/>
          <cell r="AE196"/>
          <cell r="AG196"/>
          <cell r="AI196"/>
          <cell r="AK196"/>
          <cell r="AM196"/>
          <cell r="AO196"/>
          <cell r="AQ196"/>
          <cell r="AS196"/>
          <cell r="AU196"/>
          <cell r="AW196"/>
          <cell r="AY196"/>
          <cell r="BA196"/>
        </row>
        <row r="197">
          <cell r="O197"/>
          <cell r="Q197"/>
          <cell r="S197"/>
          <cell r="U197"/>
          <cell r="W197"/>
          <cell r="Y197"/>
          <cell r="AA197"/>
          <cell r="AC197"/>
          <cell r="AE197"/>
          <cell r="AG197"/>
          <cell r="AI197"/>
          <cell r="AK197"/>
          <cell r="AM197"/>
          <cell r="AO197"/>
          <cell r="AQ197"/>
          <cell r="AS197"/>
          <cell r="AU197"/>
          <cell r="AW197"/>
          <cell r="AY197"/>
          <cell r="BA197"/>
        </row>
        <row r="198">
          <cell r="O198"/>
          <cell r="Q198"/>
          <cell r="S198"/>
          <cell r="U198"/>
          <cell r="W198"/>
          <cell r="Y198"/>
          <cell r="AA198"/>
          <cell r="AC198"/>
          <cell r="AE198"/>
          <cell r="AG198"/>
          <cell r="AI198"/>
          <cell r="AK198"/>
          <cell r="AM198"/>
          <cell r="AO198"/>
          <cell r="AQ198"/>
          <cell r="AS198"/>
          <cell r="AU198"/>
          <cell r="AW198"/>
          <cell r="AY198"/>
          <cell r="BA198"/>
        </row>
        <row r="199">
          <cell r="O199"/>
          <cell r="Q199"/>
          <cell r="S199"/>
          <cell r="U199"/>
          <cell r="W199"/>
          <cell r="Y199"/>
          <cell r="AA199"/>
          <cell r="AC199"/>
          <cell r="AE199"/>
          <cell r="AG199"/>
          <cell r="AI199"/>
          <cell r="AK199"/>
          <cell r="AM199"/>
          <cell r="AO199"/>
          <cell r="AQ199"/>
          <cell r="AS199"/>
          <cell r="AU199"/>
          <cell r="AW199"/>
          <cell r="AY199"/>
          <cell r="BA199"/>
        </row>
        <row r="200">
          <cell r="O200"/>
          <cell r="Q200"/>
          <cell r="S200"/>
          <cell r="U200"/>
          <cell r="W200"/>
          <cell r="Y200"/>
          <cell r="AA200"/>
          <cell r="AC200"/>
          <cell r="AE200"/>
          <cell r="AG200"/>
          <cell r="AI200"/>
          <cell r="AK200"/>
          <cell r="AM200"/>
          <cell r="AO200"/>
          <cell r="AQ200"/>
          <cell r="AS200"/>
          <cell r="AU200"/>
          <cell r="AW200"/>
          <cell r="AY200"/>
          <cell r="BA200"/>
        </row>
        <row r="201">
          <cell r="O201"/>
          <cell r="Q201"/>
          <cell r="S201"/>
          <cell r="U201"/>
          <cell r="W201"/>
          <cell r="Y201"/>
          <cell r="AA201"/>
          <cell r="AC201"/>
          <cell r="AE201"/>
          <cell r="AG201"/>
          <cell r="AI201"/>
          <cell r="AK201"/>
          <cell r="AM201"/>
          <cell r="AO201"/>
          <cell r="AQ201"/>
          <cell r="AS201"/>
          <cell r="AU201"/>
          <cell r="AW201"/>
          <cell r="AY201"/>
          <cell r="BA201"/>
        </row>
        <row r="202">
          <cell r="O202">
            <v>2</v>
          </cell>
          <cell r="Q202"/>
          <cell r="S202">
            <v>1</v>
          </cell>
          <cell r="U202">
            <v>2</v>
          </cell>
          <cell r="W202"/>
          <cell r="Y202"/>
          <cell r="AA202"/>
          <cell r="AC202"/>
          <cell r="AE202"/>
          <cell r="AG202"/>
          <cell r="AI202"/>
          <cell r="AK202"/>
          <cell r="AM202"/>
          <cell r="AO202"/>
          <cell r="AQ202"/>
          <cell r="AS202"/>
          <cell r="AU202"/>
          <cell r="AW202"/>
          <cell r="AY202"/>
          <cell r="BA202"/>
        </row>
        <row r="203">
          <cell r="O203">
            <v>1</v>
          </cell>
          <cell r="Q203"/>
          <cell r="S203">
            <v>1</v>
          </cell>
          <cell r="U203">
            <v>3</v>
          </cell>
          <cell r="W203"/>
          <cell r="Y203"/>
          <cell r="AA203"/>
          <cell r="AC203"/>
          <cell r="AE203"/>
          <cell r="AG203"/>
          <cell r="AI203"/>
          <cell r="AK203"/>
          <cell r="AM203"/>
          <cell r="AO203"/>
          <cell r="AQ203"/>
          <cell r="AS203"/>
          <cell r="AU203"/>
          <cell r="AW203"/>
          <cell r="AY203"/>
          <cell r="BA203"/>
        </row>
        <row r="204">
          <cell r="O204"/>
          <cell r="Q204"/>
          <cell r="S204"/>
          <cell r="U204"/>
          <cell r="W204"/>
          <cell r="Y204"/>
          <cell r="AA204"/>
          <cell r="AC204"/>
          <cell r="AE204"/>
          <cell r="AG204"/>
          <cell r="AI204"/>
          <cell r="AK204"/>
          <cell r="AM204"/>
          <cell r="AO204"/>
          <cell r="AQ204"/>
          <cell r="AS204"/>
          <cell r="AU204"/>
          <cell r="AW204"/>
          <cell r="AY204"/>
          <cell r="BA204"/>
        </row>
        <row r="205">
          <cell r="O205">
            <v>5</v>
          </cell>
          <cell r="Q205"/>
          <cell r="S205"/>
          <cell r="U205"/>
          <cell r="W205"/>
          <cell r="Y205"/>
          <cell r="AA205"/>
          <cell r="AC205"/>
          <cell r="AE205"/>
          <cell r="AG205"/>
          <cell r="AI205"/>
          <cell r="AK205"/>
          <cell r="AM205"/>
          <cell r="AO205"/>
          <cell r="AQ205"/>
          <cell r="AS205"/>
          <cell r="AU205"/>
          <cell r="AW205"/>
          <cell r="AY205"/>
          <cell r="BA205"/>
        </row>
        <row r="206">
          <cell r="O206"/>
          <cell r="Q206"/>
          <cell r="S206"/>
          <cell r="U206"/>
          <cell r="W206"/>
          <cell r="Y206"/>
          <cell r="AA206"/>
          <cell r="AC206"/>
          <cell r="AE206"/>
          <cell r="AG206"/>
          <cell r="AI206"/>
          <cell r="AK206"/>
          <cell r="AM206"/>
          <cell r="AO206"/>
          <cell r="AQ206"/>
          <cell r="AS206"/>
          <cell r="AU206"/>
          <cell r="AW206"/>
          <cell r="AY206"/>
          <cell r="BA206"/>
        </row>
        <row r="207">
          <cell r="O207"/>
          <cell r="Q207"/>
          <cell r="S207"/>
          <cell r="U207"/>
          <cell r="W207"/>
          <cell r="Y207"/>
          <cell r="AA207"/>
          <cell r="AC207"/>
          <cell r="AE207"/>
          <cell r="AG207"/>
          <cell r="AI207"/>
          <cell r="AK207"/>
          <cell r="AM207"/>
          <cell r="AO207"/>
          <cell r="AQ207"/>
          <cell r="AS207"/>
          <cell r="AU207"/>
          <cell r="AW207"/>
          <cell r="AY207"/>
          <cell r="BA207"/>
        </row>
        <row r="208">
          <cell r="O208"/>
          <cell r="Q208"/>
          <cell r="S208"/>
          <cell r="U208"/>
          <cell r="W208"/>
          <cell r="Y208"/>
          <cell r="AA208"/>
          <cell r="AC208"/>
          <cell r="AE208"/>
          <cell r="AG208"/>
          <cell r="AI208"/>
          <cell r="AK208"/>
          <cell r="AM208"/>
          <cell r="AO208"/>
          <cell r="AQ208"/>
          <cell r="AS208"/>
          <cell r="AU208"/>
          <cell r="AW208"/>
          <cell r="AY208"/>
          <cell r="BA208"/>
        </row>
        <row r="209">
          <cell r="O209"/>
          <cell r="Q209"/>
          <cell r="S209"/>
          <cell r="U209"/>
          <cell r="W209"/>
          <cell r="Y209"/>
          <cell r="AA209"/>
          <cell r="AC209"/>
          <cell r="AE209"/>
          <cell r="AG209"/>
          <cell r="AI209"/>
          <cell r="AK209"/>
          <cell r="AM209"/>
          <cell r="AO209"/>
          <cell r="AQ209"/>
          <cell r="AS209"/>
          <cell r="AU209"/>
          <cell r="AW209"/>
          <cell r="AY209"/>
          <cell r="BA209"/>
        </row>
        <row r="210">
          <cell r="O210"/>
          <cell r="Q210"/>
          <cell r="S210"/>
          <cell r="U210"/>
          <cell r="W210"/>
          <cell r="Y210"/>
          <cell r="AA210"/>
          <cell r="AC210"/>
          <cell r="AE210"/>
          <cell r="AG210"/>
          <cell r="AI210"/>
          <cell r="AK210"/>
          <cell r="AM210"/>
          <cell r="AO210"/>
          <cell r="AQ210"/>
          <cell r="AS210"/>
          <cell r="AU210"/>
          <cell r="AW210"/>
          <cell r="AY210"/>
          <cell r="BA210"/>
        </row>
        <row r="211">
          <cell r="O211"/>
          <cell r="Q211"/>
          <cell r="S211"/>
          <cell r="U211"/>
          <cell r="W211"/>
          <cell r="Y211"/>
          <cell r="AA211"/>
          <cell r="AC211"/>
          <cell r="AE211"/>
          <cell r="AG211"/>
          <cell r="AI211"/>
          <cell r="AK211"/>
          <cell r="AM211"/>
          <cell r="AO211"/>
          <cell r="AQ211"/>
          <cell r="AS211"/>
          <cell r="AU211"/>
          <cell r="AW211"/>
          <cell r="AY211"/>
          <cell r="BA211"/>
        </row>
        <row r="212">
          <cell r="O212"/>
          <cell r="Q212"/>
          <cell r="S212"/>
          <cell r="U212"/>
          <cell r="W212"/>
          <cell r="Y212"/>
          <cell r="AA212"/>
          <cell r="AC212"/>
          <cell r="AE212"/>
          <cell r="AG212"/>
          <cell r="AI212"/>
          <cell r="AK212"/>
          <cell r="AM212"/>
          <cell r="AO212"/>
          <cell r="AQ212"/>
          <cell r="AS212"/>
          <cell r="AU212"/>
          <cell r="AW212"/>
          <cell r="AY212"/>
          <cell r="BA212"/>
        </row>
        <row r="213">
          <cell r="O213"/>
          <cell r="Q213"/>
          <cell r="S213"/>
          <cell r="U213"/>
          <cell r="W213"/>
          <cell r="Y213"/>
          <cell r="AA213"/>
          <cell r="AC213"/>
          <cell r="AE213"/>
          <cell r="AG213"/>
          <cell r="AI213"/>
          <cell r="AK213"/>
          <cell r="AM213"/>
          <cell r="AO213"/>
          <cell r="AQ213"/>
          <cell r="AS213"/>
          <cell r="AU213"/>
          <cell r="AW213"/>
          <cell r="AY213"/>
          <cell r="BA213"/>
        </row>
        <row r="214">
          <cell r="O214"/>
          <cell r="Q214"/>
          <cell r="S214"/>
          <cell r="U214"/>
          <cell r="W214"/>
          <cell r="Y214"/>
          <cell r="AA214"/>
          <cell r="AC214"/>
          <cell r="AE214"/>
          <cell r="AG214"/>
          <cell r="AI214"/>
          <cell r="AK214"/>
          <cell r="AM214"/>
          <cell r="AO214"/>
          <cell r="AQ214"/>
          <cell r="AS214"/>
          <cell r="AU214"/>
          <cell r="AW214"/>
          <cell r="AY214"/>
          <cell r="BA214"/>
        </row>
        <row r="215">
          <cell r="O215"/>
          <cell r="Q215"/>
          <cell r="S215"/>
          <cell r="U215"/>
          <cell r="W215"/>
          <cell r="Y215"/>
          <cell r="AA215"/>
          <cell r="AC215"/>
          <cell r="AE215"/>
          <cell r="AG215"/>
          <cell r="AI215"/>
          <cell r="AK215"/>
          <cell r="AM215"/>
          <cell r="AO215"/>
          <cell r="AQ215"/>
          <cell r="AS215"/>
          <cell r="AU215"/>
          <cell r="AW215"/>
          <cell r="AY215"/>
          <cell r="BA215"/>
        </row>
        <row r="216">
          <cell r="O216"/>
          <cell r="Q216"/>
          <cell r="S216"/>
          <cell r="U216"/>
          <cell r="W216"/>
          <cell r="Y216"/>
          <cell r="AA216"/>
          <cell r="AC216"/>
          <cell r="AE216"/>
          <cell r="AG216"/>
          <cell r="AI216"/>
          <cell r="AK216"/>
          <cell r="AM216"/>
          <cell r="AO216"/>
          <cell r="AQ216"/>
          <cell r="AS216"/>
          <cell r="AU216"/>
          <cell r="AW216"/>
          <cell r="AY216"/>
          <cell r="BA216"/>
        </row>
        <row r="217">
          <cell r="O217"/>
          <cell r="Q217"/>
          <cell r="S217"/>
          <cell r="U217"/>
          <cell r="W217"/>
          <cell r="Y217"/>
          <cell r="AA217"/>
          <cell r="AC217"/>
          <cell r="AE217"/>
          <cell r="AG217"/>
          <cell r="AI217"/>
          <cell r="AK217"/>
          <cell r="AM217"/>
          <cell r="AO217"/>
          <cell r="AQ217"/>
          <cell r="AS217"/>
          <cell r="AU217"/>
          <cell r="AW217"/>
          <cell r="AY217"/>
          <cell r="BA217"/>
        </row>
        <row r="218">
          <cell r="O218"/>
          <cell r="Q218"/>
          <cell r="S218"/>
          <cell r="U218"/>
          <cell r="W218"/>
          <cell r="Y218"/>
          <cell r="AA218"/>
          <cell r="AC218"/>
          <cell r="AE218"/>
          <cell r="AG218"/>
          <cell r="AI218"/>
          <cell r="AK218"/>
          <cell r="AM218"/>
          <cell r="AO218"/>
          <cell r="AQ218"/>
          <cell r="AS218"/>
          <cell r="AU218"/>
          <cell r="AW218"/>
          <cell r="AY218"/>
          <cell r="BA218"/>
        </row>
        <row r="219">
          <cell r="O219"/>
          <cell r="Q219"/>
          <cell r="S219"/>
          <cell r="U219"/>
          <cell r="W219"/>
          <cell r="Y219"/>
          <cell r="AA219"/>
          <cell r="AC219"/>
          <cell r="AE219"/>
          <cell r="AG219"/>
          <cell r="AI219"/>
          <cell r="AK219"/>
          <cell r="AM219"/>
          <cell r="AO219"/>
          <cell r="AQ219"/>
          <cell r="AS219"/>
          <cell r="AU219"/>
          <cell r="AW219"/>
          <cell r="AY219"/>
          <cell r="BA219"/>
        </row>
        <row r="220">
          <cell r="O220"/>
          <cell r="Q220"/>
          <cell r="S220"/>
          <cell r="U220"/>
          <cell r="W220"/>
          <cell r="Y220"/>
          <cell r="AA220"/>
          <cell r="AC220"/>
          <cell r="AE220"/>
          <cell r="AG220"/>
          <cell r="AI220"/>
          <cell r="AK220"/>
          <cell r="AM220"/>
          <cell r="AO220"/>
          <cell r="AQ220"/>
          <cell r="AS220"/>
          <cell r="AU220"/>
          <cell r="AW220"/>
          <cell r="AY220"/>
          <cell r="BA220"/>
        </row>
        <row r="221">
          <cell r="O221"/>
          <cell r="Q221"/>
          <cell r="S221"/>
          <cell r="U221"/>
          <cell r="W221"/>
          <cell r="Y221"/>
          <cell r="AA221"/>
          <cell r="AC221"/>
          <cell r="AE221"/>
          <cell r="AG221"/>
          <cell r="AI221"/>
          <cell r="AK221"/>
          <cell r="AM221"/>
          <cell r="AO221"/>
          <cell r="AQ221"/>
          <cell r="AS221"/>
          <cell r="AU221"/>
          <cell r="AW221"/>
          <cell r="AY221"/>
          <cell r="BA221"/>
        </row>
        <row r="222">
          <cell r="O222"/>
          <cell r="Q222"/>
          <cell r="S222"/>
          <cell r="U222"/>
          <cell r="W222"/>
          <cell r="Y222"/>
          <cell r="AA222"/>
          <cell r="AC222"/>
          <cell r="AE222"/>
          <cell r="AG222"/>
          <cell r="AI222"/>
          <cell r="AK222"/>
          <cell r="AM222"/>
          <cell r="AO222"/>
          <cell r="AQ222"/>
          <cell r="AS222"/>
          <cell r="AU222"/>
          <cell r="AW222"/>
          <cell r="AY222"/>
          <cell r="BA222"/>
        </row>
        <row r="223">
          <cell r="O223"/>
          <cell r="Q223"/>
          <cell r="S223"/>
          <cell r="U223"/>
          <cell r="W223"/>
          <cell r="Y223"/>
          <cell r="AA223"/>
          <cell r="AC223"/>
          <cell r="AE223"/>
          <cell r="AG223"/>
          <cell r="AI223"/>
          <cell r="AK223"/>
          <cell r="AM223"/>
          <cell r="AO223"/>
          <cell r="AQ223"/>
          <cell r="AS223"/>
          <cell r="AU223"/>
          <cell r="AW223"/>
          <cell r="AY223"/>
          <cell r="BA223"/>
        </row>
        <row r="224">
          <cell r="O224"/>
          <cell r="Q224"/>
          <cell r="S224"/>
          <cell r="U224"/>
          <cell r="W224"/>
          <cell r="Y224"/>
          <cell r="AA224"/>
          <cell r="AC224"/>
          <cell r="AE224"/>
          <cell r="AG224"/>
          <cell r="AI224"/>
          <cell r="AK224"/>
          <cell r="AM224"/>
          <cell r="AO224"/>
          <cell r="AQ224"/>
          <cell r="AS224"/>
          <cell r="AU224"/>
          <cell r="AW224"/>
          <cell r="AY224"/>
          <cell r="BA224"/>
        </row>
        <row r="225">
          <cell r="O225">
            <v>5</v>
          </cell>
          <cell r="Q225"/>
          <cell r="S225"/>
          <cell r="U225"/>
          <cell r="W225"/>
          <cell r="Y225"/>
          <cell r="AA225"/>
          <cell r="AC225"/>
          <cell r="AE225"/>
          <cell r="AG225"/>
          <cell r="AI225"/>
          <cell r="AK225"/>
          <cell r="AM225"/>
          <cell r="AO225"/>
          <cell r="AQ225"/>
          <cell r="AS225"/>
          <cell r="AU225"/>
          <cell r="AW225"/>
          <cell r="AY225"/>
          <cell r="BA225"/>
        </row>
        <row r="226">
          <cell r="O226"/>
          <cell r="Q226"/>
          <cell r="S226"/>
          <cell r="U226"/>
          <cell r="W226"/>
          <cell r="Y226"/>
          <cell r="AA226"/>
          <cell r="AC226"/>
          <cell r="AE226"/>
          <cell r="AG226"/>
          <cell r="AI226"/>
          <cell r="AK226"/>
          <cell r="AM226"/>
          <cell r="AO226"/>
          <cell r="AQ226"/>
          <cell r="AS226"/>
          <cell r="AU226"/>
          <cell r="AW226"/>
          <cell r="AY226"/>
          <cell r="BA226"/>
        </row>
        <row r="227">
          <cell r="O227"/>
          <cell r="Q227"/>
          <cell r="S227"/>
          <cell r="U227"/>
          <cell r="W227"/>
          <cell r="Y227"/>
          <cell r="AA227"/>
          <cell r="AC227"/>
          <cell r="AE227"/>
          <cell r="AG227"/>
          <cell r="AI227"/>
          <cell r="AK227"/>
          <cell r="AM227"/>
          <cell r="AO227"/>
          <cell r="AQ227"/>
          <cell r="AS227"/>
          <cell r="AU227"/>
          <cell r="AW227"/>
          <cell r="AY227"/>
          <cell r="BA227"/>
        </row>
        <row r="228">
          <cell r="O228"/>
          <cell r="Q228"/>
          <cell r="S228"/>
          <cell r="U228"/>
          <cell r="W228"/>
          <cell r="Y228"/>
          <cell r="AA228"/>
          <cell r="AC228"/>
          <cell r="AE228"/>
          <cell r="AG228"/>
          <cell r="AI228"/>
          <cell r="AK228"/>
          <cell r="AM228"/>
          <cell r="AO228"/>
          <cell r="AQ228"/>
          <cell r="AS228"/>
          <cell r="AU228"/>
          <cell r="AW228"/>
          <cell r="AY228"/>
          <cell r="BA228"/>
        </row>
        <row r="229">
          <cell r="O229"/>
          <cell r="Q229"/>
          <cell r="S229"/>
          <cell r="U229"/>
          <cell r="W229"/>
          <cell r="Y229"/>
          <cell r="AA229"/>
          <cell r="AC229"/>
          <cell r="AE229"/>
          <cell r="AG229"/>
          <cell r="AI229"/>
          <cell r="AK229"/>
          <cell r="AM229"/>
          <cell r="AO229"/>
          <cell r="AQ229"/>
          <cell r="AS229"/>
          <cell r="AU229"/>
          <cell r="AW229"/>
          <cell r="AY229"/>
          <cell r="BA229"/>
        </row>
        <row r="230">
          <cell r="O230"/>
          <cell r="Q230"/>
          <cell r="S230"/>
          <cell r="U230"/>
          <cell r="W230"/>
          <cell r="Y230"/>
          <cell r="AA230"/>
          <cell r="AC230"/>
          <cell r="AE230"/>
          <cell r="AG230"/>
          <cell r="AI230"/>
          <cell r="AK230"/>
          <cell r="AM230"/>
          <cell r="AO230"/>
          <cell r="AQ230"/>
          <cell r="AS230"/>
          <cell r="AU230"/>
          <cell r="AW230"/>
          <cell r="AY230"/>
          <cell r="BA230"/>
        </row>
        <row r="231">
          <cell r="O231"/>
          <cell r="Q231"/>
          <cell r="S231"/>
          <cell r="U231"/>
          <cell r="W231"/>
          <cell r="Y231"/>
          <cell r="AA231"/>
          <cell r="AC231"/>
          <cell r="AE231"/>
          <cell r="AG231"/>
          <cell r="AI231"/>
          <cell r="AK231"/>
          <cell r="AM231"/>
          <cell r="AO231"/>
          <cell r="AQ231"/>
          <cell r="AS231"/>
          <cell r="AU231"/>
          <cell r="AW231"/>
          <cell r="AY231"/>
          <cell r="BA231"/>
        </row>
        <row r="232">
          <cell r="O232">
            <v>5</v>
          </cell>
          <cell r="Q232"/>
          <cell r="S232"/>
          <cell r="U232"/>
          <cell r="W232"/>
          <cell r="Y232"/>
          <cell r="AA232"/>
          <cell r="AC232"/>
          <cell r="AE232"/>
          <cell r="AG232"/>
          <cell r="AI232"/>
          <cell r="AK232"/>
          <cell r="AM232"/>
          <cell r="AO232"/>
          <cell r="AQ232"/>
          <cell r="AS232"/>
          <cell r="AU232"/>
          <cell r="AW232"/>
          <cell r="AY232"/>
          <cell r="BA232"/>
        </row>
        <row r="233">
          <cell r="O233"/>
          <cell r="Q233"/>
          <cell r="S233"/>
          <cell r="U233"/>
          <cell r="W233"/>
          <cell r="Y233"/>
          <cell r="AA233"/>
          <cell r="AC233"/>
          <cell r="AE233"/>
          <cell r="AG233"/>
          <cell r="AI233"/>
          <cell r="AK233"/>
          <cell r="AM233"/>
          <cell r="AO233"/>
          <cell r="AQ233"/>
          <cell r="AS233"/>
          <cell r="AU233"/>
          <cell r="AW233"/>
          <cell r="AY233"/>
          <cell r="BA233"/>
        </row>
        <row r="234">
          <cell r="O234"/>
          <cell r="Q234"/>
          <cell r="S234"/>
          <cell r="U234"/>
          <cell r="W234"/>
          <cell r="Y234"/>
          <cell r="AA234"/>
          <cell r="AC234"/>
          <cell r="AE234"/>
          <cell r="AG234"/>
          <cell r="AI234"/>
          <cell r="AK234"/>
          <cell r="AM234"/>
          <cell r="AO234"/>
          <cell r="AQ234"/>
          <cell r="AS234"/>
          <cell r="AU234"/>
          <cell r="AW234"/>
          <cell r="AY234"/>
          <cell r="BA234"/>
        </row>
        <row r="235">
          <cell r="O235"/>
          <cell r="Q235"/>
          <cell r="S235"/>
          <cell r="U235"/>
          <cell r="W235"/>
          <cell r="Y235"/>
          <cell r="AA235"/>
          <cell r="AC235"/>
          <cell r="AE235"/>
          <cell r="AG235"/>
          <cell r="AI235"/>
          <cell r="AK235"/>
          <cell r="AM235"/>
          <cell r="AO235"/>
          <cell r="AQ235"/>
          <cell r="AS235"/>
          <cell r="AU235"/>
          <cell r="AW235"/>
          <cell r="AY235"/>
          <cell r="BA235"/>
        </row>
        <row r="236">
          <cell r="O236"/>
          <cell r="Q236"/>
          <cell r="S236"/>
          <cell r="U236"/>
          <cell r="W236"/>
          <cell r="Y236"/>
          <cell r="AA236"/>
          <cell r="AC236"/>
          <cell r="AE236"/>
          <cell r="AG236"/>
          <cell r="AI236"/>
          <cell r="AK236"/>
          <cell r="AM236"/>
          <cell r="AO236"/>
          <cell r="AQ236"/>
          <cell r="AS236"/>
          <cell r="AU236"/>
          <cell r="AW236"/>
          <cell r="AY236"/>
          <cell r="BA236"/>
        </row>
        <row r="237">
          <cell r="O237"/>
          <cell r="Q237"/>
          <cell r="S237"/>
          <cell r="U237"/>
          <cell r="W237"/>
          <cell r="Y237"/>
          <cell r="AA237"/>
          <cell r="AC237"/>
          <cell r="AE237"/>
          <cell r="AG237"/>
          <cell r="AI237"/>
          <cell r="AK237"/>
          <cell r="AM237"/>
          <cell r="AO237"/>
          <cell r="AQ237"/>
          <cell r="AS237"/>
          <cell r="AU237"/>
          <cell r="AW237"/>
          <cell r="AY237"/>
          <cell r="BA237"/>
        </row>
        <row r="238">
          <cell r="O238"/>
          <cell r="Q238"/>
          <cell r="S238"/>
          <cell r="U238"/>
          <cell r="W238"/>
          <cell r="Y238"/>
          <cell r="AA238"/>
          <cell r="AC238"/>
          <cell r="AE238"/>
          <cell r="AG238"/>
          <cell r="AI238"/>
          <cell r="AK238"/>
          <cell r="AM238"/>
          <cell r="AO238"/>
          <cell r="AQ238"/>
          <cell r="AS238"/>
          <cell r="AU238"/>
          <cell r="AW238"/>
          <cell r="AY238"/>
          <cell r="BA238"/>
        </row>
        <row r="239">
          <cell r="O239"/>
          <cell r="Q239"/>
          <cell r="S239"/>
          <cell r="U239"/>
          <cell r="W239"/>
          <cell r="Y239"/>
          <cell r="AA239"/>
          <cell r="AC239"/>
          <cell r="AE239"/>
          <cell r="AG239"/>
          <cell r="AI239"/>
          <cell r="AK239"/>
          <cell r="AM239"/>
          <cell r="AO239"/>
          <cell r="AQ239"/>
          <cell r="AS239"/>
          <cell r="AU239"/>
          <cell r="AW239"/>
          <cell r="AY239"/>
          <cell r="BA239"/>
        </row>
        <row r="240">
          <cell r="O240"/>
          <cell r="Q240"/>
          <cell r="S240"/>
          <cell r="U240"/>
          <cell r="W240"/>
          <cell r="Y240"/>
          <cell r="AA240"/>
          <cell r="AC240"/>
          <cell r="AE240"/>
          <cell r="AG240"/>
          <cell r="AI240"/>
          <cell r="AK240"/>
          <cell r="AM240"/>
          <cell r="AO240"/>
          <cell r="AQ240"/>
          <cell r="AS240"/>
          <cell r="AU240"/>
          <cell r="AW240"/>
          <cell r="AY240"/>
          <cell r="BA240"/>
        </row>
        <row r="241">
          <cell r="O241"/>
          <cell r="Q241"/>
          <cell r="S241"/>
          <cell r="U241"/>
          <cell r="W241"/>
          <cell r="Y241"/>
          <cell r="AA241"/>
          <cell r="AC241"/>
          <cell r="AE241"/>
          <cell r="AG241"/>
          <cell r="AI241"/>
          <cell r="AK241"/>
          <cell r="AM241"/>
          <cell r="AO241"/>
          <cell r="AQ241"/>
          <cell r="AS241"/>
          <cell r="AU241"/>
          <cell r="AW241"/>
          <cell r="AY241"/>
          <cell r="BA241"/>
        </row>
        <row r="242">
          <cell r="O242"/>
          <cell r="Q242"/>
          <cell r="S242"/>
          <cell r="U242"/>
          <cell r="W242"/>
          <cell r="Y242"/>
          <cell r="AA242"/>
          <cell r="AC242"/>
          <cell r="AE242"/>
          <cell r="AG242"/>
          <cell r="AI242"/>
          <cell r="AK242"/>
          <cell r="AM242"/>
          <cell r="AO242"/>
          <cell r="AQ242"/>
          <cell r="AS242"/>
          <cell r="AU242"/>
          <cell r="AW242"/>
          <cell r="AY242"/>
          <cell r="BA242"/>
        </row>
        <row r="243">
          <cell r="O243"/>
          <cell r="Q243"/>
          <cell r="S243"/>
          <cell r="U243"/>
          <cell r="W243"/>
          <cell r="Y243"/>
          <cell r="AA243"/>
          <cell r="AC243"/>
          <cell r="AE243"/>
          <cell r="AG243"/>
          <cell r="AI243"/>
          <cell r="AK243"/>
          <cell r="AM243"/>
          <cell r="AO243"/>
          <cell r="AQ243"/>
          <cell r="AS243"/>
          <cell r="AU243"/>
          <cell r="AW243"/>
          <cell r="AY243"/>
          <cell r="BA243"/>
        </row>
        <row r="244">
          <cell r="O244"/>
          <cell r="Q244"/>
          <cell r="S244"/>
          <cell r="U244"/>
          <cell r="W244"/>
          <cell r="Y244"/>
          <cell r="AA244"/>
          <cell r="AC244"/>
          <cell r="AE244"/>
          <cell r="AG244"/>
          <cell r="AI244"/>
          <cell r="AK244"/>
          <cell r="AM244"/>
          <cell r="AO244"/>
          <cell r="AQ244"/>
          <cell r="AS244"/>
          <cell r="AU244"/>
          <cell r="AW244"/>
          <cell r="AY244"/>
          <cell r="BA244"/>
        </row>
        <row r="245">
          <cell r="O245"/>
          <cell r="Q245"/>
          <cell r="S245"/>
          <cell r="U245"/>
          <cell r="W245"/>
          <cell r="Y245"/>
          <cell r="AA245"/>
          <cell r="AC245"/>
          <cell r="AE245"/>
          <cell r="AG245"/>
          <cell r="AI245"/>
          <cell r="AK245"/>
          <cell r="AM245"/>
          <cell r="AO245"/>
          <cell r="AQ245"/>
          <cell r="AS245"/>
          <cell r="AU245"/>
          <cell r="AW245"/>
          <cell r="AY245"/>
          <cell r="BA245"/>
        </row>
        <row r="246">
          <cell r="O246"/>
          <cell r="Q246"/>
          <cell r="S246"/>
          <cell r="U246"/>
          <cell r="W246"/>
          <cell r="Y246"/>
          <cell r="AA246"/>
          <cell r="AC246"/>
          <cell r="AE246"/>
          <cell r="AG246"/>
          <cell r="AI246"/>
          <cell r="AK246"/>
          <cell r="AM246"/>
          <cell r="AO246"/>
          <cell r="AQ246"/>
          <cell r="AS246"/>
          <cell r="AU246"/>
          <cell r="AW246"/>
          <cell r="AY246"/>
          <cell r="BA246"/>
        </row>
        <row r="247">
          <cell r="O247"/>
          <cell r="Q247"/>
          <cell r="S247"/>
          <cell r="U247"/>
          <cell r="W247"/>
          <cell r="Y247"/>
          <cell r="AA247"/>
          <cell r="AC247"/>
          <cell r="AE247"/>
          <cell r="AG247"/>
          <cell r="AI247"/>
          <cell r="AK247"/>
          <cell r="AM247"/>
          <cell r="AO247"/>
          <cell r="AQ247"/>
          <cell r="AS247"/>
          <cell r="AU247"/>
          <cell r="AW247"/>
          <cell r="AY247"/>
          <cell r="BA247"/>
        </row>
        <row r="248">
          <cell r="O248"/>
          <cell r="Q248"/>
          <cell r="S248"/>
          <cell r="U248"/>
          <cell r="W248"/>
          <cell r="Y248"/>
          <cell r="AA248"/>
          <cell r="AC248"/>
          <cell r="AE248"/>
          <cell r="AG248"/>
          <cell r="AI248"/>
          <cell r="AK248"/>
          <cell r="AM248"/>
          <cell r="AO248"/>
          <cell r="AQ248"/>
          <cell r="AS248"/>
          <cell r="AU248"/>
          <cell r="AW248"/>
          <cell r="AY248"/>
          <cell r="BA248"/>
        </row>
        <row r="249">
          <cell r="O249"/>
          <cell r="Q249"/>
          <cell r="S249"/>
          <cell r="U249"/>
          <cell r="W249"/>
          <cell r="Y249"/>
          <cell r="AA249"/>
          <cell r="AC249"/>
          <cell r="AE249"/>
          <cell r="AG249"/>
          <cell r="AI249"/>
          <cell r="AK249"/>
          <cell r="AM249"/>
          <cell r="AO249"/>
          <cell r="AQ249"/>
          <cell r="AS249"/>
          <cell r="AU249"/>
          <cell r="AW249"/>
          <cell r="AY249"/>
          <cell r="BA249"/>
        </row>
        <row r="250">
          <cell r="O250"/>
          <cell r="Q250"/>
          <cell r="S250"/>
          <cell r="U250"/>
          <cell r="W250"/>
          <cell r="Y250"/>
          <cell r="AA250"/>
          <cell r="AC250"/>
          <cell r="AE250"/>
          <cell r="AG250"/>
          <cell r="AI250"/>
          <cell r="AK250"/>
          <cell r="AM250"/>
          <cell r="AO250"/>
          <cell r="AQ250"/>
          <cell r="AS250"/>
          <cell r="AU250"/>
          <cell r="AW250"/>
          <cell r="AY250"/>
          <cell r="BA250"/>
        </row>
        <row r="251">
          <cell r="O251"/>
          <cell r="Q251"/>
          <cell r="S251"/>
          <cell r="U251"/>
          <cell r="W251"/>
          <cell r="Y251"/>
          <cell r="AA251"/>
          <cell r="AC251"/>
          <cell r="AE251"/>
          <cell r="AG251"/>
          <cell r="AI251"/>
          <cell r="AK251"/>
          <cell r="AM251"/>
          <cell r="AO251"/>
          <cell r="AQ251"/>
          <cell r="AS251"/>
          <cell r="AU251"/>
          <cell r="AW251"/>
          <cell r="AY251"/>
          <cell r="BA251"/>
        </row>
        <row r="252">
          <cell r="O252"/>
          <cell r="Q252"/>
          <cell r="S252"/>
          <cell r="U252"/>
          <cell r="W252"/>
          <cell r="Y252"/>
          <cell r="AA252"/>
          <cell r="AC252"/>
          <cell r="AE252"/>
          <cell r="AG252"/>
          <cell r="AI252"/>
          <cell r="AK252"/>
          <cell r="AM252"/>
          <cell r="AO252"/>
          <cell r="AQ252"/>
          <cell r="AS252"/>
          <cell r="AU252"/>
          <cell r="AW252"/>
          <cell r="AY252"/>
          <cell r="BA252"/>
        </row>
        <row r="253">
          <cell r="O253"/>
          <cell r="Q253"/>
          <cell r="S253"/>
          <cell r="U253"/>
          <cell r="W253"/>
          <cell r="Y253"/>
          <cell r="AA253"/>
          <cell r="AC253"/>
          <cell r="AE253"/>
          <cell r="AG253"/>
          <cell r="AI253"/>
          <cell r="AK253"/>
          <cell r="AM253"/>
          <cell r="AO253"/>
          <cell r="AQ253"/>
          <cell r="AS253"/>
          <cell r="AU253"/>
          <cell r="AW253"/>
          <cell r="AY253"/>
          <cell r="BA253"/>
        </row>
        <row r="254">
          <cell r="O254"/>
          <cell r="Q254"/>
          <cell r="S254"/>
          <cell r="U254"/>
          <cell r="W254"/>
          <cell r="Y254"/>
          <cell r="AA254"/>
          <cell r="AC254"/>
          <cell r="AE254"/>
          <cell r="AG254"/>
          <cell r="AI254"/>
          <cell r="AK254"/>
          <cell r="AM254"/>
          <cell r="AO254"/>
          <cell r="AQ254"/>
          <cell r="AS254"/>
          <cell r="AU254"/>
          <cell r="AW254"/>
          <cell r="AY254"/>
          <cell r="BA254"/>
        </row>
        <row r="255">
          <cell r="O255"/>
          <cell r="Q255"/>
          <cell r="S255"/>
          <cell r="U255"/>
          <cell r="W255"/>
          <cell r="Y255"/>
          <cell r="AA255"/>
          <cell r="AC255"/>
          <cell r="AE255"/>
          <cell r="AG255"/>
          <cell r="AI255"/>
          <cell r="AK255"/>
          <cell r="AM255"/>
          <cell r="AO255"/>
          <cell r="AQ255"/>
          <cell r="AS255"/>
          <cell r="AU255"/>
          <cell r="AW255"/>
          <cell r="AY255"/>
          <cell r="BA255"/>
        </row>
        <row r="256">
          <cell r="O256"/>
          <cell r="Q256"/>
          <cell r="S256"/>
          <cell r="U256"/>
          <cell r="W256"/>
          <cell r="Y256"/>
          <cell r="AA256"/>
          <cell r="AC256"/>
          <cell r="AE256"/>
          <cell r="AG256"/>
          <cell r="AI256"/>
          <cell r="AK256"/>
          <cell r="AM256"/>
          <cell r="AO256"/>
          <cell r="AQ256"/>
          <cell r="AS256"/>
          <cell r="AU256"/>
          <cell r="AW256"/>
          <cell r="AY256"/>
          <cell r="BA256"/>
        </row>
        <row r="257">
          <cell r="O257"/>
          <cell r="Q257"/>
          <cell r="S257"/>
          <cell r="U257"/>
          <cell r="W257"/>
          <cell r="Y257"/>
          <cell r="AA257"/>
          <cell r="AC257"/>
          <cell r="AE257"/>
          <cell r="AG257"/>
          <cell r="AI257"/>
          <cell r="AK257"/>
          <cell r="AM257"/>
          <cell r="AO257"/>
          <cell r="AQ257"/>
          <cell r="AS257"/>
          <cell r="AU257"/>
          <cell r="AW257"/>
          <cell r="AY257"/>
          <cell r="BA257"/>
        </row>
        <row r="258">
          <cell r="O258"/>
          <cell r="Q258"/>
          <cell r="S258"/>
          <cell r="U258"/>
          <cell r="W258"/>
          <cell r="Y258"/>
          <cell r="AA258"/>
          <cell r="AC258"/>
          <cell r="AE258"/>
          <cell r="AG258"/>
          <cell r="AI258"/>
          <cell r="AK258"/>
          <cell r="AM258"/>
          <cell r="AO258"/>
          <cell r="AQ258"/>
          <cell r="AS258"/>
          <cell r="AU258"/>
          <cell r="AW258"/>
          <cell r="AY258"/>
          <cell r="BA258"/>
        </row>
        <row r="259">
          <cell r="O259"/>
          <cell r="Q259"/>
          <cell r="S259"/>
          <cell r="U259"/>
          <cell r="W259"/>
          <cell r="Y259"/>
          <cell r="AA259"/>
          <cell r="AC259"/>
          <cell r="AE259"/>
          <cell r="AG259"/>
          <cell r="AI259"/>
          <cell r="AK259"/>
          <cell r="AM259"/>
          <cell r="AO259"/>
          <cell r="AQ259"/>
          <cell r="AS259"/>
          <cell r="AU259"/>
          <cell r="AW259"/>
          <cell r="AY259"/>
          <cell r="BA259"/>
        </row>
        <row r="260">
          <cell r="O260"/>
          <cell r="Q260"/>
          <cell r="S260"/>
          <cell r="U260"/>
          <cell r="W260"/>
          <cell r="Y260"/>
          <cell r="AA260"/>
          <cell r="AC260"/>
          <cell r="AE260"/>
          <cell r="AG260"/>
          <cell r="AI260"/>
          <cell r="AK260"/>
          <cell r="AM260"/>
          <cell r="AO260"/>
          <cell r="AQ260"/>
          <cell r="AS260"/>
          <cell r="AU260"/>
          <cell r="AW260"/>
          <cell r="AY260"/>
          <cell r="BA260"/>
        </row>
      </sheetData>
      <sheetData sheetId="2"/>
      <sheetData sheetId="3">
        <row r="1">
          <cell r="F1">
            <v>1.5299999999999999E-2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130</v>
          </cell>
        </row>
        <row r="5">
          <cell r="F5">
            <v>77.28</v>
          </cell>
          <cell r="G5">
            <v>84.062383999999994</v>
          </cell>
          <cell r="H5">
            <v>84.062383999999994</v>
          </cell>
        </row>
        <row r="6">
          <cell r="F6">
            <v>784.59</v>
          </cell>
          <cell r="G6">
            <v>109.15724951</v>
          </cell>
          <cell r="H6">
            <v>109.15724951</v>
          </cell>
        </row>
        <row r="7">
          <cell r="F7">
            <v>229.2</v>
          </cell>
          <cell r="G7">
            <v>238.30675999999997</v>
          </cell>
          <cell r="H7">
            <v>238.30675999999997</v>
          </cell>
        </row>
        <row r="8">
          <cell r="F8">
            <v>109.15724951</v>
          </cell>
        </row>
        <row r="9">
          <cell r="F9">
            <v>0.87325799607999999</v>
          </cell>
        </row>
        <row r="10">
          <cell r="F10">
            <v>130</v>
          </cell>
        </row>
        <row r="11">
          <cell r="F11">
            <v>109.15724951</v>
          </cell>
        </row>
        <row r="12">
          <cell r="F12">
            <v>0</v>
          </cell>
        </row>
        <row r="13">
          <cell r="F13">
            <v>0.86605243978102198</v>
          </cell>
        </row>
      </sheetData>
      <sheetData sheetId="4"/>
      <sheetData sheetId="5"/>
      <sheetData sheetId="6">
        <row r="2">
          <cell r="A2">
            <v>6096</v>
          </cell>
          <cell r="B2" t="str">
            <v>Açaï en poudre iofilisée BIO (env. 250g)</v>
          </cell>
          <cell r="C2" t="str">
            <v>Brésil</v>
          </cell>
          <cell r="F2" t="str">
            <v>❤️</v>
          </cell>
          <cell r="G2">
            <v>30.11</v>
          </cell>
          <cell r="H2" t="str">
            <v>Pièce</v>
          </cell>
          <cell r="I2"/>
          <cell r="J2"/>
          <cell r="K2"/>
        </row>
        <row r="3">
          <cell r="A3" t="str">
            <v>1100-1312</v>
          </cell>
          <cell r="B3" t="str">
            <v>Ail blanc ou violet BIO</v>
          </cell>
          <cell r="C3" t="str">
            <v>Malaga</v>
          </cell>
          <cell r="F3" t="str">
            <v xml:space="preserve"> </v>
          </cell>
          <cell r="G3">
            <v>8.48</v>
          </cell>
          <cell r="H3" t="str">
            <v>kg</v>
          </cell>
          <cell r="I3" t="str">
            <v>X</v>
          </cell>
          <cell r="J3"/>
          <cell r="K3"/>
        </row>
        <row r="4">
          <cell r="A4">
            <v>1497</v>
          </cell>
          <cell r="B4" t="str">
            <v>Algue Chlorella en poudre BIO (env. 1kg)</v>
          </cell>
          <cell r="C4" t="str">
            <v>Inde</v>
          </cell>
          <cell r="F4" t="str">
            <v xml:space="preserve">OFFRE </v>
          </cell>
          <cell r="G4">
            <v>50.66</v>
          </cell>
          <cell r="H4" t="str">
            <v>Pièce</v>
          </cell>
          <cell r="I4"/>
          <cell r="J4"/>
          <cell r="K4"/>
        </row>
        <row r="5">
          <cell r="A5">
            <v>1497</v>
          </cell>
          <cell r="B5" t="str">
            <v>Algue Chlorella en poudre BIO (env. 500g)</v>
          </cell>
          <cell r="C5" t="str">
            <v>Inde</v>
          </cell>
          <cell r="F5" t="str">
            <v>❤️ OFFRE</v>
          </cell>
          <cell r="G5">
            <v>25.88</v>
          </cell>
          <cell r="H5" t="str">
            <v>Pièce</v>
          </cell>
          <cell r="I5"/>
          <cell r="J5"/>
          <cell r="K5"/>
        </row>
        <row r="6">
          <cell r="A6">
            <v>1189</v>
          </cell>
          <cell r="B6" t="str">
            <v>Algue Dulse déshydratée BIO (env. 1kg)</v>
          </cell>
          <cell r="C6" t="str">
            <v>Irlande</v>
          </cell>
          <cell r="F6" t="str">
            <v>❤️</v>
          </cell>
          <cell r="G6">
            <v>82.17</v>
          </cell>
          <cell r="H6" t="str">
            <v>Pièce</v>
          </cell>
          <cell r="I6"/>
          <cell r="J6"/>
          <cell r="K6"/>
        </row>
        <row r="7">
          <cell r="A7">
            <v>1189</v>
          </cell>
          <cell r="B7" t="str">
            <v>Algue Dulse déshydratée BIO (env. 500g)</v>
          </cell>
          <cell r="C7" t="str">
            <v>Irlande</v>
          </cell>
          <cell r="F7" t="str">
            <v>❤️</v>
          </cell>
          <cell r="G7">
            <v>41.77</v>
          </cell>
          <cell r="H7" t="str">
            <v>Pièce</v>
          </cell>
          <cell r="I7"/>
          <cell r="J7"/>
          <cell r="K7"/>
        </row>
        <row r="8">
          <cell r="A8">
            <v>5247</v>
          </cell>
          <cell r="B8" t="str">
            <v>Algue Gracilasa charnue fraiche (env. 100g).</v>
          </cell>
          <cell r="C8" t="str">
            <v>Galice</v>
          </cell>
          <cell r="F8"/>
          <cell r="G8">
            <v>3.27</v>
          </cell>
          <cell r="H8" t="str">
            <v>Pièce</v>
          </cell>
          <cell r="I8"/>
          <cell r="J8"/>
          <cell r="K8"/>
        </row>
        <row r="9">
          <cell r="A9">
            <v>6073</v>
          </cell>
          <cell r="B9" t="str">
            <v>Algue Kombu déshydratées BIO (env. 1kg)</v>
          </cell>
          <cell r="C9" t="str">
            <v>Galice</v>
          </cell>
          <cell r="F9" t="str">
            <v>❤️</v>
          </cell>
          <cell r="G9">
            <v>37.659999999999997</v>
          </cell>
          <cell r="H9" t="str">
            <v>Pièce</v>
          </cell>
          <cell r="I9"/>
          <cell r="J9"/>
          <cell r="K9"/>
        </row>
        <row r="10">
          <cell r="A10">
            <v>6073</v>
          </cell>
          <cell r="B10" t="str">
            <v>Algue Kombu déshydratées BIO (env. 500g)</v>
          </cell>
          <cell r="C10" t="str">
            <v>Galice</v>
          </cell>
          <cell r="F10" t="str">
            <v>❤️</v>
          </cell>
          <cell r="G10">
            <v>19.579999999999998</v>
          </cell>
          <cell r="H10" t="str">
            <v>Pièce</v>
          </cell>
          <cell r="I10"/>
          <cell r="J10"/>
          <cell r="K10"/>
        </row>
        <row r="11">
          <cell r="A11">
            <v>1096</v>
          </cell>
          <cell r="B11" t="str">
            <v>Algue Nori entière déshydratées BIO (env. 1kg)</v>
          </cell>
          <cell r="C11" t="str">
            <v>Galice</v>
          </cell>
          <cell r="F11" t="str">
            <v>❤️</v>
          </cell>
          <cell r="G11">
            <v>53.4</v>
          </cell>
          <cell r="H11" t="str">
            <v>Pièce</v>
          </cell>
          <cell r="I11"/>
          <cell r="J11"/>
          <cell r="K11"/>
        </row>
        <row r="12">
          <cell r="A12">
            <v>1096</v>
          </cell>
          <cell r="B12" t="str">
            <v>Algue Nori entière déshydratées BIO (env. 500g)</v>
          </cell>
          <cell r="C12" t="str">
            <v>Galice</v>
          </cell>
          <cell r="F12" t="str">
            <v>❤️</v>
          </cell>
          <cell r="G12">
            <v>27.37</v>
          </cell>
          <cell r="H12" t="str">
            <v>Pièce</v>
          </cell>
          <cell r="I12"/>
          <cell r="J12"/>
          <cell r="K12"/>
        </row>
        <row r="13">
          <cell r="A13">
            <v>1102</v>
          </cell>
          <cell r="B13" t="str">
            <v>Aloe Vera (feuille fraîche) BIO</v>
          </cell>
          <cell r="C13" t="str">
            <v>Malaga</v>
          </cell>
          <cell r="F13" t="str">
            <v>❤️</v>
          </cell>
          <cell r="G13">
            <v>3.55</v>
          </cell>
          <cell r="H13" t="str">
            <v>Pièce</v>
          </cell>
          <cell r="I13" t="str">
            <v>X</v>
          </cell>
          <cell r="J13" t="str">
            <v>X</v>
          </cell>
          <cell r="K13" t="str">
            <v>X</v>
          </cell>
        </row>
        <row r="14">
          <cell r="A14">
            <v>5127</v>
          </cell>
          <cell r="B14" t="str">
            <v>Amande Romera avec coque</v>
          </cell>
          <cell r="C14" t="str">
            <v>Malaga</v>
          </cell>
          <cell r="F14"/>
          <cell r="G14">
            <v>3.69</v>
          </cell>
          <cell r="H14" t="str">
            <v>kg</v>
          </cell>
          <cell r="I14" t="str">
            <v>X</v>
          </cell>
          <cell r="J14"/>
          <cell r="K14"/>
        </row>
        <row r="15">
          <cell r="A15">
            <v>1197</v>
          </cell>
          <cell r="B15" t="str">
            <v>Amande sans coque CRU BIO (env. 1kg)</v>
          </cell>
          <cell r="C15" t="str">
            <v>Grenade</v>
          </cell>
          <cell r="F15" t="str">
            <v>❤️</v>
          </cell>
          <cell r="G15">
            <v>24.63</v>
          </cell>
          <cell r="H15" t="str">
            <v>Pièce</v>
          </cell>
          <cell r="I15" t="str">
            <v>X</v>
          </cell>
          <cell r="J15"/>
          <cell r="K15"/>
        </row>
        <row r="16">
          <cell r="A16">
            <v>3020</v>
          </cell>
          <cell r="B16" t="str">
            <v xml:space="preserve">Ananas (mûri sur plante, env. 2kg)
</v>
          </cell>
          <cell r="C16" t="str">
            <v>Costa Rica</v>
          </cell>
          <cell r="F16" t="str">
            <v>❤️</v>
          </cell>
          <cell r="G16">
            <v>4.37</v>
          </cell>
          <cell r="H16" t="str">
            <v>kg</v>
          </cell>
          <cell r="I16" t="str">
            <v>X</v>
          </cell>
          <cell r="J16" t="str">
            <v>X</v>
          </cell>
          <cell r="K16"/>
        </row>
        <row r="17">
          <cell r="A17">
            <v>5131</v>
          </cell>
          <cell r="B17" t="str">
            <v>Ananas deshydraté à basse température BIO  
    - (env. 500g, production Rufino)</v>
          </cell>
          <cell r="C17" t="str">
            <v>Grenade</v>
          </cell>
          <cell r="F17"/>
          <cell r="G17">
            <v>13.67</v>
          </cell>
          <cell r="H17" t="str">
            <v>Pièce</v>
          </cell>
          <cell r="I17"/>
          <cell r="J17"/>
          <cell r="K17"/>
        </row>
        <row r="18">
          <cell r="A18">
            <v>3785</v>
          </cell>
          <cell r="B18" t="str">
            <v>Arachides crues avec coque</v>
          </cell>
          <cell r="C18" t="str">
            <v>Chine</v>
          </cell>
          <cell r="F18" t="str">
            <v>❤️</v>
          </cell>
          <cell r="G18">
            <v>4.37</v>
          </cell>
          <cell r="H18" t="str">
            <v>kg</v>
          </cell>
          <cell r="I18" t="str">
            <v>X</v>
          </cell>
          <cell r="J18" t="str">
            <v>X</v>
          </cell>
          <cell r="K18"/>
        </row>
        <row r="19">
          <cell r="A19">
            <v>1827</v>
          </cell>
          <cell r="B19" t="str">
            <v>Arachides sans coque pelé CRU BIO</v>
          </cell>
          <cell r="C19" t="str">
            <v>Chine</v>
          </cell>
          <cell r="F19" t="str">
            <v>❤️</v>
          </cell>
          <cell r="G19">
            <v>6.82</v>
          </cell>
          <cell r="H19" t="str">
            <v>kg</v>
          </cell>
          <cell r="I19" t="str">
            <v>X</v>
          </cell>
          <cell r="J19"/>
          <cell r="K19"/>
        </row>
        <row r="20">
          <cell r="A20">
            <v>1008</v>
          </cell>
          <cell r="B20" t="str">
            <v>Aubergine BIO</v>
          </cell>
          <cell r="C20" t="str">
            <v>Malaga</v>
          </cell>
          <cell r="F20" t="str">
            <v>OFFRE</v>
          </cell>
          <cell r="G20">
            <v>2.59</v>
          </cell>
          <cell r="H20" t="str">
            <v>kg</v>
          </cell>
          <cell r="I20" t="str">
            <v>X</v>
          </cell>
          <cell r="J20"/>
          <cell r="K20"/>
        </row>
        <row r="21">
          <cell r="A21">
            <v>3775</v>
          </cell>
          <cell r="B21" t="str">
            <v>Aubergine déshydratée
    - (env. 150g, production Rufino)</v>
          </cell>
          <cell r="C21" t="str">
            <v>Grenade</v>
          </cell>
          <cell r="F21"/>
          <cell r="G21">
            <v>2.04</v>
          </cell>
          <cell r="H21" t="str">
            <v>Pièce</v>
          </cell>
          <cell r="I21"/>
          <cell r="J21"/>
          <cell r="K21"/>
        </row>
        <row r="22">
          <cell r="A22" t="str">
            <v>3127-3702-3957</v>
          </cell>
          <cell r="B22" t="str">
            <v xml:space="preserve">Aubergine noire/rayée/blanche </v>
          </cell>
          <cell r="C22" t="str">
            <v>Grenade</v>
          </cell>
          <cell r="F22"/>
          <cell r="G22">
            <v>1.63</v>
          </cell>
          <cell r="H22" t="str">
            <v>kg</v>
          </cell>
          <cell r="I22" t="str">
            <v>X</v>
          </cell>
          <cell r="J22"/>
          <cell r="K22"/>
        </row>
        <row r="23">
          <cell r="A23">
            <v>3001</v>
          </cell>
          <cell r="B23" t="str">
            <v>Avocat Bacon (grand)</v>
          </cell>
          <cell r="C23" t="str">
            <v>Grenade</v>
          </cell>
          <cell r="F23" t="str">
            <v>❤️</v>
          </cell>
          <cell r="G23">
            <v>5.19</v>
          </cell>
          <cell r="H23" t="str">
            <v>kg</v>
          </cell>
          <cell r="I23" t="str">
            <v>X</v>
          </cell>
          <cell r="J23" t="str">
            <v>X</v>
          </cell>
          <cell r="K23" t="str">
            <v>X</v>
          </cell>
        </row>
        <row r="24">
          <cell r="A24">
            <v>1001</v>
          </cell>
          <cell r="B24" t="str">
            <v>Avocat Bacon BIO</v>
          </cell>
          <cell r="C24" t="str">
            <v>Grenade</v>
          </cell>
          <cell r="F24"/>
          <cell r="G24">
            <v>5.45</v>
          </cell>
          <cell r="H24" t="str">
            <v>kg</v>
          </cell>
          <cell r="I24" t="str">
            <v>X</v>
          </cell>
          <cell r="J24" t="str">
            <v>X</v>
          </cell>
          <cell r="K24" t="str">
            <v>X</v>
          </cell>
        </row>
        <row r="25">
          <cell r="A25" t="str">
            <v>3944-3267</v>
          </cell>
          <cell r="B25" t="str">
            <v>Avocat Bacon/Fuerte cocktail (petit calibre)</v>
          </cell>
          <cell r="C25" t="str">
            <v>Grenade</v>
          </cell>
          <cell r="F25"/>
          <cell r="G25">
            <v>6.82</v>
          </cell>
          <cell r="H25" t="str">
            <v>kg</v>
          </cell>
          <cell r="I25" t="str">
            <v>X</v>
          </cell>
          <cell r="J25"/>
          <cell r="K25"/>
        </row>
        <row r="26">
          <cell r="A26">
            <v>3048</v>
          </cell>
          <cell r="B26" t="str">
            <v>Avocat Fuerte</v>
          </cell>
          <cell r="C26" t="str">
            <v>Malaga</v>
          </cell>
          <cell r="F26" t="str">
            <v>❤️</v>
          </cell>
          <cell r="G26">
            <v>5.45</v>
          </cell>
          <cell r="H26" t="str">
            <v>kg</v>
          </cell>
          <cell r="I26" t="str">
            <v>X</v>
          </cell>
          <cell r="J26" t="str">
            <v>X</v>
          </cell>
          <cell r="K26"/>
        </row>
        <row r="27">
          <cell r="A27">
            <v>1200</v>
          </cell>
          <cell r="B27" t="str">
            <v>Avocat Fuerte BIO</v>
          </cell>
          <cell r="C27" t="str">
            <v>Grenade</v>
          </cell>
          <cell r="F27" t="str">
            <v>❤️</v>
          </cell>
          <cell r="G27">
            <v>6.15</v>
          </cell>
          <cell r="H27" t="str">
            <v>kg</v>
          </cell>
          <cell r="I27" t="str">
            <v>X</v>
          </cell>
          <cell r="J27" t="str">
            <v>X</v>
          </cell>
          <cell r="K27"/>
        </row>
        <row r="28">
          <cell r="A28">
            <v>6139</v>
          </cell>
          <cell r="B28" t="str">
            <v>Avocat Fuerte BIO (avec défauts superficiels sur peau, BIO depuis 1985, BIO Suisse depuis 2009)</v>
          </cell>
          <cell r="C28" t="str">
            <v>Malaga</v>
          </cell>
          <cell r="F28" t="str">
            <v>OFFRE</v>
          </cell>
          <cell r="G28">
            <v>3.96</v>
          </cell>
          <cell r="H28" t="str">
            <v>kg</v>
          </cell>
          <cell r="I28" t="str">
            <v>X</v>
          </cell>
          <cell r="J28" t="str">
            <v>X</v>
          </cell>
          <cell r="K28" t="str">
            <v>X</v>
          </cell>
        </row>
        <row r="29">
          <cell r="A29">
            <v>6139</v>
          </cell>
          <cell r="B29" t="str">
            <v>Avocat Fuerte BIO (petit, BIO depuis 1985, BIO Suisse depuis 2009)</v>
          </cell>
          <cell r="C29" t="str">
            <v>Malaga</v>
          </cell>
          <cell r="F29"/>
          <cell r="G29">
            <v>3.82</v>
          </cell>
          <cell r="H29" t="str">
            <v>kg</v>
          </cell>
          <cell r="I29" t="str">
            <v>X</v>
          </cell>
          <cell r="J29" t="str">
            <v>X</v>
          </cell>
          <cell r="K29" t="str">
            <v>X</v>
          </cell>
        </row>
        <row r="30">
          <cell r="A30">
            <v>3009</v>
          </cell>
          <cell r="B30" t="str">
            <v>Avocat Hass</v>
          </cell>
          <cell r="C30" t="str">
            <v>Grenade</v>
          </cell>
          <cell r="F30"/>
          <cell r="G30">
            <v>6.15</v>
          </cell>
          <cell r="H30" t="str">
            <v>kg</v>
          </cell>
          <cell r="I30" t="str">
            <v>X</v>
          </cell>
          <cell r="J30" t="str">
            <v>X</v>
          </cell>
          <cell r="K30"/>
        </row>
        <row r="31">
          <cell r="A31">
            <v>1527</v>
          </cell>
          <cell r="B31" t="str">
            <v>Baie de Goji BIO (env. 1kg)</v>
          </cell>
          <cell r="C31" t="str">
            <v>Tibet</v>
          </cell>
          <cell r="F31" t="str">
            <v>❤️ OFFRE</v>
          </cell>
          <cell r="G31">
            <v>27.37</v>
          </cell>
          <cell r="H31" t="str">
            <v>Pièce</v>
          </cell>
          <cell r="I31"/>
          <cell r="J31"/>
          <cell r="K31"/>
        </row>
        <row r="32">
          <cell r="A32">
            <v>1527</v>
          </cell>
          <cell r="B32" t="str">
            <v>Baie de Goji BIO (envi. 500g)</v>
          </cell>
          <cell r="C32" t="str">
            <v>Tibet</v>
          </cell>
          <cell r="F32" t="str">
            <v>❤️ OFFRE</v>
          </cell>
          <cell r="G32">
            <v>14.37</v>
          </cell>
          <cell r="H32" t="str">
            <v>Pièce</v>
          </cell>
          <cell r="I32"/>
          <cell r="J32"/>
          <cell r="K32"/>
        </row>
        <row r="33">
          <cell r="A33">
            <v>3007</v>
          </cell>
          <cell r="B33" t="str">
            <v>Banane carrée</v>
          </cell>
          <cell r="C33" t="str">
            <v>Grenade</v>
          </cell>
          <cell r="F33"/>
          <cell r="G33">
            <v>3.96</v>
          </cell>
          <cell r="H33" t="str">
            <v>kg</v>
          </cell>
          <cell r="I33" t="str">
            <v>X</v>
          </cell>
          <cell r="J33" t="str">
            <v>X</v>
          </cell>
          <cell r="K33"/>
        </row>
        <row r="34">
          <cell r="A34" t="str">
            <v>1007-2364</v>
          </cell>
          <cell r="B34" t="str">
            <v>Banane Cavendish BIO/RECO
    - (robuste et ferme)</v>
          </cell>
          <cell r="C34" t="str">
            <v>Iles Canaries</v>
          </cell>
          <cell r="F34" t="str">
            <v>❤️</v>
          </cell>
          <cell r="G34">
            <v>4.78</v>
          </cell>
          <cell r="H34" t="str">
            <v>kg</v>
          </cell>
          <cell r="I34" t="str">
            <v>X</v>
          </cell>
          <cell r="J34"/>
          <cell r="K34"/>
        </row>
        <row r="35">
          <cell r="A35">
            <v>3746</v>
          </cell>
          <cell r="B35" t="str">
            <v>Banane deshydratée BIO semi-sèche artisanale
    - (Production Rufino, env. 200g)</v>
          </cell>
          <cell r="C35" t="str">
            <v>Grenade</v>
          </cell>
          <cell r="F35" t="str">
            <v>❤️</v>
          </cell>
          <cell r="G35">
            <v>4.78</v>
          </cell>
          <cell r="H35" t="str">
            <v>Pièce</v>
          </cell>
          <cell r="I35"/>
          <cell r="J35"/>
          <cell r="K35"/>
        </row>
        <row r="36">
          <cell r="A36">
            <v>1458</v>
          </cell>
          <cell r="B36" t="str">
            <v>Bâtons de cannelle BIO (env. 100g)</v>
          </cell>
          <cell r="C36" t="str">
            <v>Inde</v>
          </cell>
          <cell r="F36"/>
          <cell r="G36">
            <v>8.07</v>
          </cell>
          <cell r="H36" t="str">
            <v>Pièce</v>
          </cell>
          <cell r="I36"/>
          <cell r="J36"/>
          <cell r="K36"/>
        </row>
        <row r="37">
          <cell r="A37">
            <v>1275</v>
          </cell>
          <cell r="B37" t="str">
            <v>Betterave avec fanes BIO (production Rufino)</v>
          </cell>
          <cell r="C37" t="str">
            <v>Grenade</v>
          </cell>
          <cell r="F37"/>
          <cell r="G37">
            <v>3.27</v>
          </cell>
          <cell r="H37" t="str">
            <v>kg</v>
          </cell>
          <cell r="I37" t="str">
            <v>X</v>
          </cell>
          <cell r="J37"/>
          <cell r="K37"/>
        </row>
        <row r="38">
          <cell r="A38">
            <v>1679</v>
          </cell>
          <cell r="B38" t="str">
            <v>Betterave sans fanes BIO</v>
          </cell>
          <cell r="C38" t="str">
            <v>Malaga</v>
          </cell>
          <cell r="F38" t="str">
            <v>❤️</v>
          </cell>
          <cell r="G38">
            <v>2.71</v>
          </cell>
          <cell r="H38" t="str">
            <v>kg</v>
          </cell>
          <cell r="I38" t="str">
            <v>X</v>
          </cell>
          <cell r="J38"/>
          <cell r="K38"/>
        </row>
        <row r="39">
          <cell r="A39">
            <v>1696</v>
          </cell>
          <cell r="B39" t="str">
            <v>Betteraves en poudre BIO (env. 1 kg)</v>
          </cell>
          <cell r="C39" t="str">
            <v>Hongrie</v>
          </cell>
          <cell r="F39"/>
          <cell r="G39">
            <v>23.96</v>
          </cell>
          <cell r="H39" t="str">
            <v>Pièce</v>
          </cell>
          <cell r="I39"/>
          <cell r="J39"/>
          <cell r="K39"/>
        </row>
        <row r="40">
          <cell r="A40">
            <v>1696</v>
          </cell>
          <cell r="B40" t="str">
            <v>Betteraves en poudre BIO (env. 500g)</v>
          </cell>
          <cell r="C40" t="str">
            <v>Hongrie</v>
          </cell>
          <cell r="F40"/>
          <cell r="G40">
            <v>12.73</v>
          </cell>
          <cell r="H40" t="str">
            <v>Pièce</v>
          </cell>
          <cell r="I40"/>
          <cell r="J40"/>
          <cell r="K40"/>
        </row>
        <row r="41">
          <cell r="A41">
            <v>1758</v>
          </cell>
          <cell r="B41" t="str">
            <v>Beurre de cacao BIO (env. 1 kg)</v>
          </cell>
          <cell r="C41" t="str">
            <v>Pérou</v>
          </cell>
          <cell r="F41"/>
          <cell r="G41">
            <v>26.84</v>
          </cell>
          <cell r="H41" t="str">
            <v>Pièce</v>
          </cell>
          <cell r="I41"/>
          <cell r="J41"/>
          <cell r="K41"/>
        </row>
        <row r="42">
          <cell r="A42">
            <v>1758</v>
          </cell>
          <cell r="B42" t="str">
            <v>Beurre de cacao BIO (env. 500g)</v>
          </cell>
          <cell r="C42" t="str">
            <v>Pérou</v>
          </cell>
          <cell r="F42"/>
          <cell r="G42">
            <v>14.1</v>
          </cell>
          <cell r="H42" t="str">
            <v>Pièce</v>
          </cell>
          <cell r="I42"/>
          <cell r="J42"/>
          <cell r="K42"/>
        </row>
        <row r="43">
          <cell r="A43">
            <v>1257</v>
          </cell>
          <cell r="B43" t="str">
            <v>Blette verte BIO (production Rufino)</v>
          </cell>
          <cell r="C43" t="str">
            <v>Grenade</v>
          </cell>
          <cell r="F43" t="str">
            <v>OFFRE</v>
          </cell>
          <cell r="G43">
            <v>1.77</v>
          </cell>
          <cell r="H43" t="str">
            <v>kg</v>
          </cell>
          <cell r="I43" t="str">
            <v>X</v>
          </cell>
          <cell r="J43"/>
          <cell r="K43"/>
        </row>
        <row r="44">
          <cell r="A44">
            <v>5085</v>
          </cell>
          <cell r="B44" t="str">
            <v>Bonbons chocolat noir CRU (artisanal, grande qualité, sans sucre, ni gluten, cacao, pâte de cacao, beurre de cacao, vanille naturelle)</v>
          </cell>
          <cell r="C44" t="str">
            <v>National</v>
          </cell>
          <cell r="F44"/>
          <cell r="G44">
            <v>2.71</v>
          </cell>
          <cell r="H44" t="str">
            <v>Pièce</v>
          </cell>
          <cell r="I44"/>
          <cell r="J44"/>
          <cell r="K44"/>
        </row>
        <row r="45">
          <cell r="A45">
            <v>5085</v>
          </cell>
          <cell r="B45" t="str">
            <v>Bonbons chocolat noir CRU (pack de 3)</v>
          </cell>
          <cell r="C45" t="str">
            <v>National</v>
          </cell>
          <cell r="F45" t="str">
            <v>OFFRE</v>
          </cell>
          <cell r="G45">
            <v>6.82</v>
          </cell>
          <cell r="H45" t="str">
            <v>Pièce</v>
          </cell>
          <cell r="I45"/>
          <cell r="J45"/>
          <cell r="K45"/>
        </row>
        <row r="46">
          <cell r="A46">
            <v>1597</v>
          </cell>
          <cell r="B46" t="str">
            <v xml:space="preserve">Cacao en poudre CRU BIO (env. 1 kg) </v>
          </cell>
          <cell r="C46" t="str">
            <v>Pérou</v>
          </cell>
          <cell r="F46"/>
          <cell r="G46">
            <v>14.65</v>
          </cell>
          <cell r="H46" t="str">
            <v>Pièce</v>
          </cell>
          <cell r="I46" t="str">
            <v>X</v>
          </cell>
          <cell r="J46"/>
          <cell r="K46"/>
        </row>
        <row r="47">
          <cell r="A47">
            <v>6099</v>
          </cell>
          <cell r="B47" t="str">
            <v>Camu Camu en poudre BIO (env. 250g)</v>
          </cell>
          <cell r="C47" t="str">
            <v>Pérou</v>
          </cell>
          <cell r="F47"/>
          <cell r="G47">
            <v>18.48</v>
          </cell>
          <cell r="H47" t="str">
            <v>Pièce</v>
          </cell>
          <cell r="I47"/>
          <cell r="J47"/>
          <cell r="K47"/>
        </row>
        <row r="48">
          <cell r="A48">
            <v>3210</v>
          </cell>
          <cell r="B48" t="str">
            <v>Carambole / fruit étoilé</v>
          </cell>
          <cell r="C48" t="str">
            <v>Grenade</v>
          </cell>
          <cell r="F48"/>
          <cell r="G48">
            <v>4.78</v>
          </cell>
          <cell r="H48" t="str">
            <v>kg</v>
          </cell>
          <cell r="I48" t="str">
            <v>X</v>
          </cell>
          <cell r="J48" t="str">
            <v>X</v>
          </cell>
          <cell r="K48" t="str">
            <v>X</v>
          </cell>
        </row>
        <row r="49">
          <cell r="A49">
            <v>5075</v>
          </cell>
          <cell r="B49" t="str">
            <v>Carotte avec fane</v>
          </cell>
          <cell r="C49" t="str">
            <v>Grenade</v>
          </cell>
          <cell r="F49"/>
          <cell r="G49">
            <v>3.14</v>
          </cell>
          <cell r="H49" t="str">
            <v>kg</v>
          </cell>
          <cell r="I49" t="str">
            <v>X</v>
          </cell>
          <cell r="J49"/>
          <cell r="K49"/>
        </row>
        <row r="50">
          <cell r="A50">
            <v>1537</v>
          </cell>
          <cell r="B50" t="str">
            <v>Carotte déshydratée BIO</v>
          </cell>
          <cell r="C50" t="str">
            <v>Grenade</v>
          </cell>
          <cell r="F50"/>
          <cell r="G50">
            <v>21.7</v>
          </cell>
          <cell r="H50" t="str">
            <v>kg</v>
          </cell>
          <cell r="I50"/>
          <cell r="J50"/>
          <cell r="K50"/>
        </row>
        <row r="51">
          <cell r="A51">
            <v>3017</v>
          </cell>
          <cell r="B51" t="str">
            <v>Carotte sans fane</v>
          </cell>
          <cell r="C51" t="str">
            <v>Grenade</v>
          </cell>
          <cell r="F51"/>
          <cell r="G51">
            <v>1.9</v>
          </cell>
          <cell r="H51" t="str">
            <v>kg</v>
          </cell>
          <cell r="I51" t="str">
            <v>X</v>
          </cell>
          <cell r="J51" t="str">
            <v>X</v>
          </cell>
          <cell r="K51" t="str">
            <v>X</v>
          </cell>
        </row>
        <row r="52">
          <cell r="A52">
            <v>1034</v>
          </cell>
          <cell r="B52" t="str">
            <v>Carotte sans fane BIO</v>
          </cell>
          <cell r="C52" t="str">
            <v>Malaga</v>
          </cell>
          <cell r="F52"/>
          <cell r="G52">
            <v>2.3199999999999998</v>
          </cell>
          <cell r="H52" t="str">
            <v>kg</v>
          </cell>
          <cell r="I52" t="str">
            <v>X</v>
          </cell>
          <cell r="J52" t="str">
            <v>X</v>
          </cell>
          <cell r="K52"/>
        </row>
        <row r="53">
          <cell r="A53">
            <v>6117</v>
          </cell>
          <cell r="B53" t="str">
            <v>Caroube en gousse de l'Alpujarra BIO (env. 400g)</v>
          </cell>
          <cell r="C53" t="str">
            <v>Grenade</v>
          </cell>
          <cell r="F53" t="str">
            <v>❤️</v>
          </cell>
          <cell r="G53">
            <v>1.34</v>
          </cell>
          <cell r="H53" t="str">
            <v>Pièce</v>
          </cell>
          <cell r="I53"/>
          <cell r="J53"/>
          <cell r="K53"/>
        </row>
        <row r="54">
          <cell r="A54">
            <v>3023</v>
          </cell>
          <cell r="B54" t="str">
            <v>Céleri vert</v>
          </cell>
          <cell r="C54" t="str">
            <v>Grenade</v>
          </cell>
          <cell r="F54"/>
          <cell r="G54">
            <v>3.27</v>
          </cell>
          <cell r="H54" t="str">
            <v>kg</v>
          </cell>
          <cell r="I54" t="str">
            <v>X</v>
          </cell>
          <cell r="J54"/>
          <cell r="K54"/>
        </row>
        <row r="55">
          <cell r="A55">
            <v>1117</v>
          </cell>
          <cell r="B55" t="str">
            <v>Céleri vert BIO</v>
          </cell>
          <cell r="C55" t="str">
            <v>Malaga</v>
          </cell>
          <cell r="F55"/>
          <cell r="G55">
            <v>3.69</v>
          </cell>
          <cell r="H55" t="str">
            <v>kg</v>
          </cell>
          <cell r="I55" t="str">
            <v>X</v>
          </cell>
          <cell r="J55"/>
          <cell r="K55"/>
        </row>
        <row r="56">
          <cell r="A56">
            <v>3241</v>
          </cell>
          <cell r="B56" t="str">
            <v>Châtaigne</v>
          </cell>
          <cell r="C56" t="str">
            <v>Grenade</v>
          </cell>
          <cell r="F56"/>
          <cell r="G56">
            <v>4.08</v>
          </cell>
          <cell r="H56" t="str">
            <v>kg</v>
          </cell>
          <cell r="I56"/>
          <cell r="J56"/>
          <cell r="K56"/>
        </row>
        <row r="57">
          <cell r="A57">
            <v>1572</v>
          </cell>
          <cell r="B57" t="str">
            <v>Chia BIO (env. 1kg)</v>
          </cell>
          <cell r="C57" t="str">
            <v>Bolivie</v>
          </cell>
          <cell r="F57" t="str">
            <v>❤️</v>
          </cell>
          <cell r="G57">
            <v>6.15</v>
          </cell>
          <cell r="H57" t="str">
            <v>Pièce</v>
          </cell>
          <cell r="I57" t="str">
            <v>X</v>
          </cell>
          <cell r="J57"/>
          <cell r="K57"/>
        </row>
        <row r="58">
          <cell r="A58">
            <v>1611</v>
          </cell>
          <cell r="B58" t="str">
            <v>Chips de coco CRU BIO (env. 1kg)</v>
          </cell>
          <cell r="C58" t="str">
            <v>Sri Lanka</v>
          </cell>
          <cell r="F58" t="str">
            <v>❤️</v>
          </cell>
          <cell r="G58">
            <v>9.3000000000000007</v>
          </cell>
          <cell r="H58" t="str">
            <v>Pièce</v>
          </cell>
          <cell r="I58" t="str">
            <v>X</v>
          </cell>
          <cell r="J58" t="str">
            <v>X</v>
          </cell>
          <cell r="K58"/>
        </row>
        <row r="59">
          <cell r="A59">
            <v>1178</v>
          </cell>
          <cell r="B59" t="str">
            <v>Chirimoya BIO (production Rufino)</v>
          </cell>
          <cell r="C59" t="str">
            <v>Grenade</v>
          </cell>
          <cell r="F59"/>
          <cell r="G59">
            <v>4.78</v>
          </cell>
          <cell r="H59" t="str">
            <v>kg</v>
          </cell>
          <cell r="I59" t="str">
            <v>X</v>
          </cell>
          <cell r="J59" t="str">
            <v>X</v>
          </cell>
          <cell r="K59" t="str">
            <v>X</v>
          </cell>
        </row>
        <row r="60">
          <cell r="A60" t="str">
            <v>3032-5034</v>
          </cell>
          <cell r="B60" t="str">
            <v>Chirimoya en Reconversion agriculture BIO         (gros calibre - production Rufino)</v>
          </cell>
          <cell r="C60" t="str">
            <v>Salobrena</v>
          </cell>
          <cell r="F60"/>
          <cell r="G60">
            <v>4.37</v>
          </cell>
          <cell r="H60" t="str">
            <v>kg</v>
          </cell>
          <cell r="I60" t="str">
            <v>X</v>
          </cell>
          <cell r="J60" t="str">
            <v>X</v>
          </cell>
          <cell r="K60" t="str">
            <v>X</v>
          </cell>
        </row>
        <row r="61">
          <cell r="A61">
            <v>6035</v>
          </cell>
          <cell r="B61" t="str">
            <v>Chocolat de Algorroba BIO (tablette 100g)</v>
          </cell>
          <cell r="C61" t="str">
            <v>National</v>
          </cell>
          <cell r="F61"/>
          <cell r="G61">
            <v>4.6399999999999997</v>
          </cell>
          <cell r="H61" t="str">
            <v>Pièce</v>
          </cell>
          <cell r="I61" t="str">
            <v>X</v>
          </cell>
          <cell r="J61"/>
          <cell r="K61"/>
        </row>
        <row r="62">
          <cell r="A62">
            <v>1209</v>
          </cell>
          <cell r="B62" t="str">
            <v>Chou Kale Lacitano/Cavolo baby BIO (production Rufino)</v>
          </cell>
          <cell r="C62" t="str">
            <v>Grenade</v>
          </cell>
          <cell r="F62" t="str">
            <v>OFFRE</v>
          </cell>
          <cell r="G62">
            <v>4.78</v>
          </cell>
          <cell r="H62" t="str">
            <v>kg</v>
          </cell>
          <cell r="I62" t="str">
            <v>X</v>
          </cell>
          <cell r="J62" t="str">
            <v>X</v>
          </cell>
          <cell r="K62"/>
        </row>
        <row r="63">
          <cell r="A63">
            <v>1626</v>
          </cell>
          <cell r="B63" t="str">
            <v>Chou Kale Winterbor Crespa baby BIO (production Rufino)</v>
          </cell>
          <cell r="C63" t="str">
            <v>Grenade</v>
          </cell>
          <cell r="F63" t="str">
            <v>OFFRE</v>
          </cell>
          <cell r="G63">
            <v>4.78</v>
          </cell>
          <cell r="H63" t="str">
            <v>kg</v>
          </cell>
          <cell r="I63" t="str">
            <v>X</v>
          </cell>
          <cell r="J63" t="str">
            <v>X</v>
          </cell>
          <cell r="K63"/>
        </row>
        <row r="64">
          <cell r="A64">
            <v>1006</v>
          </cell>
          <cell r="B64" t="str">
            <v>Chou vert BIO</v>
          </cell>
          <cell r="C64" t="str">
            <v>Malaga</v>
          </cell>
          <cell r="F64"/>
          <cell r="G64">
            <v>3.14</v>
          </cell>
          <cell r="H64" t="str">
            <v>kg</v>
          </cell>
          <cell r="I64" t="str">
            <v>X</v>
          </cell>
          <cell r="J64"/>
          <cell r="K64"/>
        </row>
        <row r="65">
          <cell r="A65">
            <v>4125</v>
          </cell>
          <cell r="B65" t="str">
            <v>Chufa mix Classic Vegan Milker (pour lait végétal)</v>
          </cell>
          <cell r="C65" t="str">
            <v>National</v>
          </cell>
          <cell r="F65"/>
          <cell r="G65">
            <v>40.65</v>
          </cell>
          <cell r="H65" t="str">
            <v>Pièce</v>
          </cell>
          <cell r="I65"/>
          <cell r="J65"/>
          <cell r="K65"/>
        </row>
        <row r="66">
          <cell r="A66">
            <v>5037</v>
          </cell>
          <cell r="B66" t="str">
            <v>Citron Caviar (culture naturelle, plateau 200g)</v>
          </cell>
          <cell r="C66" t="str">
            <v>Salobrena</v>
          </cell>
          <cell r="F66" t="str">
            <v>❤️ OFFRE</v>
          </cell>
          <cell r="G66">
            <v>6.82</v>
          </cell>
          <cell r="H66" t="str">
            <v>Pièce</v>
          </cell>
          <cell r="I66"/>
          <cell r="J66"/>
          <cell r="K66"/>
        </row>
        <row r="67">
          <cell r="A67">
            <v>5037</v>
          </cell>
          <cell r="B67" t="str">
            <v>Citron Caviar (culture naturelle, plateau 500g)</v>
          </cell>
          <cell r="C67" t="str">
            <v>Salobrena</v>
          </cell>
          <cell r="F67" t="str">
            <v>❤️ OFFRE</v>
          </cell>
          <cell r="G67">
            <v>16.84</v>
          </cell>
          <cell r="H67" t="str">
            <v>Pièce</v>
          </cell>
          <cell r="I67"/>
          <cell r="J67"/>
          <cell r="K67"/>
        </row>
        <row r="68">
          <cell r="A68">
            <v>6019</v>
          </cell>
          <cell r="B68" t="str">
            <v>Citron Caviar BIO
    - (plateau de 200g)</v>
          </cell>
          <cell r="C68" t="str">
            <v>Grenade</v>
          </cell>
          <cell r="F68" t="str">
            <v>❤️</v>
          </cell>
          <cell r="G68">
            <v>11.63</v>
          </cell>
          <cell r="H68" t="str">
            <v>200g</v>
          </cell>
          <cell r="I68"/>
          <cell r="J68"/>
          <cell r="K68"/>
        </row>
        <row r="69">
          <cell r="A69">
            <v>6019</v>
          </cell>
          <cell r="B69" t="str">
            <v>Citron Caviar BIO
    - (plateau de 500g)</v>
          </cell>
          <cell r="C69" t="str">
            <v>Grenade</v>
          </cell>
          <cell r="F69" t="str">
            <v>❤️</v>
          </cell>
          <cell r="G69">
            <v>27.37</v>
          </cell>
          <cell r="H69" t="str">
            <v>500g</v>
          </cell>
          <cell r="I69"/>
          <cell r="J69"/>
          <cell r="K69"/>
        </row>
        <row r="70">
          <cell r="A70">
            <v>3421</v>
          </cell>
          <cell r="B70" t="str">
            <v>Citron jaune (mûri sur plante)</v>
          </cell>
          <cell r="C70" t="str">
            <v>Grenade</v>
          </cell>
          <cell r="F70" t="str">
            <v>❤️</v>
          </cell>
          <cell r="G70">
            <v>2.86</v>
          </cell>
          <cell r="H70" t="str">
            <v>kg</v>
          </cell>
          <cell r="I70" t="str">
            <v>X</v>
          </cell>
          <cell r="J70" t="str">
            <v>X</v>
          </cell>
          <cell r="K70" t="str">
            <v>X</v>
          </cell>
        </row>
        <row r="71">
          <cell r="A71">
            <v>6094</v>
          </cell>
          <cell r="B71" t="str">
            <v>Citron jaune BIO (seconde catégorie)</v>
          </cell>
          <cell r="C71" t="str">
            <v>Malaga</v>
          </cell>
          <cell r="F71"/>
          <cell r="G71">
            <v>1.49</v>
          </cell>
          <cell r="H71" t="str">
            <v>kg</v>
          </cell>
          <cell r="I71" t="str">
            <v>X</v>
          </cell>
          <cell r="J71" t="str">
            <v>X</v>
          </cell>
          <cell r="K71" t="str">
            <v>X</v>
          </cell>
        </row>
        <row r="72">
          <cell r="A72">
            <v>1023</v>
          </cell>
          <cell r="B72" t="str">
            <v>Citron jaune Verna BIO (mûri sur plante) - grand</v>
          </cell>
          <cell r="C72" t="str">
            <v>Malaga</v>
          </cell>
          <cell r="F72" t="str">
            <v>❤️</v>
          </cell>
          <cell r="G72">
            <v>3.14</v>
          </cell>
          <cell r="H72" t="str">
            <v>kg</v>
          </cell>
          <cell r="I72" t="str">
            <v>X</v>
          </cell>
          <cell r="J72" t="str">
            <v>X</v>
          </cell>
          <cell r="K72" t="str">
            <v>X</v>
          </cell>
        </row>
        <row r="73">
          <cell r="A73">
            <v>3169</v>
          </cell>
          <cell r="B73" t="str">
            <v>Citron vert</v>
          </cell>
          <cell r="C73" t="str">
            <v>Grenade</v>
          </cell>
          <cell r="F73" t="str">
            <v>❤️</v>
          </cell>
          <cell r="G73">
            <v>3</v>
          </cell>
          <cell r="H73" t="str">
            <v>kg</v>
          </cell>
          <cell r="I73" t="str">
            <v>X</v>
          </cell>
          <cell r="J73" t="str">
            <v>X</v>
          </cell>
          <cell r="K73"/>
        </row>
        <row r="74">
          <cell r="A74">
            <v>3725</v>
          </cell>
          <cell r="B74" t="str">
            <v xml:space="preserve">Citronnelle BIO (production Rufino)
    - (bouquet de 5 tiges) </v>
          </cell>
          <cell r="C74" t="str">
            <v>Grenade</v>
          </cell>
          <cell r="F74"/>
          <cell r="G74">
            <v>2.59</v>
          </cell>
          <cell r="H74" t="str">
            <v>Pièce</v>
          </cell>
          <cell r="I74"/>
          <cell r="J74"/>
          <cell r="K74"/>
        </row>
        <row r="75">
          <cell r="A75">
            <v>3391</v>
          </cell>
          <cell r="B75" t="str">
            <v>Coco Pagode fraîche</v>
          </cell>
          <cell r="C75" t="str">
            <v>Taîlande</v>
          </cell>
          <cell r="F75" t="str">
            <v>❤️</v>
          </cell>
          <cell r="G75">
            <v>4.37</v>
          </cell>
          <cell r="H75" t="str">
            <v>Pièce</v>
          </cell>
          <cell r="I75" t="str">
            <v>X</v>
          </cell>
          <cell r="J75" t="str">
            <v>X</v>
          </cell>
          <cell r="K75"/>
        </row>
        <row r="76">
          <cell r="A76">
            <v>3678</v>
          </cell>
          <cell r="B76" t="str">
            <v>Coing</v>
          </cell>
          <cell r="C76" t="str">
            <v>Malaga</v>
          </cell>
          <cell r="F76"/>
          <cell r="G76">
            <v>1.9</v>
          </cell>
          <cell r="H76" t="str">
            <v>kg</v>
          </cell>
          <cell r="I76" t="str">
            <v>X</v>
          </cell>
          <cell r="J76" t="str">
            <v>X</v>
          </cell>
          <cell r="K76"/>
        </row>
        <row r="77">
          <cell r="A77">
            <v>3100</v>
          </cell>
          <cell r="B77" t="str">
            <v>Concombre Hollandais</v>
          </cell>
          <cell r="C77" t="str">
            <v>Grenade</v>
          </cell>
          <cell r="F77"/>
          <cell r="G77">
            <v>1.9</v>
          </cell>
          <cell r="H77" t="str">
            <v>kg</v>
          </cell>
          <cell r="I77" t="str">
            <v>X</v>
          </cell>
          <cell r="J77" t="str">
            <v>X</v>
          </cell>
          <cell r="K77"/>
        </row>
        <row r="78">
          <cell r="A78">
            <v>3924</v>
          </cell>
          <cell r="B78" t="str">
            <v>Concombre mini gourmet</v>
          </cell>
          <cell r="C78" t="str">
            <v>Grenade</v>
          </cell>
          <cell r="F78" t="str">
            <v>❤️</v>
          </cell>
          <cell r="G78">
            <v>2.59</v>
          </cell>
          <cell r="H78" t="str">
            <v>kg</v>
          </cell>
          <cell r="I78" t="str">
            <v>X</v>
          </cell>
          <cell r="J78" t="str">
            <v>X</v>
          </cell>
          <cell r="K78"/>
        </row>
        <row r="79">
          <cell r="A79">
            <v>3142</v>
          </cell>
          <cell r="B79" t="str">
            <v>Courge Butternu</v>
          </cell>
          <cell r="C79" t="str">
            <v>Grenade</v>
          </cell>
          <cell r="F79" t="str">
            <v>OFFRE</v>
          </cell>
          <cell r="G79">
            <v>1.34</v>
          </cell>
          <cell r="H79" t="str">
            <v>kg</v>
          </cell>
          <cell r="I79" t="str">
            <v>X</v>
          </cell>
          <cell r="J79"/>
          <cell r="K79"/>
        </row>
        <row r="80">
          <cell r="A80">
            <v>6077</v>
          </cell>
          <cell r="B80" t="str">
            <v>Courge Butternut BIO</v>
          </cell>
          <cell r="C80" t="str">
            <v>Malaga</v>
          </cell>
          <cell r="F80"/>
          <cell r="G80">
            <v>1.63</v>
          </cell>
          <cell r="H80" t="str">
            <v>kg</v>
          </cell>
          <cell r="I80" t="str">
            <v>X</v>
          </cell>
          <cell r="J80"/>
          <cell r="K80"/>
        </row>
        <row r="81">
          <cell r="A81">
            <v>3893</v>
          </cell>
          <cell r="B81" t="str">
            <v>Courge cabello de ángel</v>
          </cell>
          <cell r="C81" t="str">
            <v>Grenade</v>
          </cell>
          <cell r="F81"/>
          <cell r="G81">
            <v>1.63</v>
          </cell>
          <cell r="H81" t="str">
            <v>kg</v>
          </cell>
          <cell r="I81" t="str">
            <v>X</v>
          </cell>
          <cell r="J81"/>
          <cell r="K81"/>
        </row>
        <row r="82">
          <cell r="A82" t="str">
            <v>1002. 932</v>
          </cell>
          <cell r="B82" t="str">
            <v>Courgette BIO (1ère catégorie)</v>
          </cell>
          <cell r="C82" t="str">
            <v>Malaga</v>
          </cell>
          <cell r="F82"/>
          <cell r="G82">
            <v>3.62</v>
          </cell>
          <cell r="H82" t="str">
            <v>kg</v>
          </cell>
          <cell r="I82" t="str">
            <v>X</v>
          </cell>
          <cell r="J82" t="str">
            <v>X</v>
          </cell>
          <cell r="K82"/>
        </row>
        <row r="83">
          <cell r="A83" t="str">
            <v>1002.133</v>
          </cell>
          <cell r="B83" t="str">
            <v>Courgette BIO (2nd catégorie)</v>
          </cell>
          <cell r="C83" t="str">
            <v>Malaga</v>
          </cell>
          <cell r="F83"/>
          <cell r="G83">
            <v>1.34</v>
          </cell>
          <cell r="H83" t="str">
            <v>kg</v>
          </cell>
          <cell r="I83"/>
          <cell r="J83"/>
          <cell r="K83"/>
        </row>
        <row r="84">
          <cell r="A84" t="str">
            <v>3894</v>
          </cell>
          <cell r="B84" t="str">
            <v>Courgette déshydratée
    - (production Rufino - env. 100g)</v>
          </cell>
          <cell r="C84" t="str">
            <v>Grenade</v>
          </cell>
          <cell r="F84"/>
          <cell r="G84">
            <v>2.59</v>
          </cell>
          <cell r="H84" t="str">
            <v>Pièce</v>
          </cell>
          <cell r="I84"/>
          <cell r="J84"/>
          <cell r="K84"/>
        </row>
        <row r="85">
          <cell r="A85">
            <v>6111</v>
          </cell>
          <cell r="B85" t="str">
            <v>Crackers déshydratés CRU BIO (env. 200g)
    - (tomate, tournesol, sarrasin, lin, oignons, ...)</v>
          </cell>
          <cell r="C85" t="str">
            <v>Espagne</v>
          </cell>
          <cell r="F85"/>
          <cell r="G85">
            <v>7.38</v>
          </cell>
          <cell r="H85" t="str">
            <v>Pièce</v>
          </cell>
          <cell r="I85"/>
          <cell r="J85"/>
          <cell r="K85"/>
        </row>
        <row r="86">
          <cell r="A86">
            <v>1702</v>
          </cell>
          <cell r="B86" t="str">
            <v>Crème de courgette BIO
    - (bocal en verre, env. 500g)</v>
          </cell>
          <cell r="C86" t="str">
            <v>National</v>
          </cell>
          <cell r="F86"/>
          <cell r="G86">
            <v>2.38</v>
          </cell>
          <cell r="H86" t="str">
            <v>Pièce</v>
          </cell>
          <cell r="I86"/>
          <cell r="J86"/>
          <cell r="K86"/>
        </row>
        <row r="87">
          <cell r="A87">
            <v>1393</v>
          </cell>
          <cell r="B87" t="str">
            <v>Curcuma frais BIO (paquet 500g)</v>
          </cell>
          <cell r="C87" t="str">
            <v>Pérou</v>
          </cell>
          <cell r="F87" t="str">
            <v>❤️</v>
          </cell>
          <cell r="G87">
            <v>9.56</v>
          </cell>
          <cell r="H87" t="str">
            <v>Pièce</v>
          </cell>
          <cell r="I87" t="str">
            <v>X</v>
          </cell>
          <cell r="J87"/>
          <cell r="K87"/>
        </row>
        <row r="88">
          <cell r="A88">
            <v>5004</v>
          </cell>
          <cell r="B88" t="str">
            <v>Datte Deglet Nour en rame</v>
          </cell>
          <cell r="C88" t="str">
            <v>Jordanie</v>
          </cell>
          <cell r="F88"/>
          <cell r="G88">
            <v>10.26</v>
          </cell>
          <cell r="H88" t="str">
            <v>kg</v>
          </cell>
          <cell r="I88" t="str">
            <v>X</v>
          </cell>
          <cell r="J88"/>
          <cell r="K88"/>
        </row>
        <row r="89">
          <cell r="A89">
            <v>1320</v>
          </cell>
          <cell r="B89" t="str">
            <v>Dattes Deglet dénoyautées BIO</v>
          </cell>
          <cell r="C89" t="str">
            <v>Tunisie</v>
          </cell>
          <cell r="F89" t="str">
            <v>❤️</v>
          </cell>
          <cell r="G89">
            <v>10.93</v>
          </cell>
          <cell r="H89" t="str">
            <v>kg</v>
          </cell>
          <cell r="I89" t="str">
            <v>X</v>
          </cell>
          <cell r="J89"/>
          <cell r="K89"/>
        </row>
        <row r="90">
          <cell r="A90">
            <v>1485</v>
          </cell>
          <cell r="B90" t="str">
            <v>Dattes Deglet Nour sans rame BIO</v>
          </cell>
          <cell r="C90" t="str">
            <v>Tunisie</v>
          </cell>
          <cell r="F90"/>
          <cell r="G90">
            <v>9.56</v>
          </cell>
          <cell r="H90" t="str">
            <v>kg</v>
          </cell>
          <cell r="I90" t="str">
            <v>X</v>
          </cell>
          <cell r="J90" t="str">
            <v>X</v>
          </cell>
          <cell r="K90"/>
        </row>
        <row r="91">
          <cell r="A91">
            <v>1399</v>
          </cell>
          <cell r="B91" t="str">
            <v>Dattes Mazafati de Bam BIO (env. 250g)</v>
          </cell>
          <cell r="C91" t="str">
            <v>Iran</v>
          </cell>
          <cell r="F91" t="str">
            <v>❤️</v>
          </cell>
          <cell r="G91">
            <v>4.6399999999999997</v>
          </cell>
          <cell r="H91" t="str">
            <v>Pièce</v>
          </cell>
          <cell r="I91" t="str">
            <v>X</v>
          </cell>
          <cell r="J91" t="str">
            <v>X</v>
          </cell>
          <cell r="K91" t="str">
            <v>X</v>
          </cell>
        </row>
        <row r="92">
          <cell r="A92" t="str">
            <v>1997</v>
          </cell>
          <cell r="B92" t="str">
            <v>Dattes Medjool Jumbo semi-sèche BIO</v>
          </cell>
          <cell r="C92" t="str">
            <v>Israël</v>
          </cell>
          <cell r="F92" t="str">
            <v>❤️</v>
          </cell>
          <cell r="G92">
            <v>25.19</v>
          </cell>
          <cell r="H92" t="str">
            <v>kg</v>
          </cell>
          <cell r="I92" t="str">
            <v>X</v>
          </cell>
          <cell r="J92"/>
          <cell r="K92"/>
        </row>
        <row r="93">
          <cell r="A93">
            <v>3377</v>
          </cell>
          <cell r="B93" t="str">
            <v>Eau de mer micro-filtrée hypertonique
    - (n°1 : box 3L)</v>
          </cell>
          <cell r="C93" t="str">
            <v>Ibiza</v>
          </cell>
          <cell r="F93" t="str">
            <v>❤️</v>
          </cell>
          <cell r="G93">
            <v>10</v>
          </cell>
          <cell r="H93" t="str">
            <v>Pièce</v>
          </cell>
          <cell r="I93"/>
          <cell r="J93"/>
          <cell r="K93"/>
        </row>
        <row r="94">
          <cell r="A94">
            <v>3720</v>
          </cell>
          <cell r="B94" t="str">
            <v>Eau de mer micro-filtrée hypertonique
    - (n°2 : box 11L)</v>
          </cell>
          <cell r="C94" t="str">
            <v>Ibiza</v>
          </cell>
          <cell r="F94" t="str">
            <v>❤️</v>
          </cell>
          <cell r="G94">
            <v>30</v>
          </cell>
          <cell r="H94" t="str">
            <v>Pièce</v>
          </cell>
          <cell r="I94"/>
          <cell r="J94"/>
          <cell r="K94"/>
        </row>
        <row r="95">
          <cell r="A95">
            <v>3379</v>
          </cell>
          <cell r="B95" t="str">
            <v>Eau de mer micro-filtrée hypertonique
    - (n°3 : box 20L)</v>
          </cell>
          <cell r="C95" t="str">
            <v>Ibiza</v>
          </cell>
          <cell r="F95" t="str">
            <v>❤️</v>
          </cell>
          <cell r="G95">
            <v>45</v>
          </cell>
          <cell r="H95" t="str">
            <v>Pièce</v>
          </cell>
          <cell r="I95"/>
          <cell r="J95"/>
          <cell r="K95"/>
        </row>
        <row r="96">
          <cell r="A96">
            <v>3550</v>
          </cell>
          <cell r="B96" t="str">
            <v>Epi de maïs doux frais (avec feuille autour)</v>
          </cell>
          <cell r="C96" t="str">
            <v>Malaga</v>
          </cell>
          <cell r="F96"/>
          <cell r="G96">
            <v>1.63</v>
          </cell>
          <cell r="H96" t="str">
            <v>Pièce</v>
          </cell>
          <cell r="I96"/>
          <cell r="J96"/>
          <cell r="K96"/>
        </row>
        <row r="97">
          <cell r="A97">
            <v>3146</v>
          </cell>
          <cell r="B97" t="str">
            <v>Epi de maïs doux frais (plateau de 2 pièces)</v>
          </cell>
          <cell r="C97" t="str">
            <v>Malaga</v>
          </cell>
          <cell r="F97"/>
          <cell r="G97">
            <v>3.14</v>
          </cell>
          <cell r="H97" t="str">
            <v>Pièce</v>
          </cell>
          <cell r="I97"/>
          <cell r="J97"/>
          <cell r="K97"/>
        </row>
        <row r="98">
          <cell r="A98">
            <v>4025</v>
          </cell>
          <cell r="B98" t="str">
            <v>Extracteur de jus ANGEL 5500                              (à commander au moins 7 jours à l'avance)</v>
          </cell>
          <cell r="C98" t="str">
            <v>Union européenne</v>
          </cell>
          <cell r="F98" t="str">
            <v>❤️</v>
          </cell>
          <cell r="G98">
            <v>1000</v>
          </cell>
          <cell r="H98" t="str">
            <v>Pièce</v>
          </cell>
          <cell r="I98"/>
          <cell r="J98"/>
          <cell r="K98"/>
        </row>
        <row r="99">
          <cell r="A99">
            <v>1647</v>
          </cell>
          <cell r="B99" t="str">
            <v>Farine de coco (env. 1kg)</v>
          </cell>
          <cell r="C99" t="str">
            <v>Sri Lanka</v>
          </cell>
          <cell r="F99"/>
          <cell r="G99">
            <v>8.48</v>
          </cell>
          <cell r="H99" t="str">
            <v>Pièce</v>
          </cell>
          <cell r="I99" t="str">
            <v>X</v>
          </cell>
          <cell r="J99"/>
          <cell r="K99"/>
        </row>
        <row r="100">
          <cell r="A100">
            <v>3273</v>
          </cell>
          <cell r="B100" t="str">
            <v>Feijoa (produit rare - saison courte)</v>
          </cell>
          <cell r="C100" t="str">
            <v>Grenade</v>
          </cell>
          <cell r="F100" t="str">
            <v>OFFRE</v>
          </cell>
          <cell r="G100">
            <v>4.08</v>
          </cell>
          <cell r="H100" t="str">
            <v>kg</v>
          </cell>
          <cell r="I100" t="str">
            <v>X</v>
          </cell>
          <cell r="J100" t="str">
            <v>X</v>
          </cell>
          <cell r="K100" t="str">
            <v>X</v>
          </cell>
        </row>
        <row r="101">
          <cell r="A101">
            <v>6106</v>
          </cell>
          <cell r="B101" t="str">
            <v>Fenugrec en graines BIO (env. 500g)</v>
          </cell>
          <cell r="C101" t="str">
            <v>Égypte</v>
          </cell>
          <cell r="F101" t="str">
            <v>❤️</v>
          </cell>
          <cell r="G101">
            <v>12.3</v>
          </cell>
          <cell r="H101" t="str">
            <v>Pièce</v>
          </cell>
          <cell r="I101"/>
          <cell r="J101"/>
          <cell r="K101"/>
        </row>
        <row r="102">
          <cell r="A102">
            <v>1937</v>
          </cell>
          <cell r="B102" t="str">
            <v>Fève de Cacao entière CRU BIO (env. 1kg)</v>
          </cell>
          <cell r="C102" t="str">
            <v>Pérou</v>
          </cell>
          <cell r="F102" t="str">
            <v>❤️</v>
          </cell>
          <cell r="G102">
            <v>21.89</v>
          </cell>
          <cell r="H102" t="str">
            <v>Pièce</v>
          </cell>
          <cell r="I102" t="str">
            <v>X</v>
          </cell>
          <cell r="J102"/>
          <cell r="K102"/>
        </row>
        <row r="103">
          <cell r="A103">
            <v>5128</v>
          </cell>
          <cell r="B103" t="str">
            <v>Figue cou dame demi-sèche petite (nouvelle récolte 2020)</v>
          </cell>
          <cell r="C103" t="str">
            <v>Ávila</v>
          </cell>
          <cell r="F103" t="str">
            <v>❤️</v>
          </cell>
          <cell r="G103">
            <v>6.15</v>
          </cell>
          <cell r="H103" t="str">
            <v>kg</v>
          </cell>
          <cell r="I103" t="str">
            <v>X</v>
          </cell>
          <cell r="J103"/>
          <cell r="K103"/>
        </row>
        <row r="104">
          <cell r="A104">
            <v>5129</v>
          </cell>
          <cell r="B104" t="str">
            <v>Figue cou dame semi-sec noire (nouvelle récolte 2020)</v>
          </cell>
          <cell r="C104" t="str">
            <v>Ávila</v>
          </cell>
          <cell r="F104" t="str">
            <v>❤️</v>
          </cell>
          <cell r="G104">
            <v>6.82</v>
          </cell>
          <cell r="H104" t="str">
            <v>kg</v>
          </cell>
          <cell r="I104" t="str">
            <v>X</v>
          </cell>
          <cell r="J104"/>
          <cell r="K104"/>
        </row>
        <row r="105">
          <cell r="A105">
            <v>3177</v>
          </cell>
          <cell r="B105" t="str">
            <v>Figue cou dame semi-sèche (nouvelle récolte 2020)</v>
          </cell>
          <cell r="C105" t="str">
            <v>Ávila</v>
          </cell>
          <cell r="F105" t="str">
            <v>❤️</v>
          </cell>
          <cell r="G105">
            <v>8.19</v>
          </cell>
          <cell r="H105" t="str">
            <v>kg</v>
          </cell>
          <cell r="I105" t="str">
            <v>X</v>
          </cell>
          <cell r="J105"/>
          <cell r="K105"/>
        </row>
        <row r="106">
          <cell r="A106">
            <v>3138</v>
          </cell>
          <cell r="B106" t="str">
            <v>Figue de Barbarie</v>
          </cell>
          <cell r="C106" t="str">
            <v>Grenade</v>
          </cell>
          <cell r="F106" t="str">
            <v>❤️</v>
          </cell>
          <cell r="G106">
            <v>6.82</v>
          </cell>
          <cell r="H106" t="str">
            <v>kg</v>
          </cell>
          <cell r="I106" t="str">
            <v>X</v>
          </cell>
          <cell r="J106"/>
          <cell r="K106"/>
        </row>
        <row r="107">
          <cell r="A107">
            <v>1119</v>
          </cell>
          <cell r="B107" t="str">
            <v>Figue de miel semi-sèche de l’Alpujarra BIO (grande) Excellent et spécial !</v>
          </cell>
          <cell r="C107" t="str">
            <v>Grenade</v>
          </cell>
          <cell r="F107" t="str">
            <v>❤️</v>
          </cell>
          <cell r="G107">
            <v>9.17</v>
          </cell>
          <cell r="H107" t="str">
            <v>kg</v>
          </cell>
          <cell r="I107" t="str">
            <v>X</v>
          </cell>
          <cell r="J107"/>
          <cell r="K107"/>
        </row>
        <row r="108">
          <cell r="A108">
            <v>3873</v>
          </cell>
          <cell r="B108" t="str">
            <v>Figue granillo semi-sèche (nouvelle récolte 2020)</v>
          </cell>
          <cell r="C108" t="str">
            <v>Ávila</v>
          </cell>
          <cell r="F108" t="str">
            <v>❤️</v>
          </cell>
          <cell r="G108">
            <v>6.43</v>
          </cell>
          <cell r="H108" t="str">
            <v>kg</v>
          </cell>
          <cell r="I108" t="str">
            <v>X</v>
          </cell>
          <cell r="J108"/>
          <cell r="K108"/>
        </row>
        <row r="109">
          <cell r="A109">
            <v>3790</v>
          </cell>
          <cell r="B109" t="str">
            <v>Figue semi-sèche (paquet de env. 900g)</v>
          </cell>
          <cell r="C109" t="str">
            <v>Malaga</v>
          </cell>
          <cell r="F109" t="str">
            <v>❤️</v>
          </cell>
          <cell r="G109">
            <v>9.44</v>
          </cell>
          <cell r="H109" t="str">
            <v>kg</v>
          </cell>
          <cell r="I109" t="str">
            <v>X</v>
          </cell>
          <cell r="J109"/>
          <cell r="K109"/>
        </row>
        <row r="110">
          <cell r="A110">
            <v>1220</v>
          </cell>
          <cell r="B110" t="str">
            <v>Fruits du Baobab en poudre (seulement la pulpe) BIO</v>
          </cell>
          <cell r="C110" t="str">
            <v>Import</v>
          </cell>
          <cell r="F110" t="str">
            <v>❤️</v>
          </cell>
          <cell r="G110">
            <v>36.5</v>
          </cell>
          <cell r="H110" t="str">
            <v>kg</v>
          </cell>
          <cell r="I110"/>
          <cell r="J110"/>
          <cell r="K110"/>
        </row>
        <row r="111">
          <cell r="A111">
            <v>1967</v>
          </cell>
          <cell r="B111" t="str">
            <v>Gingembre BIO</v>
          </cell>
          <cell r="C111" t="str">
            <v>Pérou</v>
          </cell>
          <cell r="F111" t="str">
            <v>❤️</v>
          </cell>
          <cell r="G111">
            <v>7.25</v>
          </cell>
          <cell r="H111" t="str">
            <v>kg</v>
          </cell>
          <cell r="I111" t="str">
            <v>X</v>
          </cell>
          <cell r="J111" t="str">
            <v>X</v>
          </cell>
          <cell r="K111"/>
        </row>
        <row r="112">
          <cell r="A112">
            <v>3217</v>
          </cell>
          <cell r="B112" t="str">
            <v>Goyave</v>
          </cell>
          <cell r="C112" t="str">
            <v>Grenade</v>
          </cell>
          <cell r="F112"/>
          <cell r="G112">
            <v>3.69</v>
          </cell>
          <cell r="H112" t="str">
            <v>kg</v>
          </cell>
          <cell r="I112" t="str">
            <v>X</v>
          </cell>
          <cell r="J112" t="str">
            <v>X</v>
          </cell>
          <cell r="K112" t="str">
            <v>X</v>
          </cell>
        </row>
        <row r="113">
          <cell r="A113">
            <v>1619</v>
          </cell>
          <cell r="B113" t="str">
            <v>Goyave BIO (production Rufino)</v>
          </cell>
          <cell r="C113" t="str">
            <v>Grenade</v>
          </cell>
          <cell r="F113"/>
          <cell r="G113">
            <v>4.58</v>
          </cell>
          <cell r="H113" t="str">
            <v>kg</v>
          </cell>
          <cell r="I113" t="str">
            <v>X</v>
          </cell>
          <cell r="J113" t="str">
            <v>X</v>
          </cell>
          <cell r="K113" t="str">
            <v>X</v>
          </cell>
        </row>
        <row r="114">
          <cell r="A114">
            <v>1607</v>
          </cell>
          <cell r="B114" t="str">
            <v>Graines de chanvre pelées CRU BIO
    - (env. 1 kg)</v>
          </cell>
          <cell r="C114" t="str">
            <v>Chine</v>
          </cell>
          <cell r="F114" t="str">
            <v>❤️</v>
          </cell>
          <cell r="G114">
            <v>17.78</v>
          </cell>
          <cell r="H114" t="str">
            <v>kg</v>
          </cell>
          <cell r="I114" t="str">
            <v>X</v>
          </cell>
          <cell r="J114"/>
          <cell r="K114"/>
        </row>
        <row r="115">
          <cell r="A115">
            <v>1356</v>
          </cell>
          <cell r="B115" t="str">
            <v>Graines de tournesol sans coque CRU BIO
    - (env. 1kg)</v>
          </cell>
          <cell r="C115" t="str">
            <v>Bulgarie</v>
          </cell>
          <cell r="F115"/>
          <cell r="G115">
            <v>4.51</v>
          </cell>
          <cell r="H115" t="str">
            <v>kg</v>
          </cell>
          <cell r="I115" t="str">
            <v>X</v>
          </cell>
          <cell r="J115" t="str">
            <v>X</v>
          </cell>
          <cell r="K115"/>
        </row>
        <row r="116">
          <cell r="A116">
            <v>1356</v>
          </cell>
          <cell r="B116" t="str">
            <v>Graines de tournesol sans coque CRU BIO
    - (env. 500g)</v>
          </cell>
          <cell r="C116" t="str">
            <v>Bulgarie</v>
          </cell>
          <cell r="F116"/>
          <cell r="G116">
            <v>2.95</v>
          </cell>
          <cell r="H116" t="str">
            <v>Pièce</v>
          </cell>
          <cell r="I116"/>
          <cell r="J116"/>
          <cell r="K116"/>
        </row>
        <row r="117">
          <cell r="A117">
            <v>3209</v>
          </cell>
          <cell r="B117" t="str">
            <v>Grenade (très rouge)</v>
          </cell>
          <cell r="C117" t="str">
            <v>Grenade</v>
          </cell>
          <cell r="F117" t="str">
            <v>❤️</v>
          </cell>
          <cell r="G117">
            <v>2.4500000000000002</v>
          </cell>
          <cell r="H117" t="str">
            <v>kg</v>
          </cell>
          <cell r="I117" t="str">
            <v>X</v>
          </cell>
          <cell r="J117" t="str">
            <v>X</v>
          </cell>
          <cell r="K117" t="str">
            <v>X</v>
          </cell>
        </row>
        <row r="118">
          <cell r="A118">
            <v>1121</v>
          </cell>
          <cell r="B118" t="str">
            <v>Grenade BIO (grande et rosée)</v>
          </cell>
          <cell r="C118" t="str">
            <v>Grenade</v>
          </cell>
          <cell r="F118"/>
          <cell r="G118">
            <v>2.71</v>
          </cell>
          <cell r="H118" t="str">
            <v>kg</v>
          </cell>
          <cell r="I118" t="str">
            <v>X</v>
          </cell>
          <cell r="J118" t="str">
            <v>X</v>
          </cell>
          <cell r="K118" t="str">
            <v>X</v>
          </cell>
        </row>
        <row r="119">
          <cell r="A119">
            <v>6120</v>
          </cell>
          <cell r="B119" t="str">
            <v xml:space="preserve">Grenade Purple Queen BIO </v>
          </cell>
          <cell r="C119" t="str">
            <v>Malaga</v>
          </cell>
          <cell r="F119"/>
          <cell r="G119">
            <v>3.14</v>
          </cell>
          <cell r="H119" t="str">
            <v>kg</v>
          </cell>
          <cell r="I119" t="str">
            <v>X</v>
          </cell>
          <cell r="J119" t="str">
            <v>X</v>
          </cell>
          <cell r="K119" t="str">
            <v>X</v>
          </cell>
        </row>
        <row r="120">
          <cell r="A120">
            <v>3039</v>
          </cell>
          <cell r="B120" t="str">
            <v>Haricot vert 2e catégorie</v>
          </cell>
          <cell r="C120" t="str">
            <v>Malaga</v>
          </cell>
          <cell r="F120"/>
          <cell r="G120">
            <v>1.34</v>
          </cell>
          <cell r="H120" t="str">
            <v>kg</v>
          </cell>
          <cell r="I120" t="str">
            <v>X</v>
          </cell>
          <cell r="J120" t="str">
            <v>X</v>
          </cell>
          <cell r="K120"/>
        </row>
        <row r="121">
          <cell r="A121">
            <v>1003</v>
          </cell>
          <cell r="B121" t="str">
            <v>Haricot vert BIO</v>
          </cell>
          <cell r="C121" t="str">
            <v>Malaga</v>
          </cell>
          <cell r="F121"/>
          <cell r="G121">
            <v>5.45</v>
          </cell>
          <cell r="H121" t="str">
            <v>kg</v>
          </cell>
          <cell r="I121" t="str">
            <v>X</v>
          </cell>
          <cell r="J121" t="str">
            <v>X</v>
          </cell>
          <cell r="K121"/>
        </row>
        <row r="122">
          <cell r="A122">
            <v>6063</v>
          </cell>
          <cell r="B122" t="str">
            <v>Huile d'olive Alorena 1L BIO (bouteille en verre)</v>
          </cell>
          <cell r="C122" t="str">
            <v>Malaga</v>
          </cell>
          <cell r="F122"/>
          <cell r="G122">
            <v>9.3000000000000007</v>
          </cell>
          <cell r="H122" t="str">
            <v>kg</v>
          </cell>
          <cell r="I122"/>
          <cell r="J122"/>
          <cell r="K122"/>
        </row>
        <row r="123">
          <cell r="A123">
            <v>6064</v>
          </cell>
          <cell r="B123" t="str">
            <v>Huile d'olive Aloreña 5L BIO (bidon métal)</v>
          </cell>
          <cell r="C123" t="str">
            <v>Malaga</v>
          </cell>
          <cell r="F123" t="str">
            <v>❤️</v>
          </cell>
          <cell r="G123">
            <v>41.07</v>
          </cell>
          <cell r="H123" t="str">
            <v>5l</v>
          </cell>
          <cell r="I123"/>
          <cell r="J123"/>
          <cell r="K123"/>
        </row>
        <row r="124">
          <cell r="A124">
            <v>1534</v>
          </cell>
          <cell r="B124" t="str">
            <v>Kaki déshydraté BIO</v>
          </cell>
          <cell r="C124" t="str">
            <v>Grenade</v>
          </cell>
          <cell r="F124"/>
          <cell r="G124">
            <v>26</v>
          </cell>
          <cell r="H124" t="str">
            <v>kg</v>
          </cell>
          <cell r="I124"/>
          <cell r="J124"/>
          <cell r="K124"/>
        </row>
        <row r="125">
          <cell r="A125" t="str">
            <v>3601-5043-3261</v>
          </cell>
          <cell r="B125" t="str">
            <v xml:space="preserve">Kaki différentes variétés - (persimon, rouge brillant, tomatero, sharoni) </v>
          </cell>
          <cell r="C125" t="str">
            <v>Grenade</v>
          </cell>
          <cell r="F125" t="str">
            <v>❤️</v>
          </cell>
          <cell r="G125">
            <v>3.14</v>
          </cell>
          <cell r="H125" t="str">
            <v>kg</v>
          </cell>
          <cell r="I125" t="str">
            <v>X</v>
          </cell>
          <cell r="J125" t="str">
            <v>X</v>
          </cell>
          <cell r="K125" t="str">
            <v>X</v>
          </cell>
        </row>
        <row r="126">
          <cell r="A126">
            <v>3766</v>
          </cell>
          <cell r="B126" t="str">
            <v>Kaki en plateau env. 900g mûri exprès (couleur rouge vive) - Produit rare !</v>
          </cell>
          <cell r="C126" t="str">
            <v>Grenade</v>
          </cell>
          <cell r="F126"/>
          <cell r="G126">
            <v>3.55</v>
          </cell>
          <cell r="H126" t="str">
            <v>Pièce</v>
          </cell>
          <cell r="I126" t="str">
            <v>X</v>
          </cell>
          <cell r="J126" t="str">
            <v>X</v>
          </cell>
          <cell r="K126"/>
        </row>
        <row r="127">
          <cell r="A127">
            <v>3265</v>
          </cell>
          <cell r="B127" t="str">
            <v>Kaki Fuyu</v>
          </cell>
          <cell r="C127" t="str">
            <v>Grenade</v>
          </cell>
          <cell r="F127" t="str">
            <v>❤️</v>
          </cell>
          <cell r="G127">
            <v>3.41</v>
          </cell>
          <cell r="H127" t="str">
            <v>kg</v>
          </cell>
          <cell r="I127" t="str">
            <v>X</v>
          </cell>
          <cell r="J127" t="str">
            <v>X</v>
          </cell>
          <cell r="K127" t="str">
            <v>X</v>
          </cell>
        </row>
        <row r="128">
          <cell r="A128">
            <v>1623</v>
          </cell>
          <cell r="B128" t="str">
            <v>Kaki rojo brillante BIO</v>
          </cell>
          <cell r="C128" t="str">
            <v>Grenade</v>
          </cell>
          <cell r="F128"/>
          <cell r="G128">
            <v>4.08</v>
          </cell>
          <cell r="H128" t="str">
            <v>kg</v>
          </cell>
          <cell r="I128" t="str">
            <v>X</v>
          </cell>
          <cell r="J128" t="str">
            <v>X</v>
          </cell>
          <cell r="K128"/>
        </row>
        <row r="129">
          <cell r="A129" t="str">
            <v>1961-1020</v>
          </cell>
          <cell r="B129" t="str">
            <v>Kiwi  BIO</v>
          </cell>
          <cell r="C129" t="str">
            <v>Portugal</v>
          </cell>
          <cell r="F129"/>
          <cell r="G129">
            <v>6.01</v>
          </cell>
          <cell r="H129" t="str">
            <v>kg</v>
          </cell>
          <cell r="I129" t="str">
            <v>X</v>
          </cell>
          <cell r="J129" t="str">
            <v>X</v>
          </cell>
          <cell r="K129"/>
        </row>
        <row r="130">
          <cell r="A130">
            <v>3276</v>
          </cell>
          <cell r="B130" t="str">
            <v>Kiwi de la Alpujarra</v>
          </cell>
          <cell r="C130" t="str">
            <v>Grenade</v>
          </cell>
          <cell r="F130"/>
          <cell r="G130">
            <v>6.15</v>
          </cell>
          <cell r="H130" t="str">
            <v>kg</v>
          </cell>
          <cell r="I130" t="str">
            <v>X</v>
          </cell>
          <cell r="J130" t="str">
            <v>X</v>
          </cell>
          <cell r="K130"/>
        </row>
        <row r="131">
          <cell r="A131" t="str">
            <v>5130-3941</v>
          </cell>
          <cell r="B131" t="str">
            <v>Kiwi jaune Sun Gold</v>
          </cell>
          <cell r="C131" t="str">
            <v>Nouvelle
Zélande</v>
          </cell>
          <cell r="F131" t="str">
            <v>❤️</v>
          </cell>
          <cell r="G131">
            <v>9.3000000000000007</v>
          </cell>
          <cell r="H131" t="str">
            <v>kg</v>
          </cell>
          <cell r="I131"/>
          <cell r="J131"/>
          <cell r="K131"/>
        </row>
        <row r="132">
          <cell r="A132">
            <v>6093</v>
          </cell>
          <cell r="B132" t="str">
            <v xml:space="preserve">Kombucha océanique (spiruline et citron) BIO Viver (env. 500ml en verre) </v>
          </cell>
          <cell r="C132" t="str">
            <v>Grenade</v>
          </cell>
          <cell r="F132"/>
          <cell r="G132">
            <v>5.33</v>
          </cell>
          <cell r="H132" t="str">
            <v>Pièce</v>
          </cell>
          <cell r="I132"/>
          <cell r="J132"/>
          <cell r="K132"/>
        </row>
        <row r="133">
          <cell r="A133">
            <v>1755</v>
          </cell>
          <cell r="B133" t="str">
            <v>Lait de coco en poudre CRU BIO (1kg)</v>
          </cell>
          <cell r="C133" t="str">
            <v>Sri Lanka</v>
          </cell>
          <cell r="F133" t="str">
            <v>❤️</v>
          </cell>
          <cell r="G133">
            <v>34.22</v>
          </cell>
          <cell r="H133" t="str">
            <v>kg</v>
          </cell>
          <cell r="I133" t="str">
            <v>X</v>
          </cell>
          <cell r="J133"/>
          <cell r="K133"/>
        </row>
        <row r="134">
          <cell r="A134">
            <v>1755</v>
          </cell>
          <cell r="B134" t="str">
            <v>Lait de coco en poudre CRU BIO (500g)</v>
          </cell>
          <cell r="C134" t="str">
            <v>Sri Lanka</v>
          </cell>
          <cell r="F134" t="str">
            <v>❤️</v>
          </cell>
          <cell r="G134">
            <v>17.78</v>
          </cell>
          <cell r="H134" t="str">
            <v>kg</v>
          </cell>
          <cell r="I134"/>
          <cell r="J134"/>
          <cell r="K134"/>
        </row>
        <row r="135">
          <cell r="A135">
            <v>6126</v>
          </cell>
          <cell r="B135" t="str">
            <v>Laitue Maravilla de Verano Neruda BIO (production Rufino)</v>
          </cell>
          <cell r="C135" t="str">
            <v>Grenade</v>
          </cell>
          <cell r="F135"/>
          <cell r="G135">
            <v>1.22</v>
          </cell>
          <cell r="H135" t="str">
            <v>Pièce</v>
          </cell>
          <cell r="I135" t="str">
            <v>X</v>
          </cell>
          <cell r="J135"/>
          <cell r="K135"/>
        </row>
        <row r="136">
          <cell r="A136">
            <v>3977</v>
          </cell>
          <cell r="B136" t="str">
            <v>Levure nutritionnelle + B12 (env. 1 kg)</v>
          </cell>
          <cell r="C136" t="str">
            <v>Estonie</v>
          </cell>
          <cell r="F136"/>
          <cell r="G136">
            <v>20.52</v>
          </cell>
          <cell r="H136" t="str">
            <v>Pièce</v>
          </cell>
          <cell r="I136"/>
          <cell r="J136"/>
          <cell r="K136"/>
        </row>
        <row r="137">
          <cell r="A137">
            <v>3977</v>
          </cell>
          <cell r="B137" t="str">
            <v>Levure nutritionnelle + B12 (env. 500g)</v>
          </cell>
          <cell r="C137" t="str">
            <v>Estonie</v>
          </cell>
          <cell r="F137"/>
          <cell r="G137">
            <v>10.26</v>
          </cell>
          <cell r="H137" t="str">
            <v>Pièce</v>
          </cell>
          <cell r="I137"/>
          <cell r="J137"/>
          <cell r="K137"/>
        </row>
        <row r="138">
          <cell r="A138">
            <v>1103</v>
          </cell>
          <cell r="B138" t="str">
            <v>Lima-Limon BIO (entre citron vert et jaune, cueilli à maturité, variété indienne)</v>
          </cell>
          <cell r="C138" t="str">
            <v>Malaga</v>
          </cell>
          <cell r="F138" t="str">
            <v>❤️</v>
          </cell>
          <cell r="G138">
            <v>3.14</v>
          </cell>
          <cell r="H138" t="str">
            <v>kg</v>
          </cell>
          <cell r="I138" t="str">
            <v>X</v>
          </cell>
          <cell r="J138" t="str">
            <v>X</v>
          </cell>
          <cell r="K138" t="str">
            <v>X</v>
          </cell>
        </row>
        <row r="139">
          <cell r="A139">
            <v>1480</v>
          </cell>
          <cell r="B139" t="str">
            <v>Lin brun BIO (env. 1 kg).</v>
          </cell>
          <cell r="C139" t="str">
            <v>Kazakhstan</v>
          </cell>
          <cell r="F139"/>
          <cell r="G139">
            <v>5.19</v>
          </cell>
          <cell r="H139" t="str">
            <v>Pièce</v>
          </cell>
          <cell r="I139" t="str">
            <v>X</v>
          </cell>
          <cell r="J139"/>
          <cell r="K139"/>
        </row>
        <row r="140">
          <cell r="A140">
            <v>1480</v>
          </cell>
          <cell r="B140" t="str">
            <v>Lin brun BIO (env. 500g)</v>
          </cell>
          <cell r="C140" t="str">
            <v>Kazakhstan</v>
          </cell>
          <cell r="F140"/>
          <cell r="G140">
            <v>3.27</v>
          </cell>
          <cell r="H140" t="str">
            <v>Pièce</v>
          </cell>
          <cell r="I140"/>
          <cell r="J140"/>
          <cell r="K140"/>
        </row>
        <row r="141">
          <cell r="A141">
            <v>1606</v>
          </cell>
          <cell r="B141" t="str">
            <v>Lucuma cru en poudre CRU BIO (env. 1 kg)</v>
          </cell>
          <cell r="C141" t="str">
            <v>Pérou</v>
          </cell>
          <cell r="F141"/>
          <cell r="G141">
            <v>30.11</v>
          </cell>
          <cell r="H141" t="str">
            <v>Pièce</v>
          </cell>
          <cell r="I141"/>
          <cell r="J141"/>
          <cell r="K141"/>
        </row>
        <row r="142">
          <cell r="A142">
            <v>1640</v>
          </cell>
          <cell r="B142" t="str">
            <v>Maca brute en poudre CRU BIO (env. 1kg)</v>
          </cell>
          <cell r="C142" t="str">
            <v>Pérou</v>
          </cell>
          <cell r="F142"/>
          <cell r="G142">
            <v>16.41</v>
          </cell>
          <cell r="H142" t="str">
            <v>Pièce</v>
          </cell>
          <cell r="I142" t="str">
            <v>X</v>
          </cell>
          <cell r="J142"/>
          <cell r="K142"/>
        </row>
        <row r="143">
          <cell r="A143">
            <v>1640</v>
          </cell>
          <cell r="B143" t="str">
            <v>Maca brute en poudre CRU BIO (env. 500g)</v>
          </cell>
          <cell r="C143" t="str">
            <v>Pérou</v>
          </cell>
          <cell r="F143" t="str">
            <v>❤️</v>
          </cell>
          <cell r="G143">
            <v>8.89</v>
          </cell>
          <cell r="H143" t="str">
            <v>Pièce</v>
          </cell>
          <cell r="I143"/>
          <cell r="J143"/>
          <cell r="K143"/>
        </row>
        <row r="144">
          <cell r="A144">
            <v>1639</v>
          </cell>
          <cell r="B144" t="str">
            <v>Maca noire BIO (env. 1kg)</v>
          </cell>
          <cell r="C144" t="str">
            <v>Pérou</v>
          </cell>
          <cell r="F144"/>
          <cell r="G144">
            <v>27.37</v>
          </cell>
          <cell r="H144" t="str">
            <v>Pièce</v>
          </cell>
          <cell r="I144"/>
          <cell r="J144"/>
          <cell r="K144"/>
        </row>
        <row r="145">
          <cell r="A145">
            <v>1639</v>
          </cell>
          <cell r="B145" t="str">
            <v>Maca noire BIO (env. 500g)</v>
          </cell>
          <cell r="C145" t="str">
            <v>Pérou</v>
          </cell>
          <cell r="F145"/>
          <cell r="G145">
            <v>14.37</v>
          </cell>
          <cell r="H145" t="str">
            <v>Pièce</v>
          </cell>
          <cell r="I145"/>
          <cell r="J145"/>
          <cell r="K145"/>
        </row>
        <row r="146">
          <cell r="A146">
            <v>1207</v>
          </cell>
          <cell r="B146" t="str">
            <v>Mandarine BIO</v>
          </cell>
          <cell r="C146" t="str">
            <v>Grenade</v>
          </cell>
          <cell r="F146"/>
          <cell r="G146">
            <v>2.4500000000000002</v>
          </cell>
          <cell r="H146" t="str">
            <v>kg</v>
          </cell>
          <cell r="I146" t="str">
            <v>X</v>
          </cell>
          <cell r="J146" t="str">
            <v>X</v>
          </cell>
          <cell r="K146"/>
        </row>
        <row r="147">
          <cell r="A147">
            <v>3308</v>
          </cell>
          <cell r="B147" t="str">
            <v>Mandarine Clemenules</v>
          </cell>
          <cell r="C147" t="str">
            <v>Grenade</v>
          </cell>
          <cell r="F147"/>
          <cell r="G147">
            <v>2.04</v>
          </cell>
          <cell r="H147" t="str">
            <v>kg</v>
          </cell>
          <cell r="I147" t="str">
            <v>X</v>
          </cell>
          <cell r="J147"/>
          <cell r="K147"/>
        </row>
        <row r="148">
          <cell r="A148">
            <v>6258</v>
          </cell>
          <cell r="B148" t="str">
            <v>Mangue Adania BIO (production Rufino)</v>
          </cell>
          <cell r="C148" t="str">
            <v>Grenade</v>
          </cell>
          <cell r="F148"/>
          <cell r="G148">
            <v>5.0599999999999996</v>
          </cell>
          <cell r="H148" t="str">
            <v>kg</v>
          </cell>
          <cell r="I148" t="str">
            <v>X</v>
          </cell>
          <cell r="J148" t="str">
            <v>X</v>
          </cell>
          <cell r="K148" t="str">
            <v>X</v>
          </cell>
        </row>
        <row r="149">
          <cell r="A149">
            <v>6066</v>
          </cell>
          <cell r="B149" t="str">
            <v>Mangue BIO déjà assez mûre
    - (Keitt, Sensacion, Palmer Rojo, ...)</v>
          </cell>
          <cell r="C149" t="str">
            <v>Grenade/Malaga</v>
          </cell>
          <cell r="F149"/>
          <cell r="G149">
            <v>2.71</v>
          </cell>
          <cell r="H149" t="str">
            <v>kg</v>
          </cell>
          <cell r="I149"/>
          <cell r="J149"/>
          <cell r="K149"/>
        </row>
        <row r="150">
          <cell r="A150">
            <v>5215</v>
          </cell>
          <cell r="B150" t="str">
            <v>Mangue Irwin gourmet déshydratée en tranche à basse température (40-45°) CRU</v>
          </cell>
          <cell r="C150" t="str">
            <v>Grenade</v>
          </cell>
          <cell r="F150" t="str">
            <v>❤️</v>
          </cell>
          <cell r="G150">
            <v>53.4</v>
          </cell>
          <cell r="H150" t="str">
            <v>kg</v>
          </cell>
          <cell r="I150"/>
          <cell r="J150"/>
          <cell r="K150"/>
        </row>
        <row r="151">
          <cell r="A151">
            <v>3255</v>
          </cell>
          <cell r="B151" t="str">
            <v>Mangue Keitt</v>
          </cell>
          <cell r="C151" t="str">
            <v>Grenade</v>
          </cell>
          <cell r="F151" t="str">
            <v>❤️</v>
          </cell>
          <cell r="G151">
            <v>4.2300000000000004</v>
          </cell>
          <cell r="H151" t="str">
            <v>kg</v>
          </cell>
          <cell r="I151" t="str">
            <v>X</v>
          </cell>
          <cell r="J151" t="str">
            <v>X</v>
          </cell>
          <cell r="K151" t="str">
            <v>X</v>
          </cell>
        </row>
        <row r="152">
          <cell r="A152">
            <v>1171</v>
          </cell>
          <cell r="B152" t="str">
            <v>Mangue Keitt BIO</v>
          </cell>
          <cell r="C152" t="str">
            <v>Grenade</v>
          </cell>
          <cell r="F152" t="str">
            <v>❤️</v>
          </cell>
          <cell r="G152">
            <v>5.19</v>
          </cell>
          <cell r="H152" t="str">
            <v>kg</v>
          </cell>
          <cell r="I152" t="str">
            <v>X</v>
          </cell>
          <cell r="J152" t="str">
            <v>X</v>
          </cell>
          <cell r="K152" t="str">
            <v>X</v>
          </cell>
        </row>
        <row r="153">
          <cell r="A153">
            <v>1171</v>
          </cell>
          <cell r="B153" t="str">
            <v>Mangue Keitt BIO (grande, BIO depuis 1985, BIO Suisse depuis 2009)</v>
          </cell>
          <cell r="C153" t="str">
            <v>Malaga</v>
          </cell>
          <cell r="F153"/>
          <cell r="G153">
            <v>3.55</v>
          </cell>
          <cell r="H153" t="str">
            <v>kg</v>
          </cell>
          <cell r="I153" t="str">
            <v>X</v>
          </cell>
          <cell r="J153" t="str">
            <v>X</v>
          </cell>
          <cell r="K153" t="str">
            <v>X</v>
          </cell>
        </row>
        <row r="154">
          <cell r="A154">
            <v>6198</v>
          </cell>
          <cell r="B154" t="str">
            <v>Mangue Keitt BIO (grandes brûlures sur la peau, chair intacte, BIO depuis 1985, BIO Suisse depuis 2009)</v>
          </cell>
          <cell r="C154" t="str">
            <v>Malaga</v>
          </cell>
          <cell r="F154" t="str">
            <v>OFFRE</v>
          </cell>
          <cell r="G154">
            <v>1.79</v>
          </cell>
          <cell r="H154" t="str">
            <v>kg</v>
          </cell>
          <cell r="I154" t="str">
            <v>X</v>
          </cell>
          <cell r="J154" t="str">
            <v>X</v>
          </cell>
          <cell r="K154" t="str">
            <v>X</v>
          </cell>
        </row>
        <row r="155">
          <cell r="A155">
            <v>6198</v>
          </cell>
          <cell r="B155" t="str">
            <v>Mangue Keitt BIO (légères brûlures sur peau , chair intacte,  BIO depuis 1985, BIO Suisse depuis 2009)</v>
          </cell>
          <cell r="C155" t="str">
            <v>Malaga</v>
          </cell>
          <cell r="F155" t="str">
            <v>OFFRE</v>
          </cell>
          <cell r="G155">
            <v>2.19</v>
          </cell>
          <cell r="H155" t="str">
            <v>kg</v>
          </cell>
          <cell r="I155" t="str">
            <v>X</v>
          </cell>
          <cell r="J155" t="str">
            <v>X</v>
          </cell>
          <cell r="K155" t="str">
            <v>X</v>
          </cell>
        </row>
        <row r="156">
          <cell r="A156">
            <v>6127</v>
          </cell>
          <cell r="B156" t="str">
            <v xml:space="preserve">Mangue Keitt gourmet BIO </v>
          </cell>
          <cell r="C156" t="str">
            <v>Malaga</v>
          </cell>
          <cell r="F156" t="str">
            <v>❤️</v>
          </cell>
          <cell r="G156">
            <v>3.41</v>
          </cell>
          <cell r="H156" t="str">
            <v>kg</v>
          </cell>
          <cell r="I156" t="str">
            <v>X</v>
          </cell>
          <cell r="J156" t="str">
            <v>X</v>
          </cell>
          <cell r="K156" t="str">
            <v>X</v>
          </cell>
        </row>
        <row r="157">
          <cell r="A157">
            <v>3225</v>
          </cell>
          <cell r="B157" t="str">
            <v>Mangue Kent sélectionnée</v>
          </cell>
          <cell r="C157" t="str">
            <v>Malaga</v>
          </cell>
          <cell r="F157"/>
          <cell r="G157">
            <v>5.45</v>
          </cell>
          <cell r="H157" t="str">
            <v>kg</v>
          </cell>
          <cell r="I157" t="str">
            <v>X</v>
          </cell>
          <cell r="J157" t="str">
            <v>X</v>
          </cell>
          <cell r="K157" t="str">
            <v>X</v>
          </cell>
        </row>
        <row r="158">
          <cell r="A158">
            <v>3190</v>
          </cell>
          <cell r="B158" t="str">
            <v>Mangue Osteen</v>
          </cell>
          <cell r="C158" t="str">
            <v>Grenade</v>
          </cell>
          <cell r="F158" t="str">
            <v>❤️</v>
          </cell>
          <cell r="G158">
            <v>4.6399999999999997</v>
          </cell>
          <cell r="H158" t="str">
            <v>kg</v>
          </cell>
          <cell r="I158" t="str">
            <v>X</v>
          </cell>
          <cell r="J158" t="str">
            <v>X</v>
          </cell>
          <cell r="K158" t="str">
            <v>X</v>
          </cell>
        </row>
        <row r="159">
          <cell r="A159">
            <v>1115</v>
          </cell>
          <cell r="B159" t="str">
            <v>Mangue Osteen BIO (Qualité supérieure, mûrie sur plante)</v>
          </cell>
          <cell r="C159" t="str">
            <v>Salobrena</v>
          </cell>
          <cell r="F159" t="str">
            <v>❤️</v>
          </cell>
          <cell r="G159">
            <v>5.45</v>
          </cell>
          <cell r="H159" t="str">
            <v>kg</v>
          </cell>
          <cell r="I159" t="str">
            <v>X</v>
          </cell>
          <cell r="J159" t="str">
            <v>X</v>
          </cell>
          <cell r="K159"/>
        </row>
        <row r="160">
          <cell r="A160" t="str">
            <v>3190. 658</v>
          </cell>
          <cell r="B160" t="str">
            <v>Mangue Osteen sélectionnée (Ferme Eparadise, mûrie sur plante, récoltée quotidiennement)</v>
          </cell>
          <cell r="C160" t="str">
            <v>Grenade</v>
          </cell>
          <cell r="F160" t="str">
            <v>❤️</v>
          </cell>
          <cell r="G160">
            <v>5.45</v>
          </cell>
          <cell r="H160" t="str">
            <v>kg</v>
          </cell>
          <cell r="I160" t="str">
            <v>X</v>
          </cell>
          <cell r="J160" t="str">
            <v>X</v>
          </cell>
          <cell r="K160"/>
        </row>
        <row r="161">
          <cell r="A161">
            <v>3868</v>
          </cell>
          <cell r="B161" t="str">
            <v>Mangue Palmer Rojo déshydratée à basse température (40-45°) CRU (env. 500g)</v>
          </cell>
          <cell r="C161" t="str">
            <v>Grenade</v>
          </cell>
          <cell r="F161"/>
          <cell r="G161">
            <v>11.63</v>
          </cell>
          <cell r="H161" t="str">
            <v>Pièce</v>
          </cell>
          <cell r="I161"/>
          <cell r="J161"/>
          <cell r="K161"/>
        </row>
        <row r="162">
          <cell r="A162">
            <v>1843</v>
          </cell>
          <cell r="B162" t="str">
            <v>Mangue Palmer Rouge BIO (Grand)</v>
          </cell>
          <cell r="C162" t="str">
            <v>Grenade</v>
          </cell>
          <cell r="F162"/>
          <cell r="G162">
            <v>5.19</v>
          </cell>
          <cell r="H162" t="str">
            <v>kg</v>
          </cell>
          <cell r="I162" t="str">
            <v>X</v>
          </cell>
          <cell r="J162" t="str">
            <v>X</v>
          </cell>
          <cell r="K162"/>
        </row>
        <row r="163">
          <cell r="A163">
            <v>1104</v>
          </cell>
          <cell r="B163" t="str">
            <v>Mangue Tommy Atkins BIO</v>
          </cell>
          <cell r="C163" t="str">
            <v>Grenade</v>
          </cell>
          <cell r="F163"/>
          <cell r="G163">
            <v>4.08</v>
          </cell>
          <cell r="H163" t="str">
            <v>kg</v>
          </cell>
          <cell r="I163" t="str">
            <v>X</v>
          </cell>
          <cell r="J163" t="str">
            <v>X</v>
          </cell>
          <cell r="K163"/>
        </row>
        <row r="164">
          <cell r="A164" t="str">
            <v>3214-3248-3174-3194-3190-3175-3230</v>
          </cell>
          <cell r="B164" t="str">
            <v>Mangues déjà assez mûres en mélange variétés 
    - (Haden, Irwin, Lipens, Osteen, Tommy Atkins)</v>
          </cell>
          <cell r="C164" t="str">
            <v>Grenade</v>
          </cell>
          <cell r="F164" t="str">
            <v>❤️</v>
          </cell>
          <cell r="G164">
            <v>2.71</v>
          </cell>
          <cell r="H164" t="str">
            <v>kg</v>
          </cell>
          <cell r="I164"/>
          <cell r="J164"/>
          <cell r="K164"/>
        </row>
        <row r="165">
          <cell r="A165">
            <v>3636</v>
          </cell>
          <cell r="B165" t="str">
            <v>Mélange de fruits secs (noisette, noix de cajou, noix du brésil, noix de macadamia, amande, cerneau de noix)</v>
          </cell>
          <cell r="C165" t="str">
            <v>National</v>
          </cell>
          <cell r="F165"/>
          <cell r="G165">
            <v>21.22</v>
          </cell>
          <cell r="H165" t="str">
            <v>kg</v>
          </cell>
          <cell r="I165"/>
          <cell r="J165"/>
          <cell r="K165"/>
        </row>
        <row r="166">
          <cell r="A166">
            <v>3112</v>
          </cell>
          <cell r="B166" t="str">
            <v>Melon peau de crapaud</v>
          </cell>
          <cell r="C166" t="str">
            <v>Cordova</v>
          </cell>
          <cell r="F166" t="str">
            <v>❤️</v>
          </cell>
          <cell r="G166">
            <v>2.1800000000000002</v>
          </cell>
          <cell r="H166" t="str">
            <v>kg</v>
          </cell>
          <cell r="I166" t="str">
            <v>X</v>
          </cell>
          <cell r="J166" t="str">
            <v>X</v>
          </cell>
          <cell r="K166" t="str">
            <v>X</v>
          </cell>
        </row>
        <row r="167">
          <cell r="A167">
            <v>1052</v>
          </cell>
          <cell r="B167" t="str">
            <v>Melon peau de crapaud BIO</v>
          </cell>
          <cell r="C167" t="str">
            <v>Andalousie</v>
          </cell>
          <cell r="F167"/>
          <cell r="G167">
            <v>2.86</v>
          </cell>
          <cell r="H167" t="str">
            <v>kg</v>
          </cell>
          <cell r="I167" t="str">
            <v>X</v>
          </cell>
          <cell r="J167" t="str">
            <v>X</v>
          </cell>
          <cell r="K167"/>
        </row>
        <row r="168">
          <cell r="A168">
            <v>3925</v>
          </cell>
          <cell r="B168" t="str">
            <v>Miel d'avocat (Bocal en verre env. 1kg)</v>
          </cell>
          <cell r="C168" t="str">
            <v>Grenade</v>
          </cell>
          <cell r="F168" t="str">
            <v>❤️</v>
          </cell>
          <cell r="G168">
            <v>12.73</v>
          </cell>
          <cell r="H168" t="str">
            <v>Pièce</v>
          </cell>
          <cell r="I168" t="str">
            <v>X</v>
          </cell>
          <cell r="J168"/>
          <cell r="K168"/>
        </row>
        <row r="169">
          <cell r="A169">
            <v>1324</v>
          </cell>
          <cell r="B169" t="str">
            <v>Miel d'eucalyptus BIO (Bocal en verre env. 1kg)</v>
          </cell>
          <cell r="C169" t="str">
            <v>Huelva</v>
          </cell>
          <cell r="F169" t="str">
            <v>❤️</v>
          </cell>
          <cell r="G169">
            <v>19.850000000000001</v>
          </cell>
          <cell r="H169" t="str">
            <v>Pièce</v>
          </cell>
          <cell r="I169" t="str">
            <v>X</v>
          </cell>
          <cell r="J169"/>
          <cell r="K169"/>
        </row>
        <row r="170">
          <cell r="A170">
            <v>5113</v>
          </cell>
          <cell r="B170" t="str">
            <v>Miel de Fleur d'oranger (Bocal en verre env. 1kg)</v>
          </cell>
          <cell r="C170" t="str">
            <v>Grenade</v>
          </cell>
          <cell r="F170" t="str">
            <v>❤️</v>
          </cell>
          <cell r="G170">
            <v>12.73</v>
          </cell>
          <cell r="H170" t="str">
            <v>Pièce</v>
          </cell>
          <cell r="I170" t="str">
            <v>X</v>
          </cell>
          <cell r="J170"/>
          <cell r="K170"/>
        </row>
        <row r="171">
          <cell r="A171">
            <v>1444</v>
          </cell>
          <cell r="B171" t="str">
            <v>Miel de Huelva multifleurs sans filtration CRU BIO  
    - (Bocal en verre env. 1kg)</v>
          </cell>
          <cell r="C171" t="str">
            <v>Huelva</v>
          </cell>
          <cell r="F171" t="str">
            <v>❤️</v>
          </cell>
          <cell r="G171">
            <v>15.04</v>
          </cell>
          <cell r="H171" t="str">
            <v>Pièce</v>
          </cell>
          <cell r="I171" t="str">
            <v>X</v>
          </cell>
          <cell r="J171"/>
          <cell r="K171"/>
        </row>
        <row r="172">
          <cell r="A172">
            <v>5107</v>
          </cell>
          <cell r="B172" t="str">
            <v>Miel de montagne (Bocal en verre env. 1kg)</v>
          </cell>
          <cell r="C172" t="str">
            <v>Grenade</v>
          </cell>
          <cell r="F172" t="str">
            <v>❤️</v>
          </cell>
          <cell r="G172">
            <v>12.73</v>
          </cell>
          <cell r="H172" t="str">
            <v>Pièce</v>
          </cell>
          <cell r="I172" t="str">
            <v>X</v>
          </cell>
          <cell r="J172"/>
          <cell r="K172"/>
        </row>
        <row r="173">
          <cell r="A173">
            <v>3585</v>
          </cell>
          <cell r="B173" t="str">
            <v>Miel de Romarin (Bocal en verre env. 1kg)</v>
          </cell>
          <cell r="C173" t="str">
            <v>Grenade</v>
          </cell>
          <cell r="F173" t="str">
            <v>❤️</v>
          </cell>
          <cell r="G173">
            <v>12.73</v>
          </cell>
          <cell r="H173" t="str">
            <v>Pièce</v>
          </cell>
          <cell r="I173" t="str">
            <v>X</v>
          </cell>
          <cell r="J173"/>
          <cell r="K173"/>
        </row>
        <row r="174">
          <cell r="A174">
            <v>5114</v>
          </cell>
          <cell r="B174" t="str">
            <v>Miel multi-fleurs (Bocal en verre env. 1kg)</v>
          </cell>
          <cell r="C174" t="str">
            <v>Grenade</v>
          </cell>
          <cell r="F174" t="str">
            <v>❤️</v>
          </cell>
          <cell r="G174">
            <v>10.67</v>
          </cell>
          <cell r="H174" t="str">
            <v>Pièce</v>
          </cell>
          <cell r="I174" t="str">
            <v>X</v>
          </cell>
          <cell r="J174"/>
          <cell r="K174"/>
        </row>
        <row r="175">
          <cell r="A175">
            <v>1707</v>
          </cell>
          <cell r="B175" t="str">
            <v>Moringa en poudre BIO (capsules végétales) (env. 100 pcs.)</v>
          </cell>
          <cell r="C175" t="str">
            <v>Andalousie</v>
          </cell>
          <cell r="F175"/>
          <cell r="G175">
            <v>5.45</v>
          </cell>
          <cell r="H175" t="str">
            <v>Pièce</v>
          </cell>
          <cell r="I175"/>
          <cell r="J175"/>
          <cell r="K175"/>
        </row>
        <row r="176">
          <cell r="A176">
            <v>1730</v>
          </cell>
          <cell r="B176" t="str">
            <v>Moringa en poudre BIO (env. 500g)</v>
          </cell>
          <cell r="C176" t="str">
            <v>Andalousie</v>
          </cell>
          <cell r="F176"/>
          <cell r="G176">
            <v>16.41</v>
          </cell>
          <cell r="H176" t="str">
            <v>Pièce</v>
          </cell>
          <cell r="I176"/>
          <cell r="J176"/>
          <cell r="K176"/>
        </row>
        <row r="177">
          <cell r="A177">
            <v>1729</v>
          </cell>
          <cell r="B177" t="str">
            <v>Moringa feuille sèche BIO (env. 500g)</v>
          </cell>
          <cell r="C177" t="str">
            <v>Andalousie</v>
          </cell>
          <cell r="F177"/>
          <cell r="G177">
            <v>17.39</v>
          </cell>
          <cell r="H177" t="str">
            <v>Pièce</v>
          </cell>
          <cell r="I177"/>
          <cell r="J177"/>
          <cell r="K177"/>
        </row>
        <row r="178">
          <cell r="A178">
            <v>6180</v>
          </cell>
          <cell r="B178" t="str">
            <v>Noisette sans coque CRU BIO (env. 1kg)</v>
          </cell>
          <cell r="C178" t="str">
            <v>National</v>
          </cell>
          <cell r="F178" t="str">
            <v>❤️</v>
          </cell>
          <cell r="G178">
            <v>19.850000000000001</v>
          </cell>
          <cell r="H178" t="str">
            <v>Pièce</v>
          </cell>
          <cell r="I178" t="str">
            <v>X</v>
          </cell>
          <cell r="J178"/>
          <cell r="K178"/>
        </row>
        <row r="179">
          <cell r="A179">
            <v>1027</v>
          </cell>
          <cell r="B179" t="str">
            <v>Noix de cajou BIO (env. 1kg)</v>
          </cell>
          <cell r="C179" t="str">
            <v>Indes</v>
          </cell>
          <cell r="F179" t="str">
            <v>❤️</v>
          </cell>
          <cell r="G179">
            <v>20.52</v>
          </cell>
          <cell r="H179" t="str">
            <v>Pièce</v>
          </cell>
          <cell r="I179" t="str">
            <v>X</v>
          </cell>
          <cell r="J179" t="str">
            <v>X</v>
          </cell>
          <cell r="K179"/>
        </row>
        <row r="180">
          <cell r="A180" t="str">
            <v>1816</v>
          </cell>
          <cell r="B180" t="str">
            <v>Noix de Macadamia sans coque BIO
    - (env. 1kg)</v>
          </cell>
          <cell r="C180" t="str">
            <v>Kenya</v>
          </cell>
          <cell r="F180" t="str">
            <v>❤️</v>
          </cell>
          <cell r="G180">
            <v>43.81</v>
          </cell>
          <cell r="H180" t="str">
            <v>Pièce</v>
          </cell>
          <cell r="I180"/>
          <cell r="J180"/>
          <cell r="K180"/>
        </row>
        <row r="181">
          <cell r="A181" t="str">
            <v>1816</v>
          </cell>
          <cell r="B181" t="str">
            <v>Noix de Macadamia sans coque BIO
    - (env. 500g)</v>
          </cell>
          <cell r="C181" t="str">
            <v>Kenya</v>
          </cell>
          <cell r="F181" t="str">
            <v>❤️</v>
          </cell>
          <cell r="G181">
            <v>22.59</v>
          </cell>
          <cell r="H181" t="str">
            <v>Pièce</v>
          </cell>
          <cell r="I181"/>
          <cell r="J181"/>
          <cell r="K181"/>
        </row>
        <row r="182">
          <cell r="A182">
            <v>6005</v>
          </cell>
          <cell r="B182" t="str">
            <v>Noix de Pécan sans coque BIO (env. 1kg)</v>
          </cell>
          <cell r="C182" t="str">
            <v>Mexique</v>
          </cell>
          <cell r="F182" t="str">
            <v>❤️</v>
          </cell>
          <cell r="G182">
            <v>35.590000000000003</v>
          </cell>
          <cell r="H182" t="str">
            <v>Pièce</v>
          </cell>
          <cell r="I182" t="str">
            <v>X</v>
          </cell>
          <cell r="J182"/>
          <cell r="K182"/>
        </row>
        <row r="183">
          <cell r="A183">
            <v>6005</v>
          </cell>
          <cell r="B183" t="str">
            <v>Noix de Pécan sans coque BIO (env. 500g)</v>
          </cell>
          <cell r="C183" t="str">
            <v>Mexique</v>
          </cell>
          <cell r="F183" t="str">
            <v>❤️</v>
          </cell>
          <cell r="G183">
            <v>18.760000000000002</v>
          </cell>
          <cell r="H183" t="str">
            <v>Pièce</v>
          </cell>
          <cell r="I183"/>
          <cell r="J183"/>
          <cell r="K183"/>
        </row>
        <row r="184">
          <cell r="A184">
            <v>1101</v>
          </cell>
          <cell r="B184" t="str">
            <v>Oignon blanc BIO</v>
          </cell>
          <cell r="C184" t="str">
            <v>Malaga</v>
          </cell>
          <cell r="F184"/>
          <cell r="G184">
            <v>1.77</v>
          </cell>
          <cell r="H184" t="str">
            <v>kg</v>
          </cell>
          <cell r="I184" t="str">
            <v>X</v>
          </cell>
          <cell r="J184" t="str">
            <v>X</v>
          </cell>
          <cell r="K184"/>
        </row>
        <row r="185">
          <cell r="A185">
            <v>1151</v>
          </cell>
          <cell r="B185" t="str">
            <v>Oignon rouge BIO</v>
          </cell>
          <cell r="C185" t="str">
            <v>Malaga</v>
          </cell>
          <cell r="F185" t="str">
            <v>❤️</v>
          </cell>
          <cell r="G185">
            <v>2.04</v>
          </cell>
          <cell r="H185" t="str">
            <v>kg</v>
          </cell>
          <cell r="I185" t="str">
            <v>X</v>
          </cell>
          <cell r="J185" t="str">
            <v>X</v>
          </cell>
          <cell r="K185"/>
        </row>
        <row r="186">
          <cell r="A186">
            <v>6025</v>
          </cell>
          <cell r="B186" t="str">
            <v>Olives Aloreña BIO saumurées non pasteurisées (Bocal 800g)</v>
          </cell>
          <cell r="C186" t="str">
            <v>Malaga</v>
          </cell>
          <cell r="F186"/>
          <cell r="G186">
            <v>5.45</v>
          </cell>
          <cell r="H186" t="str">
            <v>Pièce</v>
          </cell>
          <cell r="I186" t="str">
            <v>X</v>
          </cell>
          <cell r="J186"/>
          <cell r="K186"/>
        </row>
        <row r="187">
          <cell r="A187" t="str">
            <v>5119-F</v>
          </cell>
          <cell r="B187" t="str">
            <v>Olives fermentées fraîches non pasteurisées (env. 400g) - production artisanale</v>
          </cell>
          <cell r="C187" t="str">
            <v>Valence</v>
          </cell>
          <cell r="F187"/>
          <cell r="G187">
            <v>10.4</v>
          </cell>
          <cell r="H187" t="str">
            <v>Pièce</v>
          </cell>
          <cell r="I187"/>
          <cell r="J187"/>
          <cell r="K187"/>
        </row>
        <row r="188">
          <cell r="A188" t="str">
            <v>5119-S</v>
          </cell>
          <cell r="B188" t="str">
            <v>Olives fermentées sèches non pasteurisées (env. 400g) - production artisanale</v>
          </cell>
          <cell r="C188" t="str">
            <v>Valence</v>
          </cell>
          <cell r="F188"/>
          <cell r="G188">
            <v>10.4</v>
          </cell>
          <cell r="H188" t="str">
            <v>Pièce</v>
          </cell>
          <cell r="I188"/>
          <cell r="J188"/>
          <cell r="K188"/>
        </row>
        <row r="189">
          <cell r="A189" t="str">
            <v>5119-SF</v>
          </cell>
          <cell r="B189" t="str">
            <v>Olives fermentées semi-fraîches non pasteurisées (env. 400g) - production artisanale</v>
          </cell>
          <cell r="C189" t="str">
            <v>Valence</v>
          </cell>
          <cell r="F189"/>
          <cell r="G189">
            <v>10.4</v>
          </cell>
          <cell r="H189" t="str">
            <v>Pièce</v>
          </cell>
          <cell r="I189"/>
          <cell r="J189"/>
          <cell r="K189"/>
        </row>
        <row r="190">
          <cell r="A190" t="str">
            <v>5119-SS</v>
          </cell>
          <cell r="B190" t="str">
            <v>Olives fermentées semi-sèches non pasteurisées (env. 400g) - production artisanale</v>
          </cell>
          <cell r="C190" t="str">
            <v>Valence</v>
          </cell>
          <cell r="F190"/>
          <cell r="G190">
            <v>10.4</v>
          </cell>
          <cell r="H190" t="str">
            <v>Pièce</v>
          </cell>
          <cell r="I190"/>
          <cell r="J190"/>
          <cell r="K190"/>
        </row>
        <row r="191">
          <cell r="A191">
            <v>5159</v>
          </cell>
          <cell r="B191" t="str">
            <v>Olives Manzanilla fraîche noire</v>
          </cell>
          <cell r="C191" t="str">
            <v>Grenade</v>
          </cell>
          <cell r="F191"/>
          <cell r="G191">
            <v>3.41</v>
          </cell>
          <cell r="H191" t="str">
            <v>kg</v>
          </cell>
          <cell r="I191" t="str">
            <v>X</v>
          </cell>
          <cell r="J191"/>
          <cell r="K191"/>
        </row>
        <row r="192">
          <cell r="A192">
            <v>1541</v>
          </cell>
          <cell r="B192" t="str">
            <v>Olives noires BIO (bocal 500g, dénoyautées, semi-séchées, non pasteurisées)</v>
          </cell>
          <cell r="C192" t="str">
            <v>Import</v>
          </cell>
          <cell r="F192" t="str">
            <v>❤️</v>
          </cell>
          <cell r="G192">
            <v>9.3000000000000007</v>
          </cell>
          <cell r="H192" t="str">
            <v>Pièce</v>
          </cell>
          <cell r="I192"/>
          <cell r="J192"/>
          <cell r="K192"/>
        </row>
        <row r="193">
          <cell r="A193">
            <v>3136</v>
          </cell>
          <cell r="B193" t="str">
            <v>Orange Naveline de table (nouvelle récolte)</v>
          </cell>
          <cell r="C193" t="str">
            <v>Grenade</v>
          </cell>
          <cell r="F193"/>
          <cell r="G193">
            <v>1.77</v>
          </cell>
          <cell r="H193" t="str">
            <v>kg</v>
          </cell>
          <cell r="I193" t="str">
            <v>X</v>
          </cell>
          <cell r="J193" t="str">
            <v>X</v>
          </cell>
          <cell r="K193"/>
        </row>
        <row r="194">
          <cell r="A194">
            <v>1208</v>
          </cell>
          <cell r="B194" t="str">
            <v>Orange Naveline de table BIO (nouvelle récolte)</v>
          </cell>
          <cell r="C194" t="str">
            <v>Séville</v>
          </cell>
          <cell r="F194"/>
          <cell r="G194">
            <v>2.04</v>
          </cell>
          <cell r="H194" t="str">
            <v>kg</v>
          </cell>
          <cell r="I194" t="str">
            <v>X</v>
          </cell>
          <cell r="J194" t="str">
            <v>X</v>
          </cell>
          <cell r="K194"/>
        </row>
        <row r="195">
          <cell r="A195" t="str">
            <v>3694-3006</v>
          </cell>
          <cell r="B195" t="str">
            <v>Papaye Intenzza/Siluet</v>
          </cell>
          <cell r="C195" t="str">
            <v>Grenade</v>
          </cell>
          <cell r="F195" t="str">
            <v>OFFRE</v>
          </cell>
          <cell r="G195">
            <v>3.96</v>
          </cell>
          <cell r="H195" t="str">
            <v>kg</v>
          </cell>
          <cell r="I195" t="str">
            <v>X</v>
          </cell>
          <cell r="J195" t="str">
            <v>X</v>
          </cell>
          <cell r="K195" t="str">
            <v>X</v>
          </cell>
        </row>
        <row r="196">
          <cell r="A196" t="str">
            <v>1015.133</v>
          </cell>
          <cell r="B196" t="str">
            <v>Patatate douce BIO avec défauts esthétiques 
    - (moyen)</v>
          </cell>
          <cell r="C196" t="str">
            <v>Malaga</v>
          </cell>
          <cell r="F196"/>
          <cell r="G196">
            <v>1.9</v>
          </cell>
          <cell r="H196" t="str">
            <v>kg</v>
          </cell>
          <cell r="I196" t="str">
            <v>X</v>
          </cell>
          <cell r="J196" t="str">
            <v>X</v>
          </cell>
          <cell r="K196" t="str">
            <v>X</v>
          </cell>
        </row>
        <row r="197">
          <cell r="A197">
            <v>1576</v>
          </cell>
          <cell r="B197" t="str">
            <v>Patate douce BIO (grand)</v>
          </cell>
          <cell r="C197" t="str">
            <v>Malaga</v>
          </cell>
          <cell r="F197" t="str">
            <v>❤️</v>
          </cell>
          <cell r="G197">
            <v>2.04</v>
          </cell>
          <cell r="H197" t="str">
            <v>kg</v>
          </cell>
          <cell r="I197" t="str">
            <v>X</v>
          </cell>
          <cell r="J197" t="str">
            <v>X</v>
          </cell>
          <cell r="K197" t="str">
            <v>X</v>
          </cell>
        </row>
        <row r="198">
          <cell r="A198" t="str">
            <v>1015.416</v>
          </cell>
          <cell r="B198" t="str">
            <v>Patate douce BIO (moyen)</v>
          </cell>
          <cell r="C198" t="str">
            <v>Malaga</v>
          </cell>
          <cell r="F198" t="str">
            <v>❤️</v>
          </cell>
          <cell r="G198">
            <v>2.59</v>
          </cell>
          <cell r="H198" t="str">
            <v>kg</v>
          </cell>
          <cell r="I198" t="str">
            <v>X</v>
          </cell>
          <cell r="J198" t="str">
            <v>X</v>
          </cell>
          <cell r="K198" t="str">
            <v>X</v>
          </cell>
        </row>
        <row r="199">
          <cell r="A199">
            <v>1761</v>
          </cell>
          <cell r="B199" t="str">
            <v>Patate douce Violette BIO (Moyenne, grande) Nouvelle récolte</v>
          </cell>
          <cell r="C199" t="str">
            <v>Malaga</v>
          </cell>
          <cell r="F199" t="str">
            <v>❤️</v>
          </cell>
          <cell r="G199">
            <v>3.41</v>
          </cell>
          <cell r="H199" t="str">
            <v>kg</v>
          </cell>
          <cell r="I199" t="str">
            <v>X</v>
          </cell>
          <cell r="J199" t="str">
            <v>X</v>
          </cell>
          <cell r="K199" t="str">
            <v>X</v>
          </cell>
        </row>
        <row r="200">
          <cell r="A200">
            <v>6179</v>
          </cell>
          <cell r="B200" t="str">
            <v>Pâte de Datte BIO</v>
          </cell>
          <cell r="C200" t="str">
            <v>Israël</v>
          </cell>
          <cell r="F200"/>
          <cell r="G200">
            <v>6.82</v>
          </cell>
          <cell r="H200" t="str">
            <v>kg</v>
          </cell>
          <cell r="I200" t="str">
            <v>X</v>
          </cell>
          <cell r="J200"/>
          <cell r="K200"/>
        </row>
        <row r="201">
          <cell r="A201">
            <v>6584</v>
          </cell>
          <cell r="B201" t="str">
            <v>Piment picant de la Vera BIO (env. 1kg)</v>
          </cell>
          <cell r="C201" t="str">
            <v>Sierra de Gredos</v>
          </cell>
          <cell r="F201"/>
          <cell r="G201">
            <v>16.41</v>
          </cell>
          <cell r="H201" t="str">
            <v>Pièce</v>
          </cell>
          <cell r="I201"/>
          <cell r="J201"/>
          <cell r="K201"/>
        </row>
        <row r="202">
          <cell r="A202">
            <v>3049</v>
          </cell>
          <cell r="B202" t="str">
            <v>Piment rouge Ramiro (doux)</v>
          </cell>
          <cell r="C202" t="str">
            <v>Grenade</v>
          </cell>
          <cell r="F202"/>
          <cell r="G202">
            <v>2.71</v>
          </cell>
          <cell r="H202" t="str">
            <v>kg</v>
          </cell>
          <cell r="I202" t="str">
            <v>X</v>
          </cell>
          <cell r="J202"/>
          <cell r="K202"/>
        </row>
        <row r="203">
          <cell r="A203">
            <v>3365</v>
          </cell>
          <cell r="B203" t="str">
            <v>Pistache avec coque 20/22 CRU</v>
          </cell>
          <cell r="C203" t="str">
            <v>National</v>
          </cell>
          <cell r="F203"/>
          <cell r="G203">
            <v>16.41</v>
          </cell>
          <cell r="H203" t="str">
            <v>Pièce</v>
          </cell>
          <cell r="I203"/>
          <cell r="J203"/>
          <cell r="K203"/>
        </row>
        <row r="204">
          <cell r="A204">
            <v>3365</v>
          </cell>
          <cell r="B204" t="str">
            <v>Pistache avec coque 20/22 CRU
    -  (env. 500 g.)</v>
          </cell>
          <cell r="C204" t="str">
            <v>National</v>
          </cell>
          <cell r="F204"/>
          <cell r="G204">
            <v>9.56</v>
          </cell>
          <cell r="H204" t="str">
            <v>Pièce</v>
          </cell>
          <cell r="I204"/>
          <cell r="J204"/>
          <cell r="K204"/>
        </row>
        <row r="205">
          <cell r="A205">
            <v>3615</v>
          </cell>
          <cell r="B205" t="str">
            <v>Pistache avec coque CRU (env. 1kg)</v>
          </cell>
          <cell r="C205" t="str">
            <v>Espagne</v>
          </cell>
          <cell r="F205" t="str">
            <v>❤️</v>
          </cell>
          <cell r="G205">
            <v>34.22</v>
          </cell>
          <cell r="H205" t="str">
            <v>Pièce</v>
          </cell>
          <cell r="I205"/>
          <cell r="J205"/>
          <cell r="K205"/>
        </row>
        <row r="206">
          <cell r="A206">
            <v>3615</v>
          </cell>
          <cell r="B206" t="str">
            <v>Pistache avec coque CRU (env. 500g)</v>
          </cell>
          <cell r="C206" t="str">
            <v>Espagne</v>
          </cell>
          <cell r="F206" t="str">
            <v>❤️</v>
          </cell>
          <cell r="G206">
            <v>17.78</v>
          </cell>
          <cell r="H206" t="str">
            <v>Pièce</v>
          </cell>
          <cell r="I206"/>
          <cell r="J206"/>
          <cell r="K206"/>
        </row>
        <row r="207">
          <cell r="A207">
            <v>3967</v>
          </cell>
          <cell r="B207" t="str">
            <v>Pitaya/Fruit du dragon (jaune à l'extérieur et pulpe blanche)</v>
          </cell>
          <cell r="C207" t="str">
            <v>Grenade</v>
          </cell>
          <cell r="F207"/>
          <cell r="G207">
            <v>9.3000000000000007</v>
          </cell>
          <cell r="H207" t="str">
            <v>kg</v>
          </cell>
          <cell r="I207"/>
          <cell r="J207"/>
          <cell r="K207"/>
        </row>
        <row r="208">
          <cell r="A208">
            <v>3043</v>
          </cell>
          <cell r="B208" t="str">
            <v xml:space="preserve">Poire Conférence  </v>
          </cell>
          <cell r="C208" t="str">
            <v>Espagne</v>
          </cell>
          <cell r="F208"/>
          <cell r="G208">
            <v>3</v>
          </cell>
          <cell r="H208" t="str">
            <v>kg</v>
          </cell>
          <cell r="I208" t="str">
            <v>X</v>
          </cell>
          <cell r="J208" t="str">
            <v>X</v>
          </cell>
          <cell r="K208"/>
        </row>
        <row r="209">
          <cell r="A209">
            <v>1123</v>
          </cell>
          <cell r="B209" t="str">
            <v>Poire Conférence BIO</v>
          </cell>
          <cell r="C209" t="str">
            <v>Espagne</v>
          </cell>
          <cell r="F209"/>
          <cell r="G209">
            <v>3.96</v>
          </cell>
          <cell r="H209" t="str">
            <v>kg</v>
          </cell>
          <cell r="I209" t="str">
            <v>X</v>
          </cell>
          <cell r="J209" t="str">
            <v>X</v>
          </cell>
          <cell r="K209"/>
        </row>
        <row r="210">
          <cell r="A210">
            <v>1535</v>
          </cell>
          <cell r="B210" t="str">
            <v>Poire déshydratée BIO</v>
          </cell>
          <cell r="C210" t="str">
            <v>Grenade</v>
          </cell>
          <cell r="F210"/>
          <cell r="G210">
            <v>22.59</v>
          </cell>
          <cell r="H210" t="str">
            <v>kg</v>
          </cell>
          <cell r="I210"/>
          <cell r="J210"/>
          <cell r="K210"/>
        </row>
        <row r="211">
          <cell r="A211">
            <v>1062</v>
          </cell>
          <cell r="B211" t="str">
            <v>Poireau BIO</v>
          </cell>
          <cell r="C211" t="str">
            <v>Malaga</v>
          </cell>
          <cell r="F211"/>
          <cell r="G211">
            <v>3.41</v>
          </cell>
          <cell r="H211" t="str">
            <v>kg</v>
          </cell>
          <cell r="I211" t="str">
            <v>X</v>
          </cell>
          <cell r="J211"/>
          <cell r="K211"/>
        </row>
        <row r="212">
          <cell r="A212">
            <v>3313</v>
          </cell>
          <cell r="B212" t="str">
            <v>Poivron mini en couleur (saveur sucrée)</v>
          </cell>
          <cell r="C212" t="str">
            <v>Grenade</v>
          </cell>
          <cell r="F212" t="str">
            <v>❤️</v>
          </cell>
          <cell r="G212">
            <v>3.14</v>
          </cell>
          <cell r="H212" t="str">
            <v>kg</v>
          </cell>
          <cell r="I212" t="str">
            <v>X</v>
          </cell>
          <cell r="J212" t="str">
            <v>X</v>
          </cell>
          <cell r="K212"/>
        </row>
        <row r="213">
          <cell r="A213">
            <v>3106</v>
          </cell>
          <cell r="B213" t="str">
            <v>Poivron rouge déshydraté
    - (production Rufino - env. 200g)</v>
          </cell>
          <cell r="C213" t="str">
            <v>Grenade</v>
          </cell>
          <cell r="F213"/>
          <cell r="G213">
            <v>4.08</v>
          </cell>
          <cell r="H213" t="str">
            <v>Pièce</v>
          </cell>
          <cell r="I213"/>
          <cell r="J213"/>
          <cell r="K213"/>
        </row>
        <row r="214">
          <cell r="A214">
            <v>1076</v>
          </cell>
          <cell r="B214" t="str">
            <v>Poivron vert italien BIO</v>
          </cell>
          <cell r="C214" t="str">
            <v>Malaga</v>
          </cell>
          <cell r="F214" t="str">
            <v>OFFRE</v>
          </cell>
          <cell r="G214">
            <v>3.14</v>
          </cell>
          <cell r="H214" t="str">
            <v>kg</v>
          </cell>
          <cell r="I214" t="str">
            <v>X</v>
          </cell>
          <cell r="J214"/>
          <cell r="K214"/>
        </row>
        <row r="215">
          <cell r="A215">
            <v>6041</v>
          </cell>
          <cell r="B215" t="str">
            <v>Polen Frais BIO (bocal 500g)</v>
          </cell>
          <cell r="C215" t="str">
            <v>Cordoue</v>
          </cell>
          <cell r="F215" t="str">
            <v>❤️</v>
          </cell>
          <cell r="G215">
            <v>17.78</v>
          </cell>
          <cell r="H215" t="str">
            <v>Pièce</v>
          </cell>
          <cell r="I215"/>
          <cell r="J215"/>
          <cell r="K215"/>
        </row>
        <row r="216">
          <cell r="A216" t="str">
            <v>1564</v>
          </cell>
          <cell r="B216" t="str">
            <v>Polen sec BIO (bocal 500g)</v>
          </cell>
          <cell r="C216" t="str">
            <v>Huelva</v>
          </cell>
          <cell r="F216" t="str">
            <v>❤️</v>
          </cell>
          <cell r="G216">
            <v>18.48</v>
          </cell>
          <cell r="H216" t="str">
            <v>Pièce</v>
          </cell>
          <cell r="I216"/>
          <cell r="J216"/>
          <cell r="K216"/>
        </row>
        <row r="217">
          <cell r="A217">
            <v>1986</v>
          </cell>
          <cell r="B217" t="str">
            <v>Pomme de terre nouvelle Hero BIO</v>
          </cell>
          <cell r="C217" t="str">
            <v>Malaga</v>
          </cell>
          <cell r="F217"/>
          <cell r="G217">
            <v>2.04</v>
          </cell>
          <cell r="H217" t="str">
            <v>kg</v>
          </cell>
          <cell r="I217" t="str">
            <v>X</v>
          </cell>
          <cell r="J217" t="str">
            <v>X</v>
          </cell>
          <cell r="K217"/>
        </row>
        <row r="218">
          <cell r="A218">
            <v>1147</v>
          </cell>
          <cell r="B218" t="str">
            <v>Pomme de terre rouge BIO</v>
          </cell>
          <cell r="C218" t="str">
            <v>Grenade</v>
          </cell>
          <cell r="F218"/>
          <cell r="G218">
            <v>2.3199999999999998</v>
          </cell>
          <cell r="H218" t="str">
            <v>kg</v>
          </cell>
          <cell r="I218" t="str">
            <v>X</v>
          </cell>
          <cell r="J218" t="str">
            <v>X</v>
          </cell>
          <cell r="K218"/>
        </row>
        <row r="219">
          <cell r="A219">
            <v>3750</v>
          </cell>
          <cell r="B219" t="str">
            <v>Pomme déshydratée
    - (production Rufino, env. 300g)</v>
          </cell>
          <cell r="C219" t="str">
            <v>Grenade</v>
          </cell>
          <cell r="F219"/>
          <cell r="G219">
            <v>7.52</v>
          </cell>
          <cell r="H219" t="str">
            <v>Pièce</v>
          </cell>
          <cell r="I219"/>
          <cell r="J219"/>
          <cell r="K219"/>
        </row>
        <row r="220">
          <cell r="A220">
            <v>3478</v>
          </cell>
          <cell r="B220" t="str">
            <v>pomme Fuji</v>
          </cell>
          <cell r="C220" t="str">
            <v>National</v>
          </cell>
          <cell r="F220"/>
          <cell r="G220">
            <v>2.86</v>
          </cell>
          <cell r="H220" t="str">
            <v>kg</v>
          </cell>
          <cell r="I220" t="str">
            <v>X</v>
          </cell>
          <cell r="J220" t="str">
            <v>X</v>
          </cell>
          <cell r="K220"/>
        </row>
        <row r="221">
          <cell r="A221" t="str">
            <v>5124-3852</v>
          </cell>
          <cell r="B221" t="str">
            <v>Pomme Golden</v>
          </cell>
          <cell r="C221" t="str">
            <v>Grenade</v>
          </cell>
          <cell r="F221"/>
          <cell r="G221">
            <v>2.1800000000000002</v>
          </cell>
          <cell r="H221" t="str">
            <v>kg</v>
          </cell>
          <cell r="I221" t="str">
            <v>X</v>
          </cell>
          <cell r="J221" t="str">
            <v>X</v>
          </cell>
          <cell r="K221" t="str">
            <v>X</v>
          </cell>
        </row>
        <row r="222">
          <cell r="A222">
            <v>3973</v>
          </cell>
          <cell r="B222" t="str">
            <v>Pomme Granny Smith</v>
          </cell>
          <cell r="C222" t="str">
            <v>Grenade</v>
          </cell>
          <cell r="F222"/>
          <cell r="G222">
            <v>2.04</v>
          </cell>
          <cell r="H222" t="str">
            <v>kg</v>
          </cell>
          <cell r="I222" t="str">
            <v>X</v>
          </cell>
          <cell r="J222" t="str">
            <v>X</v>
          </cell>
          <cell r="K222" t="str">
            <v>X</v>
          </cell>
        </row>
        <row r="223">
          <cell r="A223">
            <v>3706</v>
          </cell>
          <cell r="B223" t="str">
            <v>Pomme Reineta</v>
          </cell>
          <cell r="C223" t="str">
            <v>National</v>
          </cell>
          <cell r="F223"/>
          <cell r="G223">
            <v>4.08</v>
          </cell>
          <cell r="H223" t="str">
            <v>kg</v>
          </cell>
          <cell r="I223" t="str">
            <v>X</v>
          </cell>
          <cell r="J223"/>
          <cell r="K223"/>
        </row>
        <row r="224">
          <cell r="A224">
            <v>3145</v>
          </cell>
          <cell r="B224" t="str">
            <v>Pomme rouge Starky</v>
          </cell>
          <cell r="C224" t="str">
            <v>Grenade</v>
          </cell>
          <cell r="F224" t="str">
            <v>❤️</v>
          </cell>
          <cell r="G224">
            <v>2.1800000000000002</v>
          </cell>
          <cell r="H224" t="str">
            <v>kg</v>
          </cell>
          <cell r="I224" t="str">
            <v>X</v>
          </cell>
          <cell r="J224" t="str">
            <v>X</v>
          </cell>
          <cell r="K224" t="str">
            <v>X</v>
          </cell>
        </row>
        <row r="225">
          <cell r="A225">
            <v>5149</v>
          </cell>
          <cell r="B225" t="str">
            <v>Pomme rouge Top Red</v>
          </cell>
          <cell r="C225" t="str">
            <v>Grenade</v>
          </cell>
          <cell r="F225"/>
          <cell r="G225">
            <v>2.4500000000000002</v>
          </cell>
          <cell r="H225" t="str">
            <v>kg</v>
          </cell>
          <cell r="I225" t="str">
            <v>X</v>
          </cell>
          <cell r="J225"/>
          <cell r="K225"/>
        </row>
        <row r="226">
          <cell r="A226">
            <v>3876</v>
          </cell>
          <cell r="B226" t="str">
            <v>Pomme verte Doncella</v>
          </cell>
          <cell r="C226" t="str">
            <v>Grenade</v>
          </cell>
          <cell r="F226"/>
          <cell r="G226">
            <v>2.4500000000000002</v>
          </cell>
          <cell r="H226" t="str">
            <v>kg</v>
          </cell>
          <cell r="I226" t="str">
            <v>X</v>
          </cell>
          <cell r="J226" t="str">
            <v>X</v>
          </cell>
          <cell r="K226"/>
        </row>
        <row r="227">
          <cell r="A227">
            <v>1825</v>
          </cell>
          <cell r="B227" t="str">
            <v>Quinoa blanc BIO</v>
          </cell>
          <cell r="C227" t="str">
            <v>Import</v>
          </cell>
          <cell r="F227"/>
          <cell r="G227">
            <v>9.0299999999999994</v>
          </cell>
          <cell r="H227" t="str">
            <v>kg</v>
          </cell>
          <cell r="I227" t="str">
            <v>X</v>
          </cell>
          <cell r="J227"/>
          <cell r="K227"/>
        </row>
        <row r="228">
          <cell r="A228">
            <v>3824</v>
          </cell>
          <cell r="B228" t="str">
            <v>Radis Daikon</v>
          </cell>
          <cell r="C228" t="str">
            <v>Espagne</v>
          </cell>
          <cell r="F228" t="str">
            <v>❤️</v>
          </cell>
          <cell r="G228">
            <v>2.4500000000000002</v>
          </cell>
          <cell r="H228" t="str">
            <v>kg</v>
          </cell>
          <cell r="I228" t="str">
            <v>X</v>
          </cell>
          <cell r="J228"/>
          <cell r="K228"/>
        </row>
        <row r="229">
          <cell r="A229">
            <v>1073</v>
          </cell>
          <cell r="B229" t="str">
            <v>Raisin sec Sultana BIO
    - (env. 1kg)</v>
          </cell>
          <cell r="C229" t="str">
            <v>Turquie</v>
          </cell>
          <cell r="F229" t="str">
            <v>❤️</v>
          </cell>
          <cell r="G229">
            <v>6.82</v>
          </cell>
          <cell r="H229" t="str">
            <v>Pièce</v>
          </cell>
          <cell r="I229" t="str">
            <v>X</v>
          </cell>
          <cell r="J229" t="str">
            <v>X</v>
          </cell>
          <cell r="K229"/>
        </row>
        <row r="230">
          <cell r="A230">
            <v>3752</v>
          </cell>
          <cell r="B230" t="str">
            <v>Raisins semi -secs Muscat en grains 
    - séchage passif naturel (env. 500g)</v>
          </cell>
          <cell r="C230" t="str">
            <v>Malaga</v>
          </cell>
          <cell r="F230" t="str">
            <v>❤️</v>
          </cell>
          <cell r="G230">
            <v>5.88</v>
          </cell>
          <cell r="H230" t="str">
            <v>Pièce</v>
          </cell>
          <cell r="I230"/>
          <cell r="J230"/>
          <cell r="K230"/>
        </row>
        <row r="231">
          <cell r="A231">
            <v>1694</v>
          </cell>
          <cell r="B231" t="str">
            <v>Reishi en poudre CRU BIO (env. 200g)</v>
          </cell>
          <cell r="C231" t="str">
            <v>Import</v>
          </cell>
          <cell r="F231"/>
          <cell r="G231">
            <v>20.52</v>
          </cell>
          <cell r="H231" t="str">
            <v>Pièce</v>
          </cell>
          <cell r="I231" t="str">
            <v>X</v>
          </cell>
          <cell r="J231"/>
          <cell r="K231"/>
        </row>
        <row r="232">
          <cell r="A232">
            <v>3713</v>
          </cell>
          <cell r="B232" t="str">
            <v>Sel rose de l'Himalaya moulu
    - (sous vide, env. 1kg)</v>
          </cell>
          <cell r="C232" t="str">
            <v>Pakistan</v>
          </cell>
          <cell r="F232" t="str">
            <v>❤️</v>
          </cell>
          <cell r="G232">
            <v>2.71</v>
          </cell>
          <cell r="H232" t="str">
            <v>kg</v>
          </cell>
          <cell r="I232" t="str">
            <v>X</v>
          </cell>
          <cell r="J232"/>
          <cell r="K232"/>
        </row>
        <row r="233">
          <cell r="A233">
            <v>1358</v>
          </cell>
          <cell r="B233" t="str">
            <v>Sésame CRU BIO (env. 1kg)</v>
          </cell>
          <cell r="C233" t="str">
            <v>Paraguay
Egypte</v>
          </cell>
          <cell r="F233" t="str">
            <v>❤️</v>
          </cell>
          <cell r="G233">
            <v>6.82</v>
          </cell>
          <cell r="H233" t="str">
            <v>Pièce</v>
          </cell>
          <cell r="I233" t="str">
            <v>X</v>
          </cell>
          <cell r="J233"/>
          <cell r="K233"/>
        </row>
        <row r="234">
          <cell r="A234">
            <v>1860</v>
          </cell>
          <cell r="B234" t="str">
            <v>Souchet BIO (env. 1kg)</v>
          </cell>
          <cell r="C234" t="str">
            <v>Import</v>
          </cell>
          <cell r="F234" t="str">
            <v>❤️</v>
          </cell>
          <cell r="G234">
            <v>8.19</v>
          </cell>
          <cell r="H234" t="str">
            <v>Pièce</v>
          </cell>
          <cell r="I234" t="str">
            <v>X</v>
          </cell>
          <cell r="J234" t="str">
            <v>X</v>
          </cell>
          <cell r="K234"/>
        </row>
        <row r="235">
          <cell r="A235">
            <v>1496</v>
          </cell>
          <cell r="B235" t="str">
            <v>Spaguetti de mer déshydraté BIO (env. 1kg)</v>
          </cell>
          <cell r="C235" t="str">
            <v>Galice</v>
          </cell>
          <cell r="F235" t="str">
            <v>❤️</v>
          </cell>
          <cell r="G235">
            <v>37.659999999999997</v>
          </cell>
          <cell r="H235" t="str">
            <v>Pièce</v>
          </cell>
          <cell r="I235"/>
          <cell r="J235"/>
          <cell r="K235"/>
        </row>
        <row r="236">
          <cell r="A236">
            <v>1496</v>
          </cell>
          <cell r="B236" t="str">
            <v>Spaguetti de mer déshydraté BIO (env. 500g)</v>
          </cell>
          <cell r="C236" t="str">
            <v>Galice</v>
          </cell>
          <cell r="F236" t="str">
            <v>❤️</v>
          </cell>
          <cell r="G236">
            <v>19.579999999999998</v>
          </cell>
          <cell r="H236" t="str">
            <v>Pièce</v>
          </cell>
          <cell r="I236"/>
          <cell r="J236"/>
          <cell r="K236"/>
        </row>
        <row r="237">
          <cell r="A237">
            <v>1612</v>
          </cell>
          <cell r="B237" t="str">
            <v>Spiruline en poudre BIO (env. 1kg)</v>
          </cell>
          <cell r="C237" t="str">
            <v>Inde</v>
          </cell>
          <cell r="F237" t="str">
            <v>❤️</v>
          </cell>
          <cell r="G237">
            <v>34.22</v>
          </cell>
          <cell r="H237" t="str">
            <v>Pièce</v>
          </cell>
          <cell r="I237"/>
          <cell r="J237"/>
          <cell r="K237"/>
        </row>
        <row r="238">
          <cell r="A238">
            <v>3931</v>
          </cell>
          <cell r="B238" t="str">
            <v>Sucre de canne à sucre (env. 550g, bocal en verre)</v>
          </cell>
          <cell r="C238" t="str">
            <v>National</v>
          </cell>
          <cell r="F238"/>
          <cell r="G238">
            <v>5.0599999999999996</v>
          </cell>
          <cell r="H238" t="str">
            <v>Pièce</v>
          </cell>
          <cell r="I238"/>
          <cell r="J238"/>
          <cell r="K238"/>
        </row>
        <row r="239">
          <cell r="A239">
            <v>1575</v>
          </cell>
          <cell r="B239" t="str">
            <v>Sucre de coco BIO (env. 1kg)</v>
          </cell>
          <cell r="C239" t="str">
            <v>Indonésie</v>
          </cell>
          <cell r="F239" t="str">
            <v>❤️</v>
          </cell>
          <cell r="G239">
            <v>11.91</v>
          </cell>
          <cell r="H239" t="str">
            <v>Pièce</v>
          </cell>
          <cell r="I239" t="str">
            <v>X</v>
          </cell>
          <cell r="J239"/>
          <cell r="K239"/>
        </row>
        <row r="240">
          <cell r="A240">
            <v>6110</v>
          </cell>
          <cell r="B240" t="str">
            <v>Tomate déshydratée en lamelle fine CRU BIO (env. 1kg, 35ºC, qualité supérieure)</v>
          </cell>
          <cell r="C240" t="str">
            <v>Espagne</v>
          </cell>
          <cell r="F240" t="str">
            <v>❤️</v>
          </cell>
          <cell r="G240">
            <v>32.85</v>
          </cell>
          <cell r="H240" t="str">
            <v>Pièce</v>
          </cell>
          <cell r="I240"/>
          <cell r="J240"/>
          <cell r="K240"/>
        </row>
        <row r="241">
          <cell r="A241">
            <v>6110</v>
          </cell>
          <cell r="B241" t="str">
            <v>Tomate déshydratée en lamelle fine CRU BIO (env. 200g, 35ºC, qualité supérieure)</v>
          </cell>
          <cell r="C241" t="str">
            <v>Espagne</v>
          </cell>
          <cell r="F241" t="str">
            <v>❤️</v>
          </cell>
          <cell r="G241">
            <v>7.25</v>
          </cell>
          <cell r="H241" t="str">
            <v>Pièce</v>
          </cell>
          <cell r="I241"/>
          <cell r="J241"/>
          <cell r="K241"/>
        </row>
        <row r="242">
          <cell r="A242" t="str">
            <v>3870- 3828- 3890</v>
          </cell>
          <cell r="B242" t="str">
            <v>Tomate Raf (Puri) rayée noire</v>
          </cell>
          <cell r="C242" t="str">
            <v>Grenade</v>
          </cell>
          <cell r="F242"/>
          <cell r="G242">
            <v>3.14</v>
          </cell>
          <cell r="H242" t="str">
            <v>kg</v>
          </cell>
          <cell r="I242" t="str">
            <v>X</v>
          </cell>
          <cell r="J242" t="str">
            <v>X</v>
          </cell>
          <cell r="K242"/>
        </row>
        <row r="243">
          <cell r="A243">
            <v>3783</v>
          </cell>
          <cell r="B243" t="str">
            <v>Xylitol (sucre de bouleau) (env. 1kg)</v>
          </cell>
          <cell r="C243" t="str">
            <v>Pérou</v>
          </cell>
          <cell r="F243"/>
          <cell r="G243">
            <v>24.63</v>
          </cell>
          <cell r="H243" t="str">
            <v>Pièce</v>
          </cell>
          <cell r="I243" t="str">
            <v>X</v>
          </cell>
          <cell r="J243"/>
          <cell r="K243"/>
        </row>
        <row r="244">
          <cell r="A244"/>
          <cell r="B244"/>
          <cell r="C244"/>
          <cell r="F244"/>
          <cell r="G244"/>
          <cell r="H244"/>
          <cell r="I244"/>
          <cell r="J244"/>
          <cell r="K244"/>
        </row>
        <row r="245">
          <cell r="A245"/>
          <cell r="B245"/>
          <cell r="C245"/>
          <cell r="F245"/>
          <cell r="G245"/>
          <cell r="H245"/>
          <cell r="I245"/>
          <cell r="J245"/>
          <cell r="K245"/>
        </row>
        <row r="246">
          <cell r="A246"/>
          <cell r="B246"/>
          <cell r="C246"/>
          <cell r="F246"/>
          <cell r="G246"/>
          <cell r="H246"/>
          <cell r="I246"/>
          <cell r="J246"/>
          <cell r="K246"/>
        </row>
        <row r="247">
          <cell r="A247"/>
          <cell r="B247"/>
          <cell r="C247"/>
          <cell r="F247"/>
          <cell r="G247"/>
          <cell r="H247"/>
          <cell r="I247"/>
          <cell r="J247"/>
          <cell r="K247"/>
        </row>
        <row r="248">
          <cell r="A248"/>
          <cell r="B248"/>
          <cell r="C248"/>
          <cell r="F248"/>
          <cell r="G248"/>
          <cell r="H248"/>
          <cell r="I248"/>
          <cell r="J248"/>
          <cell r="K248"/>
        </row>
        <row r="249">
          <cell r="A249"/>
          <cell r="B249"/>
          <cell r="C249"/>
          <cell r="F249"/>
          <cell r="G249"/>
          <cell r="H249"/>
          <cell r="I249"/>
          <cell r="J249"/>
          <cell r="K249"/>
        </row>
        <row r="250">
          <cell r="A250"/>
          <cell r="B250"/>
          <cell r="C250"/>
          <cell r="F250"/>
          <cell r="G250"/>
          <cell r="H250"/>
          <cell r="I250"/>
          <cell r="J250"/>
          <cell r="K250"/>
        </row>
        <row r="251">
          <cell r="A251"/>
          <cell r="B251"/>
          <cell r="C251"/>
          <cell r="F251"/>
          <cell r="G251"/>
          <cell r="H251"/>
          <cell r="I251"/>
          <cell r="J251"/>
          <cell r="K251"/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B6BE79-8113-4D96-A35F-D29B43EF0C20}" name="Tableau4" displayName="Tableau4" ref="B9:F10" insertRow="1" totalsRowShown="0" dataDxfId="41" tableBorderDxfId="40">
  <autoFilter ref="B9:F10" xr:uid="{5A90F09D-1587-42B4-B0CA-779D97F86391}"/>
  <tableColumns count="5">
    <tableColumn id="1" xr3:uid="{161C9312-DDE7-4B10-B6CA-7424FD978E96}" name="CODE" dataDxfId="39"/>
    <tableColumn id="2" xr3:uid="{A1ED327A-62F0-43A5-8BB3-B1C75128CE21}" name="DESIGNATION" dataDxfId="38"/>
    <tableColumn id="3" xr3:uid="{8CA943E5-7C0D-46C3-AA08-C32135D57173}" name="UNITE" dataDxfId="37"/>
    <tableColumn id="4" xr3:uid="{C70D7847-3821-4D16-AD86-08FEBF46E5E1}" name="QTE" dataDxfId="36"/>
    <tableColumn id="5" xr3:uid="{C9330A21-0ED9-46F0-B3F5-39FEA7130357}" name="PRIX" dataDxfId="35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119420-E72B-45A0-A05A-9A60064049E7}" name="Tableau46" displayName="Tableau46" ref="B9:F10" insertRow="1" totalsRowShown="0" dataDxfId="34" tableBorderDxfId="33">
  <autoFilter ref="B9:F10" xr:uid="{5A90F09D-1587-42B4-B0CA-779D97F86391}"/>
  <tableColumns count="5">
    <tableColumn id="1" xr3:uid="{FCA62C4F-F7EA-487B-9FA4-8EAE07F89E33}" name="CODE" dataDxfId="32"/>
    <tableColumn id="2" xr3:uid="{D25B4304-5B96-4FEF-BEBE-B7F07158F08B}" name="DESIGNATION" dataDxfId="31"/>
    <tableColumn id="3" xr3:uid="{1CE85522-7FED-4BF0-83DA-6FE2F110A223}" name="UNITE" dataDxfId="30"/>
    <tableColumn id="4" xr3:uid="{AB0FFBAB-213E-4E94-A3FB-251BD24AB8CA}" name="QTE" dataDxfId="29"/>
    <tableColumn id="5" xr3:uid="{3EDB9888-6C2C-451B-83FE-5634C493046A}" name="PRIX" dataDxfId="28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EA612C-2358-4008-91BB-0B94AC4C0416}" name="Tableau3" displayName="Tableau3" ref="A1:L251" totalsRowShown="0" headerRowDxfId="25" dataDxfId="24">
  <autoFilter ref="A1:L251" xr:uid="{CBFE9A73-A3D6-4BA0-A4E5-7A3FB2698319}"/>
  <sortState xmlns:xlrd2="http://schemas.microsoft.com/office/spreadsheetml/2017/richdata2" ref="A2:L251">
    <sortCondition ref="B1:B251"/>
  </sortState>
  <tableColumns count="12">
    <tableColumn id="1" xr3:uid="{239A462E-876B-4A16-811F-23316B882245}" name="CODE" dataDxfId="23"/>
    <tableColumn id="2" xr3:uid="{1AEDBBCF-B969-4BF3-B02E-64C46A23AD59}" name="DESIGNATION" dataDxfId="22"/>
    <tableColumn id="3" xr3:uid="{4EA59147-749C-4468-9B7B-4B4C9BBD75F5}" name="ORIGINE" dataDxfId="21"/>
    <tableColumn id="4" xr3:uid="{585E701F-252D-430B-B33D-35A060232053}" name="PRODUCTO" dataDxfId="20"/>
    <tableColumn id="5" xr3:uid="{BF762DE2-2875-4434-9FD8-5D34C4701DC5}" name="ORIGEN" dataDxfId="19"/>
    <tableColumn id="14" xr3:uid="{C630E999-3D2A-48BF-A595-13C941E3AA4D}" name="INFO" dataDxfId="18"/>
    <tableColumn id="6" xr3:uid="{63CBA093-A0CF-42D1-8680-E35812F05A60}" name="PRIX_x000a_(sans FDP)" dataDxfId="17"/>
    <tableColumn id="9" xr3:uid="{D1A6CE2E-8DA8-46AE-B77F-3B2DDB8812A5}" name="UNITÉ" dataDxfId="16" dataCellStyle="Euro"/>
    <tableColumn id="10" xr3:uid="{46004EA1-DE5E-40BC-8A28-C643E5A540E3}" name="10kg" dataDxfId="15"/>
    <tableColumn id="11" xr3:uid="{F1DD5222-A015-46A4-B4E7-21D19F188CA5}" name="30kg" dataDxfId="14"/>
    <tableColumn id="16" xr3:uid="{19EB7FC2-278F-4573-835E-468B5744FEAB}" name="60kg" dataDxfId="13"/>
    <tableColumn id="7" xr3:uid="{97077F7B-9CC3-4B5D-A442-AF96610D1326}" name="5kg_x000a_Min" dataDxfId="12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2:D111">
  <autoFilter ref="A2:D111" xr:uid="{00000000-0009-0000-0100-000001000000}"/>
  <tableColumns count="4">
    <tableColumn id="1" xr3:uid="{00000000-0010-0000-0000-000001000000}" name="NOM" dataDxfId="11"/>
    <tableColumn id="2" xr3:uid="{00000000-0010-0000-0000-000002000000}" name="DPT" dataDxfId="10"/>
    <tableColumn id="3" xr3:uid="{00000000-0010-0000-0000-000003000000}" name="1 à 100 kg" dataDxfId="9"/>
    <tableColumn id="4" xr3:uid="{00000000-0010-0000-0000-000004000000}" name="101 à 200 kg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2:C101">
  <autoFilter ref="A2:C101" xr:uid="{00000000-0009-0000-0100-000002000000}"/>
  <tableColumns count="3">
    <tableColumn id="1" xr3:uid="{00000000-0010-0000-0100-000001000000}" name="NOM" dataDxfId="7"/>
    <tableColumn id="2" xr3:uid="{00000000-0010-0000-0100-000002000000}" name="DPT" dataDxfId="6"/>
    <tableColumn id="3" xr3:uid="{00000000-0010-0000-0100-000003000000}" name="1 à 1 pal" dataDxfId="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/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rgb="FF0070C0"/>
  </sheetPr>
  <dimension ref="A1:H18"/>
  <sheetViews>
    <sheetView zoomScale="150" workbookViewId="0">
      <selection activeCell="I14" sqref="I14"/>
    </sheetView>
  </sheetViews>
  <sheetFormatPr baseColWidth="10" defaultColWidth="10.85546875" defaultRowHeight="15" outlineLevelCol="1" x14ac:dyDescent="0.25"/>
  <cols>
    <col min="1" max="1" width="5.42578125" style="4" customWidth="1"/>
    <col min="2" max="2" width="6" style="4" customWidth="1"/>
    <col min="3" max="3" width="5.140625" style="69" customWidth="1"/>
    <col min="4" max="4" width="5.42578125" style="4" customWidth="1" outlineLevel="1"/>
    <col min="5" max="5" width="19.140625" style="4" customWidth="1" outlineLevel="1"/>
    <col min="6" max="6" width="11" style="51" customWidth="1" outlineLevel="1"/>
    <col min="7" max="7" width="9.28515625" style="5" customWidth="1" outlineLevel="1"/>
    <col min="8" max="8" width="10.85546875" style="4" customWidth="1" outlineLevel="1"/>
    <col min="9" max="9" width="10.85546875" style="4"/>
    <col min="10" max="10" width="10.140625" style="4" customWidth="1"/>
    <col min="11" max="11" width="23.42578125" style="4" bestFit="1" customWidth="1"/>
    <col min="12" max="16384" width="10.85546875" style="4"/>
  </cols>
  <sheetData>
    <row r="1" spans="1:8" ht="15.75" thickTop="1" x14ac:dyDescent="0.25">
      <c r="A1" s="345" t="s">
        <v>17</v>
      </c>
      <c r="B1" s="346"/>
      <c r="C1" s="54"/>
      <c r="D1" s="352" t="s">
        <v>18</v>
      </c>
      <c r="E1" s="6" t="s">
        <v>19</v>
      </c>
      <c r="F1" s="7">
        <v>2.12E-2</v>
      </c>
    </row>
    <row r="2" spans="1:8" ht="15.75" thickBot="1" x14ac:dyDescent="0.3">
      <c r="A2" s="82">
        <v>-0.1</v>
      </c>
      <c r="B2" s="76">
        <v>0.9</v>
      </c>
      <c r="C2" s="53"/>
      <c r="D2" s="353"/>
      <c r="E2" s="9" t="s">
        <v>20</v>
      </c>
      <c r="F2" s="8">
        <v>5</v>
      </c>
    </row>
    <row r="3" spans="1:8" ht="16.5" thickTop="1" thickBot="1" x14ac:dyDescent="0.3">
      <c r="A3" s="82">
        <v>-0.2</v>
      </c>
      <c r="B3" s="76">
        <v>0.8</v>
      </c>
      <c r="C3" s="53"/>
      <c r="D3" s="353"/>
      <c r="E3" s="9" t="s">
        <v>21</v>
      </c>
      <c r="F3" s="8">
        <v>0.6</v>
      </c>
      <c r="G3" s="347" t="s">
        <v>22</v>
      </c>
      <c r="H3" s="348"/>
    </row>
    <row r="4" spans="1:8" ht="16.5" thickTop="1" thickBot="1" x14ac:dyDescent="0.3">
      <c r="A4" s="83">
        <v>-0.3</v>
      </c>
      <c r="B4" s="77">
        <v>0.7</v>
      </c>
      <c r="C4" s="53"/>
      <c r="D4" s="353"/>
      <c r="E4" s="9" t="s">
        <v>23</v>
      </c>
      <c r="F4" s="58" t="e">
        <f>ROUNDUP(QTE_CMD, -1)</f>
        <v>#REF!</v>
      </c>
      <c r="G4" s="55" t="s">
        <v>18</v>
      </c>
      <c r="H4" s="10" t="s">
        <v>24</v>
      </c>
    </row>
    <row r="5" spans="1:8" ht="15.75" thickTop="1" x14ac:dyDescent="0.25">
      <c r="A5" s="11"/>
      <c r="B5" s="5"/>
      <c r="C5" s="52"/>
      <c r="D5" s="353"/>
      <c r="E5" s="9" t="s">
        <v>25</v>
      </c>
      <c r="F5" s="65" t="e">
        <f>VLOOKUP(DEPT,Tableau1[[DPT]:[1 à 100 kg]],2,FALSE)</f>
        <v>#REF!</v>
      </c>
      <c r="G5" s="62" t="e">
        <f>IF(OR(DEPT="2A",DEPT="CH10",DEPT="CH12"), FDP_1, SUM(FDP_1,IND_GAZ*FDP_1,FRS_ADM,RDV_SAN))</f>
        <v>#REF!</v>
      </c>
      <c r="H5" s="62" t="e">
        <f>IF(OR(DEPT="2A",DEPT="CH10",DEPT="CH12"), FDP_1, SUM(FDP_1, IND_GAZ*FDP_1, FRS_ADM, RDV_SAN))</f>
        <v>#REF!</v>
      </c>
    </row>
    <row r="6" spans="1:8" x14ac:dyDescent="0.25">
      <c r="B6" s="12"/>
      <c r="C6" s="73"/>
      <c r="D6" s="353"/>
      <c r="E6" s="9" t="s">
        <v>26</v>
      </c>
      <c r="F6" s="65" t="e">
        <f>VLOOKUP(DEPT,Tableau1[[DPT]:[101 à 200 kg]],3,FALSE)</f>
        <v>#REF!</v>
      </c>
      <c r="G6" s="62" t="e">
        <f>IF(OR(DEPT="2A",DEPT="CH10",DEPT="CH12"), FDP_2, SUM(PDS_CMD_ARR*FDP_2/1000, IND_GAZ*(PDS_CMD_ARR*FDP_2/1000), FRS_ADM, RDV_SAN))</f>
        <v>#REF!</v>
      </c>
      <c r="H6" s="62" t="e">
        <f>IF(OR(DEPT="2A",DEPT="CH10",DEPT="CH12"), FDP_2, SUM(PDS_FACT_ARR*FDP_2/1000, IND_GAZ*(PDS_FACT_ARR*FDP_2/1000), FRS_ADM, RDV_SAN))</f>
        <v>#REF!</v>
      </c>
    </row>
    <row r="7" spans="1:8" ht="15.75" thickBot="1" x14ac:dyDescent="0.3">
      <c r="D7" s="353"/>
      <c r="E7" s="13" t="s">
        <v>27</v>
      </c>
      <c r="F7" s="66" t="e">
        <f>VLOOKUP(DEPT,Tableau2[[DPT]:[1 à 1 pal]],2,FALSE)</f>
        <v>#REF!</v>
      </c>
      <c r="G7" s="63" t="e">
        <f>IF(OR(DEPT="2A",DEPT="CH10",DEPT="CH12"), FDP_3, SUM(FDP_3, IND_GAZ*FDP_3, FRS_ADM, RDV_SAN))</f>
        <v>#REF!</v>
      </c>
      <c r="H7" s="64" t="e">
        <f>IF(OR(DEPT="2A",DEPT="CH10",DEPT="CH12"), FDP_3, SUM(FDP_3, IND_GAZ*FDP_3, FRS_ADM, RDV_SAN))</f>
        <v>#REF!</v>
      </c>
    </row>
    <row r="8" spans="1:8" ht="15.75" thickTop="1" x14ac:dyDescent="0.25">
      <c r="D8" s="353"/>
      <c r="E8" s="74" t="s">
        <v>13</v>
      </c>
      <c r="F8" s="65" t="e">
        <f>_xlfn.IFS(COUNTIF(DEPT, "*À REMPLIR*")&gt;0, "",     PDS_CMD_ARR&lt;101, TOT_FDP_1,    AND(PDS_CMD_ARR&gt;100, PDS_CMD_ARR&lt;201), TOT_FDP_2,    PDS_CMD_ARR&gt;200, TOT_FDP_3,    TRUE, 0)</f>
        <v>#REF!</v>
      </c>
    </row>
    <row r="9" spans="1:8" ht="15.75" thickBot="1" x14ac:dyDescent="0.3">
      <c r="D9" s="354"/>
      <c r="E9" s="50" t="s">
        <v>28</v>
      </c>
      <c r="F9" s="59" t="e">
        <f>IF(QTE_CMD&gt;70, FDP_CMD/QTE_CMD, FDP_CMD/70)</f>
        <v>#REF!</v>
      </c>
      <c r="G9" s="53"/>
    </row>
    <row r="10" spans="1:8" ht="15.75" thickTop="1" x14ac:dyDescent="0.25">
      <c r="D10" s="349" t="s">
        <v>24</v>
      </c>
      <c r="E10" s="6" t="s">
        <v>23</v>
      </c>
      <c r="F10" s="75" t="e">
        <f>ROUNDUP(QTE_FACT, -1)</f>
        <v>#REF!</v>
      </c>
      <c r="G10" s="54"/>
    </row>
    <row r="11" spans="1:8" x14ac:dyDescent="0.25">
      <c r="D11" s="350"/>
      <c r="E11" s="56" t="s">
        <v>29</v>
      </c>
      <c r="F11" s="57" t="e">
        <f>_xlfn.IFS(PDS_FACT_ARR&lt;101, TOT_FDP_4,    AND(PDS_FACT_ARR&gt;100, PDS_FACT_ARR&lt;201), TOT_FDP_5,    PDS_FACT_ARR&gt;200, TOT_FDP_6,    TRUE, 0)</f>
        <v>#REF!</v>
      </c>
      <c r="G11" s="52"/>
    </row>
    <row r="12" spans="1:8" x14ac:dyDescent="0.25">
      <c r="D12" s="350"/>
      <c r="E12" s="56" t="s">
        <v>30</v>
      </c>
      <c r="F12" s="130"/>
      <c r="G12" s="52"/>
    </row>
    <row r="13" spans="1:8" x14ac:dyDescent="0.25">
      <c r="D13" s="350"/>
      <c r="E13" s="60" t="s">
        <v>12</v>
      </c>
      <c r="F13" s="61" t="e">
        <f>IF(FDP_FACT_MAN&gt;0, FDP_FACT_MAN/QTE_FACT, FDP_FACT_AUT/QTE_FACT)</f>
        <v>#REF!</v>
      </c>
    </row>
    <row r="14" spans="1:8" ht="15.75" thickBot="1" x14ac:dyDescent="0.3">
      <c r="D14" s="351"/>
      <c r="E14" s="14" t="s">
        <v>31</v>
      </c>
      <c r="F14" s="67" t="e">
        <f>IF(FDP_FACT_MAN&gt;0, TOT_FACT-FDP_FACT_MAN, TOT_FACT-FDP_FACT_AUT)</f>
        <v>#REF!</v>
      </c>
    </row>
    <row r="15" spans="1:8" ht="16.5" thickTop="1" thickBot="1" x14ac:dyDescent="0.3"/>
    <row r="16" spans="1:8" x14ac:dyDescent="0.25">
      <c r="D16" s="355" t="s">
        <v>32</v>
      </c>
      <c r="E16" s="356"/>
      <c r="F16" s="357"/>
    </row>
    <row r="17" spans="4:6" x14ac:dyDescent="0.25">
      <c r="D17" s="80"/>
      <c r="E17" s="341" t="s">
        <v>33</v>
      </c>
      <c r="F17" s="342"/>
    </row>
    <row r="18" spans="4:6" ht="15.75" thickBot="1" x14ac:dyDescent="0.3">
      <c r="D18" s="81"/>
      <c r="E18" s="343" t="s">
        <v>34</v>
      </c>
      <c r="F18" s="344"/>
    </row>
  </sheetData>
  <sheetProtection algorithmName="SHA-512" hashValue="RinWFBhlzgq5rAdrZRBM1eDi48WPpVYAK8e9CCUkUHydXmLlai/gmqNcJoFpU1WoUYi8wzvk6TQrMAK6Nfw2/w==" saltValue="bCGnvLyozXbx/6B48rLLKw==" spinCount="100000" sheet="1" objects="1" scenarios="1"/>
  <mergeCells count="7">
    <mergeCell ref="E17:F17"/>
    <mergeCell ref="E18:F18"/>
    <mergeCell ref="A1:B1"/>
    <mergeCell ref="G3:H3"/>
    <mergeCell ref="D10:D14"/>
    <mergeCell ref="D1:D9"/>
    <mergeCell ref="D16:F16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AB744-8DF2-4A80-B72B-77CBAA7444EE}">
  <sheetPr codeName="Feuil6"/>
  <dimension ref="A1:Y252"/>
  <sheetViews>
    <sheetView showGridLines="0" zoomScale="90" zoomScaleNormal="100" workbookViewId="0">
      <selection activeCell="S11" sqref="S11"/>
    </sheetView>
  </sheetViews>
  <sheetFormatPr baseColWidth="10" defaultColWidth="0" defaultRowHeight="11.25" zeroHeight="1" outlineLevelCol="1" x14ac:dyDescent="0.2"/>
  <cols>
    <col min="1" max="1" width="9.28515625" style="84" customWidth="1" outlineLevel="1"/>
    <col min="2" max="2" width="12.7109375" style="85" customWidth="1"/>
    <col min="3" max="3" width="39" style="85" customWidth="1"/>
    <col min="4" max="4" width="6.85546875" style="85" customWidth="1"/>
    <col min="5" max="24" width="5.7109375" style="86" customWidth="1"/>
    <col min="25" max="25" width="3.42578125" style="85" customWidth="1"/>
    <col min="26" max="16384" width="11.42578125" style="85" hidden="1"/>
  </cols>
  <sheetData>
    <row r="1" spans="1:24" ht="35.1" customHeight="1" x14ac:dyDescent="0.4">
      <c r="B1" s="358" t="s">
        <v>35</v>
      </c>
      <c r="C1" s="358"/>
      <c r="D1" s="358"/>
      <c r="E1" s="358"/>
      <c r="F1" s="358"/>
      <c r="G1" s="358"/>
      <c r="H1" s="358"/>
      <c r="I1" s="358"/>
      <c r="J1" s="358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</row>
    <row r="2" spans="1:24" ht="12.75" x14ac:dyDescent="0.2">
      <c r="B2" s="163" t="s">
        <v>36</v>
      </c>
      <c r="C2" s="164" t="e">
        <f>#REF!</f>
        <v>#REF!</v>
      </c>
      <c r="D2" s="359" t="e">
        <f>#REF!</f>
        <v>#REF!</v>
      </c>
      <c r="E2" s="360"/>
      <c r="F2" s="360"/>
      <c r="G2" s="360"/>
      <c r="H2" s="360"/>
      <c r="I2" s="360"/>
      <c r="J2" s="360"/>
    </row>
    <row r="3" spans="1:24" ht="12.75" x14ac:dyDescent="0.2">
      <c r="B3" s="165" t="s">
        <v>37</v>
      </c>
      <c r="C3" s="166" t="s">
        <v>38</v>
      </c>
      <c r="D3" s="359" t="e">
        <f>#REF!</f>
        <v>#REF!</v>
      </c>
      <c r="E3" s="361"/>
      <c r="F3" s="361"/>
      <c r="G3" s="361"/>
      <c r="H3" s="361"/>
      <c r="I3" s="361"/>
      <c r="J3" s="361"/>
    </row>
    <row r="4" spans="1:24" ht="104.25" customHeight="1" x14ac:dyDescent="0.2">
      <c r="A4" s="176"/>
      <c r="B4" s="177" t="s">
        <v>43</v>
      </c>
      <c r="C4" s="362"/>
      <c r="D4" s="363"/>
      <c r="E4" s="179" t="e">
        <f>#REF!</f>
        <v>#REF!</v>
      </c>
      <c r="F4" s="179" t="e">
        <f>#REF!</f>
        <v>#REF!</v>
      </c>
      <c r="G4" s="179" t="e">
        <f>#REF!</f>
        <v>#REF!</v>
      </c>
      <c r="H4" s="179" t="e">
        <f>#REF!</f>
        <v>#REF!</v>
      </c>
      <c r="I4" s="179" t="e">
        <f>#REF!</f>
        <v>#REF!</v>
      </c>
      <c r="J4" s="179" t="e">
        <f>#REF!</f>
        <v>#REF!</v>
      </c>
      <c r="K4" s="179" t="e">
        <f>#REF!</f>
        <v>#REF!</v>
      </c>
      <c r="L4" s="179" t="e">
        <f>#REF!</f>
        <v>#REF!</v>
      </c>
      <c r="M4" s="179" t="e">
        <f>#REF!</f>
        <v>#REF!</v>
      </c>
      <c r="N4" s="179" t="e">
        <f>#REF!</f>
        <v>#REF!</v>
      </c>
      <c r="O4" s="179" t="e">
        <f>#REF!</f>
        <v>#REF!</v>
      </c>
      <c r="P4" s="179" t="e">
        <f>#REF!</f>
        <v>#REF!</v>
      </c>
      <c r="Q4" s="179" t="e">
        <f>#REF!</f>
        <v>#REF!</v>
      </c>
      <c r="R4" s="179" t="e">
        <f>#REF!</f>
        <v>#REF!</v>
      </c>
      <c r="S4" s="179" t="e">
        <f>#REF!</f>
        <v>#REF!</v>
      </c>
      <c r="T4" s="179" t="e">
        <f>#REF!</f>
        <v>#REF!</v>
      </c>
      <c r="U4" s="179" t="e">
        <f>#REF!</f>
        <v>#REF!</v>
      </c>
      <c r="V4" s="179" t="e">
        <f>#REF!</f>
        <v>#REF!</v>
      </c>
      <c r="W4" s="179" t="e">
        <f>#REF!</f>
        <v>#REF!</v>
      </c>
      <c r="X4" s="179" t="e">
        <f>#REF!</f>
        <v>#REF!</v>
      </c>
    </row>
    <row r="5" spans="1:24" s="86" customFormat="1" ht="48" customHeight="1" x14ac:dyDescent="0.25">
      <c r="A5" s="167" t="s">
        <v>15</v>
      </c>
      <c r="B5" s="172" t="s">
        <v>5</v>
      </c>
      <c r="C5" s="173" t="s">
        <v>7</v>
      </c>
      <c r="D5" s="174" t="s">
        <v>10</v>
      </c>
      <c r="E5" s="178">
        <v>1</v>
      </c>
      <c r="F5" s="178">
        <v>2</v>
      </c>
      <c r="G5" s="178">
        <v>3</v>
      </c>
      <c r="H5" s="178">
        <v>4</v>
      </c>
      <c r="I5" s="178">
        <v>5</v>
      </c>
      <c r="J5" s="178">
        <v>6</v>
      </c>
      <c r="K5" s="178">
        <v>7</v>
      </c>
      <c r="L5" s="178">
        <v>8</v>
      </c>
      <c r="M5" s="178">
        <v>9</v>
      </c>
      <c r="N5" s="178">
        <v>10</v>
      </c>
      <c r="O5" s="178">
        <v>11</v>
      </c>
      <c r="P5" s="178">
        <v>12</v>
      </c>
      <c r="Q5" s="178">
        <v>13</v>
      </c>
      <c r="R5" s="178">
        <v>14</v>
      </c>
      <c r="S5" s="178">
        <v>15</v>
      </c>
      <c r="T5" s="178">
        <v>16</v>
      </c>
      <c r="U5" s="178">
        <v>17</v>
      </c>
      <c r="V5" s="178">
        <v>18</v>
      </c>
      <c r="W5" s="178">
        <v>19</v>
      </c>
      <c r="X5" s="178">
        <v>20</v>
      </c>
    </row>
    <row r="6" spans="1:24" ht="24.95" customHeight="1" x14ac:dyDescent="0.2">
      <c r="A6" s="168" t="e">
        <f>#REF!</f>
        <v>#REF!</v>
      </c>
      <c r="B6" s="169" t="e">
        <f>#REF!</f>
        <v>#REF!</v>
      </c>
      <c r="C6" s="170" t="e">
        <f>#REF!</f>
        <v>#REF!</v>
      </c>
      <c r="D6" s="171" t="e">
        <f>#REF!</f>
        <v>#REF!</v>
      </c>
      <c r="E6" s="175" t="e">
        <f>#REF!</f>
        <v>#REF!</v>
      </c>
      <c r="F6" s="175" t="e">
        <f>#REF!</f>
        <v>#REF!</v>
      </c>
      <c r="G6" s="175" t="e">
        <f>#REF!</f>
        <v>#REF!</v>
      </c>
      <c r="H6" s="175" t="e">
        <f>#REF!</f>
        <v>#REF!</v>
      </c>
      <c r="I6" s="175" t="e">
        <f>#REF!</f>
        <v>#REF!</v>
      </c>
      <c r="J6" s="175" t="e">
        <f>#REF!</f>
        <v>#REF!</v>
      </c>
      <c r="K6" s="175" t="e">
        <f>#REF!</f>
        <v>#REF!</v>
      </c>
      <c r="L6" s="175" t="e">
        <f>#REF!</f>
        <v>#REF!</v>
      </c>
      <c r="M6" s="175" t="e">
        <f>#REF!</f>
        <v>#REF!</v>
      </c>
      <c r="N6" s="175" t="e">
        <f>#REF!</f>
        <v>#REF!</v>
      </c>
      <c r="O6" s="175" t="e">
        <f>#REF!</f>
        <v>#REF!</v>
      </c>
      <c r="P6" s="175" t="e">
        <f>#REF!</f>
        <v>#REF!</v>
      </c>
      <c r="Q6" s="175" t="e">
        <f>#REF!</f>
        <v>#REF!</v>
      </c>
      <c r="R6" s="175" t="e">
        <f>#REF!</f>
        <v>#REF!</v>
      </c>
      <c r="S6" s="175" t="e">
        <f>#REF!</f>
        <v>#REF!</v>
      </c>
      <c r="T6" s="175" t="e">
        <f>#REF!</f>
        <v>#REF!</v>
      </c>
      <c r="U6" s="175" t="e">
        <f>#REF!</f>
        <v>#REF!</v>
      </c>
      <c r="V6" s="175" t="e">
        <f>#REF!</f>
        <v>#REF!</v>
      </c>
      <c r="W6" s="175" t="e">
        <f>#REF!</f>
        <v>#REF!</v>
      </c>
      <c r="X6" s="175" t="e">
        <f>#REF!</f>
        <v>#REF!</v>
      </c>
    </row>
    <row r="7" spans="1:24" ht="24.95" customHeight="1" x14ac:dyDescent="0.2">
      <c r="A7" s="168" t="e">
        <f>#REF!</f>
        <v>#REF!</v>
      </c>
      <c r="B7" s="169" t="e">
        <f>#REF!</f>
        <v>#REF!</v>
      </c>
      <c r="C7" s="170" t="e">
        <f>#REF!</f>
        <v>#REF!</v>
      </c>
      <c r="D7" s="171" t="e">
        <f>#REF!</f>
        <v>#REF!</v>
      </c>
      <c r="E7" s="171" t="e">
        <f>#REF!</f>
        <v>#REF!</v>
      </c>
      <c r="F7" s="171" t="e">
        <f>#REF!</f>
        <v>#REF!</v>
      </c>
      <c r="G7" s="171" t="e">
        <f>#REF!</f>
        <v>#REF!</v>
      </c>
      <c r="H7" s="171" t="e">
        <f>#REF!</f>
        <v>#REF!</v>
      </c>
      <c r="I7" s="171" t="e">
        <f>#REF!</f>
        <v>#REF!</v>
      </c>
      <c r="J7" s="171" t="e">
        <f>#REF!</f>
        <v>#REF!</v>
      </c>
      <c r="K7" s="171" t="e">
        <f>#REF!</f>
        <v>#REF!</v>
      </c>
      <c r="L7" s="171" t="e">
        <f>#REF!</f>
        <v>#REF!</v>
      </c>
      <c r="M7" s="171" t="e">
        <f>#REF!</f>
        <v>#REF!</v>
      </c>
      <c r="N7" s="171" t="e">
        <f>#REF!</f>
        <v>#REF!</v>
      </c>
      <c r="O7" s="171" t="e">
        <f>#REF!</f>
        <v>#REF!</v>
      </c>
      <c r="P7" s="171" t="e">
        <f>#REF!</f>
        <v>#REF!</v>
      </c>
      <c r="Q7" s="171" t="e">
        <f>#REF!</f>
        <v>#REF!</v>
      </c>
      <c r="R7" s="171" t="e">
        <f>#REF!</f>
        <v>#REF!</v>
      </c>
      <c r="S7" s="171" t="e">
        <f>#REF!</f>
        <v>#REF!</v>
      </c>
      <c r="T7" s="175" t="e">
        <f>#REF!</f>
        <v>#REF!</v>
      </c>
      <c r="U7" s="175" t="e">
        <f>#REF!</f>
        <v>#REF!</v>
      </c>
      <c r="V7" s="175" t="e">
        <f>#REF!</f>
        <v>#REF!</v>
      </c>
      <c r="W7" s="175" t="e">
        <f>#REF!</f>
        <v>#REF!</v>
      </c>
      <c r="X7" s="175" t="e">
        <f>#REF!</f>
        <v>#REF!</v>
      </c>
    </row>
    <row r="8" spans="1:24" ht="24.95" customHeight="1" x14ac:dyDescent="0.2">
      <c r="A8" s="168" t="e">
        <f>#REF!</f>
        <v>#REF!</v>
      </c>
      <c r="B8" s="169" t="e">
        <f>#REF!</f>
        <v>#REF!</v>
      </c>
      <c r="C8" s="170" t="e">
        <f>#REF!</f>
        <v>#REF!</v>
      </c>
      <c r="D8" s="171" t="e">
        <f>#REF!</f>
        <v>#REF!</v>
      </c>
      <c r="E8" s="171" t="e">
        <f>#REF!</f>
        <v>#REF!</v>
      </c>
      <c r="F8" s="171" t="e">
        <f>#REF!</f>
        <v>#REF!</v>
      </c>
      <c r="G8" s="171" t="e">
        <f>#REF!</f>
        <v>#REF!</v>
      </c>
      <c r="H8" s="171" t="e">
        <f>#REF!</f>
        <v>#REF!</v>
      </c>
      <c r="I8" s="171" t="e">
        <f>#REF!</f>
        <v>#REF!</v>
      </c>
      <c r="J8" s="171" t="e">
        <f>#REF!</f>
        <v>#REF!</v>
      </c>
      <c r="K8" s="171" t="e">
        <f>#REF!</f>
        <v>#REF!</v>
      </c>
      <c r="L8" s="171" t="e">
        <f>#REF!</f>
        <v>#REF!</v>
      </c>
      <c r="M8" s="171" t="e">
        <f>#REF!</f>
        <v>#REF!</v>
      </c>
      <c r="N8" s="171" t="e">
        <f>#REF!</f>
        <v>#REF!</v>
      </c>
      <c r="O8" s="171" t="e">
        <f>#REF!</f>
        <v>#REF!</v>
      </c>
      <c r="P8" s="171" t="e">
        <f>#REF!</f>
        <v>#REF!</v>
      </c>
      <c r="Q8" s="171" t="e">
        <f>#REF!</f>
        <v>#REF!</v>
      </c>
      <c r="R8" s="171" t="e">
        <f>#REF!</f>
        <v>#REF!</v>
      </c>
      <c r="S8" s="171" t="e">
        <f>#REF!</f>
        <v>#REF!</v>
      </c>
      <c r="T8" s="175" t="e">
        <f>#REF!</f>
        <v>#REF!</v>
      </c>
      <c r="U8" s="175" t="e">
        <f>#REF!</f>
        <v>#REF!</v>
      </c>
      <c r="V8" s="175" t="e">
        <f>#REF!</f>
        <v>#REF!</v>
      </c>
      <c r="W8" s="175" t="e">
        <f>#REF!</f>
        <v>#REF!</v>
      </c>
      <c r="X8" s="175" t="e">
        <f>#REF!</f>
        <v>#REF!</v>
      </c>
    </row>
    <row r="9" spans="1:24" ht="24.95" customHeight="1" x14ac:dyDescent="0.2">
      <c r="A9" s="168" t="e">
        <f>#REF!</f>
        <v>#REF!</v>
      </c>
      <c r="B9" s="169" t="e">
        <f>#REF!</f>
        <v>#REF!</v>
      </c>
      <c r="C9" s="170" t="e">
        <f>#REF!</f>
        <v>#REF!</v>
      </c>
      <c r="D9" s="171" t="e">
        <f>#REF!</f>
        <v>#REF!</v>
      </c>
      <c r="E9" s="171" t="e">
        <f>#REF!</f>
        <v>#REF!</v>
      </c>
      <c r="F9" s="171" t="e">
        <f>#REF!</f>
        <v>#REF!</v>
      </c>
      <c r="G9" s="171" t="e">
        <f>#REF!</f>
        <v>#REF!</v>
      </c>
      <c r="H9" s="171" t="e">
        <f>#REF!</f>
        <v>#REF!</v>
      </c>
      <c r="I9" s="171" t="e">
        <f>#REF!</f>
        <v>#REF!</v>
      </c>
      <c r="J9" s="171" t="e">
        <f>#REF!</f>
        <v>#REF!</v>
      </c>
      <c r="K9" s="171" t="e">
        <f>#REF!</f>
        <v>#REF!</v>
      </c>
      <c r="L9" s="171" t="e">
        <f>#REF!</f>
        <v>#REF!</v>
      </c>
      <c r="M9" s="171" t="e">
        <f>#REF!</f>
        <v>#REF!</v>
      </c>
      <c r="N9" s="171" t="e">
        <f>#REF!</f>
        <v>#REF!</v>
      </c>
      <c r="O9" s="171" t="e">
        <f>#REF!</f>
        <v>#REF!</v>
      </c>
      <c r="P9" s="171" t="e">
        <f>#REF!</f>
        <v>#REF!</v>
      </c>
      <c r="Q9" s="171" t="e">
        <f>#REF!</f>
        <v>#REF!</v>
      </c>
      <c r="R9" s="171" t="e">
        <f>#REF!</f>
        <v>#REF!</v>
      </c>
      <c r="S9" s="171" t="e">
        <f>#REF!</f>
        <v>#REF!</v>
      </c>
      <c r="T9" s="175" t="e">
        <f>#REF!</f>
        <v>#REF!</v>
      </c>
      <c r="U9" s="175" t="e">
        <f>#REF!</f>
        <v>#REF!</v>
      </c>
      <c r="V9" s="175" t="e">
        <f>#REF!</f>
        <v>#REF!</v>
      </c>
      <c r="W9" s="175" t="e">
        <f>#REF!</f>
        <v>#REF!</v>
      </c>
      <c r="X9" s="175" t="e">
        <f>#REF!</f>
        <v>#REF!</v>
      </c>
    </row>
    <row r="10" spans="1:24" ht="24.95" customHeight="1" x14ac:dyDescent="0.2">
      <c r="A10" s="168" t="e">
        <f>#REF!</f>
        <v>#REF!</v>
      </c>
      <c r="B10" s="169" t="e">
        <f>#REF!</f>
        <v>#REF!</v>
      </c>
      <c r="C10" s="170" t="e">
        <f>#REF!</f>
        <v>#REF!</v>
      </c>
      <c r="D10" s="171" t="e">
        <f>#REF!</f>
        <v>#REF!</v>
      </c>
      <c r="E10" s="171" t="e">
        <f>#REF!</f>
        <v>#REF!</v>
      </c>
      <c r="F10" s="171" t="e">
        <f>#REF!</f>
        <v>#REF!</v>
      </c>
      <c r="G10" s="171" t="e">
        <f>#REF!</f>
        <v>#REF!</v>
      </c>
      <c r="H10" s="171" t="e">
        <f>#REF!</f>
        <v>#REF!</v>
      </c>
      <c r="I10" s="171" t="e">
        <f>#REF!</f>
        <v>#REF!</v>
      </c>
      <c r="J10" s="171" t="e">
        <f>#REF!</f>
        <v>#REF!</v>
      </c>
      <c r="K10" s="171" t="e">
        <f>#REF!</f>
        <v>#REF!</v>
      </c>
      <c r="L10" s="171" t="e">
        <f>#REF!</f>
        <v>#REF!</v>
      </c>
      <c r="M10" s="171" t="e">
        <f>#REF!</f>
        <v>#REF!</v>
      </c>
      <c r="N10" s="171" t="e">
        <f>#REF!</f>
        <v>#REF!</v>
      </c>
      <c r="O10" s="171" t="e">
        <f>#REF!</f>
        <v>#REF!</v>
      </c>
      <c r="P10" s="171" t="e">
        <f>#REF!</f>
        <v>#REF!</v>
      </c>
      <c r="Q10" s="171" t="e">
        <f>#REF!</f>
        <v>#REF!</v>
      </c>
      <c r="R10" s="171" t="e">
        <f>#REF!</f>
        <v>#REF!</v>
      </c>
      <c r="S10" s="171" t="e">
        <f>#REF!</f>
        <v>#REF!</v>
      </c>
      <c r="T10" s="175" t="e">
        <f>#REF!</f>
        <v>#REF!</v>
      </c>
      <c r="U10" s="175" t="e">
        <f>#REF!</f>
        <v>#REF!</v>
      </c>
      <c r="V10" s="175" t="e">
        <f>#REF!</f>
        <v>#REF!</v>
      </c>
      <c r="W10" s="175" t="e">
        <f>#REF!</f>
        <v>#REF!</v>
      </c>
      <c r="X10" s="175" t="e">
        <f>#REF!</f>
        <v>#REF!</v>
      </c>
    </row>
    <row r="11" spans="1:24" ht="24.95" customHeight="1" x14ac:dyDescent="0.2">
      <c r="A11" s="168" t="e">
        <f>#REF!</f>
        <v>#REF!</v>
      </c>
      <c r="B11" s="169" t="e">
        <f>#REF!</f>
        <v>#REF!</v>
      </c>
      <c r="C11" s="170" t="e">
        <f>#REF!</f>
        <v>#REF!</v>
      </c>
      <c r="D11" s="171" t="e">
        <f>#REF!</f>
        <v>#REF!</v>
      </c>
      <c r="E11" s="171" t="e">
        <f>#REF!</f>
        <v>#REF!</v>
      </c>
      <c r="F11" s="171" t="e">
        <f>#REF!</f>
        <v>#REF!</v>
      </c>
      <c r="G11" s="171" t="e">
        <f>#REF!</f>
        <v>#REF!</v>
      </c>
      <c r="H11" s="171" t="e">
        <f>#REF!</f>
        <v>#REF!</v>
      </c>
      <c r="I11" s="171" t="e">
        <f>#REF!</f>
        <v>#REF!</v>
      </c>
      <c r="J11" s="171" t="e">
        <f>#REF!</f>
        <v>#REF!</v>
      </c>
      <c r="K11" s="171" t="e">
        <f>#REF!</f>
        <v>#REF!</v>
      </c>
      <c r="L11" s="171" t="e">
        <f>#REF!</f>
        <v>#REF!</v>
      </c>
      <c r="M11" s="171" t="e">
        <f>#REF!</f>
        <v>#REF!</v>
      </c>
      <c r="N11" s="171" t="e">
        <f>#REF!</f>
        <v>#REF!</v>
      </c>
      <c r="O11" s="171" t="e">
        <f>#REF!</f>
        <v>#REF!</v>
      </c>
      <c r="P11" s="171" t="e">
        <f>#REF!</f>
        <v>#REF!</v>
      </c>
      <c r="Q11" s="171" t="e">
        <f>#REF!</f>
        <v>#REF!</v>
      </c>
      <c r="R11" s="171" t="e">
        <f>#REF!</f>
        <v>#REF!</v>
      </c>
      <c r="S11" s="171" t="e">
        <f>#REF!</f>
        <v>#REF!</v>
      </c>
      <c r="T11" s="175" t="e">
        <f>#REF!</f>
        <v>#REF!</v>
      </c>
      <c r="U11" s="175" t="e">
        <f>#REF!</f>
        <v>#REF!</v>
      </c>
      <c r="V11" s="175" t="e">
        <f>#REF!</f>
        <v>#REF!</v>
      </c>
      <c r="W11" s="175" t="e">
        <f>#REF!</f>
        <v>#REF!</v>
      </c>
      <c r="X11" s="175" t="e">
        <f>#REF!</f>
        <v>#REF!</v>
      </c>
    </row>
    <row r="12" spans="1:24" ht="24.95" customHeight="1" x14ac:dyDescent="0.2">
      <c r="A12" s="168" t="e">
        <f>#REF!</f>
        <v>#REF!</v>
      </c>
      <c r="B12" s="169" t="e">
        <f>#REF!</f>
        <v>#REF!</v>
      </c>
      <c r="C12" s="170" t="e">
        <f>#REF!</f>
        <v>#REF!</v>
      </c>
      <c r="D12" s="171" t="e">
        <f>#REF!</f>
        <v>#REF!</v>
      </c>
      <c r="E12" s="171" t="e">
        <f>#REF!</f>
        <v>#REF!</v>
      </c>
      <c r="F12" s="171" t="e">
        <f>#REF!</f>
        <v>#REF!</v>
      </c>
      <c r="G12" s="171" t="e">
        <f>#REF!</f>
        <v>#REF!</v>
      </c>
      <c r="H12" s="171" t="e">
        <f>#REF!</f>
        <v>#REF!</v>
      </c>
      <c r="I12" s="171" t="e">
        <f>#REF!</f>
        <v>#REF!</v>
      </c>
      <c r="J12" s="171" t="e">
        <f>#REF!</f>
        <v>#REF!</v>
      </c>
      <c r="K12" s="171" t="e">
        <f>#REF!</f>
        <v>#REF!</v>
      </c>
      <c r="L12" s="171" t="e">
        <f>#REF!</f>
        <v>#REF!</v>
      </c>
      <c r="M12" s="171" t="e">
        <f>#REF!</f>
        <v>#REF!</v>
      </c>
      <c r="N12" s="171" t="e">
        <f>#REF!</f>
        <v>#REF!</v>
      </c>
      <c r="O12" s="171" t="e">
        <f>#REF!</f>
        <v>#REF!</v>
      </c>
      <c r="P12" s="171" t="e">
        <f>#REF!</f>
        <v>#REF!</v>
      </c>
      <c r="Q12" s="171" t="e">
        <f>#REF!</f>
        <v>#REF!</v>
      </c>
      <c r="R12" s="171" t="e">
        <f>#REF!</f>
        <v>#REF!</v>
      </c>
      <c r="S12" s="171" t="e">
        <f>#REF!</f>
        <v>#REF!</v>
      </c>
      <c r="T12" s="175" t="e">
        <f>#REF!</f>
        <v>#REF!</v>
      </c>
      <c r="U12" s="175" t="e">
        <f>#REF!</f>
        <v>#REF!</v>
      </c>
      <c r="V12" s="175" t="e">
        <f>#REF!</f>
        <v>#REF!</v>
      </c>
      <c r="W12" s="175" t="e">
        <f>#REF!</f>
        <v>#REF!</v>
      </c>
      <c r="X12" s="175" t="e">
        <f>#REF!</f>
        <v>#REF!</v>
      </c>
    </row>
    <row r="13" spans="1:24" ht="24.95" customHeight="1" x14ac:dyDescent="0.2">
      <c r="A13" s="168" t="e">
        <f>#REF!</f>
        <v>#REF!</v>
      </c>
      <c r="B13" s="169" t="e">
        <f>#REF!</f>
        <v>#REF!</v>
      </c>
      <c r="C13" s="170" t="e">
        <f>#REF!</f>
        <v>#REF!</v>
      </c>
      <c r="D13" s="171" t="e">
        <f>#REF!</f>
        <v>#REF!</v>
      </c>
      <c r="E13" s="171" t="e">
        <f>#REF!</f>
        <v>#REF!</v>
      </c>
      <c r="F13" s="171" t="e">
        <f>#REF!</f>
        <v>#REF!</v>
      </c>
      <c r="G13" s="171" t="e">
        <f>#REF!</f>
        <v>#REF!</v>
      </c>
      <c r="H13" s="171" t="e">
        <f>#REF!</f>
        <v>#REF!</v>
      </c>
      <c r="I13" s="171" t="e">
        <f>#REF!</f>
        <v>#REF!</v>
      </c>
      <c r="J13" s="171" t="e">
        <f>#REF!</f>
        <v>#REF!</v>
      </c>
      <c r="K13" s="171" t="e">
        <f>#REF!</f>
        <v>#REF!</v>
      </c>
      <c r="L13" s="171" t="e">
        <f>#REF!</f>
        <v>#REF!</v>
      </c>
      <c r="M13" s="171" t="e">
        <f>#REF!</f>
        <v>#REF!</v>
      </c>
      <c r="N13" s="171" t="e">
        <f>#REF!</f>
        <v>#REF!</v>
      </c>
      <c r="O13" s="171" t="e">
        <f>#REF!</f>
        <v>#REF!</v>
      </c>
      <c r="P13" s="171" t="e">
        <f>#REF!</f>
        <v>#REF!</v>
      </c>
      <c r="Q13" s="171" t="e">
        <f>#REF!</f>
        <v>#REF!</v>
      </c>
      <c r="R13" s="171" t="e">
        <f>#REF!</f>
        <v>#REF!</v>
      </c>
      <c r="S13" s="171" t="e">
        <f>#REF!</f>
        <v>#REF!</v>
      </c>
      <c r="T13" s="175" t="e">
        <f>#REF!</f>
        <v>#REF!</v>
      </c>
      <c r="U13" s="175" t="e">
        <f>#REF!</f>
        <v>#REF!</v>
      </c>
      <c r="V13" s="175" t="e">
        <f>#REF!</f>
        <v>#REF!</v>
      </c>
      <c r="W13" s="175" t="e">
        <f>#REF!</f>
        <v>#REF!</v>
      </c>
      <c r="X13" s="175" t="e">
        <f>#REF!</f>
        <v>#REF!</v>
      </c>
    </row>
    <row r="14" spans="1:24" ht="24.95" customHeight="1" x14ac:dyDescent="0.2">
      <c r="A14" s="168" t="e">
        <f>#REF!</f>
        <v>#REF!</v>
      </c>
      <c r="B14" s="169" t="e">
        <f>#REF!</f>
        <v>#REF!</v>
      </c>
      <c r="C14" s="170" t="e">
        <f>#REF!</f>
        <v>#REF!</v>
      </c>
      <c r="D14" s="171" t="e">
        <f>#REF!</f>
        <v>#REF!</v>
      </c>
      <c r="E14" s="171" t="e">
        <f>#REF!</f>
        <v>#REF!</v>
      </c>
      <c r="F14" s="171" t="e">
        <f>#REF!</f>
        <v>#REF!</v>
      </c>
      <c r="G14" s="171" t="e">
        <f>#REF!</f>
        <v>#REF!</v>
      </c>
      <c r="H14" s="171" t="e">
        <f>#REF!</f>
        <v>#REF!</v>
      </c>
      <c r="I14" s="171" t="e">
        <f>#REF!</f>
        <v>#REF!</v>
      </c>
      <c r="J14" s="171" t="e">
        <f>#REF!</f>
        <v>#REF!</v>
      </c>
      <c r="K14" s="171" t="e">
        <f>#REF!</f>
        <v>#REF!</v>
      </c>
      <c r="L14" s="171" t="e">
        <f>#REF!</f>
        <v>#REF!</v>
      </c>
      <c r="M14" s="171" t="e">
        <f>#REF!</f>
        <v>#REF!</v>
      </c>
      <c r="N14" s="171" t="e">
        <f>#REF!</f>
        <v>#REF!</v>
      </c>
      <c r="O14" s="171" t="e">
        <f>#REF!</f>
        <v>#REF!</v>
      </c>
      <c r="P14" s="171" t="e">
        <f>#REF!</f>
        <v>#REF!</v>
      </c>
      <c r="Q14" s="171" t="e">
        <f>#REF!</f>
        <v>#REF!</v>
      </c>
      <c r="R14" s="171" t="e">
        <f>#REF!</f>
        <v>#REF!</v>
      </c>
      <c r="S14" s="171" t="e">
        <f>#REF!</f>
        <v>#REF!</v>
      </c>
      <c r="T14" s="175" t="e">
        <f>#REF!</f>
        <v>#REF!</v>
      </c>
      <c r="U14" s="175" t="e">
        <f>#REF!</f>
        <v>#REF!</v>
      </c>
      <c r="V14" s="175" t="e">
        <f>#REF!</f>
        <v>#REF!</v>
      </c>
      <c r="W14" s="175" t="e">
        <f>#REF!</f>
        <v>#REF!</v>
      </c>
      <c r="X14" s="175" t="e">
        <f>#REF!</f>
        <v>#REF!</v>
      </c>
    </row>
    <row r="15" spans="1:24" ht="24.95" customHeight="1" x14ac:dyDescent="0.2">
      <c r="A15" s="168" t="e">
        <f>#REF!</f>
        <v>#REF!</v>
      </c>
      <c r="B15" s="169" t="e">
        <f>#REF!</f>
        <v>#REF!</v>
      </c>
      <c r="C15" s="170" t="e">
        <f>#REF!</f>
        <v>#REF!</v>
      </c>
      <c r="D15" s="171" t="e">
        <f>#REF!</f>
        <v>#REF!</v>
      </c>
      <c r="E15" s="171" t="e">
        <f>#REF!</f>
        <v>#REF!</v>
      </c>
      <c r="F15" s="171" t="e">
        <f>#REF!</f>
        <v>#REF!</v>
      </c>
      <c r="G15" s="171" t="e">
        <f>#REF!</f>
        <v>#REF!</v>
      </c>
      <c r="H15" s="171" t="e">
        <f>#REF!</f>
        <v>#REF!</v>
      </c>
      <c r="I15" s="171" t="e">
        <f>#REF!</f>
        <v>#REF!</v>
      </c>
      <c r="J15" s="171" t="e">
        <f>#REF!</f>
        <v>#REF!</v>
      </c>
      <c r="K15" s="171" t="e">
        <f>#REF!</f>
        <v>#REF!</v>
      </c>
      <c r="L15" s="171" t="e">
        <f>#REF!</f>
        <v>#REF!</v>
      </c>
      <c r="M15" s="171" t="e">
        <f>#REF!</f>
        <v>#REF!</v>
      </c>
      <c r="N15" s="171" t="e">
        <f>#REF!</f>
        <v>#REF!</v>
      </c>
      <c r="O15" s="171" t="e">
        <f>#REF!</f>
        <v>#REF!</v>
      </c>
      <c r="P15" s="171" t="e">
        <f>#REF!</f>
        <v>#REF!</v>
      </c>
      <c r="Q15" s="171" t="e">
        <f>#REF!</f>
        <v>#REF!</v>
      </c>
      <c r="R15" s="171" t="e">
        <f>#REF!</f>
        <v>#REF!</v>
      </c>
      <c r="S15" s="171" t="e">
        <f>#REF!</f>
        <v>#REF!</v>
      </c>
      <c r="T15" s="175" t="e">
        <f>#REF!</f>
        <v>#REF!</v>
      </c>
      <c r="U15" s="175" t="e">
        <f>#REF!</f>
        <v>#REF!</v>
      </c>
      <c r="V15" s="175" t="e">
        <f>#REF!</f>
        <v>#REF!</v>
      </c>
      <c r="W15" s="175" t="e">
        <f>#REF!</f>
        <v>#REF!</v>
      </c>
      <c r="X15" s="175" t="e">
        <f>#REF!</f>
        <v>#REF!</v>
      </c>
    </row>
    <row r="16" spans="1:24" ht="24.95" customHeight="1" x14ac:dyDescent="0.2">
      <c r="A16" s="168" t="e">
        <f>#REF!</f>
        <v>#REF!</v>
      </c>
      <c r="B16" s="169" t="e">
        <f>#REF!</f>
        <v>#REF!</v>
      </c>
      <c r="C16" s="170" t="e">
        <f>#REF!</f>
        <v>#REF!</v>
      </c>
      <c r="D16" s="171" t="e">
        <f>#REF!</f>
        <v>#REF!</v>
      </c>
      <c r="E16" s="171" t="e">
        <f>#REF!</f>
        <v>#REF!</v>
      </c>
      <c r="F16" s="171" t="e">
        <f>#REF!</f>
        <v>#REF!</v>
      </c>
      <c r="G16" s="171" t="e">
        <f>#REF!</f>
        <v>#REF!</v>
      </c>
      <c r="H16" s="171" t="e">
        <f>#REF!</f>
        <v>#REF!</v>
      </c>
      <c r="I16" s="171" t="e">
        <f>#REF!</f>
        <v>#REF!</v>
      </c>
      <c r="J16" s="171" t="e">
        <f>#REF!</f>
        <v>#REF!</v>
      </c>
      <c r="K16" s="171" t="e">
        <f>#REF!</f>
        <v>#REF!</v>
      </c>
      <c r="L16" s="171" t="e">
        <f>#REF!</f>
        <v>#REF!</v>
      </c>
      <c r="M16" s="171" t="e">
        <f>#REF!</f>
        <v>#REF!</v>
      </c>
      <c r="N16" s="171" t="e">
        <f>#REF!</f>
        <v>#REF!</v>
      </c>
      <c r="O16" s="171" t="e">
        <f>#REF!</f>
        <v>#REF!</v>
      </c>
      <c r="P16" s="171" t="e">
        <f>#REF!</f>
        <v>#REF!</v>
      </c>
      <c r="Q16" s="171" t="e">
        <f>#REF!</f>
        <v>#REF!</v>
      </c>
      <c r="R16" s="171" t="e">
        <f>#REF!</f>
        <v>#REF!</v>
      </c>
      <c r="S16" s="171" t="e">
        <f>#REF!</f>
        <v>#REF!</v>
      </c>
      <c r="T16" s="175" t="e">
        <f>#REF!</f>
        <v>#REF!</v>
      </c>
      <c r="U16" s="175" t="e">
        <f>#REF!</f>
        <v>#REF!</v>
      </c>
      <c r="V16" s="175" t="e">
        <f>#REF!</f>
        <v>#REF!</v>
      </c>
      <c r="W16" s="175" t="e">
        <f>#REF!</f>
        <v>#REF!</v>
      </c>
      <c r="X16" s="175" t="e">
        <f>#REF!</f>
        <v>#REF!</v>
      </c>
    </row>
    <row r="17" spans="1:24" ht="24.95" customHeight="1" x14ac:dyDescent="0.2">
      <c r="A17" s="168" t="e">
        <f>#REF!</f>
        <v>#REF!</v>
      </c>
      <c r="B17" s="169" t="e">
        <f>#REF!</f>
        <v>#REF!</v>
      </c>
      <c r="C17" s="170" t="e">
        <f>#REF!</f>
        <v>#REF!</v>
      </c>
      <c r="D17" s="171" t="e">
        <f>#REF!</f>
        <v>#REF!</v>
      </c>
      <c r="E17" s="171" t="e">
        <f>#REF!</f>
        <v>#REF!</v>
      </c>
      <c r="F17" s="171" t="e">
        <f>#REF!</f>
        <v>#REF!</v>
      </c>
      <c r="G17" s="171" t="e">
        <f>#REF!</f>
        <v>#REF!</v>
      </c>
      <c r="H17" s="171" t="e">
        <f>#REF!</f>
        <v>#REF!</v>
      </c>
      <c r="I17" s="171" t="e">
        <f>#REF!</f>
        <v>#REF!</v>
      </c>
      <c r="J17" s="171" t="e">
        <f>#REF!</f>
        <v>#REF!</v>
      </c>
      <c r="K17" s="171" t="e">
        <f>#REF!</f>
        <v>#REF!</v>
      </c>
      <c r="L17" s="171" t="e">
        <f>#REF!</f>
        <v>#REF!</v>
      </c>
      <c r="M17" s="171" t="e">
        <f>#REF!</f>
        <v>#REF!</v>
      </c>
      <c r="N17" s="171" t="e">
        <f>#REF!</f>
        <v>#REF!</v>
      </c>
      <c r="O17" s="171" t="e">
        <f>#REF!</f>
        <v>#REF!</v>
      </c>
      <c r="P17" s="171" t="e">
        <f>#REF!</f>
        <v>#REF!</v>
      </c>
      <c r="Q17" s="171" t="e">
        <f>#REF!</f>
        <v>#REF!</v>
      </c>
      <c r="R17" s="171" t="e">
        <f>#REF!</f>
        <v>#REF!</v>
      </c>
      <c r="S17" s="171" t="e">
        <f>#REF!</f>
        <v>#REF!</v>
      </c>
      <c r="T17" s="175" t="e">
        <f>#REF!</f>
        <v>#REF!</v>
      </c>
      <c r="U17" s="175" t="e">
        <f>#REF!</f>
        <v>#REF!</v>
      </c>
      <c r="V17" s="175" t="e">
        <f>#REF!</f>
        <v>#REF!</v>
      </c>
      <c r="W17" s="175" t="e">
        <f>#REF!</f>
        <v>#REF!</v>
      </c>
      <c r="X17" s="175" t="e">
        <f>#REF!</f>
        <v>#REF!</v>
      </c>
    </row>
    <row r="18" spans="1:24" ht="24.95" customHeight="1" x14ac:dyDescent="0.2">
      <c r="A18" s="168" t="e">
        <f>#REF!</f>
        <v>#REF!</v>
      </c>
      <c r="B18" s="169" t="e">
        <f>#REF!</f>
        <v>#REF!</v>
      </c>
      <c r="C18" s="170" t="e">
        <f>#REF!</f>
        <v>#REF!</v>
      </c>
      <c r="D18" s="171" t="e">
        <f>#REF!</f>
        <v>#REF!</v>
      </c>
      <c r="E18" s="171" t="e">
        <f>#REF!</f>
        <v>#REF!</v>
      </c>
      <c r="F18" s="171" t="e">
        <f>#REF!</f>
        <v>#REF!</v>
      </c>
      <c r="G18" s="171" t="e">
        <f>#REF!</f>
        <v>#REF!</v>
      </c>
      <c r="H18" s="171" t="e">
        <f>#REF!</f>
        <v>#REF!</v>
      </c>
      <c r="I18" s="171" t="e">
        <f>#REF!</f>
        <v>#REF!</v>
      </c>
      <c r="J18" s="171" t="e">
        <f>#REF!</f>
        <v>#REF!</v>
      </c>
      <c r="K18" s="171" t="e">
        <f>#REF!</f>
        <v>#REF!</v>
      </c>
      <c r="L18" s="171" t="e">
        <f>#REF!</f>
        <v>#REF!</v>
      </c>
      <c r="M18" s="171" t="e">
        <f>#REF!</f>
        <v>#REF!</v>
      </c>
      <c r="N18" s="171" t="e">
        <f>#REF!</f>
        <v>#REF!</v>
      </c>
      <c r="O18" s="171" t="e">
        <f>#REF!</f>
        <v>#REF!</v>
      </c>
      <c r="P18" s="171" t="e">
        <f>#REF!</f>
        <v>#REF!</v>
      </c>
      <c r="Q18" s="171" t="e">
        <f>#REF!</f>
        <v>#REF!</v>
      </c>
      <c r="R18" s="171" t="e">
        <f>#REF!</f>
        <v>#REF!</v>
      </c>
      <c r="S18" s="171" t="e">
        <f>#REF!</f>
        <v>#REF!</v>
      </c>
      <c r="T18" s="175" t="e">
        <f>#REF!</f>
        <v>#REF!</v>
      </c>
      <c r="U18" s="175" t="e">
        <f>#REF!</f>
        <v>#REF!</v>
      </c>
      <c r="V18" s="175" t="e">
        <f>#REF!</f>
        <v>#REF!</v>
      </c>
      <c r="W18" s="175" t="e">
        <f>#REF!</f>
        <v>#REF!</v>
      </c>
      <c r="X18" s="175" t="e">
        <f>#REF!</f>
        <v>#REF!</v>
      </c>
    </row>
    <row r="19" spans="1:24" ht="24.95" customHeight="1" x14ac:dyDescent="0.2">
      <c r="A19" s="168" t="e">
        <f>#REF!</f>
        <v>#REF!</v>
      </c>
      <c r="B19" s="169" t="e">
        <f>#REF!</f>
        <v>#REF!</v>
      </c>
      <c r="C19" s="170" t="e">
        <f>#REF!</f>
        <v>#REF!</v>
      </c>
      <c r="D19" s="171" t="e">
        <f>#REF!</f>
        <v>#REF!</v>
      </c>
      <c r="E19" s="171" t="e">
        <f>#REF!</f>
        <v>#REF!</v>
      </c>
      <c r="F19" s="171" t="e">
        <f>#REF!</f>
        <v>#REF!</v>
      </c>
      <c r="G19" s="171" t="e">
        <f>#REF!</f>
        <v>#REF!</v>
      </c>
      <c r="H19" s="171" t="e">
        <f>#REF!</f>
        <v>#REF!</v>
      </c>
      <c r="I19" s="171" t="e">
        <f>#REF!</f>
        <v>#REF!</v>
      </c>
      <c r="J19" s="171" t="e">
        <f>#REF!</f>
        <v>#REF!</v>
      </c>
      <c r="K19" s="171" t="e">
        <f>#REF!</f>
        <v>#REF!</v>
      </c>
      <c r="L19" s="171" t="e">
        <f>#REF!</f>
        <v>#REF!</v>
      </c>
      <c r="M19" s="171" t="e">
        <f>#REF!</f>
        <v>#REF!</v>
      </c>
      <c r="N19" s="171" t="e">
        <f>#REF!</f>
        <v>#REF!</v>
      </c>
      <c r="O19" s="171" t="e">
        <f>#REF!</f>
        <v>#REF!</v>
      </c>
      <c r="P19" s="171" t="e">
        <f>#REF!</f>
        <v>#REF!</v>
      </c>
      <c r="Q19" s="171" t="e">
        <f>#REF!</f>
        <v>#REF!</v>
      </c>
      <c r="R19" s="171" t="e">
        <f>#REF!</f>
        <v>#REF!</v>
      </c>
      <c r="S19" s="171" t="e">
        <f>#REF!</f>
        <v>#REF!</v>
      </c>
      <c r="T19" s="175" t="e">
        <f>#REF!</f>
        <v>#REF!</v>
      </c>
      <c r="U19" s="175" t="e">
        <f>#REF!</f>
        <v>#REF!</v>
      </c>
      <c r="V19" s="175" t="e">
        <f>#REF!</f>
        <v>#REF!</v>
      </c>
      <c r="W19" s="175" t="e">
        <f>#REF!</f>
        <v>#REF!</v>
      </c>
      <c r="X19" s="175" t="e">
        <f>#REF!</f>
        <v>#REF!</v>
      </c>
    </row>
    <row r="20" spans="1:24" ht="24.95" customHeight="1" x14ac:dyDescent="0.2">
      <c r="A20" s="168" t="e">
        <f>#REF!</f>
        <v>#REF!</v>
      </c>
      <c r="B20" s="169" t="e">
        <f>#REF!</f>
        <v>#REF!</v>
      </c>
      <c r="C20" s="170" t="e">
        <f>#REF!</f>
        <v>#REF!</v>
      </c>
      <c r="D20" s="171" t="e">
        <f>#REF!</f>
        <v>#REF!</v>
      </c>
      <c r="E20" s="171" t="e">
        <f>#REF!</f>
        <v>#REF!</v>
      </c>
      <c r="F20" s="171" t="e">
        <f>#REF!</f>
        <v>#REF!</v>
      </c>
      <c r="G20" s="171" t="e">
        <f>#REF!</f>
        <v>#REF!</v>
      </c>
      <c r="H20" s="171" t="e">
        <f>#REF!</f>
        <v>#REF!</v>
      </c>
      <c r="I20" s="171" t="e">
        <f>#REF!</f>
        <v>#REF!</v>
      </c>
      <c r="J20" s="171" t="e">
        <f>#REF!</f>
        <v>#REF!</v>
      </c>
      <c r="K20" s="171" t="e">
        <f>#REF!</f>
        <v>#REF!</v>
      </c>
      <c r="L20" s="171" t="e">
        <f>#REF!</f>
        <v>#REF!</v>
      </c>
      <c r="M20" s="171" t="e">
        <f>#REF!</f>
        <v>#REF!</v>
      </c>
      <c r="N20" s="171" t="e">
        <f>#REF!</f>
        <v>#REF!</v>
      </c>
      <c r="O20" s="171" t="e">
        <f>#REF!</f>
        <v>#REF!</v>
      </c>
      <c r="P20" s="171" t="e">
        <f>#REF!</f>
        <v>#REF!</v>
      </c>
      <c r="Q20" s="171" t="e">
        <f>#REF!</f>
        <v>#REF!</v>
      </c>
      <c r="R20" s="171" t="e">
        <f>#REF!</f>
        <v>#REF!</v>
      </c>
      <c r="S20" s="171" t="e">
        <f>#REF!</f>
        <v>#REF!</v>
      </c>
      <c r="T20" s="175" t="e">
        <f>#REF!</f>
        <v>#REF!</v>
      </c>
      <c r="U20" s="175" t="e">
        <f>#REF!</f>
        <v>#REF!</v>
      </c>
      <c r="V20" s="175" t="e">
        <f>#REF!</f>
        <v>#REF!</v>
      </c>
      <c r="W20" s="175" t="e">
        <f>#REF!</f>
        <v>#REF!</v>
      </c>
      <c r="X20" s="175" t="e">
        <f>#REF!</f>
        <v>#REF!</v>
      </c>
    </row>
    <row r="21" spans="1:24" ht="24.95" customHeight="1" x14ac:dyDescent="0.2">
      <c r="A21" s="168" t="e">
        <f>#REF!</f>
        <v>#REF!</v>
      </c>
      <c r="B21" s="169" t="e">
        <f>#REF!</f>
        <v>#REF!</v>
      </c>
      <c r="C21" s="170" t="e">
        <f>#REF!</f>
        <v>#REF!</v>
      </c>
      <c r="D21" s="171" t="e">
        <f>#REF!</f>
        <v>#REF!</v>
      </c>
      <c r="E21" s="171" t="e">
        <f>#REF!</f>
        <v>#REF!</v>
      </c>
      <c r="F21" s="171" t="e">
        <f>#REF!</f>
        <v>#REF!</v>
      </c>
      <c r="G21" s="171" t="e">
        <f>#REF!</f>
        <v>#REF!</v>
      </c>
      <c r="H21" s="171" t="e">
        <f>#REF!</f>
        <v>#REF!</v>
      </c>
      <c r="I21" s="171" t="e">
        <f>#REF!</f>
        <v>#REF!</v>
      </c>
      <c r="J21" s="171" t="e">
        <f>#REF!</f>
        <v>#REF!</v>
      </c>
      <c r="K21" s="171" t="e">
        <f>#REF!</f>
        <v>#REF!</v>
      </c>
      <c r="L21" s="171" t="e">
        <f>#REF!</f>
        <v>#REF!</v>
      </c>
      <c r="M21" s="171" t="e">
        <f>#REF!</f>
        <v>#REF!</v>
      </c>
      <c r="N21" s="171" t="e">
        <f>#REF!</f>
        <v>#REF!</v>
      </c>
      <c r="O21" s="171" t="e">
        <f>#REF!</f>
        <v>#REF!</v>
      </c>
      <c r="P21" s="171" t="e">
        <f>#REF!</f>
        <v>#REF!</v>
      </c>
      <c r="Q21" s="171" t="e">
        <f>#REF!</f>
        <v>#REF!</v>
      </c>
      <c r="R21" s="171" t="e">
        <f>#REF!</f>
        <v>#REF!</v>
      </c>
      <c r="S21" s="171" t="e">
        <f>#REF!</f>
        <v>#REF!</v>
      </c>
      <c r="T21" s="175" t="e">
        <f>#REF!</f>
        <v>#REF!</v>
      </c>
      <c r="U21" s="175" t="e">
        <f>#REF!</f>
        <v>#REF!</v>
      </c>
      <c r="V21" s="175" t="e">
        <f>#REF!</f>
        <v>#REF!</v>
      </c>
      <c r="W21" s="175" t="e">
        <f>#REF!</f>
        <v>#REF!</v>
      </c>
      <c r="X21" s="175" t="e">
        <f>#REF!</f>
        <v>#REF!</v>
      </c>
    </row>
    <row r="22" spans="1:24" ht="24.95" customHeight="1" x14ac:dyDescent="0.2">
      <c r="A22" s="168" t="e">
        <f>#REF!</f>
        <v>#REF!</v>
      </c>
      <c r="B22" s="169" t="e">
        <f>#REF!</f>
        <v>#REF!</v>
      </c>
      <c r="C22" s="170" t="e">
        <f>#REF!</f>
        <v>#REF!</v>
      </c>
      <c r="D22" s="171" t="e">
        <f>#REF!</f>
        <v>#REF!</v>
      </c>
      <c r="E22" s="171" t="e">
        <f>#REF!</f>
        <v>#REF!</v>
      </c>
      <c r="F22" s="171" t="e">
        <f>#REF!</f>
        <v>#REF!</v>
      </c>
      <c r="G22" s="171" t="e">
        <f>#REF!</f>
        <v>#REF!</v>
      </c>
      <c r="H22" s="171" t="e">
        <f>#REF!</f>
        <v>#REF!</v>
      </c>
      <c r="I22" s="171" t="e">
        <f>#REF!</f>
        <v>#REF!</v>
      </c>
      <c r="J22" s="171" t="e">
        <f>#REF!</f>
        <v>#REF!</v>
      </c>
      <c r="K22" s="171" t="e">
        <f>#REF!</f>
        <v>#REF!</v>
      </c>
      <c r="L22" s="171" t="e">
        <f>#REF!</f>
        <v>#REF!</v>
      </c>
      <c r="M22" s="171" t="e">
        <f>#REF!</f>
        <v>#REF!</v>
      </c>
      <c r="N22" s="171" t="e">
        <f>#REF!</f>
        <v>#REF!</v>
      </c>
      <c r="O22" s="171" t="e">
        <f>#REF!</f>
        <v>#REF!</v>
      </c>
      <c r="P22" s="171" t="e">
        <f>#REF!</f>
        <v>#REF!</v>
      </c>
      <c r="Q22" s="171" t="e">
        <f>#REF!</f>
        <v>#REF!</v>
      </c>
      <c r="R22" s="171" t="e">
        <f>#REF!</f>
        <v>#REF!</v>
      </c>
      <c r="S22" s="171" t="e">
        <f>#REF!</f>
        <v>#REF!</v>
      </c>
      <c r="T22" s="175" t="e">
        <f>#REF!</f>
        <v>#REF!</v>
      </c>
      <c r="U22" s="175" t="e">
        <f>#REF!</f>
        <v>#REF!</v>
      </c>
      <c r="V22" s="175" t="e">
        <f>#REF!</f>
        <v>#REF!</v>
      </c>
      <c r="W22" s="175" t="e">
        <f>#REF!</f>
        <v>#REF!</v>
      </c>
      <c r="X22" s="175" t="e">
        <f>#REF!</f>
        <v>#REF!</v>
      </c>
    </row>
    <row r="23" spans="1:24" ht="24.95" customHeight="1" x14ac:dyDescent="0.2">
      <c r="A23" s="168" t="e">
        <f>#REF!</f>
        <v>#REF!</v>
      </c>
      <c r="B23" s="169" t="e">
        <f>#REF!</f>
        <v>#REF!</v>
      </c>
      <c r="C23" s="170" t="e">
        <f>#REF!</f>
        <v>#REF!</v>
      </c>
      <c r="D23" s="171" t="e">
        <f>#REF!</f>
        <v>#REF!</v>
      </c>
      <c r="E23" s="171" t="e">
        <f>#REF!</f>
        <v>#REF!</v>
      </c>
      <c r="F23" s="171" t="e">
        <f>#REF!</f>
        <v>#REF!</v>
      </c>
      <c r="G23" s="171" t="e">
        <f>#REF!</f>
        <v>#REF!</v>
      </c>
      <c r="H23" s="171" t="e">
        <f>#REF!</f>
        <v>#REF!</v>
      </c>
      <c r="I23" s="171" t="e">
        <f>#REF!</f>
        <v>#REF!</v>
      </c>
      <c r="J23" s="171" t="e">
        <f>#REF!</f>
        <v>#REF!</v>
      </c>
      <c r="K23" s="171" t="e">
        <f>#REF!</f>
        <v>#REF!</v>
      </c>
      <c r="L23" s="171" t="e">
        <f>#REF!</f>
        <v>#REF!</v>
      </c>
      <c r="M23" s="171" t="e">
        <f>#REF!</f>
        <v>#REF!</v>
      </c>
      <c r="N23" s="171" t="e">
        <f>#REF!</f>
        <v>#REF!</v>
      </c>
      <c r="O23" s="171" t="e">
        <f>#REF!</f>
        <v>#REF!</v>
      </c>
      <c r="P23" s="171" t="e">
        <f>#REF!</f>
        <v>#REF!</v>
      </c>
      <c r="Q23" s="171" t="e">
        <f>#REF!</f>
        <v>#REF!</v>
      </c>
      <c r="R23" s="171" t="e">
        <f>#REF!</f>
        <v>#REF!</v>
      </c>
      <c r="S23" s="171" t="e">
        <f>#REF!</f>
        <v>#REF!</v>
      </c>
      <c r="T23" s="175" t="e">
        <f>#REF!</f>
        <v>#REF!</v>
      </c>
      <c r="U23" s="175" t="e">
        <f>#REF!</f>
        <v>#REF!</v>
      </c>
      <c r="V23" s="175" t="e">
        <f>#REF!</f>
        <v>#REF!</v>
      </c>
      <c r="W23" s="175" t="e">
        <f>#REF!</f>
        <v>#REF!</v>
      </c>
      <c r="X23" s="175" t="e">
        <f>#REF!</f>
        <v>#REF!</v>
      </c>
    </row>
    <row r="24" spans="1:24" ht="24.95" customHeight="1" x14ac:dyDescent="0.2">
      <c r="A24" s="168" t="e">
        <f>#REF!</f>
        <v>#REF!</v>
      </c>
      <c r="B24" s="169" t="e">
        <f>#REF!</f>
        <v>#REF!</v>
      </c>
      <c r="C24" s="170" t="e">
        <f>#REF!</f>
        <v>#REF!</v>
      </c>
      <c r="D24" s="171" t="e">
        <f>#REF!</f>
        <v>#REF!</v>
      </c>
      <c r="E24" s="171" t="e">
        <f>#REF!</f>
        <v>#REF!</v>
      </c>
      <c r="F24" s="171" t="e">
        <f>#REF!</f>
        <v>#REF!</v>
      </c>
      <c r="G24" s="171" t="e">
        <f>#REF!</f>
        <v>#REF!</v>
      </c>
      <c r="H24" s="171" t="e">
        <f>#REF!</f>
        <v>#REF!</v>
      </c>
      <c r="I24" s="171" t="e">
        <f>#REF!</f>
        <v>#REF!</v>
      </c>
      <c r="J24" s="171" t="e">
        <f>#REF!</f>
        <v>#REF!</v>
      </c>
      <c r="K24" s="171" t="e">
        <f>#REF!</f>
        <v>#REF!</v>
      </c>
      <c r="L24" s="171" t="e">
        <f>#REF!</f>
        <v>#REF!</v>
      </c>
      <c r="M24" s="171" t="e">
        <f>#REF!</f>
        <v>#REF!</v>
      </c>
      <c r="N24" s="171" t="e">
        <f>#REF!</f>
        <v>#REF!</v>
      </c>
      <c r="O24" s="171" t="e">
        <f>#REF!</f>
        <v>#REF!</v>
      </c>
      <c r="P24" s="171" t="e">
        <f>#REF!</f>
        <v>#REF!</v>
      </c>
      <c r="Q24" s="171" t="e">
        <f>#REF!</f>
        <v>#REF!</v>
      </c>
      <c r="R24" s="171" t="e">
        <f>#REF!</f>
        <v>#REF!</v>
      </c>
      <c r="S24" s="171" t="e">
        <f>#REF!</f>
        <v>#REF!</v>
      </c>
      <c r="T24" s="175" t="e">
        <f>#REF!</f>
        <v>#REF!</v>
      </c>
      <c r="U24" s="175" t="e">
        <f>#REF!</f>
        <v>#REF!</v>
      </c>
      <c r="V24" s="175" t="e">
        <f>#REF!</f>
        <v>#REF!</v>
      </c>
      <c r="W24" s="175" t="e">
        <f>#REF!</f>
        <v>#REF!</v>
      </c>
      <c r="X24" s="175" t="e">
        <f>#REF!</f>
        <v>#REF!</v>
      </c>
    </row>
    <row r="25" spans="1:24" ht="24.95" customHeight="1" x14ac:dyDescent="0.2">
      <c r="A25" s="168" t="e">
        <f>#REF!</f>
        <v>#REF!</v>
      </c>
      <c r="B25" s="169" t="e">
        <f>#REF!</f>
        <v>#REF!</v>
      </c>
      <c r="C25" s="170" t="e">
        <f>#REF!</f>
        <v>#REF!</v>
      </c>
      <c r="D25" s="171" t="e">
        <f>#REF!</f>
        <v>#REF!</v>
      </c>
      <c r="E25" s="171" t="e">
        <f>#REF!</f>
        <v>#REF!</v>
      </c>
      <c r="F25" s="171" t="e">
        <f>#REF!</f>
        <v>#REF!</v>
      </c>
      <c r="G25" s="171" t="e">
        <f>#REF!</f>
        <v>#REF!</v>
      </c>
      <c r="H25" s="171" t="e">
        <f>#REF!</f>
        <v>#REF!</v>
      </c>
      <c r="I25" s="171" t="e">
        <f>#REF!</f>
        <v>#REF!</v>
      </c>
      <c r="J25" s="171" t="e">
        <f>#REF!</f>
        <v>#REF!</v>
      </c>
      <c r="K25" s="171" t="e">
        <f>#REF!</f>
        <v>#REF!</v>
      </c>
      <c r="L25" s="171" t="e">
        <f>#REF!</f>
        <v>#REF!</v>
      </c>
      <c r="M25" s="171" t="e">
        <f>#REF!</f>
        <v>#REF!</v>
      </c>
      <c r="N25" s="171" t="e">
        <f>#REF!</f>
        <v>#REF!</v>
      </c>
      <c r="O25" s="171" t="e">
        <f>#REF!</f>
        <v>#REF!</v>
      </c>
      <c r="P25" s="171" t="e">
        <f>#REF!</f>
        <v>#REF!</v>
      </c>
      <c r="Q25" s="171" t="e">
        <f>#REF!</f>
        <v>#REF!</v>
      </c>
      <c r="R25" s="171" t="e">
        <f>#REF!</f>
        <v>#REF!</v>
      </c>
      <c r="S25" s="171" t="e">
        <f>#REF!</f>
        <v>#REF!</v>
      </c>
      <c r="T25" s="175" t="e">
        <f>#REF!</f>
        <v>#REF!</v>
      </c>
      <c r="U25" s="175" t="e">
        <f>#REF!</f>
        <v>#REF!</v>
      </c>
      <c r="V25" s="175" t="e">
        <f>#REF!</f>
        <v>#REF!</v>
      </c>
      <c r="W25" s="175" t="e">
        <f>#REF!</f>
        <v>#REF!</v>
      </c>
      <c r="X25" s="175" t="e">
        <f>#REF!</f>
        <v>#REF!</v>
      </c>
    </row>
    <row r="26" spans="1:24" ht="24.95" customHeight="1" x14ac:dyDescent="0.2">
      <c r="A26" s="168" t="e">
        <f>#REF!</f>
        <v>#REF!</v>
      </c>
      <c r="B26" s="169" t="e">
        <f>#REF!</f>
        <v>#REF!</v>
      </c>
      <c r="C26" s="170" t="e">
        <f>#REF!</f>
        <v>#REF!</v>
      </c>
      <c r="D26" s="171" t="e">
        <f>#REF!</f>
        <v>#REF!</v>
      </c>
      <c r="E26" s="171" t="e">
        <f>#REF!</f>
        <v>#REF!</v>
      </c>
      <c r="F26" s="171" t="e">
        <f>#REF!</f>
        <v>#REF!</v>
      </c>
      <c r="G26" s="171" t="e">
        <f>#REF!</f>
        <v>#REF!</v>
      </c>
      <c r="H26" s="171" t="e">
        <f>#REF!</f>
        <v>#REF!</v>
      </c>
      <c r="I26" s="171" t="e">
        <f>#REF!</f>
        <v>#REF!</v>
      </c>
      <c r="J26" s="171" t="e">
        <f>#REF!</f>
        <v>#REF!</v>
      </c>
      <c r="K26" s="171" t="e">
        <f>#REF!</f>
        <v>#REF!</v>
      </c>
      <c r="L26" s="171" t="e">
        <f>#REF!</f>
        <v>#REF!</v>
      </c>
      <c r="M26" s="171" t="e">
        <f>#REF!</f>
        <v>#REF!</v>
      </c>
      <c r="N26" s="171" t="e">
        <f>#REF!</f>
        <v>#REF!</v>
      </c>
      <c r="O26" s="171" t="e">
        <f>#REF!</f>
        <v>#REF!</v>
      </c>
      <c r="P26" s="171" t="e">
        <f>#REF!</f>
        <v>#REF!</v>
      </c>
      <c r="Q26" s="171" t="e">
        <f>#REF!</f>
        <v>#REF!</v>
      </c>
      <c r="R26" s="171" t="e">
        <f>#REF!</f>
        <v>#REF!</v>
      </c>
      <c r="S26" s="171" t="e">
        <f>#REF!</f>
        <v>#REF!</v>
      </c>
      <c r="T26" s="175" t="e">
        <f>#REF!</f>
        <v>#REF!</v>
      </c>
      <c r="U26" s="175" t="e">
        <f>#REF!</f>
        <v>#REF!</v>
      </c>
      <c r="V26" s="175" t="e">
        <f>#REF!</f>
        <v>#REF!</v>
      </c>
      <c r="W26" s="175" t="e">
        <f>#REF!</f>
        <v>#REF!</v>
      </c>
      <c r="X26" s="175" t="e">
        <f>#REF!</f>
        <v>#REF!</v>
      </c>
    </row>
    <row r="27" spans="1:24" ht="24.95" customHeight="1" x14ac:dyDescent="0.2">
      <c r="A27" s="168" t="e">
        <f>#REF!</f>
        <v>#REF!</v>
      </c>
      <c r="B27" s="169" t="e">
        <f>#REF!</f>
        <v>#REF!</v>
      </c>
      <c r="C27" s="170" t="e">
        <f>#REF!</f>
        <v>#REF!</v>
      </c>
      <c r="D27" s="171" t="e">
        <f>#REF!</f>
        <v>#REF!</v>
      </c>
      <c r="E27" s="171" t="e">
        <f>#REF!</f>
        <v>#REF!</v>
      </c>
      <c r="F27" s="171" t="e">
        <f>#REF!</f>
        <v>#REF!</v>
      </c>
      <c r="G27" s="171" t="e">
        <f>#REF!</f>
        <v>#REF!</v>
      </c>
      <c r="H27" s="171" t="e">
        <f>#REF!</f>
        <v>#REF!</v>
      </c>
      <c r="I27" s="171" t="e">
        <f>#REF!</f>
        <v>#REF!</v>
      </c>
      <c r="J27" s="171" t="e">
        <f>#REF!</f>
        <v>#REF!</v>
      </c>
      <c r="K27" s="171" t="e">
        <f>#REF!</f>
        <v>#REF!</v>
      </c>
      <c r="L27" s="171" t="e">
        <f>#REF!</f>
        <v>#REF!</v>
      </c>
      <c r="M27" s="171" t="e">
        <f>#REF!</f>
        <v>#REF!</v>
      </c>
      <c r="N27" s="171" t="e">
        <f>#REF!</f>
        <v>#REF!</v>
      </c>
      <c r="O27" s="171" t="e">
        <f>#REF!</f>
        <v>#REF!</v>
      </c>
      <c r="P27" s="171" t="e">
        <f>#REF!</f>
        <v>#REF!</v>
      </c>
      <c r="Q27" s="171" t="e">
        <f>#REF!</f>
        <v>#REF!</v>
      </c>
      <c r="R27" s="171" t="e">
        <f>#REF!</f>
        <v>#REF!</v>
      </c>
      <c r="S27" s="171" t="e">
        <f>#REF!</f>
        <v>#REF!</v>
      </c>
      <c r="T27" s="175" t="e">
        <f>#REF!</f>
        <v>#REF!</v>
      </c>
      <c r="U27" s="175" t="e">
        <f>#REF!</f>
        <v>#REF!</v>
      </c>
      <c r="V27" s="175" t="e">
        <f>#REF!</f>
        <v>#REF!</v>
      </c>
      <c r="W27" s="175" t="e">
        <f>#REF!</f>
        <v>#REF!</v>
      </c>
      <c r="X27" s="175" t="e">
        <f>#REF!</f>
        <v>#REF!</v>
      </c>
    </row>
    <row r="28" spans="1:24" ht="24.95" customHeight="1" x14ac:dyDescent="0.2">
      <c r="A28" s="168" t="e">
        <f>#REF!</f>
        <v>#REF!</v>
      </c>
      <c r="B28" s="169" t="e">
        <f>#REF!</f>
        <v>#REF!</v>
      </c>
      <c r="C28" s="170" t="e">
        <f>#REF!</f>
        <v>#REF!</v>
      </c>
      <c r="D28" s="171" t="e">
        <f>#REF!</f>
        <v>#REF!</v>
      </c>
      <c r="E28" s="171" t="e">
        <f>#REF!</f>
        <v>#REF!</v>
      </c>
      <c r="F28" s="171" t="e">
        <f>#REF!</f>
        <v>#REF!</v>
      </c>
      <c r="G28" s="171" t="e">
        <f>#REF!</f>
        <v>#REF!</v>
      </c>
      <c r="H28" s="171" t="e">
        <f>#REF!</f>
        <v>#REF!</v>
      </c>
      <c r="I28" s="171" t="e">
        <f>#REF!</f>
        <v>#REF!</v>
      </c>
      <c r="J28" s="171" t="e">
        <f>#REF!</f>
        <v>#REF!</v>
      </c>
      <c r="K28" s="171" t="e">
        <f>#REF!</f>
        <v>#REF!</v>
      </c>
      <c r="L28" s="171" t="e">
        <f>#REF!</f>
        <v>#REF!</v>
      </c>
      <c r="M28" s="171" t="e">
        <f>#REF!</f>
        <v>#REF!</v>
      </c>
      <c r="N28" s="171" t="e">
        <f>#REF!</f>
        <v>#REF!</v>
      </c>
      <c r="O28" s="171" t="e">
        <f>#REF!</f>
        <v>#REF!</v>
      </c>
      <c r="P28" s="171" t="e">
        <f>#REF!</f>
        <v>#REF!</v>
      </c>
      <c r="Q28" s="171" t="e">
        <f>#REF!</f>
        <v>#REF!</v>
      </c>
      <c r="R28" s="171" t="e">
        <f>#REF!</f>
        <v>#REF!</v>
      </c>
      <c r="S28" s="171" t="e">
        <f>#REF!</f>
        <v>#REF!</v>
      </c>
      <c r="T28" s="175" t="e">
        <f>#REF!</f>
        <v>#REF!</v>
      </c>
      <c r="U28" s="175" t="e">
        <f>#REF!</f>
        <v>#REF!</v>
      </c>
      <c r="V28" s="175" t="e">
        <f>#REF!</f>
        <v>#REF!</v>
      </c>
      <c r="W28" s="175" t="e">
        <f>#REF!</f>
        <v>#REF!</v>
      </c>
      <c r="X28" s="175" t="e">
        <f>#REF!</f>
        <v>#REF!</v>
      </c>
    </row>
    <row r="29" spans="1:24" ht="24.95" customHeight="1" x14ac:dyDescent="0.2">
      <c r="A29" s="168" t="e">
        <f>#REF!</f>
        <v>#REF!</v>
      </c>
      <c r="B29" s="169" t="e">
        <f>#REF!</f>
        <v>#REF!</v>
      </c>
      <c r="C29" s="170" t="e">
        <f>#REF!</f>
        <v>#REF!</v>
      </c>
      <c r="D29" s="171" t="e">
        <f>#REF!</f>
        <v>#REF!</v>
      </c>
      <c r="E29" s="171" t="e">
        <f>#REF!</f>
        <v>#REF!</v>
      </c>
      <c r="F29" s="171" t="e">
        <f>#REF!</f>
        <v>#REF!</v>
      </c>
      <c r="G29" s="171" t="e">
        <f>#REF!</f>
        <v>#REF!</v>
      </c>
      <c r="H29" s="171" t="e">
        <f>#REF!</f>
        <v>#REF!</v>
      </c>
      <c r="I29" s="171" t="e">
        <f>#REF!</f>
        <v>#REF!</v>
      </c>
      <c r="J29" s="171" t="e">
        <f>#REF!</f>
        <v>#REF!</v>
      </c>
      <c r="K29" s="171" t="e">
        <f>#REF!</f>
        <v>#REF!</v>
      </c>
      <c r="L29" s="171" t="e">
        <f>#REF!</f>
        <v>#REF!</v>
      </c>
      <c r="M29" s="171" t="e">
        <f>#REF!</f>
        <v>#REF!</v>
      </c>
      <c r="N29" s="171" t="e">
        <f>#REF!</f>
        <v>#REF!</v>
      </c>
      <c r="O29" s="171" t="e">
        <f>#REF!</f>
        <v>#REF!</v>
      </c>
      <c r="P29" s="171" t="e">
        <f>#REF!</f>
        <v>#REF!</v>
      </c>
      <c r="Q29" s="171" t="e">
        <f>#REF!</f>
        <v>#REF!</v>
      </c>
      <c r="R29" s="171" t="e">
        <f>#REF!</f>
        <v>#REF!</v>
      </c>
      <c r="S29" s="171" t="e">
        <f>#REF!</f>
        <v>#REF!</v>
      </c>
      <c r="T29" s="175" t="e">
        <f>#REF!</f>
        <v>#REF!</v>
      </c>
      <c r="U29" s="175" t="e">
        <f>#REF!</f>
        <v>#REF!</v>
      </c>
      <c r="V29" s="175" t="e">
        <f>#REF!</f>
        <v>#REF!</v>
      </c>
      <c r="W29" s="175" t="e">
        <f>#REF!</f>
        <v>#REF!</v>
      </c>
      <c r="X29" s="175" t="e">
        <f>#REF!</f>
        <v>#REF!</v>
      </c>
    </row>
    <row r="30" spans="1:24" ht="24.95" customHeight="1" x14ac:dyDescent="0.2">
      <c r="A30" s="168" t="e">
        <f>#REF!</f>
        <v>#REF!</v>
      </c>
      <c r="B30" s="169" t="e">
        <f>#REF!</f>
        <v>#REF!</v>
      </c>
      <c r="C30" s="170" t="e">
        <f>#REF!</f>
        <v>#REF!</v>
      </c>
      <c r="D30" s="171" t="e">
        <f>#REF!</f>
        <v>#REF!</v>
      </c>
      <c r="E30" s="171" t="e">
        <f>#REF!</f>
        <v>#REF!</v>
      </c>
      <c r="F30" s="171" t="e">
        <f>#REF!</f>
        <v>#REF!</v>
      </c>
      <c r="G30" s="171" t="e">
        <f>#REF!</f>
        <v>#REF!</v>
      </c>
      <c r="H30" s="171" t="e">
        <f>#REF!</f>
        <v>#REF!</v>
      </c>
      <c r="I30" s="171" t="e">
        <f>#REF!</f>
        <v>#REF!</v>
      </c>
      <c r="J30" s="171" t="e">
        <f>#REF!</f>
        <v>#REF!</v>
      </c>
      <c r="K30" s="171" t="e">
        <f>#REF!</f>
        <v>#REF!</v>
      </c>
      <c r="L30" s="171" t="e">
        <f>#REF!</f>
        <v>#REF!</v>
      </c>
      <c r="M30" s="171" t="e">
        <f>#REF!</f>
        <v>#REF!</v>
      </c>
      <c r="N30" s="171" t="e">
        <f>#REF!</f>
        <v>#REF!</v>
      </c>
      <c r="O30" s="171" t="e">
        <f>#REF!</f>
        <v>#REF!</v>
      </c>
      <c r="P30" s="171" t="e">
        <f>#REF!</f>
        <v>#REF!</v>
      </c>
      <c r="Q30" s="171" t="e">
        <f>#REF!</f>
        <v>#REF!</v>
      </c>
      <c r="R30" s="171" t="e">
        <f>#REF!</f>
        <v>#REF!</v>
      </c>
      <c r="S30" s="171" t="e">
        <f>#REF!</f>
        <v>#REF!</v>
      </c>
      <c r="T30" s="175" t="e">
        <f>#REF!</f>
        <v>#REF!</v>
      </c>
      <c r="U30" s="175" t="e">
        <f>#REF!</f>
        <v>#REF!</v>
      </c>
      <c r="V30" s="175" t="e">
        <f>#REF!</f>
        <v>#REF!</v>
      </c>
      <c r="W30" s="175" t="e">
        <f>#REF!</f>
        <v>#REF!</v>
      </c>
      <c r="X30" s="175" t="e">
        <f>#REF!</f>
        <v>#REF!</v>
      </c>
    </row>
    <row r="31" spans="1:24" ht="24.95" customHeight="1" x14ac:dyDescent="0.2">
      <c r="A31" s="168" t="e">
        <f>#REF!</f>
        <v>#REF!</v>
      </c>
      <c r="B31" s="169" t="e">
        <f>#REF!</f>
        <v>#REF!</v>
      </c>
      <c r="C31" s="170" t="e">
        <f>#REF!</f>
        <v>#REF!</v>
      </c>
      <c r="D31" s="171" t="e">
        <f>#REF!</f>
        <v>#REF!</v>
      </c>
      <c r="E31" s="171" t="e">
        <f>#REF!</f>
        <v>#REF!</v>
      </c>
      <c r="F31" s="171" t="e">
        <f>#REF!</f>
        <v>#REF!</v>
      </c>
      <c r="G31" s="171" t="e">
        <f>#REF!</f>
        <v>#REF!</v>
      </c>
      <c r="H31" s="171" t="e">
        <f>#REF!</f>
        <v>#REF!</v>
      </c>
      <c r="I31" s="171" t="e">
        <f>#REF!</f>
        <v>#REF!</v>
      </c>
      <c r="J31" s="171" t="e">
        <f>#REF!</f>
        <v>#REF!</v>
      </c>
      <c r="K31" s="171" t="e">
        <f>#REF!</f>
        <v>#REF!</v>
      </c>
      <c r="L31" s="171" t="e">
        <f>#REF!</f>
        <v>#REF!</v>
      </c>
      <c r="M31" s="171" t="e">
        <f>#REF!</f>
        <v>#REF!</v>
      </c>
      <c r="N31" s="171" t="e">
        <f>#REF!</f>
        <v>#REF!</v>
      </c>
      <c r="O31" s="171" t="e">
        <f>#REF!</f>
        <v>#REF!</v>
      </c>
      <c r="P31" s="171" t="e">
        <f>#REF!</f>
        <v>#REF!</v>
      </c>
      <c r="Q31" s="171" t="e">
        <f>#REF!</f>
        <v>#REF!</v>
      </c>
      <c r="R31" s="171" t="e">
        <f>#REF!</f>
        <v>#REF!</v>
      </c>
      <c r="S31" s="171" t="e">
        <f>#REF!</f>
        <v>#REF!</v>
      </c>
      <c r="T31" s="175" t="e">
        <f>#REF!</f>
        <v>#REF!</v>
      </c>
      <c r="U31" s="175" t="e">
        <f>#REF!</f>
        <v>#REF!</v>
      </c>
      <c r="V31" s="175" t="e">
        <f>#REF!</f>
        <v>#REF!</v>
      </c>
      <c r="W31" s="175" t="e">
        <f>#REF!</f>
        <v>#REF!</v>
      </c>
      <c r="X31" s="175" t="e">
        <f>#REF!</f>
        <v>#REF!</v>
      </c>
    </row>
    <row r="32" spans="1:24" ht="24.95" customHeight="1" x14ac:dyDescent="0.2">
      <c r="A32" s="168" t="e">
        <f>#REF!</f>
        <v>#REF!</v>
      </c>
      <c r="B32" s="169" t="e">
        <f>#REF!</f>
        <v>#REF!</v>
      </c>
      <c r="C32" s="170" t="e">
        <f>#REF!</f>
        <v>#REF!</v>
      </c>
      <c r="D32" s="171" t="e">
        <f>#REF!</f>
        <v>#REF!</v>
      </c>
      <c r="E32" s="171" t="e">
        <f>#REF!</f>
        <v>#REF!</v>
      </c>
      <c r="F32" s="171" t="e">
        <f>#REF!</f>
        <v>#REF!</v>
      </c>
      <c r="G32" s="171" t="e">
        <f>#REF!</f>
        <v>#REF!</v>
      </c>
      <c r="H32" s="171" t="e">
        <f>#REF!</f>
        <v>#REF!</v>
      </c>
      <c r="I32" s="171" t="e">
        <f>#REF!</f>
        <v>#REF!</v>
      </c>
      <c r="J32" s="171" t="e">
        <f>#REF!</f>
        <v>#REF!</v>
      </c>
      <c r="K32" s="171" t="e">
        <f>#REF!</f>
        <v>#REF!</v>
      </c>
      <c r="L32" s="171" t="e">
        <f>#REF!</f>
        <v>#REF!</v>
      </c>
      <c r="M32" s="171" t="e">
        <f>#REF!</f>
        <v>#REF!</v>
      </c>
      <c r="N32" s="171" t="e">
        <f>#REF!</f>
        <v>#REF!</v>
      </c>
      <c r="O32" s="171" t="e">
        <f>#REF!</f>
        <v>#REF!</v>
      </c>
      <c r="P32" s="171" t="e">
        <f>#REF!</f>
        <v>#REF!</v>
      </c>
      <c r="Q32" s="171" t="e">
        <f>#REF!</f>
        <v>#REF!</v>
      </c>
      <c r="R32" s="171" t="e">
        <f>#REF!</f>
        <v>#REF!</v>
      </c>
      <c r="S32" s="171" t="e">
        <f>#REF!</f>
        <v>#REF!</v>
      </c>
      <c r="T32" s="175" t="e">
        <f>#REF!</f>
        <v>#REF!</v>
      </c>
      <c r="U32" s="175" t="e">
        <f>#REF!</f>
        <v>#REF!</v>
      </c>
      <c r="V32" s="175" t="e">
        <f>#REF!</f>
        <v>#REF!</v>
      </c>
      <c r="W32" s="175" t="e">
        <f>#REF!</f>
        <v>#REF!</v>
      </c>
      <c r="X32" s="175" t="e">
        <f>#REF!</f>
        <v>#REF!</v>
      </c>
    </row>
    <row r="33" spans="1:24" ht="24.95" customHeight="1" x14ac:dyDescent="0.2">
      <c r="A33" s="168" t="e">
        <f>#REF!</f>
        <v>#REF!</v>
      </c>
      <c r="B33" s="169" t="e">
        <f>#REF!</f>
        <v>#REF!</v>
      </c>
      <c r="C33" s="170" t="e">
        <f>#REF!</f>
        <v>#REF!</v>
      </c>
      <c r="D33" s="171" t="e">
        <f>#REF!</f>
        <v>#REF!</v>
      </c>
      <c r="E33" s="171" t="e">
        <f>#REF!</f>
        <v>#REF!</v>
      </c>
      <c r="F33" s="171" t="e">
        <f>#REF!</f>
        <v>#REF!</v>
      </c>
      <c r="G33" s="171" t="e">
        <f>#REF!</f>
        <v>#REF!</v>
      </c>
      <c r="H33" s="171" t="e">
        <f>#REF!</f>
        <v>#REF!</v>
      </c>
      <c r="I33" s="171" t="e">
        <f>#REF!</f>
        <v>#REF!</v>
      </c>
      <c r="J33" s="171" t="e">
        <f>#REF!</f>
        <v>#REF!</v>
      </c>
      <c r="K33" s="171" t="e">
        <f>#REF!</f>
        <v>#REF!</v>
      </c>
      <c r="L33" s="171" t="e">
        <f>#REF!</f>
        <v>#REF!</v>
      </c>
      <c r="M33" s="171" t="e">
        <f>#REF!</f>
        <v>#REF!</v>
      </c>
      <c r="N33" s="171" t="e">
        <f>#REF!</f>
        <v>#REF!</v>
      </c>
      <c r="O33" s="171" t="e">
        <f>#REF!</f>
        <v>#REF!</v>
      </c>
      <c r="P33" s="171" t="e">
        <f>#REF!</f>
        <v>#REF!</v>
      </c>
      <c r="Q33" s="171" t="e">
        <f>#REF!</f>
        <v>#REF!</v>
      </c>
      <c r="R33" s="171" t="e">
        <f>#REF!</f>
        <v>#REF!</v>
      </c>
      <c r="S33" s="171" t="e">
        <f>#REF!</f>
        <v>#REF!</v>
      </c>
      <c r="T33" s="175" t="e">
        <f>#REF!</f>
        <v>#REF!</v>
      </c>
      <c r="U33" s="175" t="e">
        <f>#REF!</f>
        <v>#REF!</v>
      </c>
      <c r="V33" s="175" t="e">
        <f>#REF!</f>
        <v>#REF!</v>
      </c>
      <c r="W33" s="175" t="e">
        <f>#REF!</f>
        <v>#REF!</v>
      </c>
      <c r="X33" s="175" t="e">
        <f>#REF!</f>
        <v>#REF!</v>
      </c>
    </row>
    <row r="34" spans="1:24" ht="24.95" customHeight="1" x14ac:dyDescent="0.2">
      <c r="A34" s="168" t="e">
        <f>#REF!</f>
        <v>#REF!</v>
      </c>
      <c r="B34" s="169" t="e">
        <f>#REF!</f>
        <v>#REF!</v>
      </c>
      <c r="C34" s="170" t="e">
        <f>#REF!</f>
        <v>#REF!</v>
      </c>
      <c r="D34" s="171" t="e">
        <f>#REF!</f>
        <v>#REF!</v>
      </c>
      <c r="E34" s="171" t="e">
        <f>#REF!</f>
        <v>#REF!</v>
      </c>
      <c r="F34" s="171" t="e">
        <f>#REF!</f>
        <v>#REF!</v>
      </c>
      <c r="G34" s="171" t="e">
        <f>#REF!</f>
        <v>#REF!</v>
      </c>
      <c r="H34" s="171" t="e">
        <f>#REF!</f>
        <v>#REF!</v>
      </c>
      <c r="I34" s="171" t="e">
        <f>#REF!</f>
        <v>#REF!</v>
      </c>
      <c r="J34" s="171" t="e">
        <f>#REF!</f>
        <v>#REF!</v>
      </c>
      <c r="K34" s="171" t="e">
        <f>#REF!</f>
        <v>#REF!</v>
      </c>
      <c r="L34" s="171" t="e">
        <f>#REF!</f>
        <v>#REF!</v>
      </c>
      <c r="M34" s="171" t="e">
        <f>#REF!</f>
        <v>#REF!</v>
      </c>
      <c r="N34" s="171" t="e">
        <f>#REF!</f>
        <v>#REF!</v>
      </c>
      <c r="O34" s="171" t="e">
        <f>#REF!</f>
        <v>#REF!</v>
      </c>
      <c r="P34" s="171" t="e">
        <f>#REF!</f>
        <v>#REF!</v>
      </c>
      <c r="Q34" s="171" t="e">
        <f>#REF!</f>
        <v>#REF!</v>
      </c>
      <c r="R34" s="171" t="e">
        <f>#REF!</f>
        <v>#REF!</v>
      </c>
      <c r="S34" s="171" t="e">
        <f>#REF!</f>
        <v>#REF!</v>
      </c>
      <c r="T34" s="175" t="e">
        <f>#REF!</f>
        <v>#REF!</v>
      </c>
      <c r="U34" s="175" t="e">
        <f>#REF!</f>
        <v>#REF!</v>
      </c>
      <c r="V34" s="175" t="e">
        <f>#REF!</f>
        <v>#REF!</v>
      </c>
      <c r="W34" s="175" t="e">
        <f>#REF!</f>
        <v>#REF!</v>
      </c>
      <c r="X34" s="175" t="e">
        <f>#REF!</f>
        <v>#REF!</v>
      </c>
    </row>
    <row r="35" spans="1:24" ht="24.95" customHeight="1" x14ac:dyDescent="0.2">
      <c r="A35" s="168" t="e">
        <f>#REF!</f>
        <v>#REF!</v>
      </c>
      <c r="B35" s="169" t="e">
        <f>#REF!</f>
        <v>#REF!</v>
      </c>
      <c r="C35" s="170" t="e">
        <f>#REF!</f>
        <v>#REF!</v>
      </c>
      <c r="D35" s="171" t="e">
        <f>#REF!</f>
        <v>#REF!</v>
      </c>
      <c r="E35" s="171" t="e">
        <f>#REF!</f>
        <v>#REF!</v>
      </c>
      <c r="F35" s="171" t="e">
        <f>#REF!</f>
        <v>#REF!</v>
      </c>
      <c r="G35" s="171" t="e">
        <f>#REF!</f>
        <v>#REF!</v>
      </c>
      <c r="H35" s="171" t="e">
        <f>#REF!</f>
        <v>#REF!</v>
      </c>
      <c r="I35" s="171" t="e">
        <f>#REF!</f>
        <v>#REF!</v>
      </c>
      <c r="J35" s="171" t="e">
        <f>#REF!</f>
        <v>#REF!</v>
      </c>
      <c r="K35" s="171" t="e">
        <f>#REF!</f>
        <v>#REF!</v>
      </c>
      <c r="L35" s="171" t="e">
        <f>#REF!</f>
        <v>#REF!</v>
      </c>
      <c r="M35" s="171" t="e">
        <f>#REF!</f>
        <v>#REF!</v>
      </c>
      <c r="N35" s="171" t="e">
        <f>#REF!</f>
        <v>#REF!</v>
      </c>
      <c r="O35" s="171" t="e">
        <f>#REF!</f>
        <v>#REF!</v>
      </c>
      <c r="P35" s="171" t="e">
        <f>#REF!</f>
        <v>#REF!</v>
      </c>
      <c r="Q35" s="171" t="e">
        <f>#REF!</f>
        <v>#REF!</v>
      </c>
      <c r="R35" s="171" t="e">
        <f>#REF!</f>
        <v>#REF!</v>
      </c>
      <c r="S35" s="171" t="e">
        <f>#REF!</f>
        <v>#REF!</v>
      </c>
      <c r="T35" s="175" t="e">
        <f>#REF!</f>
        <v>#REF!</v>
      </c>
      <c r="U35" s="175" t="e">
        <f>#REF!</f>
        <v>#REF!</v>
      </c>
      <c r="V35" s="175" t="e">
        <f>#REF!</f>
        <v>#REF!</v>
      </c>
      <c r="W35" s="175" t="e">
        <f>#REF!</f>
        <v>#REF!</v>
      </c>
      <c r="X35" s="175" t="e">
        <f>#REF!</f>
        <v>#REF!</v>
      </c>
    </row>
    <row r="36" spans="1:24" ht="24.95" customHeight="1" x14ac:dyDescent="0.2">
      <c r="A36" s="168" t="e">
        <f>#REF!</f>
        <v>#REF!</v>
      </c>
      <c r="B36" s="169" t="e">
        <f>#REF!</f>
        <v>#REF!</v>
      </c>
      <c r="C36" s="170" t="e">
        <f>#REF!</f>
        <v>#REF!</v>
      </c>
      <c r="D36" s="171" t="e">
        <f>#REF!</f>
        <v>#REF!</v>
      </c>
      <c r="E36" s="171" t="e">
        <f>#REF!</f>
        <v>#REF!</v>
      </c>
      <c r="F36" s="171" t="e">
        <f>#REF!</f>
        <v>#REF!</v>
      </c>
      <c r="G36" s="171" t="e">
        <f>#REF!</f>
        <v>#REF!</v>
      </c>
      <c r="H36" s="171" t="e">
        <f>#REF!</f>
        <v>#REF!</v>
      </c>
      <c r="I36" s="171" t="e">
        <f>#REF!</f>
        <v>#REF!</v>
      </c>
      <c r="J36" s="171" t="e">
        <f>#REF!</f>
        <v>#REF!</v>
      </c>
      <c r="K36" s="171" t="e">
        <f>#REF!</f>
        <v>#REF!</v>
      </c>
      <c r="L36" s="171" t="e">
        <f>#REF!</f>
        <v>#REF!</v>
      </c>
      <c r="M36" s="171" t="e">
        <f>#REF!</f>
        <v>#REF!</v>
      </c>
      <c r="N36" s="171" t="e">
        <f>#REF!</f>
        <v>#REF!</v>
      </c>
      <c r="O36" s="171" t="e">
        <f>#REF!</f>
        <v>#REF!</v>
      </c>
      <c r="P36" s="171" t="e">
        <f>#REF!</f>
        <v>#REF!</v>
      </c>
      <c r="Q36" s="171" t="e">
        <f>#REF!</f>
        <v>#REF!</v>
      </c>
      <c r="R36" s="171" t="e">
        <f>#REF!</f>
        <v>#REF!</v>
      </c>
      <c r="S36" s="171" t="e">
        <f>#REF!</f>
        <v>#REF!</v>
      </c>
      <c r="T36" s="175" t="e">
        <f>#REF!</f>
        <v>#REF!</v>
      </c>
      <c r="U36" s="175" t="e">
        <f>#REF!</f>
        <v>#REF!</v>
      </c>
      <c r="V36" s="175" t="e">
        <f>#REF!</f>
        <v>#REF!</v>
      </c>
      <c r="W36" s="175" t="e">
        <f>#REF!</f>
        <v>#REF!</v>
      </c>
      <c r="X36" s="175" t="e">
        <f>#REF!</f>
        <v>#REF!</v>
      </c>
    </row>
    <row r="37" spans="1:24" ht="24.95" customHeight="1" x14ac:dyDescent="0.2">
      <c r="A37" s="168" t="e">
        <f>#REF!</f>
        <v>#REF!</v>
      </c>
      <c r="B37" s="169" t="e">
        <f>#REF!</f>
        <v>#REF!</v>
      </c>
      <c r="C37" s="170" t="e">
        <f>#REF!</f>
        <v>#REF!</v>
      </c>
      <c r="D37" s="171" t="e">
        <f>#REF!</f>
        <v>#REF!</v>
      </c>
      <c r="E37" s="171" t="e">
        <f>#REF!</f>
        <v>#REF!</v>
      </c>
      <c r="F37" s="171" t="e">
        <f>#REF!</f>
        <v>#REF!</v>
      </c>
      <c r="G37" s="171" t="e">
        <f>#REF!</f>
        <v>#REF!</v>
      </c>
      <c r="H37" s="171" t="e">
        <f>#REF!</f>
        <v>#REF!</v>
      </c>
      <c r="I37" s="171" t="e">
        <f>#REF!</f>
        <v>#REF!</v>
      </c>
      <c r="J37" s="171" t="e">
        <f>#REF!</f>
        <v>#REF!</v>
      </c>
      <c r="K37" s="171" t="e">
        <f>#REF!</f>
        <v>#REF!</v>
      </c>
      <c r="L37" s="171" t="e">
        <f>#REF!</f>
        <v>#REF!</v>
      </c>
      <c r="M37" s="171" t="e">
        <f>#REF!</f>
        <v>#REF!</v>
      </c>
      <c r="N37" s="171" t="e">
        <f>#REF!</f>
        <v>#REF!</v>
      </c>
      <c r="O37" s="171" t="e">
        <f>#REF!</f>
        <v>#REF!</v>
      </c>
      <c r="P37" s="171" t="e">
        <f>#REF!</f>
        <v>#REF!</v>
      </c>
      <c r="Q37" s="171" t="e">
        <f>#REF!</f>
        <v>#REF!</v>
      </c>
      <c r="R37" s="171" t="e">
        <f>#REF!</f>
        <v>#REF!</v>
      </c>
      <c r="S37" s="171" t="e">
        <f>#REF!</f>
        <v>#REF!</v>
      </c>
      <c r="T37" s="175" t="e">
        <f>#REF!</f>
        <v>#REF!</v>
      </c>
      <c r="U37" s="175" t="e">
        <f>#REF!</f>
        <v>#REF!</v>
      </c>
      <c r="V37" s="175" t="e">
        <f>#REF!</f>
        <v>#REF!</v>
      </c>
      <c r="W37" s="175" t="e">
        <f>#REF!</f>
        <v>#REF!</v>
      </c>
      <c r="X37" s="175" t="e">
        <f>#REF!</f>
        <v>#REF!</v>
      </c>
    </row>
    <row r="38" spans="1:24" ht="24.95" customHeight="1" x14ac:dyDescent="0.2">
      <c r="A38" s="168" t="e">
        <f>#REF!</f>
        <v>#REF!</v>
      </c>
      <c r="B38" s="169" t="e">
        <f>#REF!</f>
        <v>#REF!</v>
      </c>
      <c r="C38" s="170" t="e">
        <f>#REF!</f>
        <v>#REF!</v>
      </c>
      <c r="D38" s="171" t="e">
        <f>#REF!</f>
        <v>#REF!</v>
      </c>
      <c r="E38" s="171" t="e">
        <f>#REF!</f>
        <v>#REF!</v>
      </c>
      <c r="F38" s="171" t="e">
        <f>#REF!</f>
        <v>#REF!</v>
      </c>
      <c r="G38" s="171" t="e">
        <f>#REF!</f>
        <v>#REF!</v>
      </c>
      <c r="H38" s="171" t="e">
        <f>#REF!</f>
        <v>#REF!</v>
      </c>
      <c r="I38" s="171" t="e">
        <f>#REF!</f>
        <v>#REF!</v>
      </c>
      <c r="J38" s="171" t="e">
        <f>#REF!</f>
        <v>#REF!</v>
      </c>
      <c r="K38" s="171" t="e">
        <f>#REF!</f>
        <v>#REF!</v>
      </c>
      <c r="L38" s="171" t="e">
        <f>#REF!</f>
        <v>#REF!</v>
      </c>
      <c r="M38" s="171" t="e">
        <f>#REF!</f>
        <v>#REF!</v>
      </c>
      <c r="N38" s="171" t="e">
        <f>#REF!</f>
        <v>#REF!</v>
      </c>
      <c r="O38" s="171" t="e">
        <f>#REF!</f>
        <v>#REF!</v>
      </c>
      <c r="P38" s="171" t="e">
        <f>#REF!</f>
        <v>#REF!</v>
      </c>
      <c r="Q38" s="171" t="e">
        <f>#REF!</f>
        <v>#REF!</v>
      </c>
      <c r="R38" s="171" t="e">
        <f>#REF!</f>
        <v>#REF!</v>
      </c>
      <c r="S38" s="171" t="e">
        <f>#REF!</f>
        <v>#REF!</v>
      </c>
      <c r="T38" s="175" t="e">
        <f>#REF!</f>
        <v>#REF!</v>
      </c>
      <c r="U38" s="175" t="e">
        <f>#REF!</f>
        <v>#REF!</v>
      </c>
      <c r="V38" s="175" t="e">
        <f>#REF!</f>
        <v>#REF!</v>
      </c>
      <c r="W38" s="175" t="e">
        <f>#REF!</f>
        <v>#REF!</v>
      </c>
      <c r="X38" s="175" t="e">
        <f>#REF!</f>
        <v>#REF!</v>
      </c>
    </row>
    <row r="39" spans="1:24" ht="24.95" customHeight="1" x14ac:dyDescent="0.2">
      <c r="A39" s="168" t="e">
        <f>#REF!</f>
        <v>#REF!</v>
      </c>
      <c r="B39" s="169" t="e">
        <f>#REF!</f>
        <v>#REF!</v>
      </c>
      <c r="C39" s="170" t="e">
        <f>#REF!</f>
        <v>#REF!</v>
      </c>
      <c r="D39" s="171" t="e">
        <f>#REF!</f>
        <v>#REF!</v>
      </c>
      <c r="E39" s="171" t="e">
        <f>#REF!</f>
        <v>#REF!</v>
      </c>
      <c r="F39" s="171" t="e">
        <f>#REF!</f>
        <v>#REF!</v>
      </c>
      <c r="G39" s="171" t="e">
        <f>#REF!</f>
        <v>#REF!</v>
      </c>
      <c r="H39" s="171" t="e">
        <f>#REF!</f>
        <v>#REF!</v>
      </c>
      <c r="I39" s="171" t="e">
        <f>#REF!</f>
        <v>#REF!</v>
      </c>
      <c r="J39" s="171" t="e">
        <f>#REF!</f>
        <v>#REF!</v>
      </c>
      <c r="K39" s="171" t="e">
        <f>#REF!</f>
        <v>#REF!</v>
      </c>
      <c r="L39" s="171" t="e">
        <f>#REF!</f>
        <v>#REF!</v>
      </c>
      <c r="M39" s="171" t="e">
        <f>#REF!</f>
        <v>#REF!</v>
      </c>
      <c r="N39" s="171" t="e">
        <f>#REF!</f>
        <v>#REF!</v>
      </c>
      <c r="O39" s="171" t="e">
        <f>#REF!</f>
        <v>#REF!</v>
      </c>
      <c r="P39" s="171" t="e">
        <f>#REF!</f>
        <v>#REF!</v>
      </c>
      <c r="Q39" s="171" t="e">
        <f>#REF!</f>
        <v>#REF!</v>
      </c>
      <c r="R39" s="171" t="e">
        <f>#REF!</f>
        <v>#REF!</v>
      </c>
      <c r="S39" s="171" t="e">
        <f>#REF!</f>
        <v>#REF!</v>
      </c>
      <c r="T39" s="175" t="e">
        <f>#REF!</f>
        <v>#REF!</v>
      </c>
      <c r="U39" s="175" t="e">
        <f>#REF!</f>
        <v>#REF!</v>
      </c>
      <c r="V39" s="175" t="e">
        <f>#REF!</f>
        <v>#REF!</v>
      </c>
      <c r="W39" s="175" t="e">
        <f>#REF!</f>
        <v>#REF!</v>
      </c>
      <c r="X39" s="175" t="e">
        <f>#REF!</f>
        <v>#REF!</v>
      </c>
    </row>
    <row r="40" spans="1:24" ht="24.95" customHeight="1" x14ac:dyDescent="0.2">
      <c r="A40" s="168" t="e">
        <f>#REF!</f>
        <v>#REF!</v>
      </c>
      <c r="B40" s="169" t="e">
        <f>#REF!</f>
        <v>#REF!</v>
      </c>
      <c r="C40" s="170" t="e">
        <f>#REF!</f>
        <v>#REF!</v>
      </c>
      <c r="D40" s="171" t="e">
        <f>#REF!</f>
        <v>#REF!</v>
      </c>
      <c r="E40" s="171" t="e">
        <f>#REF!</f>
        <v>#REF!</v>
      </c>
      <c r="F40" s="171" t="e">
        <f>#REF!</f>
        <v>#REF!</v>
      </c>
      <c r="G40" s="171" t="e">
        <f>#REF!</f>
        <v>#REF!</v>
      </c>
      <c r="H40" s="171" t="e">
        <f>#REF!</f>
        <v>#REF!</v>
      </c>
      <c r="I40" s="171" t="e">
        <f>#REF!</f>
        <v>#REF!</v>
      </c>
      <c r="J40" s="171" t="e">
        <f>#REF!</f>
        <v>#REF!</v>
      </c>
      <c r="K40" s="171" t="e">
        <f>#REF!</f>
        <v>#REF!</v>
      </c>
      <c r="L40" s="171" t="e">
        <f>#REF!</f>
        <v>#REF!</v>
      </c>
      <c r="M40" s="171" t="e">
        <f>#REF!</f>
        <v>#REF!</v>
      </c>
      <c r="N40" s="171" t="e">
        <f>#REF!</f>
        <v>#REF!</v>
      </c>
      <c r="O40" s="171" t="e">
        <f>#REF!</f>
        <v>#REF!</v>
      </c>
      <c r="P40" s="171" t="e">
        <f>#REF!</f>
        <v>#REF!</v>
      </c>
      <c r="Q40" s="171" t="e">
        <f>#REF!</f>
        <v>#REF!</v>
      </c>
      <c r="R40" s="171" t="e">
        <f>#REF!</f>
        <v>#REF!</v>
      </c>
      <c r="S40" s="171" t="e">
        <f>#REF!</f>
        <v>#REF!</v>
      </c>
      <c r="T40" s="175" t="e">
        <f>#REF!</f>
        <v>#REF!</v>
      </c>
      <c r="U40" s="175" t="e">
        <f>#REF!</f>
        <v>#REF!</v>
      </c>
      <c r="V40" s="175" t="e">
        <f>#REF!</f>
        <v>#REF!</v>
      </c>
      <c r="W40" s="175" t="e">
        <f>#REF!</f>
        <v>#REF!</v>
      </c>
      <c r="X40" s="175" t="e">
        <f>#REF!</f>
        <v>#REF!</v>
      </c>
    </row>
    <row r="41" spans="1:24" ht="24.95" customHeight="1" x14ac:dyDescent="0.2">
      <c r="A41" s="168" t="e">
        <f>#REF!</f>
        <v>#REF!</v>
      </c>
      <c r="B41" s="169" t="e">
        <f>#REF!</f>
        <v>#REF!</v>
      </c>
      <c r="C41" s="170" t="e">
        <f>#REF!</f>
        <v>#REF!</v>
      </c>
      <c r="D41" s="171" t="e">
        <f>#REF!</f>
        <v>#REF!</v>
      </c>
      <c r="E41" s="171" t="e">
        <f>#REF!</f>
        <v>#REF!</v>
      </c>
      <c r="F41" s="171" t="e">
        <f>#REF!</f>
        <v>#REF!</v>
      </c>
      <c r="G41" s="171" t="e">
        <f>#REF!</f>
        <v>#REF!</v>
      </c>
      <c r="H41" s="171" t="e">
        <f>#REF!</f>
        <v>#REF!</v>
      </c>
      <c r="I41" s="171" t="e">
        <f>#REF!</f>
        <v>#REF!</v>
      </c>
      <c r="J41" s="171" t="e">
        <f>#REF!</f>
        <v>#REF!</v>
      </c>
      <c r="K41" s="171" t="e">
        <f>#REF!</f>
        <v>#REF!</v>
      </c>
      <c r="L41" s="171" t="e">
        <f>#REF!</f>
        <v>#REF!</v>
      </c>
      <c r="M41" s="171" t="e">
        <f>#REF!</f>
        <v>#REF!</v>
      </c>
      <c r="N41" s="171" t="e">
        <f>#REF!</f>
        <v>#REF!</v>
      </c>
      <c r="O41" s="171" t="e">
        <f>#REF!</f>
        <v>#REF!</v>
      </c>
      <c r="P41" s="171" t="e">
        <f>#REF!</f>
        <v>#REF!</v>
      </c>
      <c r="Q41" s="171" t="e">
        <f>#REF!</f>
        <v>#REF!</v>
      </c>
      <c r="R41" s="171" t="e">
        <f>#REF!</f>
        <v>#REF!</v>
      </c>
      <c r="S41" s="171" t="e">
        <f>#REF!</f>
        <v>#REF!</v>
      </c>
      <c r="T41" s="175" t="e">
        <f>#REF!</f>
        <v>#REF!</v>
      </c>
      <c r="U41" s="175" t="e">
        <f>#REF!</f>
        <v>#REF!</v>
      </c>
      <c r="V41" s="175" t="e">
        <f>#REF!</f>
        <v>#REF!</v>
      </c>
      <c r="W41" s="175" t="e">
        <f>#REF!</f>
        <v>#REF!</v>
      </c>
      <c r="X41" s="175" t="e">
        <f>#REF!</f>
        <v>#REF!</v>
      </c>
    </row>
    <row r="42" spans="1:24" ht="24.95" customHeight="1" x14ac:dyDescent="0.2">
      <c r="A42" s="168" t="e">
        <f>#REF!</f>
        <v>#REF!</v>
      </c>
      <c r="B42" s="169" t="e">
        <f>#REF!</f>
        <v>#REF!</v>
      </c>
      <c r="C42" s="170" t="e">
        <f>#REF!</f>
        <v>#REF!</v>
      </c>
      <c r="D42" s="171" t="e">
        <f>#REF!</f>
        <v>#REF!</v>
      </c>
      <c r="E42" s="171" t="e">
        <f>#REF!</f>
        <v>#REF!</v>
      </c>
      <c r="F42" s="171" t="e">
        <f>#REF!</f>
        <v>#REF!</v>
      </c>
      <c r="G42" s="171" t="e">
        <f>#REF!</f>
        <v>#REF!</v>
      </c>
      <c r="H42" s="171" t="e">
        <f>#REF!</f>
        <v>#REF!</v>
      </c>
      <c r="I42" s="171" t="e">
        <f>#REF!</f>
        <v>#REF!</v>
      </c>
      <c r="J42" s="171" t="e">
        <f>#REF!</f>
        <v>#REF!</v>
      </c>
      <c r="K42" s="171" t="e">
        <f>#REF!</f>
        <v>#REF!</v>
      </c>
      <c r="L42" s="171" t="e">
        <f>#REF!</f>
        <v>#REF!</v>
      </c>
      <c r="M42" s="171" t="e">
        <f>#REF!</f>
        <v>#REF!</v>
      </c>
      <c r="N42" s="171" t="e">
        <f>#REF!</f>
        <v>#REF!</v>
      </c>
      <c r="O42" s="171" t="e">
        <f>#REF!</f>
        <v>#REF!</v>
      </c>
      <c r="P42" s="171" t="e">
        <f>#REF!</f>
        <v>#REF!</v>
      </c>
      <c r="Q42" s="171" t="e">
        <f>#REF!</f>
        <v>#REF!</v>
      </c>
      <c r="R42" s="171" t="e">
        <f>#REF!</f>
        <v>#REF!</v>
      </c>
      <c r="S42" s="171" t="e">
        <f>#REF!</f>
        <v>#REF!</v>
      </c>
      <c r="T42" s="175" t="e">
        <f>#REF!</f>
        <v>#REF!</v>
      </c>
      <c r="U42" s="175" t="e">
        <f>#REF!</f>
        <v>#REF!</v>
      </c>
      <c r="V42" s="175" t="e">
        <f>#REF!</f>
        <v>#REF!</v>
      </c>
      <c r="W42" s="175" t="e">
        <f>#REF!</f>
        <v>#REF!</v>
      </c>
      <c r="X42" s="175" t="e">
        <f>#REF!</f>
        <v>#REF!</v>
      </c>
    </row>
    <row r="43" spans="1:24" ht="24.95" customHeight="1" x14ac:dyDescent="0.2">
      <c r="A43" s="168" t="e">
        <f>#REF!</f>
        <v>#REF!</v>
      </c>
      <c r="B43" s="169" t="e">
        <f>#REF!</f>
        <v>#REF!</v>
      </c>
      <c r="C43" s="170" t="e">
        <f>#REF!</f>
        <v>#REF!</v>
      </c>
      <c r="D43" s="171" t="e">
        <f>#REF!</f>
        <v>#REF!</v>
      </c>
      <c r="E43" s="171" t="e">
        <f>#REF!</f>
        <v>#REF!</v>
      </c>
      <c r="F43" s="171" t="e">
        <f>#REF!</f>
        <v>#REF!</v>
      </c>
      <c r="G43" s="171" t="e">
        <f>#REF!</f>
        <v>#REF!</v>
      </c>
      <c r="H43" s="171" t="e">
        <f>#REF!</f>
        <v>#REF!</v>
      </c>
      <c r="I43" s="171" t="e">
        <f>#REF!</f>
        <v>#REF!</v>
      </c>
      <c r="J43" s="171" t="e">
        <f>#REF!</f>
        <v>#REF!</v>
      </c>
      <c r="K43" s="171" t="e">
        <f>#REF!</f>
        <v>#REF!</v>
      </c>
      <c r="L43" s="171" t="e">
        <f>#REF!</f>
        <v>#REF!</v>
      </c>
      <c r="M43" s="171" t="e">
        <f>#REF!</f>
        <v>#REF!</v>
      </c>
      <c r="N43" s="171" t="e">
        <f>#REF!</f>
        <v>#REF!</v>
      </c>
      <c r="O43" s="171" t="e">
        <f>#REF!</f>
        <v>#REF!</v>
      </c>
      <c r="P43" s="171" t="e">
        <f>#REF!</f>
        <v>#REF!</v>
      </c>
      <c r="Q43" s="171" t="e">
        <f>#REF!</f>
        <v>#REF!</v>
      </c>
      <c r="R43" s="171" t="e">
        <f>#REF!</f>
        <v>#REF!</v>
      </c>
      <c r="S43" s="171" t="e">
        <f>#REF!</f>
        <v>#REF!</v>
      </c>
      <c r="T43" s="175" t="e">
        <f>#REF!</f>
        <v>#REF!</v>
      </c>
      <c r="U43" s="175" t="e">
        <f>#REF!</f>
        <v>#REF!</v>
      </c>
      <c r="V43" s="175" t="e">
        <f>#REF!</f>
        <v>#REF!</v>
      </c>
      <c r="W43" s="175" t="e">
        <f>#REF!</f>
        <v>#REF!</v>
      </c>
      <c r="X43" s="175" t="e">
        <f>#REF!</f>
        <v>#REF!</v>
      </c>
    </row>
    <row r="44" spans="1:24" ht="24.95" customHeight="1" x14ac:dyDescent="0.2">
      <c r="A44" s="168" t="e">
        <f>#REF!</f>
        <v>#REF!</v>
      </c>
      <c r="B44" s="169" t="e">
        <f>#REF!</f>
        <v>#REF!</v>
      </c>
      <c r="C44" s="170" t="e">
        <f>#REF!</f>
        <v>#REF!</v>
      </c>
      <c r="D44" s="171" t="e">
        <f>#REF!</f>
        <v>#REF!</v>
      </c>
      <c r="E44" s="171" t="e">
        <f>#REF!</f>
        <v>#REF!</v>
      </c>
      <c r="F44" s="171" t="e">
        <f>#REF!</f>
        <v>#REF!</v>
      </c>
      <c r="G44" s="171" t="e">
        <f>#REF!</f>
        <v>#REF!</v>
      </c>
      <c r="H44" s="171" t="e">
        <f>#REF!</f>
        <v>#REF!</v>
      </c>
      <c r="I44" s="171" t="e">
        <f>#REF!</f>
        <v>#REF!</v>
      </c>
      <c r="J44" s="171" t="e">
        <f>#REF!</f>
        <v>#REF!</v>
      </c>
      <c r="K44" s="171" t="e">
        <f>#REF!</f>
        <v>#REF!</v>
      </c>
      <c r="L44" s="171" t="e">
        <f>#REF!</f>
        <v>#REF!</v>
      </c>
      <c r="M44" s="171" t="e">
        <f>#REF!</f>
        <v>#REF!</v>
      </c>
      <c r="N44" s="171" t="e">
        <f>#REF!</f>
        <v>#REF!</v>
      </c>
      <c r="O44" s="171" t="e">
        <f>#REF!</f>
        <v>#REF!</v>
      </c>
      <c r="P44" s="171" t="e">
        <f>#REF!</f>
        <v>#REF!</v>
      </c>
      <c r="Q44" s="171" t="e">
        <f>#REF!</f>
        <v>#REF!</v>
      </c>
      <c r="R44" s="171" t="e">
        <f>#REF!</f>
        <v>#REF!</v>
      </c>
      <c r="S44" s="171" t="e">
        <f>#REF!</f>
        <v>#REF!</v>
      </c>
      <c r="T44" s="175" t="e">
        <f>#REF!</f>
        <v>#REF!</v>
      </c>
      <c r="U44" s="175" t="e">
        <f>#REF!</f>
        <v>#REF!</v>
      </c>
      <c r="V44" s="175" t="e">
        <f>#REF!</f>
        <v>#REF!</v>
      </c>
      <c r="W44" s="175" t="e">
        <f>#REF!</f>
        <v>#REF!</v>
      </c>
      <c r="X44" s="175" t="e">
        <f>#REF!</f>
        <v>#REF!</v>
      </c>
    </row>
    <row r="45" spans="1:24" ht="24.95" customHeight="1" x14ac:dyDescent="0.2">
      <c r="A45" s="168" t="e">
        <f>#REF!</f>
        <v>#REF!</v>
      </c>
      <c r="B45" s="169" t="e">
        <f>#REF!</f>
        <v>#REF!</v>
      </c>
      <c r="C45" s="170" t="e">
        <f>#REF!</f>
        <v>#REF!</v>
      </c>
      <c r="D45" s="171" t="e">
        <f>#REF!</f>
        <v>#REF!</v>
      </c>
      <c r="E45" s="171" t="e">
        <f>#REF!</f>
        <v>#REF!</v>
      </c>
      <c r="F45" s="171" t="e">
        <f>#REF!</f>
        <v>#REF!</v>
      </c>
      <c r="G45" s="171" t="e">
        <f>#REF!</f>
        <v>#REF!</v>
      </c>
      <c r="H45" s="171" t="e">
        <f>#REF!</f>
        <v>#REF!</v>
      </c>
      <c r="I45" s="171" t="e">
        <f>#REF!</f>
        <v>#REF!</v>
      </c>
      <c r="J45" s="171" t="e">
        <f>#REF!</f>
        <v>#REF!</v>
      </c>
      <c r="K45" s="171" t="e">
        <f>#REF!</f>
        <v>#REF!</v>
      </c>
      <c r="L45" s="171" t="e">
        <f>#REF!</f>
        <v>#REF!</v>
      </c>
      <c r="M45" s="171" t="e">
        <f>#REF!</f>
        <v>#REF!</v>
      </c>
      <c r="N45" s="171" t="e">
        <f>#REF!</f>
        <v>#REF!</v>
      </c>
      <c r="O45" s="171" t="e">
        <f>#REF!</f>
        <v>#REF!</v>
      </c>
      <c r="P45" s="171" t="e">
        <f>#REF!</f>
        <v>#REF!</v>
      </c>
      <c r="Q45" s="171" t="e">
        <f>#REF!</f>
        <v>#REF!</v>
      </c>
      <c r="R45" s="171" t="e">
        <f>#REF!</f>
        <v>#REF!</v>
      </c>
      <c r="S45" s="171" t="e">
        <f>#REF!</f>
        <v>#REF!</v>
      </c>
      <c r="T45" s="175" t="e">
        <f>#REF!</f>
        <v>#REF!</v>
      </c>
      <c r="U45" s="175" t="e">
        <f>#REF!</f>
        <v>#REF!</v>
      </c>
      <c r="V45" s="175" t="e">
        <f>#REF!</f>
        <v>#REF!</v>
      </c>
      <c r="W45" s="175" t="e">
        <f>#REF!</f>
        <v>#REF!</v>
      </c>
      <c r="X45" s="175" t="e">
        <f>#REF!</f>
        <v>#REF!</v>
      </c>
    </row>
    <row r="46" spans="1:24" ht="24.95" customHeight="1" x14ac:dyDescent="0.2">
      <c r="A46" s="168" t="e">
        <f>#REF!</f>
        <v>#REF!</v>
      </c>
      <c r="B46" s="169" t="e">
        <f>#REF!</f>
        <v>#REF!</v>
      </c>
      <c r="C46" s="170" t="e">
        <f>#REF!</f>
        <v>#REF!</v>
      </c>
      <c r="D46" s="171" t="e">
        <f>#REF!</f>
        <v>#REF!</v>
      </c>
      <c r="E46" s="171" t="e">
        <f>#REF!</f>
        <v>#REF!</v>
      </c>
      <c r="F46" s="171" t="e">
        <f>#REF!</f>
        <v>#REF!</v>
      </c>
      <c r="G46" s="171" t="e">
        <f>#REF!</f>
        <v>#REF!</v>
      </c>
      <c r="H46" s="171" t="e">
        <f>#REF!</f>
        <v>#REF!</v>
      </c>
      <c r="I46" s="171" t="e">
        <f>#REF!</f>
        <v>#REF!</v>
      </c>
      <c r="J46" s="171" t="e">
        <f>#REF!</f>
        <v>#REF!</v>
      </c>
      <c r="K46" s="171" t="e">
        <f>#REF!</f>
        <v>#REF!</v>
      </c>
      <c r="L46" s="171" t="e">
        <f>#REF!</f>
        <v>#REF!</v>
      </c>
      <c r="M46" s="171" t="e">
        <f>#REF!</f>
        <v>#REF!</v>
      </c>
      <c r="N46" s="171" t="e">
        <f>#REF!</f>
        <v>#REF!</v>
      </c>
      <c r="O46" s="171" t="e">
        <f>#REF!</f>
        <v>#REF!</v>
      </c>
      <c r="P46" s="171" t="e">
        <f>#REF!</f>
        <v>#REF!</v>
      </c>
      <c r="Q46" s="171" t="e">
        <f>#REF!</f>
        <v>#REF!</v>
      </c>
      <c r="R46" s="171" t="e">
        <f>#REF!</f>
        <v>#REF!</v>
      </c>
      <c r="S46" s="171" t="e">
        <f>#REF!</f>
        <v>#REF!</v>
      </c>
      <c r="T46" s="175" t="e">
        <f>#REF!</f>
        <v>#REF!</v>
      </c>
      <c r="U46" s="175" t="e">
        <f>#REF!</f>
        <v>#REF!</v>
      </c>
      <c r="V46" s="175" t="e">
        <f>#REF!</f>
        <v>#REF!</v>
      </c>
      <c r="W46" s="175" t="e">
        <f>#REF!</f>
        <v>#REF!</v>
      </c>
      <c r="X46" s="175" t="e">
        <f>#REF!</f>
        <v>#REF!</v>
      </c>
    </row>
    <row r="47" spans="1:24" ht="24.95" customHeight="1" x14ac:dyDescent="0.2">
      <c r="A47" s="168" t="e">
        <f>#REF!</f>
        <v>#REF!</v>
      </c>
      <c r="B47" s="169" t="e">
        <f>#REF!</f>
        <v>#REF!</v>
      </c>
      <c r="C47" s="170" t="e">
        <f>#REF!</f>
        <v>#REF!</v>
      </c>
      <c r="D47" s="171" t="e">
        <f>#REF!</f>
        <v>#REF!</v>
      </c>
      <c r="E47" s="171" t="e">
        <f>#REF!</f>
        <v>#REF!</v>
      </c>
      <c r="F47" s="171" t="e">
        <f>#REF!</f>
        <v>#REF!</v>
      </c>
      <c r="G47" s="171" t="e">
        <f>#REF!</f>
        <v>#REF!</v>
      </c>
      <c r="H47" s="171" t="e">
        <f>#REF!</f>
        <v>#REF!</v>
      </c>
      <c r="I47" s="171" t="e">
        <f>#REF!</f>
        <v>#REF!</v>
      </c>
      <c r="J47" s="171" t="e">
        <f>#REF!</f>
        <v>#REF!</v>
      </c>
      <c r="K47" s="171" t="e">
        <f>#REF!</f>
        <v>#REF!</v>
      </c>
      <c r="L47" s="171" t="e">
        <f>#REF!</f>
        <v>#REF!</v>
      </c>
      <c r="M47" s="171" t="e">
        <f>#REF!</f>
        <v>#REF!</v>
      </c>
      <c r="N47" s="171" t="e">
        <f>#REF!</f>
        <v>#REF!</v>
      </c>
      <c r="O47" s="171" t="e">
        <f>#REF!</f>
        <v>#REF!</v>
      </c>
      <c r="P47" s="171" t="e">
        <f>#REF!</f>
        <v>#REF!</v>
      </c>
      <c r="Q47" s="171" t="e">
        <f>#REF!</f>
        <v>#REF!</v>
      </c>
      <c r="R47" s="171" t="e">
        <f>#REF!</f>
        <v>#REF!</v>
      </c>
      <c r="S47" s="171" t="e">
        <f>#REF!</f>
        <v>#REF!</v>
      </c>
      <c r="T47" s="175" t="e">
        <f>#REF!</f>
        <v>#REF!</v>
      </c>
      <c r="U47" s="175" t="e">
        <f>#REF!</f>
        <v>#REF!</v>
      </c>
      <c r="V47" s="175" t="e">
        <f>#REF!</f>
        <v>#REF!</v>
      </c>
      <c r="W47" s="175" t="e">
        <f>#REF!</f>
        <v>#REF!</v>
      </c>
      <c r="X47" s="175" t="e">
        <f>#REF!</f>
        <v>#REF!</v>
      </c>
    </row>
    <row r="48" spans="1:24" ht="24.95" customHeight="1" x14ac:dyDescent="0.2">
      <c r="A48" s="168" t="e">
        <f>#REF!</f>
        <v>#REF!</v>
      </c>
      <c r="B48" s="169" t="e">
        <f>#REF!</f>
        <v>#REF!</v>
      </c>
      <c r="C48" s="170" t="e">
        <f>#REF!</f>
        <v>#REF!</v>
      </c>
      <c r="D48" s="171" t="e">
        <f>#REF!</f>
        <v>#REF!</v>
      </c>
      <c r="E48" s="171" t="e">
        <f>#REF!</f>
        <v>#REF!</v>
      </c>
      <c r="F48" s="171" t="e">
        <f>#REF!</f>
        <v>#REF!</v>
      </c>
      <c r="G48" s="171" t="e">
        <f>#REF!</f>
        <v>#REF!</v>
      </c>
      <c r="H48" s="171" t="e">
        <f>#REF!</f>
        <v>#REF!</v>
      </c>
      <c r="I48" s="171" t="e">
        <f>#REF!</f>
        <v>#REF!</v>
      </c>
      <c r="J48" s="171" t="e">
        <f>#REF!</f>
        <v>#REF!</v>
      </c>
      <c r="K48" s="171" t="e">
        <f>#REF!</f>
        <v>#REF!</v>
      </c>
      <c r="L48" s="171" t="e">
        <f>#REF!</f>
        <v>#REF!</v>
      </c>
      <c r="M48" s="171" t="e">
        <f>#REF!</f>
        <v>#REF!</v>
      </c>
      <c r="N48" s="171" t="e">
        <f>#REF!</f>
        <v>#REF!</v>
      </c>
      <c r="O48" s="171" t="e">
        <f>#REF!</f>
        <v>#REF!</v>
      </c>
      <c r="P48" s="171" t="e">
        <f>#REF!</f>
        <v>#REF!</v>
      </c>
      <c r="Q48" s="171" t="e">
        <f>#REF!</f>
        <v>#REF!</v>
      </c>
      <c r="R48" s="171" t="e">
        <f>#REF!</f>
        <v>#REF!</v>
      </c>
      <c r="S48" s="171" t="e">
        <f>#REF!</f>
        <v>#REF!</v>
      </c>
      <c r="T48" s="175" t="e">
        <f>#REF!</f>
        <v>#REF!</v>
      </c>
      <c r="U48" s="175" t="e">
        <f>#REF!</f>
        <v>#REF!</v>
      </c>
      <c r="V48" s="175" t="e">
        <f>#REF!</f>
        <v>#REF!</v>
      </c>
      <c r="W48" s="175" t="e">
        <f>#REF!</f>
        <v>#REF!</v>
      </c>
      <c r="X48" s="175" t="e">
        <f>#REF!</f>
        <v>#REF!</v>
      </c>
    </row>
    <row r="49" spans="1:24" ht="24.95" customHeight="1" x14ac:dyDescent="0.2">
      <c r="A49" s="168" t="e">
        <f>#REF!</f>
        <v>#REF!</v>
      </c>
      <c r="B49" s="169" t="e">
        <f>#REF!</f>
        <v>#REF!</v>
      </c>
      <c r="C49" s="170" t="e">
        <f>#REF!</f>
        <v>#REF!</v>
      </c>
      <c r="D49" s="171" t="e">
        <f>#REF!</f>
        <v>#REF!</v>
      </c>
      <c r="E49" s="171" t="e">
        <f>#REF!</f>
        <v>#REF!</v>
      </c>
      <c r="F49" s="171" t="e">
        <f>#REF!</f>
        <v>#REF!</v>
      </c>
      <c r="G49" s="171" t="e">
        <f>#REF!</f>
        <v>#REF!</v>
      </c>
      <c r="H49" s="171" t="e">
        <f>#REF!</f>
        <v>#REF!</v>
      </c>
      <c r="I49" s="171" t="e">
        <f>#REF!</f>
        <v>#REF!</v>
      </c>
      <c r="J49" s="171" t="e">
        <f>#REF!</f>
        <v>#REF!</v>
      </c>
      <c r="K49" s="171" t="e">
        <f>#REF!</f>
        <v>#REF!</v>
      </c>
      <c r="L49" s="171" t="e">
        <f>#REF!</f>
        <v>#REF!</v>
      </c>
      <c r="M49" s="171" t="e">
        <f>#REF!</f>
        <v>#REF!</v>
      </c>
      <c r="N49" s="171" t="e">
        <f>#REF!</f>
        <v>#REF!</v>
      </c>
      <c r="O49" s="171" t="e">
        <f>#REF!</f>
        <v>#REF!</v>
      </c>
      <c r="P49" s="171" t="e">
        <f>#REF!</f>
        <v>#REF!</v>
      </c>
      <c r="Q49" s="171" t="e">
        <f>#REF!</f>
        <v>#REF!</v>
      </c>
      <c r="R49" s="171" t="e">
        <f>#REF!</f>
        <v>#REF!</v>
      </c>
      <c r="S49" s="171" t="e">
        <f>#REF!</f>
        <v>#REF!</v>
      </c>
      <c r="T49" s="175" t="e">
        <f>#REF!</f>
        <v>#REF!</v>
      </c>
      <c r="U49" s="175" t="e">
        <f>#REF!</f>
        <v>#REF!</v>
      </c>
      <c r="V49" s="175" t="e">
        <f>#REF!</f>
        <v>#REF!</v>
      </c>
      <c r="W49" s="175" t="e">
        <f>#REF!</f>
        <v>#REF!</v>
      </c>
      <c r="X49" s="175" t="e">
        <f>#REF!</f>
        <v>#REF!</v>
      </c>
    </row>
    <row r="50" spans="1:24" ht="24.95" customHeight="1" x14ac:dyDescent="0.2">
      <c r="A50" s="168" t="e">
        <f>#REF!</f>
        <v>#REF!</v>
      </c>
      <c r="B50" s="169" t="e">
        <f>#REF!</f>
        <v>#REF!</v>
      </c>
      <c r="C50" s="170" t="e">
        <f>#REF!</f>
        <v>#REF!</v>
      </c>
      <c r="D50" s="171" t="e">
        <f>#REF!</f>
        <v>#REF!</v>
      </c>
      <c r="E50" s="171" t="e">
        <f>#REF!</f>
        <v>#REF!</v>
      </c>
      <c r="F50" s="171" t="e">
        <f>#REF!</f>
        <v>#REF!</v>
      </c>
      <c r="G50" s="171" t="e">
        <f>#REF!</f>
        <v>#REF!</v>
      </c>
      <c r="H50" s="171" t="e">
        <f>#REF!</f>
        <v>#REF!</v>
      </c>
      <c r="I50" s="171" t="e">
        <f>#REF!</f>
        <v>#REF!</v>
      </c>
      <c r="J50" s="171" t="e">
        <f>#REF!</f>
        <v>#REF!</v>
      </c>
      <c r="K50" s="171" t="e">
        <f>#REF!</f>
        <v>#REF!</v>
      </c>
      <c r="L50" s="171" t="e">
        <f>#REF!</f>
        <v>#REF!</v>
      </c>
      <c r="M50" s="171" t="e">
        <f>#REF!</f>
        <v>#REF!</v>
      </c>
      <c r="N50" s="171" t="e">
        <f>#REF!</f>
        <v>#REF!</v>
      </c>
      <c r="O50" s="171" t="e">
        <f>#REF!</f>
        <v>#REF!</v>
      </c>
      <c r="P50" s="171" t="e">
        <f>#REF!</f>
        <v>#REF!</v>
      </c>
      <c r="Q50" s="171" t="e">
        <f>#REF!</f>
        <v>#REF!</v>
      </c>
      <c r="R50" s="171" t="e">
        <f>#REF!</f>
        <v>#REF!</v>
      </c>
      <c r="S50" s="171" t="e">
        <f>#REF!</f>
        <v>#REF!</v>
      </c>
      <c r="T50" s="175" t="e">
        <f>#REF!</f>
        <v>#REF!</v>
      </c>
      <c r="U50" s="175" t="e">
        <f>#REF!</f>
        <v>#REF!</v>
      </c>
      <c r="V50" s="175" t="e">
        <f>#REF!</f>
        <v>#REF!</v>
      </c>
      <c r="W50" s="175" t="e">
        <f>#REF!</f>
        <v>#REF!</v>
      </c>
      <c r="X50" s="175" t="e">
        <f>#REF!</f>
        <v>#REF!</v>
      </c>
    </row>
    <row r="51" spans="1:24" ht="24.95" customHeight="1" x14ac:dyDescent="0.2">
      <c r="A51" s="168" t="e">
        <f>#REF!</f>
        <v>#REF!</v>
      </c>
      <c r="B51" s="169" t="e">
        <f>#REF!</f>
        <v>#REF!</v>
      </c>
      <c r="C51" s="170" t="e">
        <f>#REF!</f>
        <v>#REF!</v>
      </c>
      <c r="D51" s="171" t="e">
        <f>#REF!</f>
        <v>#REF!</v>
      </c>
      <c r="E51" s="171" t="e">
        <f>#REF!</f>
        <v>#REF!</v>
      </c>
      <c r="F51" s="171" t="e">
        <f>#REF!</f>
        <v>#REF!</v>
      </c>
      <c r="G51" s="171" t="e">
        <f>#REF!</f>
        <v>#REF!</v>
      </c>
      <c r="H51" s="171" t="e">
        <f>#REF!</f>
        <v>#REF!</v>
      </c>
      <c r="I51" s="171" t="e">
        <f>#REF!</f>
        <v>#REF!</v>
      </c>
      <c r="J51" s="171" t="e">
        <f>#REF!</f>
        <v>#REF!</v>
      </c>
      <c r="K51" s="171" t="e">
        <f>#REF!</f>
        <v>#REF!</v>
      </c>
      <c r="L51" s="171" t="e">
        <f>#REF!</f>
        <v>#REF!</v>
      </c>
      <c r="M51" s="171" t="e">
        <f>#REF!</f>
        <v>#REF!</v>
      </c>
      <c r="N51" s="171" t="e">
        <f>#REF!</f>
        <v>#REF!</v>
      </c>
      <c r="O51" s="171" t="e">
        <f>#REF!</f>
        <v>#REF!</v>
      </c>
      <c r="P51" s="171" t="e">
        <f>#REF!</f>
        <v>#REF!</v>
      </c>
      <c r="Q51" s="171" t="e">
        <f>#REF!</f>
        <v>#REF!</v>
      </c>
      <c r="R51" s="171" t="e">
        <f>#REF!</f>
        <v>#REF!</v>
      </c>
      <c r="S51" s="171" t="e">
        <f>#REF!</f>
        <v>#REF!</v>
      </c>
      <c r="T51" s="175" t="e">
        <f>#REF!</f>
        <v>#REF!</v>
      </c>
      <c r="U51" s="175" t="e">
        <f>#REF!</f>
        <v>#REF!</v>
      </c>
      <c r="V51" s="175" t="e">
        <f>#REF!</f>
        <v>#REF!</v>
      </c>
      <c r="W51" s="175" t="e">
        <f>#REF!</f>
        <v>#REF!</v>
      </c>
      <c r="X51" s="175" t="e">
        <f>#REF!</f>
        <v>#REF!</v>
      </c>
    </row>
    <row r="52" spans="1:24" ht="24.95" customHeight="1" x14ac:dyDescent="0.2">
      <c r="A52" s="168" t="e">
        <f>#REF!</f>
        <v>#REF!</v>
      </c>
      <c r="B52" s="169" t="e">
        <f>#REF!</f>
        <v>#REF!</v>
      </c>
      <c r="C52" s="170" t="e">
        <f>#REF!</f>
        <v>#REF!</v>
      </c>
      <c r="D52" s="171" t="e">
        <f>#REF!</f>
        <v>#REF!</v>
      </c>
      <c r="E52" s="171" t="e">
        <f>#REF!</f>
        <v>#REF!</v>
      </c>
      <c r="F52" s="171" t="e">
        <f>#REF!</f>
        <v>#REF!</v>
      </c>
      <c r="G52" s="171" t="e">
        <f>#REF!</f>
        <v>#REF!</v>
      </c>
      <c r="H52" s="171" t="e">
        <f>#REF!</f>
        <v>#REF!</v>
      </c>
      <c r="I52" s="171" t="e">
        <f>#REF!</f>
        <v>#REF!</v>
      </c>
      <c r="J52" s="171" t="e">
        <f>#REF!</f>
        <v>#REF!</v>
      </c>
      <c r="K52" s="171" t="e">
        <f>#REF!</f>
        <v>#REF!</v>
      </c>
      <c r="L52" s="171" t="e">
        <f>#REF!</f>
        <v>#REF!</v>
      </c>
      <c r="M52" s="171" t="e">
        <f>#REF!</f>
        <v>#REF!</v>
      </c>
      <c r="N52" s="171" t="e">
        <f>#REF!</f>
        <v>#REF!</v>
      </c>
      <c r="O52" s="171" t="e">
        <f>#REF!</f>
        <v>#REF!</v>
      </c>
      <c r="P52" s="171" t="e">
        <f>#REF!</f>
        <v>#REF!</v>
      </c>
      <c r="Q52" s="171" t="e">
        <f>#REF!</f>
        <v>#REF!</v>
      </c>
      <c r="R52" s="171" t="e">
        <f>#REF!</f>
        <v>#REF!</v>
      </c>
      <c r="S52" s="171" t="e">
        <f>#REF!</f>
        <v>#REF!</v>
      </c>
      <c r="T52" s="175" t="e">
        <f>#REF!</f>
        <v>#REF!</v>
      </c>
      <c r="U52" s="175" t="e">
        <f>#REF!</f>
        <v>#REF!</v>
      </c>
      <c r="V52" s="175" t="e">
        <f>#REF!</f>
        <v>#REF!</v>
      </c>
      <c r="W52" s="175" t="e">
        <f>#REF!</f>
        <v>#REF!</v>
      </c>
      <c r="X52" s="175" t="e">
        <f>#REF!</f>
        <v>#REF!</v>
      </c>
    </row>
    <row r="53" spans="1:24" ht="24.95" customHeight="1" x14ac:dyDescent="0.2">
      <c r="A53" s="168" t="e">
        <f>#REF!</f>
        <v>#REF!</v>
      </c>
      <c r="B53" s="169" t="e">
        <f>#REF!</f>
        <v>#REF!</v>
      </c>
      <c r="C53" s="170" t="e">
        <f>#REF!</f>
        <v>#REF!</v>
      </c>
      <c r="D53" s="171" t="e">
        <f>#REF!</f>
        <v>#REF!</v>
      </c>
      <c r="E53" s="171" t="e">
        <f>#REF!</f>
        <v>#REF!</v>
      </c>
      <c r="F53" s="171" t="e">
        <f>#REF!</f>
        <v>#REF!</v>
      </c>
      <c r="G53" s="171" t="e">
        <f>#REF!</f>
        <v>#REF!</v>
      </c>
      <c r="H53" s="171" t="e">
        <f>#REF!</f>
        <v>#REF!</v>
      </c>
      <c r="I53" s="171" t="e">
        <f>#REF!</f>
        <v>#REF!</v>
      </c>
      <c r="J53" s="171" t="e">
        <f>#REF!</f>
        <v>#REF!</v>
      </c>
      <c r="K53" s="171" t="e">
        <f>#REF!</f>
        <v>#REF!</v>
      </c>
      <c r="L53" s="171" t="e">
        <f>#REF!</f>
        <v>#REF!</v>
      </c>
      <c r="M53" s="171" t="e">
        <f>#REF!</f>
        <v>#REF!</v>
      </c>
      <c r="N53" s="171" t="e">
        <f>#REF!</f>
        <v>#REF!</v>
      </c>
      <c r="O53" s="171" t="e">
        <f>#REF!</f>
        <v>#REF!</v>
      </c>
      <c r="P53" s="171" t="e">
        <f>#REF!</f>
        <v>#REF!</v>
      </c>
      <c r="Q53" s="171" t="e">
        <f>#REF!</f>
        <v>#REF!</v>
      </c>
      <c r="R53" s="171" t="e">
        <f>#REF!</f>
        <v>#REF!</v>
      </c>
      <c r="S53" s="171" t="e">
        <f>#REF!</f>
        <v>#REF!</v>
      </c>
      <c r="T53" s="175" t="e">
        <f>#REF!</f>
        <v>#REF!</v>
      </c>
      <c r="U53" s="175" t="e">
        <f>#REF!</f>
        <v>#REF!</v>
      </c>
      <c r="V53" s="175" t="e">
        <f>#REF!</f>
        <v>#REF!</v>
      </c>
      <c r="W53" s="175" t="e">
        <f>#REF!</f>
        <v>#REF!</v>
      </c>
      <c r="X53" s="175" t="e">
        <f>#REF!</f>
        <v>#REF!</v>
      </c>
    </row>
    <row r="54" spans="1:24" ht="24.95" customHeight="1" x14ac:dyDescent="0.2">
      <c r="A54" s="168" t="e">
        <f>#REF!</f>
        <v>#REF!</v>
      </c>
      <c r="B54" s="169" t="e">
        <f>#REF!</f>
        <v>#REF!</v>
      </c>
      <c r="C54" s="170" t="e">
        <f>#REF!</f>
        <v>#REF!</v>
      </c>
      <c r="D54" s="171" t="e">
        <f>#REF!</f>
        <v>#REF!</v>
      </c>
      <c r="E54" s="171" t="e">
        <f>#REF!</f>
        <v>#REF!</v>
      </c>
      <c r="F54" s="171" t="e">
        <f>#REF!</f>
        <v>#REF!</v>
      </c>
      <c r="G54" s="171" t="e">
        <f>#REF!</f>
        <v>#REF!</v>
      </c>
      <c r="H54" s="171" t="e">
        <f>#REF!</f>
        <v>#REF!</v>
      </c>
      <c r="I54" s="171" t="e">
        <f>#REF!</f>
        <v>#REF!</v>
      </c>
      <c r="J54" s="171" t="e">
        <f>#REF!</f>
        <v>#REF!</v>
      </c>
      <c r="K54" s="171" t="e">
        <f>#REF!</f>
        <v>#REF!</v>
      </c>
      <c r="L54" s="171" t="e">
        <f>#REF!</f>
        <v>#REF!</v>
      </c>
      <c r="M54" s="171" t="e">
        <f>#REF!</f>
        <v>#REF!</v>
      </c>
      <c r="N54" s="171" t="e">
        <f>#REF!</f>
        <v>#REF!</v>
      </c>
      <c r="O54" s="171" t="e">
        <f>#REF!</f>
        <v>#REF!</v>
      </c>
      <c r="P54" s="171" t="e">
        <f>#REF!</f>
        <v>#REF!</v>
      </c>
      <c r="Q54" s="171" t="e">
        <f>#REF!</f>
        <v>#REF!</v>
      </c>
      <c r="R54" s="171" t="e">
        <f>#REF!</f>
        <v>#REF!</v>
      </c>
      <c r="S54" s="171" t="e">
        <f>#REF!</f>
        <v>#REF!</v>
      </c>
      <c r="T54" s="175" t="e">
        <f>#REF!</f>
        <v>#REF!</v>
      </c>
      <c r="U54" s="175" t="e">
        <f>#REF!</f>
        <v>#REF!</v>
      </c>
      <c r="V54" s="175" t="e">
        <f>#REF!</f>
        <v>#REF!</v>
      </c>
      <c r="W54" s="175" t="e">
        <f>#REF!</f>
        <v>#REF!</v>
      </c>
      <c r="X54" s="175" t="e">
        <f>#REF!</f>
        <v>#REF!</v>
      </c>
    </row>
    <row r="55" spans="1:24" ht="24.95" customHeight="1" x14ac:dyDescent="0.2">
      <c r="A55" s="168" t="e">
        <f>#REF!</f>
        <v>#REF!</v>
      </c>
      <c r="B55" s="169" t="e">
        <f>#REF!</f>
        <v>#REF!</v>
      </c>
      <c r="C55" s="170" t="e">
        <f>#REF!</f>
        <v>#REF!</v>
      </c>
      <c r="D55" s="171" t="e">
        <f>#REF!</f>
        <v>#REF!</v>
      </c>
      <c r="E55" s="171" t="e">
        <f>#REF!</f>
        <v>#REF!</v>
      </c>
      <c r="F55" s="171" t="e">
        <f>#REF!</f>
        <v>#REF!</v>
      </c>
      <c r="G55" s="171" t="e">
        <f>#REF!</f>
        <v>#REF!</v>
      </c>
      <c r="H55" s="171" t="e">
        <f>#REF!</f>
        <v>#REF!</v>
      </c>
      <c r="I55" s="171" t="e">
        <f>#REF!</f>
        <v>#REF!</v>
      </c>
      <c r="J55" s="171" t="e">
        <f>#REF!</f>
        <v>#REF!</v>
      </c>
      <c r="K55" s="171" t="e">
        <f>#REF!</f>
        <v>#REF!</v>
      </c>
      <c r="L55" s="171" t="e">
        <f>#REF!</f>
        <v>#REF!</v>
      </c>
      <c r="M55" s="171" t="e">
        <f>#REF!</f>
        <v>#REF!</v>
      </c>
      <c r="N55" s="171" t="e">
        <f>#REF!</f>
        <v>#REF!</v>
      </c>
      <c r="O55" s="171" t="e">
        <f>#REF!</f>
        <v>#REF!</v>
      </c>
      <c r="P55" s="171" t="e">
        <f>#REF!</f>
        <v>#REF!</v>
      </c>
      <c r="Q55" s="171" t="e">
        <f>#REF!</f>
        <v>#REF!</v>
      </c>
      <c r="R55" s="171" t="e">
        <f>#REF!</f>
        <v>#REF!</v>
      </c>
      <c r="S55" s="171" t="e">
        <f>#REF!</f>
        <v>#REF!</v>
      </c>
      <c r="T55" s="175" t="e">
        <f>#REF!</f>
        <v>#REF!</v>
      </c>
      <c r="U55" s="175" t="e">
        <f>#REF!</f>
        <v>#REF!</v>
      </c>
      <c r="V55" s="175" t="e">
        <f>#REF!</f>
        <v>#REF!</v>
      </c>
      <c r="W55" s="175" t="e">
        <f>#REF!</f>
        <v>#REF!</v>
      </c>
      <c r="X55" s="175" t="e">
        <f>#REF!</f>
        <v>#REF!</v>
      </c>
    </row>
    <row r="56" spans="1:24" ht="24.95" customHeight="1" x14ac:dyDescent="0.2">
      <c r="A56" s="168" t="e">
        <f>#REF!</f>
        <v>#REF!</v>
      </c>
      <c r="B56" s="169" t="e">
        <f>#REF!</f>
        <v>#REF!</v>
      </c>
      <c r="C56" s="170" t="e">
        <f>#REF!</f>
        <v>#REF!</v>
      </c>
      <c r="D56" s="171" t="e">
        <f>#REF!</f>
        <v>#REF!</v>
      </c>
      <c r="E56" s="171" t="e">
        <f>#REF!</f>
        <v>#REF!</v>
      </c>
      <c r="F56" s="171" t="e">
        <f>#REF!</f>
        <v>#REF!</v>
      </c>
      <c r="G56" s="171" t="e">
        <f>#REF!</f>
        <v>#REF!</v>
      </c>
      <c r="H56" s="171" t="e">
        <f>#REF!</f>
        <v>#REF!</v>
      </c>
      <c r="I56" s="171" t="e">
        <f>#REF!</f>
        <v>#REF!</v>
      </c>
      <c r="J56" s="171" t="e">
        <f>#REF!</f>
        <v>#REF!</v>
      </c>
      <c r="K56" s="171" t="e">
        <f>#REF!</f>
        <v>#REF!</v>
      </c>
      <c r="L56" s="171" t="e">
        <f>#REF!</f>
        <v>#REF!</v>
      </c>
      <c r="M56" s="171" t="e">
        <f>#REF!</f>
        <v>#REF!</v>
      </c>
      <c r="N56" s="171" t="e">
        <f>#REF!</f>
        <v>#REF!</v>
      </c>
      <c r="O56" s="171" t="e">
        <f>#REF!</f>
        <v>#REF!</v>
      </c>
      <c r="P56" s="171" t="e">
        <f>#REF!</f>
        <v>#REF!</v>
      </c>
      <c r="Q56" s="171" t="e">
        <f>#REF!</f>
        <v>#REF!</v>
      </c>
      <c r="R56" s="171" t="e">
        <f>#REF!</f>
        <v>#REF!</v>
      </c>
      <c r="S56" s="171" t="e">
        <f>#REF!</f>
        <v>#REF!</v>
      </c>
      <c r="T56" s="175" t="e">
        <f>#REF!</f>
        <v>#REF!</v>
      </c>
      <c r="U56" s="175" t="e">
        <f>#REF!</f>
        <v>#REF!</v>
      </c>
      <c r="V56" s="175" t="e">
        <f>#REF!</f>
        <v>#REF!</v>
      </c>
      <c r="W56" s="175" t="e">
        <f>#REF!</f>
        <v>#REF!</v>
      </c>
      <c r="X56" s="175" t="e">
        <f>#REF!</f>
        <v>#REF!</v>
      </c>
    </row>
    <row r="57" spans="1:24" ht="24.95" customHeight="1" x14ac:dyDescent="0.2">
      <c r="A57" s="168" t="e">
        <f>#REF!</f>
        <v>#REF!</v>
      </c>
      <c r="B57" s="169" t="e">
        <f>#REF!</f>
        <v>#REF!</v>
      </c>
      <c r="C57" s="170" t="e">
        <f>#REF!</f>
        <v>#REF!</v>
      </c>
      <c r="D57" s="171" t="e">
        <f>#REF!</f>
        <v>#REF!</v>
      </c>
      <c r="E57" s="171" t="e">
        <f>#REF!</f>
        <v>#REF!</v>
      </c>
      <c r="F57" s="171" t="e">
        <f>#REF!</f>
        <v>#REF!</v>
      </c>
      <c r="G57" s="171" t="e">
        <f>#REF!</f>
        <v>#REF!</v>
      </c>
      <c r="H57" s="171" t="e">
        <f>#REF!</f>
        <v>#REF!</v>
      </c>
      <c r="I57" s="171" t="e">
        <f>#REF!</f>
        <v>#REF!</v>
      </c>
      <c r="J57" s="171" t="e">
        <f>#REF!</f>
        <v>#REF!</v>
      </c>
      <c r="K57" s="171" t="e">
        <f>#REF!</f>
        <v>#REF!</v>
      </c>
      <c r="L57" s="171" t="e">
        <f>#REF!</f>
        <v>#REF!</v>
      </c>
      <c r="M57" s="171" t="e">
        <f>#REF!</f>
        <v>#REF!</v>
      </c>
      <c r="N57" s="171" t="e">
        <f>#REF!</f>
        <v>#REF!</v>
      </c>
      <c r="O57" s="171" t="e">
        <f>#REF!</f>
        <v>#REF!</v>
      </c>
      <c r="P57" s="171" t="e">
        <f>#REF!</f>
        <v>#REF!</v>
      </c>
      <c r="Q57" s="171" t="e">
        <f>#REF!</f>
        <v>#REF!</v>
      </c>
      <c r="R57" s="171" t="e">
        <f>#REF!</f>
        <v>#REF!</v>
      </c>
      <c r="S57" s="171" t="e">
        <f>#REF!</f>
        <v>#REF!</v>
      </c>
      <c r="T57" s="175" t="e">
        <f>#REF!</f>
        <v>#REF!</v>
      </c>
      <c r="U57" s="175" t="e">
        <f>#REF!</f>
        <v>#REF!</v>
      </c>
      <c r="V57" s="175" t="e">
        <f>#REF!</f>
        <v>#REF!</v>
      </c>
      <c r="W57" s="175" t="e">
        <f>#REF!</f>
        <v>#REF!</v>
      </c>
      <c r="X57" s="175" t="e">
        <f>#REF!</f>
        <v>#REF!</v>
      </c>
    </row>
    <row r="58" spans="1:24" ht="24.95" customHeight="1" x14ac:dyDescent="0.2">
      <c r="A58" s="168" t="e">
        <f>#REF!</f>
        <v>#REF!</v>
      </c>
      <c r="B58" s="169" t="e">
        <f>#REF!</f>
        <v>#REF!</v>
      </c>
      <c r="C58" s="170" t="e">
        <f>#REF!</f>
        <v>#REF!</v>
      </c>
      <c r="D58" s="171" t="e">
        <f>#REF!</f>
        <v>#REF!</v>
      </c>
      <c r="E58" s="171" t="e">
        <f>#REF!</f>
        <v>#REF!</v>
      </c>
      <c r="F58" s="171" t="e">
        <f>#REF!</f>
        <v>#REF!</v>
      </c>
      <c r="G58" s="171" t="e">
        <f>#REF!</f>
        <v>#REF!</v>
      </c>
      <c r="H58" s="171" t="e">
        <f>#REF!</f>
        <v>#REF!</v>
      </c>
      <c r="I58" s="171" t="e">
        <f>#REF!</f>
        <v>#REF!</v>
      </c>
      <c r="J58" s="171" t="e">
        <f>#REF!</f>
        <v>#REF!</v>
      </c>
      <c r="K58" s="171" t="e">
        <f>#REF!</f>
        <v>#REF!</v>
      </c>
      <c r="L58" s="171" t="e">
        <f>#REF!</f>
        <v>#REF!</v>
      </c>
      <c r="M58" s="171" t="e">
        <f>#REF!</f>
        <v>#REF!</v>
      </c>
      <c r="N58" s="171" t="e">
        <f>#REF!</f>
        <v>#REF!</v>
      </c>
      <c r="O58" s="171" t="e">
        <f>#REF!</f>
        <v>#REF!</v>
      </c>
      <c r="P58" s="171" t="e">
        <f>#REF!</f>
        <v>#REF!</v>
      </c>
      <c r="Q58" s="171" t="e">
        <f>#REF!</f>
        <v>#REF!</v>
      </c>
      <c r="R58" s="171" t="e">
        <f>#REF!</f>
        <v>#REF!</v>
      </c>
      <c r="S58" s="171" t="e">
        <f>#REF!</f>
        <v>#REF!</v>
      </c>
      <c r="T58" s="175" t="e">
        <f>#REF!</f>
        <v>#REF!</v>
      </c>
      <c r="U58" s="175" t="e">
        <f>#REF!</f>
        <v>#REF!</v>
      </c>
      <c r="V58" s="175" t="e">
        <f>#REF!</f>
        <v>#REF!</v>
      </c>
      <c r="W58" s="175" t="e">
        <f>#REF!</f>
        <v>#REF!</v>
      </c>
      <c r="X58" s="175" t="e">
        <f>#REF!</f>
        <v>#REF!</v>
      </c>
    </row>
    <row r="59" spans="1:24" ht="24.95" customHeight="1" x14ac:dyDescent="0.2">
      <c r="A59" s="168" t="e">
        <f>#REF!</f>
        <v>#REF!</v>
      </c>
      <c r="B59" s="169" t="e">
        <f>#REF!</f>
        <v>#REF!</v>
      </c>
      <c r="C59" s="170" t="e">
        <f>#REF!</f>
        <v>#REF!</v>
      </c>
      <c r="D59" s="171" t="e">
        <f>#REF!</f>
        <v>#REF!</v>
      </c>
      <c r="E59" s="171" t="e">
        <f>#REF!</f>
        <v>#REF!</v>
      </c>
      <c r="F59" s="171" t="e">
        <f>#REF!</f>
        <v>#REF!</v>
      </c>
      <c r="G59" s="171" t="e">
        <f>#REF!</f>
        <v>#REF!</v>
      </c>
      <c r="H59" s="171" t="e">
        <f>#REF!</f>
        <v>#REF!</v>
      </c>
      <c r="I59" s="171" t="e">
        <f>#REF!</f>
        <v>#REF!</v>
      </c>
      <c r="J59" s="171" t="e">
        <f>#REF!</f>
        <v>#REF!</v>
      </c>
      <c r="K59" s="171" t="e">
        <f>#REF!</f>
        <v>#REF!</v>
      </c>
      <c r="L59" s="171" t="e">
        <f>#REF!</f>
        <v>#REF!</v>
      </c>
      <c r="M59" s="171" t="e">
        <f>#REF!</f>
        <v>#REF!</v>
      </c>
      <c r="N59" s="171" t="e">
        <f>#REF!</f>
        <v>#REF!</v>
      </c>
      <c r="O59" s="171" t="e">
        <f>#REF!</f>
        <v>#REF!</v>
      </c>
      <c r="P59" s="171" t="e">
        <f>#REF!</f>
        <v>#REF!</v>
      </c>
      <c r="Q59" s="171" t="e">
        <f>#REF!</f>
        <v>#REF!</v>
      </c>
      <c r="R59" s="171" t="e">
        <f>#REF!</f>
        <v>#REF!</v>
      </c>
      <c r="S59" s="171" t="e">
        <f>#REF!</f>
        <v>#REF!</v>
      </c>
      <c r="T59" s="175" t="e">
        <f>#REF!</f>
        <v>#REF!</v>
      </c>
      <c r="U59" s="175" t="e">
        <f>#REF!</f>
        <v>#REF!</v>
      </c>
      <c r="V59" s="175" t="e">
        <f>#REF!</f>
        <v>#REF!</v>
      </c>
      <c r="W59" s="175" t="e">
        <f>#REF!</f>
        <v>#REF!</v>
      </c>
      <c r="X59" s="175" t="e">
        <f>#REF!</f>
        <v>#REF!</v>
      </c>
    </row>
    <row r="60" spans="1:24" ht="24.95" customHeight="1" x14ac:dyDescent="0.2">
      <c r="A60" s="168" t="e">
        <f>#REF!</f>
        <v>#REF!</v>
      </c>
      <c r="B60" s="169" t="e">
        <f>#REF!</f>
        <v>#REF!</v>
      </c>
      <c r="C60" s="170" t="e">
        <f>#REF!</f>
        <v>#REF!</v>
      </c>
      <c r="D60" s="171" t="e">
        <f>#REF!</f>
        <v>#REF!</v>
      </c>
      <c r="E60" s="171" t="e">
        <f>#REF!</f>
        <v>#REF!</v>
      </c>
      <c r="F60" s="171" t="e">
        <f>#REF!</f>
        <v>#REF!</v>
      </c>
      <c r="G60" s="171" t="e">
        <f>#REF!</f>
        <v>#REF!</v>
      </c>
      <c r="H60" s="171" t="e">
        <f>#REF!</f>
        <v>#REF!</v>
      </c>
      <c r="I60" s="171" t="e">
        <f>#REF!</f>
        <v>#REF!</v>
      </c>
      <c r="J60" s="171" t="e">
        <f>#REF!</f>
        <v>#REF!</v>
      </c>
      <c r="K60" s="171" t="e">
        <f>#REF!</f>
        <v>#REF!</v>
      </c>
      <c r="L60" s="171" t="e">
        <f>#REF!</f>
        <v>#REF!</v>
      </c>
      <c r="M60" s="171" t="e">
        <f>#REF!</f>
        <v>#REF!</v>
      </c>
      <c r="N60" s="171" t="e">
        <f>#REF!</f>
        <v>#REF!</v>
      </c>
      <c r="O60" s="171" t="e">
        <f>#REF!</f>
        <v>#REF!</v>
      </c>
      <c r="P60" s="171" t="e">
        <f>#REF!</f>
        <v>#REF!</v>
      </c>
      <c r="Q60" s="171" t="e">
        <f>#REF!</f>
        <v>#REF!</v>
      </c>
      <c r="R60" s="171" t="e">
        <f>#REF!</f>
        <v>#REF!</v>
      </c>
      <c r="S60" s="171" t="e">
        <f>#REF!</f>
        <v>#REF!</v>
      </c>
      <c r="T60" s="175" t="e">
        <f>#REF!</f>
        <v>#REF!</v>
      </c>
      <c r="U60" s="175" t="e">
        <f>#REF!</f>
        <v>#REF!</v>
      </c>
      <c r="V60" s="175" t="e">
        <f>#REF!</f>
        <v>#REF!</v>
      </c>
      <c r="W60" s="175" t="e">
        <f>#REF!</f>
        <v>#REF!</v>
      </c>
      <c r="X60" s="175" t="e">
        <f>#REF!</f>
        <v>#REF!</v>
      </c>
    </row>
    <row r="61" spans="1:24" ht="24.95" customHeight="1" x14ac:dyDescent="0.2">
      <c r="A61" s="168" t="e">
        <f>#REF!</f>
        <v>#REF!</v>
      </c>
      <c r="B61" s="169" t="e">
        <f>#REF!</f>
        <v>#REF!</v>
      </c>
      <c r="C61" s="170" t="e">
        <f>#REF!</f>
        <v>#REF!</v>
      </c>
      <c r="D61" s="171" t="e">
        <f>#REF!</f>
        <v>#REF!</v>
      </c>
      <c r="E61" s="171" t="e">
        <f>#REF!</f>
        <v>#REF!</v>
      </c>
      <c r="F61" s="171" t="e">
        <f>#REF!</f>
        <v>#REF!</v>
      </c>
      <c r="G61" s="171" t="e">
        <f>#REF!</f>
        <v>#REF!</v>
      </c>
      <c r="H61" s="171" t="e">
        <f>#REF!</f>
        <v>#REF!</v>
      </c>
      <c r="I61" s="171" t="e">
        <f>#REF!</f>
        <v>#REF!</v>
      </c>
      <c r="J61" s="171" t="e">
        <f>#REF!</f>
        <v>#REF!</v>
      </c>
      <c r="K61" s="171" t="e">
        <f>#REF!</f>
        <v>#REF!</v>
      </c>
      <c r="L61" s="171" t="e">
        <f>#REF!</f>
        <v>#REF!</v>
      </c>
      <c r="M61" s="171" t="e">
        <f>#REF!</f>
        <v>#REF!</v>
      </c>
      <c r="N61" s="171" t="e">
        <f>#REF!</f>
        <v>#REF!</v>
      </c>
      <c r="O61" s="171" t="e">
        <f>#REF!</f>
        <v>#REF!</v>
      </c>
      <c r="P61" s="171" t="e">
        <f>#REF!</f>
        <v>#REF!</v>
      </c>
      <c r="Q61" s="171" t="e">
        <f>#REF!</f>
        <v>#REF!</v>
      </c>
      <c r="R61" s="171" t="e">
        <f>#REF!</f>
        <v>#REF!</v>
      </c>
      <c r="S61" s="171" t="e">
        <f>#REF!</f>
        <v>#REF!</v>
      </c>
      <c r="T61" s="175" t="e">
        <f>#REF!</f>
        <v>#REF!</v>
      </c>
      <c r="U61" s="175" t="e">
        <f>#REF!</f>
        <v>#REF!</v>
      </c>
      <c r="V61" s="175" t="e">
        <f>#REF!</f>
        <v>#REF!</v>
      </c>
      <c r="W61" s="175" t="e">
        <f>#REF!</f>
        <v>#REF!</v>
      </c>
      <c r="X61" s="175" t="e">
        <f>#REF!</f>
        <v>#REF!</v>
      </c>
    </row>
    <row r="62" spans="1:24" ht="24.95" customHeight="1" x14ac:dyDescent="0.2">
      <c r="A62" s="168" t="e">
        <f>#REF!</f>
        <v>#REF!</v>
      </c>
      <c r="B62" s="169" t="e">
        <f>#REF!</f>
        <v>#REF!</v>
      </c>
      <c r="C62" s="170" t="e">
        <f>#REF!</f>
        <v>#REF!</v>
      </c>
      <c r="D62" s="171" t="e">
        <f>#REF!</f>
        <v>#REF!</v>
      </c>
      <c r="E62" s="171" t="e">
        <f>#REF!</f>
        <v>#REF!</v>
      </c>
      <c r="F62" s="171" t="e">
        <f>#REF!</f>
        <v>#REF!</v>
      </c>
      <c r="G62" s="171" t="e">
        <f>#REF!</f>
        <v>#REF!</v>
      </c>
      <c r="H62" s="171" t="e">
        <f>#REF!</f>
        <v>#REF!</v>
      </c>
      <c r="I62" s="171" t="e">
        <f>#REF!</f>
        <v>#REF!</v>
      </c>
      <c r="J62" s="171" t="e">
        <f>#REF!</f>
        <v>#REF!</v>
      </c>
      <c r="K62" s="171" t="e">
        <f>#REF!</f>
        <v>#REF!</v>
      </c>
      <c r="L62" s="171" t="e">
        <f>#REF!</f>
        <v>#REF!</v>
      </c>
      <c r="M62" s="171" t="e">
        <f>#REF!</f>
        <v>#REF!</v>
      </c>
      <c r="N62" s="171" t="e">
        <f>#REF!</f>
        <v>#REF!</v>
      </c>
      <c r="O62" s="171" t="e">
        <f>#REF!</f>
        <v>#REF!</v>
      </c>
      <c r="P62" s="171" t="e">
        <f>#REF!</f>
        <v>#REF!</v>
      </c>
      <c r="Q62" s="171" t="e">
        <f>#REF!</f>
        <v>#REF!</v>
      </c>
      <c r="R62" s="171" t="e">
        <f>#REF!</f>
        <v>#REF!</v>
      </c>
      <c r="S62" s="171" t="e">
        <f>#REF!</f>
        <v>#REF!</v>
      </c>
      <c r="T62" s="175" t="e">
        <f>#REF!</f>
        <v>#REF!</v>
      </c>
      <c r="U62" s="175" t="e">
        <f>#REF!</f>
        <v>#REF!</v>
      </c>
      <c r="V62" s="175" t="e">
        <f>#REF!</f>
        <v>#REF!</v>
      </c>
      <c r="W62" s="175" t="e">
        <f>#REF!</f>
        <v>#REF!</v>
      </c>
      <c r="X62" s="175" t="e">
        <f>#REF!</f>
        <v>#REF!</v>
      </c>
    </row>
    <row r="63" spans="1:24" ht="24.95" customHeight="1" x14ac:dyDescent="0.2">
      <c r="A63" s="168" t="e">
        <f>#REF!</f>
        <v>#REF!</v>
      </c>
      <c r="B63" s="169" t="e">
        <f>#REF!</f>
        <v>#REF!</v>
      </c>
      <c r="C63" s="170" t="e">
        <f>#REF!</f>
        <v>#REF!</v>
      </c>
      <c r="D63" s="171" t="e">
        <f>#REF!</f>
        <v>#REF!</v>
      </c>
      <c r="E63" s="171" t="e">
        <f>#REF!</f>
        <v>#REF!</v>
      </c>
      <c r="F63" s="171" t="e">
        <f>#REF!</f>
        <v>#REF!</v>
      </c>
      <c r="G63" s="171" t="e">
        <f>#REF!</f>
        <v>#REF!</v>
      </c>
      <c r="H63" s="171" t="e">
        <f>#REF!</f>
        <v>#REF!</v>
      </c>
      <c r="I63" s="171" t="e">
        <f>#REF!</f>
        <v>#REF!</v>
      </c>
      <c r="J63" s="171" t="e">
        <f>#REF!</f>
        <v>#REF!</v>
      </c>
      <c r="K63" s="171" t="e">
        <f>#REF!</f>
        <v>#REF!</v>
      </c>
      <c r="L63" s="171" t="e">
        <f>#REF!</f>
        <v>#REF!</v>
      </c>
      <c r="M63" s="171" t="e">
        <f>#REF!</f>
        <v>#REF!</v>
      </c>
      <c r="N63" s="171" t="e">
        <f>#REF!</f>
        <v>#REF!</v>
      </c>
      <c r="O63" s="171" t="e">
        <f>#REF!</f>
        <v>#REF!</v>
      </c>
      <c r="P63" s="171" t="e">
        <f>#REF!</f>
        <v>#REF!</v>
      </c>
      <c r="Q63" s="171" t="e">
        <f>#REF!</f>
        <v>#REF!</v>
      </c>
      <c r="R63" s="171" t="e">
        <f>#REF!</f>
        <v>#REF!</v>
      </c>
      <c r="S63" s="171" t="e">
        <f>#REF!</f>
        <v>#REF!</v>
      </c>
      <c r="T63" s="175" t="e">
        <f>#REF!</f>
        <v>#REF!</v>
      </c>
      <c r="U63" s="175" t="e">
        <f>#REF!</f>
        <v>#REF!</v>
      </c>
      <c r="V63" s="175" t="e">
        <f>#REF!</f>
        <v>#REF!</v>
      </c>
      <c r="W63" s="175" t="e">
        <f>#REF!</f>
        <v>#REF!</v>
      </c>
      <c r="X63" s="175" t="e">
        <f>#REF!</f>
        <v>#REF!</v>
      </c>
    </row>
    <row r="64" spans="1:24" ht="24.95" customHeight="1" x14ac:dyDescent="0.2">
      <c r="A64" s="168" t="e">
        <f>#REF!</f>
        <v>#REF!</v>
      </c>
      <c r="B64" s="169" t="e">
        <f>#REF!</f>
        <v>#REF!</v>
      </c>
      <c r="C64" s="170" t="e">
        <f>#REF!</f>
        <v>#REF!</v>
      </c>
      <c r="D64" s="171" t="e">
        <f>#REF!</f>
        <v>#REF!</v>
      </c>
      <c r="E64" s="171" t="e">
        <f>#REF!</f>
        <v>#REF!</v>
      </c>
      <c r="F64" s="171" t="e">
        <f>#REF!</f>
        <v>#REF!</v>
      </c>
      <c r="G64" s="171" t="e">
        <f>#REF!</f>
        <v>#REF!</v>
      </c>
      <c r="H64" s="171" t="e">
        <f>#REF!</f>
        <v>#REF!</v>
      </c>
      <c r="I64" s="171" t="e">
        <f>#REF!</f>
        <v>#REF!</v>
      </c>
      <c r="J64" s="171" t="e">
        <f>#REF!</f>
        <v>#REF!</v>
      </c>
      <c r="K64" s="171" t="e">
        <f>#REF!</f>
        <v>#REF!</v>
      </c>
      <c r="L64" s="171" t="e">
        <f>#REF!</f>
        <v>#REF!</v>
      </c>
      <c r="M64" s="171" t="e">
        <f>#REF!</f>
        <v>#REF!</v>
      </c>
      <c r="N64" s="171" t="e">
        <f>#REF!</f>
        <v>#REF!</v>
      </c>
      <c r="O64" s="171" t="e">
        <f>#REF!</f>
        <v>#REF!</v>
      </c>
      <c r="P64" s="171" t="e">
        <f>#REF!</f>
        <v>#REF!</v>
      </c>
      <c r="Q64" s="171" t="e">
        <f>#REF!</f>
        <v>#REF!</v>
      </c>
      <c r="R64" s="171" t="e">
        <f>#REF!</f>
        <v>#REF!</v>
      </c>
      <c r="S64" s="171" t="e">
        <f>#REF!</f>
        <v>#REF!</v>
      </c>
      <c r="T64" s="175" t="e">
        <f>#REF!</f>
        <v>#REF!</v>
      </c>
      <c r="U64" s="175" t="e">
        <f>#REF!</f>
        <v>#REF!</v>
      </c>
      <c r="V64" s="175" t="e">
        <f>#REF!</f>
        <v>#REF!</v>
      </c>
      <c r="W64" s="175" t="e">
        <f>#REF!</f>
        <v>#REF!</v>
      </c>
      <c r="X64" s="175" t="e">
        <f>#REF!</f>
        <v>#REF!</v>
      </c>
    </row>
    <row r="65" spans="1:24" ht="24.95" customHeight="1" x14ac:dyDescent="0.2">
      <c r="A65" s="168" t="e">
        <f>#REF!</f>
        <v>#REF!</v>
      </c>
      <c r="B65" s="169" t="e">
        <f>#REF!</f>
        <v>#REF!</v>
      </c>
      <c r="C65" s="170" t="e">
        <f>#REF!</f>
        <v>#REF!</v>
      </c>
      <c r="D65" s="171" t="e">
        <f>#REF!</f>
        <v>#REF!</v>
      </c>
      <c r="E65" s="171" t="e">
        <f>#REF!</f>
        <v>#REF!</v>
      </c>
      <c r="F65" s="171" t="e">
        <f>#REF!</f>
        <v>#REF!</v>
      </c>
      <c r="G65" s="171" t="e">
        <f>#REF!</f>
        <v>#REF!</v>
      </c>
      <c r="H65" s="171" t="e">
        <f>#REF!</f>
        <v>#REF!</v>
      </c>
      <c r="I65" s="171" t="e">
        <f>#REF!</f>
        <v>#REF!</v>
      </c>
      <c r="J65" s="171" t="e">
        <f>#REF!</f>
        <v>#REF!</v>
      </c>
      <c r="K65" s="171" t="e">
        <f>#REF!</f>
        <v>#REF!</v>
      </c>
      <c r="L65" s="171" t="e">
        <f>#REF!</f>
        <v>#REF!</v>
      </c>
      <c r="M65" s="171" t="e">
        <f>#REF!</f>
        <v>#REF!</v>
      </c>
      <c r="N65" s="171" t="e">
        <f>#REF!</f>
        <v>#REF!</v>
      </c>
      <c r="O65" s="171" t="e">
        <f>#REF!</f>
        <v>#REF!</v>
      </c>
      <c r="P65" s="171" t="e">
        <f>#REF!</f>
        <v>#REF!</v>
      </c>
      <c r="Q65" s="171" t="e">
        <f>#REF!</f>
        <v>#REF!</v>
      </c>
      <c r="R65" s="171" t="e">
        <f>#REF!</f>
        <v>#REF!</v>
      </c>
      <c r="S65" s="171" t="e">
        <f>#REF!</f>
        <v>#REF!</v>
      </c>
      <c r="T65" s="175" t="e">
        <f>#REF!</f>
        <v>#REF!</v>
      </c>
      <c r="U65" s="175" t="e">
        <f>#REF!</f>
        <v>#REF!</v>
      </c>
      <c r="V65" s="175" t="e">
        <f>#REF!</f>
        <v>#REF!</v>
      </c>
      <c r="W65" s="175" t="e">
        <f>#REF!</f>
        <v>#REF!</v>
      </c>
      <c r="X65" s="175" t="e">
        <f>#REF!</f>
        <v>#REF!</v>
      </c>
    </row>
    <row r="66" spans="1:24" ht="24.95" customHeight="1" x14ac:dyDescent="0.2">
      <c r="A66" s="168" t="e">
        <f>#REF!</f>
        <v>#REF!</v>
      </c>
      <c r="B66" s="169" t="e">
        <f>#REF!</f>
        <v>#REF!</v>
      </c>
      <c r="C66" s="170" t="e">
        <f>#REF!</f>
        <v>#REF!</v>
      </c>
      <c r="D66" s="171" t="e">
        <f>#REF!</f>
        <v>#REF!</v>
      </c>
      <c r="E66" s="171" t="e">
        <f>#REF!</f>
        <v>#REF!</v>
      </c>
      <c r="F66" s="171" t="e">
        <f>#REF!</f>
        <v>#REF!</v>
      </c>
      <c r="G66" s="171" t="e">
        <f>#REF!</f>
        <v>#REF!</v>
      </c>
      <c r="H66" s="171" t="e">
        <f>#REF!</f>
        <v>#REF!</v>
      </c>
      <c r="I66" s="171" t="e">
        <f>#REF!</f>
        <v>#REF!</v>
      </c>
      <c r="J66" s="171" t="e">
        <f>#REF!</f>
        <v>#REF!</v>
      </c>
      <c r="K66" s="171" t="e">
        <f>#REF!</f>
        <v>#REF!</v>
      </c>
      <c r="L66" s="171" t="e">
        <f>#REF!</f>
        <v>#REF!</v>
      </c>
      <c r="M66" s="171" t="e">
        <f>#REF!</f>
        <v>#REF!</v>
      </c>
      <c r="N66" s="171" t="e">
        <f>#REF!</f>
        <v>#REF!</v>
      </c>
      <c r="O66" s="171" t="e">
        <f>#REF!</f>
        <v>#REF!</v>
      </c>
      <c r="P66" s="171" t="e">
        <f>#REF!</f>
        <v>#REF!</v>
      </c>
      <c r="Q66" s="171" t="e">
        <f>#REF!</f>
        <v>#REF!</v>
      </c>
      <c r="R66" s="171" t="e">
        <f>#REF!</f>
        <v>#REF!</v>
      </c>
      <c r="S66" s="171" t="e">
        <f>#REF!</f>
        <v>#REF!</v>
      </c>
      <c r="T66" s="175" t="e">
        <f>#REF!</f>
        <v>#REF!</v>
      </c>
      <c r="U66" s="175" t="e">
        <f>#REF!</f>
        <v>#REF!</v>
      </c>
      <c r="V66" s="175" t="e">
        <f>#REF!</f>
        <v>#REF!</v>
      </c>
      <c r="W66" s="175" t="e">
        <f>#REF!</f>
        <v>#REF!</v>
      </c>
      <c r="X66" s="175" t="e">
        <f>#REF!</f>
        <v>#REF!</v>
      </c>
    </row>
    <row r="67" spans="1:24" ht="24.95" customHeight="1" x14ac:dyDescent="0.2">
      <c r="A67" s="168" t="e">
        <f>#REF!</f>
        <v>#REF!</v>
      </c>
      <c r="B67" s="169" t="e">
        <f>#REF!</f>
        <v>#REF!</v>
      </c>
      <c r="C67" s="170" t="e">
        <f>#REF!</f>
        <v>#REF!</v>
      </c>
      <c r="D67" s="171" t="e">
        <f>#REF!</f>
        <v>#REF!</v>
      </c>
      <c r="E67" s="171" t="e">
        <f>#REF!</f>
        <v>#REF!</v>
      </c>
      <c r="F67" s="171" t="e">
        <f>#REF!</f>
        <v>#REF!</v>
      </c>
      <c r="G67" s="171" t="e">
        <f>#REF!</f>
        <v>#REF!</v>
      </c>
      <c r="H67" s="171" t="e">
        <f>#REF!</f>
        <v>#REF!</v>
      </c>
      <c r="I67" s="171" t="e">
        <f>#REF!</f>
        <v>#REF!</v>
      </c>
      <c r="J67" s="171" t="e">
        <f>#REF!</f>
        <v>#REF!</v>
      </c>
      <c r="K67" s="171" t="e">
        <f>#REF!</f>
        <v>#REF!</v>
      </c>
      <c r="L67" s="171" t="e">
        <f>#REF!</f>
        <v>#REF!</v>
      </c>
      <c r="M67" s="171" t="e">
        <f>#REF!</f>
        <v>#REF!</v>
      </c>
      <c r="N67" s="171" t="e">
        <f>#REF!</f>
        <v>#REF!</v>
      </c>
      <c r="O67" s="171" t="e">
        <f>#REF!</f>
        <v>#REF!</v>
      </c>
      <c r="P67" s="171" t="e">
        <f>#REF!</f>
        <v>#REF!</v>
      </c>
      <c r="Q67" s="171" t="e">
        <f>#REF!</f>
        <v>#REF!</v>
      </c>
      <c r="R67" s="171" t="e">
        <f>#REF!</f>
        <v>#REF!</v>
      </c>
      <c r="S67" s="171" t="e">
        <f>#REF!</f>
        <v>#REF!</v>
      </c>
      <c r="T67" s="175" t="e">
        <f>#REF!</f>
        <v>#REF!</v>
      </c>
      <c r="U67" s="175" t="e">
        <f>#REF!</f>
        <v>#REF!</v>
      </c>
      <c r="V67" s="175" t="e">
        <f>#REF!</f>
        <v>#REF!</v>
      </c>
      <c r="W67" s="175" t="e">
        <f>#REF!</f>
        <v>#REF!</v>
      </c>
      <c r="X67" s="175" t="e">
        <f>#REF!</f>
        <v>#REF!</v>
      </c>
    </row>
    <row r="68" spans="1:24" ht="24.95" customHeight="1" x14ac:dyDescent="0.2">
      <c r="A68" s="168" t="e">
        <f>#REF!</f>
        <v>#REF!</v>
      </c>
      <c r="B68" s="169" t="e">
        <f>#REF!</f>
        <v>#REF!</v>
      </c>
      <c r="C68" s="170" t="e">
        <f>#REF!</f>
        <v>#REF!</v>
      </c>
      <c r="D68" s="171" t="e">
        <f>#REF!</f>
        <v>#REF!</v>
      </c>
      <c r="E68" s="171" t="e">
        <f>#REF!</f>
        <v>#REF!</v>
      </c>
      <c r="F68" s="171" t="e">
        <f>#REF!</f>
        <v>#REF!</v>
      </c>
      <c r="G68" s="171" t="e">
        <f>#REF!</f>
        <v>#REF!</v>
      </c>
      <c r="H68" s="171" t="e">
        <f>#REF!</f>
        <v>#REF!</v>
      </c>
      <c r="I68" s="171" t="e">
        <f>#REF!</f>
        <v>#REF!</v>
      </c>
      <c r="J68" s="171" t="e">
        <f>#REF!</f>
        <v>#REF!</v>
      </c>
      <c r="K68" s="171" t="e">
        <f>#REF!</f>
        <v>#REF!</v>
      </c>
      <c r="L68" s="171" t="e">
        <f>#REF!</f>
        <v>#REF!</v>
      </c>
      <c r="M68" s="171" t="e">
        <f>#REF!</f>
        <v>#REF!</v>
      </c>
      <c r="N68" s="171" t="e">
        <f>#REF!</f>
        <v>#REF!</v>
      </c>
      <c r="O68" s="171" t="e">
        <f>#REF!</f>
        <v>#REF!</v>
      </c>
      <c r="P68" s="171" t="e">
        <f>#REF!</f>
        <v>#REF!</v>
      </c>
      <c r="Q68" s="171" t="e">
        <f>#REF!</f>
        <v>#REF!</v>
      </c>
      <c r="R68" s="171" t="e">
        <f>#REF!</f>
        <v>#REF!</v>
      </c>
      <c r="S68" s="171" t="e">
        <f>#REF!</f>
        <v>#REF!</v>
      </c>
      <c r="T68" s="175" t="e">
        <f>#REF!</f>
        <v>#REF!</v>
      </c>
      <c r="U68" s="175" t="e">
        <f>#REF!</f>
        <v>#REF!</v>
      </c>
      <c r="V68" s="175" t="e">
        <f>#REF!</f>
        <v>#REF!</v>
      </c>
      <c r="W68" s="175" t="e">
        <f>#REF!</f>
        <v>#REF!</v>
      </c>
      <c r="X68" s="175" t="e">
        <f>#REF!</f>
        <v>#REF!</v>
      </c>
    </row>
    <row r="69" spans="1:24" ht="24.95" customHeight="1" x14ac:dyDescent="0.2">
      <c r="A69" s="168" t="e">
        <f>#REF!</f>
        <v>#REF!</v>
      </c>
      <c r="B69" s="169" t="e">
        <f>#REF!</f>
        <v>#REF!</v>
      </c>
      <c r="C69" s="170" t="e">
        <f>#REF!</f>
        <v>#REF!</v>
      </c>
      <c r="D69" s="171" t="e">
        <f>#REF!</f>
        <v>#REF!</v>
      </c>
      <c r="E69" s="171" t="e">
        <f>#REF!</f>
        <v>#REF!</v>
      </c>
      <c r="F69" s="171" t="e">
        <f>#REF!</f>
        <v>#REF!</v>
      </c>
      <c r="G69" s="171" t="e">
        <f>#REF!</f>
        <v>#REF!</v>
      </c>
      <c r="H69" s="171" t="e">
        <f>#REF!</f>
        <v>#REF!</v>
      </c>
      <c r="I69" s="171" t="e">
        <f>#REF!</f>
        <v>#REF!</v>
      </c>
      <c r="J69" s="171" t="e">
        <f>#REF!</f>
        <v>#REF!</v>
      </c>
      <c r="K69" s="171" t="e">
        <f>#REF!</f>
        <v>#REF!</v>
      </c>
      <c r="L69" s="171" t="e">
        <f>#REF!</f>
        <v>#REF!</v>
      </c>
      <c r="M69" s="171" t="e">
        <f>#REF!</f>
        <v>#REF!</v>
      </c>
      <c r="N69" s="171" t="e">
        <f>#REF!</f>
        <v>#REF!</v>
      </c>
      <c r="O69" s="171" t="e">
        <f>#REF!</f>
        <v>#REF!</v>
      </c>
      <c r="P69" s="171" t="e">
        <f>#REF!</f>
        <v>#REF!</v>
      </c>
      <c r="Q69" s="171" t="e">
        <f>#REF!</f>
        <v>#REF!</v>
      </c>
      <c r="R69" s="171" t="e">
        <f>#REF!</f>
        <v>#REF!</v>
      </c>
      <c r="S69" s="171" t="e">
        <f>#REF!</f>
        <v>#REF!</v>
      </c>
      <c r="T69" s="175" t="e">
        <f>#REF!</f>
        <v>#REF!</v>
      </c>
      <c r="U69" s="175" t="e">
        <f>#REF!</f>
        <v>#REF!</v>
      </c>
      <c r="V69" s="175" t="e">
        <f>#REF!</f>
        <v>#REF!</v>
      </c>
      <c r="W69" s="175" t="e">
        <f>#REF!</f>
        <v>#REF!</v>
      </c>
      <c r="X69" s="175" t="e">
        <f>#REF!</f>
        <v>#REF!</v>
      </c>
    </row>
    <row r="70" spans="1:24" ht="24.95" customHeight="1" x14ac:dyDescent="0.2">
      <c r="A70" s="168" t="e">
        <f>#REF!</f>
        <v>#REF!</v>
      </c>
      <c r="B70" s="169" t="e">
        <f>#REF!</f>
        <v>#REF!</v>
      </c>
      <c r="C70" s="170" t="e">
        <f>#REF!</f>
        <v>#REF!</v>
      </c>
      <c r="D70" s="171" t="e">
        <f>#REF!</f>
        <v>#REF!</v>
      </c>
      <c r="E70" s="171" t="e">
        <f>#REF!</f>
        <v>#REF!</v>
      </c>
      <c r="F70" s="171" t="e">
        <f>#REF!</f>
        <v>#REF!</v>
      </c>
      <c r="G70" s="171" t="e">
        <f>#REF!</f>
        <v>#REF!</v>
      </c>
      <c r="H70" s="171" t="e">
        <f>#REF!</f>
        <v>#REF!</v>
      </c>
      <c r="I70" s="171" t="e">
        <f>#REF!</f>
        <v>#REF!</v>
      </c>
      <c r="J70" s="171" t="e">
        <f>#REF!</f>
        <v>#REF!</v>
      </c>
      <c r="K70" s="171" t="e">
        <f>#REF!</f>
        <v>#REF!</v>
      </c>
      <c r="L70" s="171" t="e">
        <f>#REF!</f>
        <v>#REF!</v>
      </c>
      <c r="M70" s="171" t="e">
        <f>#REF!</f>
        <v>#REF!</v>
      </c>
      <c r="N70" s="171" t="e">
        <f>#REF!</f>
        <v>#REF!</v>
      </c>
      <c r="O70" s="171" t="e">
        <f>#REF!</f>
        <v>#REF!</v>
      </c>
      <c r="P70" s="171" t="e">
        <f>#REF!</f>
        <v>#REF!</v>
      </c>
      <c r="Q70" s="171" t="e">
        <f>#REF!</f>
        <v>#REF!</v>
      </c>
      <c r="R70" s="171" t="e">
        <f>#REF!</f>
        <v>#REF!</v>
      </c>
      <c r="S70" s="171" t="e">
        <f>#REF!</f>
        <v>#REF!</v>
      </c>
      <c r="T70" s="175" t="e">
        <f>#REF!</f>
        <v>#REF!</v>
      </c>
      <c r="U70" s="175" t="e">
        <f>#REF!</f>
        <v>#REF!</v>
      </c>
      <c r="V70" s="175" t="e">
        <f>#REF!</f>
        <v>#REF!</v>
      </c>
      <c r="W70" s="175" t="e">
        <f>#REF!</f>
        <v>#REF!</v>
      </c>
      <c r="X70" s="175" t="e">
        <f>#REF!</f>
        <v>#REF!</v>
      </c>
    </row>
    <row r="71" spans="1:24" ht="24.95" customHeight="1" x14ac:dyDescent="0.2">
      <c r="A71" s="168" t="e">
        <f>#REF!</f>
        <v>#REF!</v>
      </c>
      <c r="B71" s="169" t="e">
        <f>#REF!</f>
        <v>#REF!</v>
      </c>
      <c r="C71" s="170" t="e">
        <f>#REF!</f>
        <v>#REF!</v>
      </c>
      <c r="D71" s="171" t="e">
        <f>#REF!</f>
        <v>#REF!</v>
      </c>
      <c r="E71" s="171" t="e">
        <f>#REF!</f>
        <v>#REF!</v>
      </c>
      <c r="F71" s="171" t="e">
        <f>#REF!</f>
        <v>#REF!</v>
      </c>
      <c r="G71" s="171" t="e">
        <f>#REF!</f>
        <v>#REF!</v>
      </c>
      <c r="H71" s="171" t="e">
        <f>#REF!</f>
        <v>#REF!</v>
      </c>
      <c r="I71" s="171" t="e">
        <f>#REF!</f>
        <v>#REF!</v>
      </c>
      <c r="J71" s="171" t="e">
        <f>#REF!</f>
        <v>#REF!</v>
      </c>
      <c r="K71" s="171" t="e">
        <f>#REF!</f>
        <v>#REF!</v>
      </c>
      <c r="L71" s="171" t="e">
        <f>#REF!</f>
        <v>#REF!</v>
      </c>
      <c r="M71" s="171" t="e">
        <f>#REF!</f>
        <v>#REF!</v>
      </c>
      <c r="N71" s="171" t="e">
        <f>#REF!</f>
        <v>#REF!</v>
      </c>
      <c r="O71" s="171" t="e">
        <f>#REF!</f>
        <v>#REF!</v>
      </c>
      <c r="P71" s="171" t="e">
        <f>#REF!</f>
        <v>#REF!</v>
      </c>
      <c r="Q71" s="171" t="e">
        <f>#REF!</f>
        <v>#REF!</v>
      </c>
      <c r="R71" s="171" t="e">
        <f>#REF!</f>
        <v>#REF!</v>
      </c>
      <c r="S71" s="171" t="e">
        <f>#REF!</f>
        <v>#REF!</v>
      </c>
      <c r="T71" s="175" t="e">
        <f>#REF!</f>
        <v>#REF!</v>
      </c>
      <c r="U71" s="175" t="e">
        <f>#REF!</f>
        <v>#REF!</v>
      </c>
      <c r="V71" s="175" t="e">
        <f>#REF!</f>
        <v>#REF!</v>
      </c>
      <c r="W71" s="175" t="e">
        <f>#REF!</f>
        <v>#REF!</v>
      </c>
      <c r="X71" s="175" t="e">
        <f>#REF!</f>
        <v>#REF!</v>
      </c>
    </row>
    <row r="72" spans="1:24" ht="24.95" customHeight="1" x14ac:dyDescent="0.2">
      <c r="A72" s="168" t="e">
        <f>#REF!</f>
        <v>#REF!</v>
      </c>
      <c r="B72" s="169" t="e">
        <f>#REF!</f>
        <v>#REF!</v>
      </c>
      <c r="C72" s="170" t="e">
        <f>#REF!</f>
        <v>#REF!</v>
      </c>
      <c r="D72" s="171" t="e">
        <f>#REF!</f>
        <v>#REF!</v>
      </c>
      <c r="E72" s="171" t="e">
        <f>#REF!</f>
        <v>#REF!</v>
      </c>
      <c r="F72" s="171" t="e">
        <f>#REF!</f>
        <v>#REF!</v>
      </c>
      <c r="G72" s="171" t="e">
        <f>#REF!</f>
        <v>#REF!</v>
      </c>
      <c r="H72" s="171" t="e">
        <f>#REF!</f>
        <v>#REF!</v>
      </c>
      <c r="I72" s="171" t="e">
        <f>#REF!</f>
        <v>#REF!</v>
      </c>
      <c r="J72" s="171" t="e">
        <f>#REF!</f>
        <v>#REF!</v>
      </c>
      <c r="K72" s="171" t="e">
        <f>#REF!</f>
        <v>#REF!</v>
      </c>
      <c r="L72" s="171" t="e">
        <f>#REF!</f>
        <v>#REF!</v>
      </c>
      <c r="M72" s="171" t="e">
        <f>#REF!</f>
        <v>#REF!</v>
      </c>
      <c r="N72" s="171" t="e">
        <f>#REF!</f>
        <v>#REF!</v>
      </c>
      <c r="O72" s="171" t="e">
        <f>#REF!</f>
        <v>#REF!</v>
      </c>
      <c r="P72" s="171" t="e">
        <f>#REF!</f>
        <v>#REF!</v>
      </c>
      <c r="Q72" s="171" t="e">
        <f>#REF!</f>
        <v>#REF!</v>
      </c>
      <c r="R72" s="171" t="e">
        <f>#REF!</f>
        <v>#REF!</v>
      </c>
      <c r="S72" s="171" t="e">
        <f>#REF!</f>
        <v>#REF!</v>
      </c>
      <c r="T72" s="175" t="e">
        <f>#REF!</f>
        <v>#REF!</v>
      </c>
      <c r="U72" s="175" t="e">
        <f>#REF!</f>
        <v>#REF!</v>
      </c>
      <c r="V72" s="175" t="e">
        <f>#REF!</f>
        <v>#REF!</v>
      </c>
      <c r="W72" s="175" t="e">
        <f>#REF!</f>
        <v>#REF!</v>
      </c>
      <c r="X72" s="175" t="e">
        <f>#REF!</f>
        <v>#REF!</v>
      </c>
    </row>
    <row r="73" spans="1:24" ht="24.95" customHeight="1" x14ac:dyDescent="0.2">
      <c r="A73" s="168" t="e">
        <f>#REF!</f>
        <v>#REF!</v>
      </c>
      <c r="B73" s="169" t="e">
        <f>#REF!</f>
        <v>#REF!</v>
      </c>
      <c r="C73" s="170" t="e">
        <f>#REF!</f>
        <v>#REF!</v>
      </c>
      <c r="D73" s="171" t="e">
        <f>#REF!</f>
        <v>#REF!</v>
      </c>
      <c r="E73" s="171" t="e">
        <f>#REF!</f>
        <v>#REF!</v>
      </c>
      <c r="F73" s="171" t="e">
        <f>#REF!</f>
        <v>#REF!</v>
      </c>
      <c r="G73" s="171" t="e">
        <f>#REF!</f>
        <v>#REF!</v>
      </c>
      <c r="H73" s="171" t="e">
        <f>#REF!</f>
        <v>#REF!</v>
      </c>
      <c r="I73" s="171" t="e">
        <f>#REF!</f>
        <v>#REF!</v>
      </c>
      <c r="J73" s="171" t="e">
        <f>#REF!</f>
        <v>#REF!</v>
      </c>
      <c r="K73" s="171" t="e">
        <f>#REF!</f>
        <v>#REF!</v>
      </c>
      <c r="L73" s="171" t="e">
        <f>#REF!</f>
        <v>#REF!</v>
      </c>
      <c r="M73" s="171" t="e">
        <f>#REF!</f>
        <v>#REF!</v>
      </c>
      <c r="N73" s="171" t="e">
        <f>#REF!</f>
        <v>#REF!</v>
      </c>
      <c r="O73" s="171" t="e">
        <f>#REF!</f>
        <v>#REF!</v>
      </c>
      <c r="P73" s="171" t="e">
        <f>#REF!</f>
        <v>#REF!</v>
      </c>
      <c r="Q73" s="171" t="e">
        <f>#REF!</f>
        <v>#REF!</v>
      </c>
      <c r="R73" s="171" t="e">
        <f>#REF!</f>
        <v>#REF!</v>
      </c>
      <c r="S73" s="171" t="e">
        <f>#REF!</f>
        <v>#REF!</v>
      </c>
      <c r="T73" s="175" t="e">
        <f>#REF!</f>
        <v>#REF!</v>
      </c>
      <c r="U73" s="175" t="e">
        <f>#REF!</f>
        <v>#REF!</v>
      </c>
      <c r="V73" s="175" t="e">
        <f>#REF!</f>
        <v>#REF!</v>
      </c>
      <c r="W73" s="175" t="e">
        <f>#REF!</f>
        <v>#REF!</v>
      </c>
      <c r="X73" s="175" t="e">
        <f>#REF!</f>
        <v>#REF!</v>
      </c>
    </row>
    <row r="74" spans="1:24" ht="24.95" customHeight="1" x14ac:dyDescent="0.2">
      <c r="A74" s="168" t="e">
        <f>#REF!</f>
        <v>#REF!</v>
      </c>
      <c r="B74" s="169" t="e">
        <f>#REF!</f>
        <v>#REF!</v>
      </c>
      <c r="C74" s="170" t="e">
        <f>#REF!</f>
        <v>#REF!</v>
      </c>
      <c r="D74" s="171" t="e">
        <f>#REF!</f>
        <v>#REF!</v>
      </c>
      <c r="E74" s="171" t="e">
        <f>#REF!</f>
        <v>#REF!</v>
      </c>
      <c r="F74" s="171" t="e">
        <f>#REF!</f>
        <v>#REF!</v>
      </c>
      <c r="G74" s="171" t="e">
        <f>#REF!</f>
        <v>#REF!</v>
      </c>
      <c r="H74" s="171" t="e">
        <f>#REF!</f>
        <v>#REF!</v>
      </c>
      <c r="I74" s="171" t="e">
        <f>#REF!</f>
        <v>#REF!</v>
      </c>
      <c r="J74" s="171" t="e">
        <f>#REF!</f>
        <v>#REF!</v>
      </c>
      <c r="K74" s="171" t="e">
        <f>#REF!</f>
        <v>#REF!</v>
      </c>
      <c r="L74" s="171" t="e">
        <f>#REF!</f>
        <v>#REF!</v>
      </c>
      <c r="M74" s="171" t="e">
        <f>#REF!</f>
        <v>#REF!</v>
      </c>
      <c r="N74" s="171" t="e">
        <f>#REF!</f>
        <v>#REF!</v>
      </c>
      <c r="O74" s="171" t="e">
        <f>#REF!</f>
        <v>#REF!</v>
      </c>
      <c r="P74" s="171" t="e">
        <f>#REF!</f>
        <v>#REF!</v>
      </c>
      <c r="Q74" s="171" t="e">
        <f>#REF!</f>
        <v>#REF!</v>
      </c>
      <c r="R74" s="171" t="e">
        <f>#REF!</f>
        <v>#REF!</v>
      </c>
      <c r="S74" s="171" t="e">
        <f>#REF!</f>
        <v>#REF!</v>
      </c>
      <c r="T74" s="175" t="e">
        <f>#REF!</f>
        <v>#REF!</v>
      </c>
      <c r="U74" s="175" t="e">
        <f>#REF!</f>
        <v>#REF!</v>
      </c>
      <c r="V74" s="175" t="e">
        <f>#REF!</f>
        <v>#REF!</v>
      </c>
      <c r="W74" s="175" t="e">
        <f>#REF!</f>
        <v>#REF!</v>
      </c>
      <c r="X74" s="175" t="e">
        <f>#REF!</f>
        <v>#REF!</v>
      </c>
    </row>
    <row r="75" spans="1:24" ht="24.95" customHeight="1" x14ac:dyDescent="0.2">
      <c r="A75" s="168" t="e">
        <f>#REF!</f>
        <v>#REF!</v>
      </c>
      <c r="B75" s="169" t="e">
        <f>#REF!</f>
        <v>#REF!</v>
      </c>
      <c r="C75" s="170" t="e">
        <f>#REF!</f>
        <v>#REF!</v>
      </c>
      <c r="D75" s="171" t="e">
        <f>#REF!</f>
        <v>#REF!</v>
      </c>
      <c r="E75" s="171" t="e">
        <f>#REF!</f>
        <v>#REF!</v>
      </c>
      <c r="F75" s="171" t="e">
        <f>#REF!</f>
        <v>#REF!</v>
      </c>
      <c r="G75" s="171" t="e">
        <f>#REF!</f>
        <v>#REF!</v>
      </c>
      <c r="H75" s="171" t="e">
        <f>#REF!</f>
        <v>#REF!</v>
      </c>
      <c r="I75" s="171" t="e">
        <f>#REF!</f>
        <v>#REF!</v>
      </c>
      <c r="J75" s="171" t="e">
        <f>#REF!</f>
        <v>#REF!</v>
      </c>
      <c r="K75" s="171" t="e">
        <f>#REF!</f>
        <v>#REF!</v>
      </c>
      <c r="L75" s="171" t="e">
        <f>#REF!</f>
        <v>#REF!</v>
      </c>
      <c r="M75" s="171" t="e">
        <f>#REF!</f>
        <v>#REF!</v>
      </c>
      <c r="N75" s="171" t="e">
        <f>#REF!</f>
        <v>#REF!</v>
      </c>
      <c r="O75" s="171" t="e">
        <f>#REF!</f>
        <v>#REF!</v>
      </c>
      <c r="P75" s="171" t="e">
        <f>#REF!</f>
        <v>#REF!</v>
      </c>
      <c r="Q75" s="171" t="e">
        <f>#REF!</f>
        <v>#REF!</v>
      </c>
      <c r="R75" s="171" t="e">
        <f>#REF!</f>
        <v>#REF!</v>
      </c>
      <c r="S75" s="171" t="e">
        <f>#REF!</f>
        <v>#REF!</v>
      </c>
      <c r="T75" s="175" t="e">
        <f>#REF!</f>
        <v>#REF!</v>
      </c>
      <c r="U75" s="175" t="e">
        <f>#REF!</f>
        <v>#REF!</v>
      </c>
      <c r="V75" s="175" t="e">
        <f>#REF!</f>
        <v>#REF!</v>
      </c>
      <c r="W75" s="175" t="e">
        <f>#REF!</f>
        <v>#REF!</v>
      </c>
      <c r="X75" s="175" t="e">
        <f>#REF!</f>
        <v>#REF!</v>
      </c>
    </row>
    <row r="76" spans="1:24" ht="24.95" customHeight="1" x14ac:dyDescent="0.2">
      <c r="A76" s="168" t="e">
        <f>#REF!</f>
        <v>#REF!</v>
      </c>
      <c r="B76" s="169" t="e">
        <f>#REF!</f>
        <v>#REF!</v>
      </c>
      <c r="C76" s="170" t="e">
        <f>#REF!</f>
        <v>#REF!</v>
      </c>
      <c r="D76" s="171" t="e">
        <f>#REF!</f>
        <v>#REF!</v>
      </c>
      <c r="E76" s="171" t="e">
        <f>#REF!</f>
        <v>#REF!</v>
      </c>
      <c r="F76" s="171" t="e">
        <f>#REF!</f>
        <v>#REF!</v>
      </c>
      <c r="G76" s="171" t="e">
        <f>#REF!</f>
        <v>#REF!</v>
      </c>
      <c r="H76" s="171" t="e">
        <f>#REF!</f>
        <v>#REF!</v>
      </c>
      <c r="I76" s="171" t="e">
        <f>#REF!</f>
        <v>#REF!</v>
      </c>
      <c r="J76" s="171" t="e">
        <f>#REF!</f>
        <v>#REF!</v>
      </c>
      <c r="K76" s="171" t="e">
        <f>#REF!</f>
        <v>#REF!</v>
      </c>
      <c r="L76" s="171" t="e">
        <f>#REF!</f>
        <v>#REF!</v>
      </c>
      <c r="M76" s="171" t="e">
        <f>#REF!</f>
        <v>#REF!</v>
      </c>
      <c r="N76" s="171" t="e">
        <f>#REF!</f>
        <v>#REF!</v>
      </c>
      <c r="O76" s="171" t="e">
        <f>#REF!</f>
        <v>#REF!</v>
      </c>
      <c r="P76" s="171" t="e">
        <f>#REF!</f>
        <v>#REF!</v>
      </c>
      <c r="Q76" s="171" t="e">
        <f>#REF!</f>
        <v>#REF!</v>
      </c>
      <c r="R76" s="171" t="e">
        <f>#REF!</f>
        <v>#REF!</v>
      </c>
      <c r="S76" s="171" t="e">
        <f>#REF!</f>
        <v>#REF!</v>
      </c>
      <c r="T76" s="175" t="e">
        <f>#REF!</f>
        <v>#REF!</v>
      </c>
      <c r="U76" s="175" t="e">
        <f>#REF!</f>
        <v>#REF!</v>
      </c>
      <c r="V76" s="175" t="e">
        <f>#REF!</f>
        <v>#REF!</v>
      </c>
      <c r="W76" s="175" t="e">
        <f>#REF!</f>
        <v>#REF!</v>
      </c>
      <c r="X76" s="175" t="e">
        <f>#REF!</f>
        <v>#REF!</v>
      </c>
    </row>
    <row r="77" spans="1:24" ht="24.95" customHeight="1" x14ac:dyDescent="0.2">
      <c r="A77" s="168" t="e">
        <f>#REF!</f>
        <v>#REF!</v>
      </c>
      <c r="B77" s="169" t="e">
        <f>#REF!</f>
        <v>#REF!</v>
      </c>
      <c r="C77" s="170" t="e">
        <f>#REF!</f>
        <v>#REF!</v>
      </c>
      <c r="D77" s="171" t="e">
        <f>#REF!</f>
        <v>#REF!</v>
      </c>
      <c r="E77" s="171" t="e">
        <f>#REF!</f>
        <v>#REF!</v>
      </c>
      <c r="F77" s="171" t="e">
        <f>#REF!</f>
        <v>#REF!</v>
      </c>
      <c r="G77" s="171" t="e">
        <f>#REF!</f>
        <v>#REF!</v>
      </c>
      <c r="H77" s="171" t="e">
        <f>#REF!</f>
        <v>#REF!</v>
      </c>
      <c r="I77" s="171" t="e">
        <f>#REF!</f>
        <v>#REF!</v>
      </c>
      <c r="J77" s="171" t="e">
        <f>#REF!</f>
        <v>#REF!</v>
      </c>
      <c r="K77" s="171" t="e">
        <f>#REF!</f>
        <v>#REF!</v>
      </c>
      <c r="L77" s="171" t="e">
        <f>#REF!</f>
        <v>#REF!</v>
      </c>
      <c r="M77" s="171" t="e">
        <f>#REF!</f>
        <v>#REF!</v>
      </c>
      <c r="N77" s="171" t="e">
        <f>#REF!</f>
        <v>#REF!</v>
      </c>
      <c r="O77" s="171" t="e">
        <f>#REF!</f>
        <v>#REF!</v>
      </c>
      <c r="P77" s="171" t="e">
        <f>#REF!</f>
        <v>#REF!</v>
      </c>
      <c r="Q77" s="171" t="e">
        <f>#REF!</f>
        <v>#REF!</v>
      </c>
      <c r="R77" s="171" t="e">
        <f>#REF!</f>
        <v>#REF!</v>
      </c>
      <c r="S77" s="171" t="e">
        <f>#REF!</f>
        <v>#REF!</v>
      </c>
      <c r="T77" s="175" t="e">
        <f>#REF!</f>
        <v>#REF!</v>
      </c>
      <c r="U77" s="175" t="e">
        <f>#REF!</f>
        <v>#REF!</v>
      </c>
      <c r="V77" s="175" t="e">
        <f>#REF!</f>
        <v>#REF!</v>
      </c>
      <c r="W77" s="175" t="e">
        <f>#REF!</f>
        <v>#REF!</v>
      </c>
      <c r="X77" s="175" t="e">
        <f>#REF!</f>
        <v>#REF!</v>
      </c>
    </row>
    <row r="78" spans="1:24" ht="24.95" customHeight="1" x14ac:dyDescent="0.2">
      <c r="A78" s="168" t="e">
        <f>#REF!</f>
        <v>#REF!</v>
      </c>
      <c r="B78" s="169" t="e">
        <f>#REF!</f>
        <v>#REF!</v>
      </c>
      <c r="C78" s="170" t="e">
        <f>#REF!</f>
        <v>#REF!</v>
      </c>
      <c r="D78" s="171" t="e">
        <f>#REF!</f>
        <v>#REF!</v>
      </c>
      <c r="E78" s="171" t="e">
        <f>#REF!</f>
        <v>#REF!</v>
      </c>
      <c r="F78" s="171" t="e">
        <f>#REF!</f>
        <v>#REF!</v>
      </c>
      <c r="G78" s="171" t="e">
        <f>#REF!</f>
        <v>#REF!</v>
      </c>
      <c r="H78" s="171" t="e">
        <f>#REF!</f>
        <v>#REF!</v>
      </c>
      <c r="I78" s="171" t="e">
        <f>#REF!</f>
        <v>#REF!</v>
      </c>
      <c r="J78" s="171" t="e">
        <f>#REF!</f>
        <v>#REF!</v>
      </c>
      <c r="K78" s="171" t="e">
        <f>#REF!</f>
        <v>#REF!</v>
      </c>
      <c r="L78" s="171" t="e">
        <f>#REF!</f>
        <v>#REF!</v>
      </c>
      <c r="M78" s="171" t="e">
        <f>#REF!</f>
        <v>#REF!</v>
      </c>
      <c r="N78" s="171" t="e">
        <f>#REF!</f>
        <v>#REF!</v>
      </c>
      <c r="O78" s="171" t="e">
        <f>#REF!</f>
        <v>#REF!</v>
      </c>
      <c r="P78" s="171" t="e">
        <f>#REF!</f>
        <v>#REF!</v>
      </c>
      <c r="Q78" s="171" t="e">
        <f>#REF!</f>
        <v>#REF!</v>
      </c>
      <c r="R78" s="171" t="e">
        <f>#REF!</f>
        <v>#REF!</v>
      </c>
      <c r="S78" s="171" t="e">
        <f>#REF!</f>
        <v>#REF!</v>
      </c>
      <c r="T78" s="175" t="e">
        <f>#REF!</f>
        <v>#REF!</v>
      </c>
      <c r="U78" s="175" t="e">
        <f>#REF!</f>
        <v>#REF!</v>
      </c>
      <c r="V78" s="175" t="e">
        <f>#REF!</f>
        <v>#REF!</v>
      </c>
      <c r="W78" s="175" t="e">
        <f>#REF!</f>
        <v>#REF!</v>
      </c>
      <c r="X78" s="175" t="e">
        <f>#REF!</f>
        <v>#REF!</v>
      </c>
    </row>
    <row r="79" spans="1:24" ht="24.95" customHeight="1" x14ac:dyDescent="0.2">
      <c r="A79" s="168" t="e">
        <f>#REF!</f>
        <v>#REF!</v>
      </c>
      <c r="B79" s="169" t="e">
        <f>#REF!</f>
        <v>#REF!</v>
      </c>
      <c r="C79" s="170" t="e">
        <f>#REF!</f>
        <v>#REF!</v>
      </c>
      <c r="D79" s="171" t="e">
        <f>#REF!</f>
        <v>#REF!</v>
      </c>
      <c r="E79" s="171" t="e">
        <f>#REF!</f>
        <v>#REF!</v>
      </c>
      <c r="F79" s="171" t="e">
        <f>#REF!</f>
        <v>#REF!</v>
      </c>
      <c r="G79" s="171" t="e">
        <f>#REF!</f>
        <v>#REF!</v>
      </c>
      <c r="H79" s="171" t="e">
        <f>#REF!</f>
        <v>#REF!</v>
      </c>
      <c r="I79" s="171" t="e">
        <f>#REF!</f>
        <v>#REF!</v>
      </c>
      <c r="J79" s="171" t="e">
        <f>#REF!</f>
        <v>#REF!</v>
      </c>
      <c r="K79" s="171" t="e">
        <f>#REF!</f>
        <v>#REF!</v>
      </c>
      <c r="L79" s="171" t="e">
        <f>#REF!</f>
        <v>#REF!</v>
      </c>
      <c r="M79" s="171" t="e">
        <f>#REF!</f>
        <v>#REF!</v>
      </c>
      <c r="N79" s="171" t="e">
        <f>#REF!</f>
        <v>#REF!</v>
      </c>
      <c r="O79" s="171" t="e">
        <f>#REF!</f>
        <v>#REF!</v>
      </c>
      <c r="P79" s="171" t="e">
        <f>#REF!</f>
        <v>#REF!</v>
      </c>
      <c r="Q79" s="171" t="e">
        <f>#REF!</f>
        <v>#REF!</v>
      </c>
      <c r="R79" s="171" t="e">
        <f>#REF!</f>
        <v>#REF!</v>
      </c>
      <c r="S79" s="171" t="e">
        <f>#REF!</f>
        <v>#REF!</v>
      </c>
      <c r="T79" s="175" t="e">
        <f>#REF!</f>
        <v>#REF!</v>
      </c>
      <c r="U79" s="175" t="e">
        <f>#REF!</f>
        <v>#REF!</v>
      </c>
      <c r="V79" s="175" t="e">
        <f>#REF!</f>
        <v>#REF!</v>
      </c>
      <c r="W79" s="175" t="e">
        <f>#REF!</f>
        <v>#REF!</v>
      </c>
      <c r="X79" s="175" t="e">
        <f>#REF!</f>
        <v>#REF!</v>
      </c>
    </row>
    <row r="80" spans="1:24" ht="24.95" customHeight="1" x14ac:dyDescent="0.2">
      <c r="A80" s="168" t="e">
        <f>#REF!</f>
        <v>#REF!</v>
      </c>
      <c r="B80" s="169" t="e">
        <f>#REF!</f>
        <v>#REF!</v>
      </c>
      <c r="C80" s="170" t="e">
        <f>#REF!</f>
        <v>#REF!</v>
      </c>
      <c r="D80" s="171" t="e">
        <f>#REF!</f>
        <v>#REF!</v>
      </c>
      <c r="E80" s="171" t="e">
        <f>#REF!</f>
        <v>#REF!</v>
      </c>
      <c r="F80" s="171" t="e">
        <f>#REF!</f>
        <v>#REF!</v>
      </c>
      <c r="G80" s="171" t="e">
        <f>#REF!</f>
        <v>#REF!</v>
      </c>
      <c r="H80" s="171" t="e">
        <f>#REF!</f>
        <v>#REF!</v>
      </c>
      <c r="I80" s="171" t="e">
        <f>#REF!</f>
        <v>#REF!</v>
      </c>
      <c r="J80" s="171" t="e">
        <f>#REF!</f>
        <v>#REF!</v>
      </c>
      <c r="K80" s="171" t="e">
        <f>#REF!</f>
        <v>#REF!</v>
      </c>
      <c r="L80" s="171" t="e">
        <f>#REF!</f>
        <v>#REF!</v>
      </c>
      <c r="M80" s="171" t="e">
        <f>#REF!</f>
        <v>#REF!</v>
      </c>
      <c r="N80" s="171" t="e">
        <f>#REF!</f>
        <v>#REF!</v>
      </c>
      <c r="O80" s="171" t="e">
        <f>#REF!</f>
        <v>#REF!</v>
      </c>
      <c r="P80" s="171" t="e">
        <f>#REF!</f>
        <v>#REF!</v>
      </c>
      <c r="Q80" s="171" t="e">
        <f>#REF!</f>
        <v>#REF!</v>
      </c>
      <c r="R80" s="171" t="e">
        <f>#REF!</f>
        <v>#REF!</v>
      </c>
      <c r="S80" s="171" t="e">
        <f>#REF!</f>
        <v>#REF!</v>
      </c>
      <c r="T80" s="175" t="e">
        <f>#REF!</f>
        <v>#REF!</v>
      </c>
      <c r="U80" s="175" t="e">
        <f>#REF!</f>
        <v>#REF!</v>
      </c>
      <c r="V80" s="175" t="e">
        <f>#REF!</f>
        <v>#REF!</v>
      </c>
      <c r="W80" s="175" t="e">
        <f>#REF!</f>
        <v>#REF!</v>
      </c>
      <c r="X80" s="175" t="e">
        <f>#REF!</f>
        <v>#REF!</v>
      </c>
    </row>
    <row r="81" spans="1:24" ht="24.95" customHeight="1" x14ac:dyDescent="0.2">
      <c r="A81" s="168" t="e">
        <f>#REF!</f>
        <v>#REF!</v>
      </c>
      <c r="B81" s="169" t="e">
        <f>#REF!</f>
        <v>#REF!</v>
      </c>
      <c r="C81" s="170" t="e">
        <f>#REF!</f>
        <v>#REF!</v>
      </c>
      <c r="D81" s="171" t="e">
        <f>#REF!</f>
        <v>#REF!</v>
      </c>
      <c r="E81" s="171" t="e">
        <f>#REF!</f>
        <v>#REF!</v>
      </c>
      <c r="F81" s="171" t="e">
        <f>#REF!</f>
        <v>#REF!</v>
      </c>
      <c r="G81" s="171" t="e">
        <f>#REF!</f>
        <v>#REF!</v>
      </c>
      <c r="H81" s="171" t="e">
        <f>#REF!</f>
        <v>#REF!</v>
      </c>
      <c r="I81" s="171" t="e">
        <f>#REF!</f>
        <v>#REF!</v>
      </c>
      <c r="J81" s="171" t="e">
        <f>#REF!</f>
        <v>#REF!</v>
      </c>
      <c r="K81" s="171" t="e">
        <f>#REF!</f>
        <v>#REF!</v>
      </c>
      <c r="L81" s="171" t="e">
        <f>#REF!</f>
        <v>#REF!</v>
      </c>
      <c r="M81" s="171" t="e">
        <f>#REF!</f>
        <v>#REF!</v>
      </c>
      <c r="N81" s="171" t="e">
        <f>#REF!</f>
        <v>#REF!</v>
      </c>
      <c r="O81" s="171" t="e">
        <f>#REF!</f>
        <v>#REF!</v>
      </c>
      <c r="P81" s="171" t="e">
        <f>#REF!</f>
        <v>#REF!</v>
      </c>
      <c r="Q81" s="171" t="e">
        <f>#REF!</f>
        <v>#REF!</v>
      </c>
      <c r="R81" s="171" t="e">
        <f>#REF!</f>
        <v>#REF!</v>
      </c>
      <c r="S81" s="171" t="e">
        <f>#REF!</f>
        <v>#REF!</v>
      </c>
      <c r="T81" s="175" t="e">
        <f>#REF!</f>
        <v>#REF!</v>
      </c>
      <c r="U81" s="175" t="e">
        <f>#REF!</f>
        <v>#REF!</v>
      </c>
      <c r="V81" s="175" t="e">
        <f>#REF!</f>
        <v>#REF!</v>
      </c>
      <c r="W81" s="175" t="e">
        <f>#REF!</f>
        <v>#REF!</v>
      </c>
      <c r="X81" s="175" t="e">
        <f>#REF!</f>
        <v>#REF!</v>
      </c>
    </row>
    <row r="82" spans="1:24" ht="24.95" customHeight="1" x14ac:dyDescent="0.2">
      <c r="A82" s="168" t="e">
        <f>#REF!</f>
        <v>#REF!</v>
      </c>
      <c r="B82" s="169" t="e">
        <f>#REF!</f>
        <v>#REF!</v>
      </c>
      <c r="C82" s="170" t="e">
        <f>#REF!</f>
        <v>#REF!</v>
      </c>
      <c r="D82" s="171" t="e">
        <f>#REF!</f>
        <v>#REF!</v>
      </c>
      <c r="E82" s="171" t="e">
        <f>#REF!</f>
        <v>#REF!</v>
      </c>
      <c r="F82" s="171" t="e">
        <f>#REF!</f>
        <v>#REF!</v>
      </c>
      <c r="G82" s="171" t="e">
        <f>#REF!</f>
        <v>#REF!</v>
      </c>
      <c r="H82" s="171" t="e">
        <f>#REF!</f>
        <v>#REF!</v>
      </c>
      <c r="I82" s="171" t="e">
        <f>#REF!</f>
        <v>#REF!</v>
      </c>
      <c r="J82" s="171" t="e">
        <f>#REF!</f>
        <v>#REF!</v>
      </c>
      <c r="K82" s="171" t="e">
        <f>#REF!</f>
        <v>#REF!</v>
      </c>
      <c r="L82" s="171" t="e">
        <f>#REF!</f>
        <v>#REF!</v>
      </c>
      <c r="M82" s="171" t="e">
        <f>#REF!</f>
        <v>#REF!</v>
      </c>
      <c r="N82" s="171" t="e">
        <f>#REF!</f>
        <v>#REF!</v>
      </c>
      <c r="O82" s="171" t="e">
        <f>#REF!</f>
        <v>#REF!</v>
      </c>
      <c r="P82" s="171" t="e">
        <f>#REF!</f>
        <v>#REF!</v>
      </c>
      <c r="Q82" s="171" t="e">
        <f>#REF!</f>
        <v>#REF!</v>
      </c>
      <c r="R82" s="171" t="e">
        <f>#REF!</f>
        <v>#REF!</v>
      </c>
      <c r="S82" s="171" t="e">
        <f>#REF!</f>
        <v>#REF!</v>
      </c>
      <c r="T82" s="175" t="e">
        <f>#REF!</f>
        <v>#REF!</v>
      </c>
      <c r="U82" s="175" t="e">
        <f>#REF!</f>
        <v>#REF!</v>
      </c>
      <c r="V82" s="175" t="e">
        <f>#REF!</f>
        <v>#REF!</v>
      </c>
      <c r="W82" s="175" t="e">
        <f>#REF!</f>
        <v>#REF!</v>
      </c>
      <c r="X82" s="175" t="e">
        <f>#REF!</f>
        <v>#REF!</v>
      </c>
    </row>
    <row r="83" spans="1:24" ht="24.95" customHeight="1" x14ac:dyDescent="0.2">
      <c r="A83" s="168" t="e">
        <f>#REF!</f>
        <v>#REF!</v>
      </c>
      <c r="B83" s="169" t="e">
        <f>#REF!</f>
        <v>#REF!</v>
      </c>
      <c r="C83" s="170" t="e">
        <f>#REF!</f>
        <v>#REF!</v>
      </c>
      <c r="D83" s="171" t="e">
        <f>#REF!</f>
        <v>#REF!</v>
      </c>
      <c r="E83" s="171" t="e">
        <f>#REF!</f>
        <v>#REF!</v>
      </c>
      <c r="F83" s="171" t="e">
        <f>#REF!</f>
        <v>#REF!</v>
      </c>
      <c r="G83" s="171" t="e">
        <f>#REF!</f>
        <v>#REF!</v>
      </c>
      <c r="H83" s="171" t="e">
        <f>#REF!</f>
        <v>#REF!</v>
      </c>
      <c r="I83" s="171" t="e">
        <f>#REF!</f>
        <v>#REF!</v>
      </c>
      <c r="J83" s="171" t="e">
        <f>#REF!</f>
        <v>#REF!</v>
      </c>
      <c r="K83" s="171" t="e">
        <f>#REF!</f>
        <v>#REF!</v>
      </c>
      <c r="L83" s="171" t="e">
        <f>#REF!</f>
        <v>#REF!</v>
      </c>
      <c r="M83" s="171" t="e">
        <f>#REF!</f>
        <v>#REF!</v>
      </c>
      <c r="N83" s="171" t="e">
        <f>#REF!</f>
        <v>#REF!</v>
      </c>
      <c r="O83" s="171" t="e">
        <f>#REF!</f>
        <v>#REF!</v>
      </c>
      <c r="P83" s="171" t="e">
        <f>#REF!</f>
        <v>#REF!</v>
      </c>
      <c r="Q83" s="171" t="e">
        <f>#REF!</f>
        <v>#REF!</v>
      </c>
      <c r="R83" s="171" t="e">
        <f>#REF!</f>
        <v>#REF!</v>
      </c>
      <c r="S83" s="171" t="e">
        <f>#REF!</f>
        <v>#REF!</v>
      </c>
      <c r="T83" s="175" t="e">
        <f>#REF!</f>
        <v>#REF!</v>
      </c>
      <c r="U83" s="175" t="e">
        <f>#REF!</f>
        <v>#REF!</v>
      </c>
      <c r="V83" s="175" t="e">
        <f>#REF!</f>
        <v>#REF!</v>
      </c>
      <c r="W83" s="175" t="e">
        <f>#REF!</f>
        <v>#REF!</v>
      </c>
      <c r="X83" s="175" t="e">
        <f>#REF!</f>
        <v>#REF!</v>
      </c>
    </row>
    <row r="84" spans="1:24" ht="24.95" customHeight="1" x14ac:dyDescent="0.2">
      <c r="A84" s="168" t="e">
        <f>#REF!</f>
        <v>#REF!</v>
      </c>
      <c r="B84" s="169" t="e">
        <f>#REF!</f>
        <v>#REF!</v>
      </c>
      <c r="C84" s="170" t="e">
        <f>#REF!</f>
        <v>#REF!</v>
      </c>
      <c r="D84" s="171" t="e">
        <f>#REF!</f>
        <v>#REF!</v>
      </c>
      <c r="E84" s="171" t="e">
        <f>#REF!</f>
        <v>#REF!</v>
      </c>
      <c r="F84" s="171" t="e">
        <f>#REF!</f>
        <v>#REF!</v>
      </c>
      <c r="G84" s="171" t="e">
        <f>#REF!</f>
        <v>#REF!</v>
      </c>
      <c r="H84" s="171" t="e">
        <f>#REF!</f>
        <v>#REF!</v>
      </c>
      <c r="I84" s="171" t="e">
        <f>#REF!</f>
        <v>#REF!</v>
      </c>
      <c r="J84" s="171" t="e">
        <f>#REF!</f>
        <v>#REF!</v>
      </c>
      <c r="K84" s="171" t="e">
        <f>#REF!</f>
        <v>#REF!</v>
      </c>
      <c r="L84" s="171" t="e">
        <f>#REF!</f>
        <v>#REF!</v>
      </c>
      <c r="M84" s="171" t="e">
        <f>#REF!</f>
        <v>#REF!</v>
      </c>
      <c r="N84" s="171" t="e">
        <f>#REF!</f>
        <v>#REF!</v>
      </c>
      <c r="O84" s="171" t="e">
        <f>#REF!</f>
        <v>#REF!</v>
      </c>
      <c r="P84" s="171" t="e">
        <f>#REF!</f>
        <v>#REF!</v>
      </c>
      <c r="Q84" s="171" t="e">
        <f>#REF!</f>
        <v>#REF!</v>
      </c>
      <c r="R84" s="171" t="e">
        <f>#REF!</f>
        <v>#REF!</v>
      </c>
      <c r="S84" s="171" t="e">
        <f>#REF!</f>
        <v>#REF!</v>
      </c>
      <c r="T84" s="175" t="e">
        <f>#REF!</f>
        <v>#REF!</v>
      </c>
      <c r="U84" s="175" t="e">
        <f>#REF!</f>
        <v>#REF!</v>
      </c>
      <c r="V84" s="175" t="e">
        <f>#REF!</f>
        <v>#REF!</v>
      </c>
      <c r="W84" s="175" t="e">
        <f>#REF!</f>
        <v>#REF!</v>
      </c>
      <c r="X84" s="175" t="e">
        <f>#REF!</f>
        <v>#REF!</v>
      </c>
    </row>
    <row r="85" spans="1:24" ht="24.95" customHeight="1" x14ac:dyDescent="0.2">
      <c r="A85" s="168" t="e">
        <f>#REF!</f>
        <v>#REF!</v>
      </c>
      <c r="B85" s="169" t="e">
        <f>#REF!</f>
        <v>#REF!</v>
      </c>
      <c r="C85" s="170" t="e">
        <f>#REF!</f>
        <v>#REF!</v>
      </c>
      <c r="D85" s="171" t="e">
        <f>#REF!</f>
        <v>#REF!</v>
      </c>
      <c r="E85" s="171" t="e">
        <f>#REF!</f>
        <v>#REF!</v>
      </c>
      <c r="F85" s="171" t="e">
        <f>#REF!</f>
        <v>#REF!</v>
      </c>
      <c r="G85" s="171" t="e">
        <f>#REF!</f>
        <v>#REF!</v>
      </c>
      <c r="H85" s="171" t="e">
        <f>#REF!</f>
        <v>#REF!</v>
      </c>
      <c r="I85" s="171" t="e">
        <f>#REF!</f>
        <v>#REF!</v>
      </c>
      <c r="J85" s="171" t="e">
        <f>#REF!</f>
        <v>#REF!</v>
      </c>
      <c r="K85" s="171" t="e">
        <f>#REF!</f>
        <v>#REF!</v>
      </c>
      <c r="L85" s="171" t="e">
        <f>#REF!</f>
        <v>#REF!</v>
      </c>
      <c r="M85" s="171" t="e">
        <f>#REF!</f>
        <v>#REF!</v>
      </c>
      <c r="N85" s="171" t="e">
        <f>#REF!</f>
        <v>#REF!</v>
      </c>
      <c r="O85" s="171" t="e">
        <f>#REF!</f>
        <v>#REF!</v>
      </c>
      <c r="P85" s="171" t="e">
        <f>#REF!</f>
        <v>#REF!</v>
      </c>
      <c r="Q85" s="171" t="e">
        <f>#REF!</f>
        <v>#REF!</v>
      </c>
      <c r="R85" s="171" t="e">
        <f>#REF!</f>
        <v>#REF!</v>
      </c>
      <c r="S85" s="171" t="e">
        <f>#REF!</f>
        <v>#REF!</v>
      </c>
      <c r="T85" s="175" t="e">
        <f>#REF!</f>
        <v>#REF!</v>
      </c>
      <c r="U85" s="175" t="e">
        <f>#REF!</f>
        <v>#REF!</v>
      </c>
      <c r="V85" s="175" t="e">
        <f>#REF!</f>
        <v>#REF!</v>
      </c>
      <c r="W85" s="175" t="e">
        <f>#REF!</f>
        <v>#REF!</v>
      </c>
      <c r="X85" s="175" t="e">
        <f>#REF!</f>
        <v>#REF!</v>
      </c>
    </row>
    <row r="86" spans="1:24" ht="24.95" customHeight="1" x14ac:dyDescent="0.2">
      <c r="A86" s="168" t="e">
        <f>#REF!</f>
        <v>#REF!</v>
      </c>
      <c r="B86" s="169" t="e">
        <f>#REF!</f>
        <v>#REF!</v>
      </c>
      <c r="C86" s="170" t="e">
        <f>#REF!</f>
        <v>#REF!</v>
      </c>
      <c r="D86" s="171" t="e">
        <f>#REF!</f>
        <v>#REF!</v>
      </c>
      <c r="E86" s="171" t="e">
        <f>#REF!</f>
        <v>#REF!</v>
      </c>
      <c r="F86" s="171" t="e">
        <f>#REF!</f>
        <v>#REF!</v>
      </c>
      <c r="G86" s="171" t="e">
        <f>#REF!</f>
        <v>#REF!</v>
      </c>
      <c r="H86" s="171" t="e">
        <f>#REF!</f>
        <v>#REF!</v>
      </c>
      <c r="I86" s="171" t="e">
        <f>#REF!</f>
        <v>#REF!</v>
      </c>
      <c r="J86" s="171" t="e">
        <f>#REF!</f>
        <v>#REF!</v>
      </c>
      <c r="K86" s="171" t="e">
        <f>#REF!</f>
        <v>#REF!</v>
      </c>
      <c r="L86" s="171" t="e">
        <f>#REF!</f>
        <v>#REF!</v>
      </c>
      <c r="M86" s="171" t="e">
        <f>#REF!</f>
        <v>#REF!</v>
      </c>
      <c r="N86" s="171" t="e">
        <f>#REF!</f>
        <v>#REF!</v>
      </c>
      <c r="O86" s="171" t="e">
        <f>#REF!</f>
        <v>#REF!</v>
      </c>
      <c r="P86" s="171" t="e">
        <f>#REF!</f>
        <v>#REF!</v>
      </c>
      <c r="Q86" s="171" t="e">
        <f>#REF!</f>
        <v>#REF!</v>
      </c>
      <c r="R86" s="171" t="e">
        <f>#REF!</f>
        <v>#REF!</v>
      </c>
      <c r="S86" s="171" t="e">
        <f>#REF!</f>
        <v>#REF!</v>
      </c>
      <c r="T86" s="175" t="e">
        <f>#REF!</f>
        <v>#REF!</v>
      </c>
      <c r="U86" s="175" t="e">
        <f>#REF!</f>
        <v>#REF!</v>
      </c>
      <c r="V86" s="175" t="e">
        <f>#REF!</f>
        <v>#REF!</v>
      </c>
      <c r="W86" s="175" t="e">
        <f>#REF!</f>
        <v>#REF!</v>
      </c>
      <c r="X86" s="175" t="e">
        <f>#REF!</f>
        <v>#REF!</v>
      </c>
    </row>
    <row r="87" spans="1:24" ht="24.95" customHeight="1" x14ac:dyDescent="0.2">
      <c r="A87" s="168" t="e">
        <f>#REF!</f>
        <v>#REF!</v>
      </c>
      <c r="B87" s="169" t="e">
        <f>#REF!</f>
        <v>#REF!</v>
      </c>
      <c r="C87" s="170" t="e">
        <f>#REF!</f>
        <v>#REF!</v>
      </c>
      <c r="D87" s="171" t="e">
        <f>#REF!</f>
        <v>#REF!</v>
      </c>
      <c r="E87" s="171" t="e">
        <f>#REF!</f>
        <v>#REF!</v>
      </c>
      <c r="F87" s="171" t="e">
        <f>#REF!</f>
        <v>#REF!</v>
      </c>
      <c r="G87" s="171" t="e">
        <f>#REF!</f>
        <v>#REF!</v>
      </c>
      <c r="H87" s="171" t="e">
        <f>#REF!</f>
        <v>#REF!</v>
      </c>
      <c r="I87" s="171" t="e">
        <f>#REF!</f>
        <v>#REF!</v>
      </c>
      <c r="J87" s="171" t="e">
        <f>#REF!</f>
        <v>#REF!</v>
      </c>
      <c r="K87" s="171" t="e">
        <f>#REF!</f>
        <v>#REF!</v>
      </c>
      <c r="L87" s="171" t="e">
        <f>#REF!</f>
        <v>#REF!</v>
      </c>
      <c r="M87" s="171" t="e">
        <f>#REF!</f>
        <v>#REF!</v>
      </c>
      <c r="N87" s="171" t="e">
        <f>#REF!</f>
        <v>#REF!</v>
      </c>
      <c r="O87" s="171" t="e">
        <f>#REF!</f>
        <v>#REF!</v>
      </c>
      <c r="P87" s="171" t="e">
        <f>#REF!</f>
        <v>#REF!</v>
      </c>
      <c r="Q87" s="171" t="e">
        <f>#REF!</f>
        <v>#REF!</v>
      </c>
      <c r="R87" s="171" t="e">
        <f>#REF!</f>
        <v>#REF!</v>
      </c>
      <c r="S87" s="171" t="e">
        <f>#REF!</f>
        <v>#REF!</v>
      </c>
      <c r="T87" s="175" t="e">
        <f>#REF!</f>
        <v>#REF!</v>
      </c>
      <c r="U87" s="175" t="e">
        <f>#REF!</f>
        <v>#REF!</v>
      </c>
      <c r="V87" s="175" t="e">
        <f>#REF!</f>
        <v>#REF!</v>
      </c>
      <c r="W87" s="175" t="e">
        <f>#REF!</f>
        <v>#REF!</v>
      </c>
      <c r="X87" s="175" t="e">
        <f>#REF!</f>
        <v>#REF!</v>
      </c>
    </row>
    <row r="88" spans="1:24" ht="24.95" customHeight="1" x14ac:dyDescent="0.2">
      <c r="A88" s="168" t="e">
        <f>#REF!</f>
        <v>#REF!</v>
      </c>
      <c r="B88" s="169" t="e">
        <f>#REF!</f>
        <v>#REF!</v>
      </c>
      <c r="C88" s="170" t="e">
        <f>#REF!</f>
        <v>#REF!</v>
      </c>
      <c r="D88" s="171" t="e">
        <f>#REF!</f>
        <v>#REF!</v>
      </c>
      <c r="E88" s="171" t="e">
        <f>#REF!</f>
        <v>#REF!</v>
      </c>
      <c r="F88" s="171" t="e">
        <f>#REF!</f>
        <v>#REF!</v>
      </c>
      <c r="G88" s="171" t="e">
        <f>#REF!</f>
        <v>#REF!</v>
      </c>
      <c r="H88" s="171" t="e">
        <f>#REF!</f>
        <v>#REF!</v>
      </c>
      <c r="I88" s="171" t="e">
        <f>#REF!</f>
        <v>#REF!</v>
      </c>
      <c r="J88" s="171" t="e">
        <f>#REF!</f>
        <v>#REF!</v>
      </c>
      <c r="K88" s="171" t="e">
        <f>#REF!</f>
        <v>#REF!</v>
      </c>
      <c r="L88" s="171" t="e">
        <f>#REF!</f>
        <v>#REF!</v>
      </c>
      <c r="M88" s="171" t="e">
        <f>#REF!</f>
        <v>#REF!</v>
      </c>
      <c r="N88" s="171" t="e">
        <f>#REF!</f>
        <v>#REF!</v>
      </c>
      <c r="O88" s="171" t="e">
        <f>#REF!</f>
        <v>#REF!</v>
      </c>
      <c r="P88" s="171" t="e">
        <f>#REF!</f>
        <v>#REF!</v>
      </c>
      <c r="Q88" s="171" t="e">
        <f>#REF!</f>
        <v>#REF!</v>
      </c>
      <c r="R88" s="171" t="e">
        <f>#REF!</f>
        <v>#REF!</v>
      </c>
      <c r="S88" s="171" t="e">
        <f>#REF!</f>
        <v>#REF!</v>
      </c>
      <c r="T88" s="175" t="e">
        <f>#REF!</f>
        <v>#REF!</v>
      </c>
      <c r="U88" s="175" t="e">
        <f>#REF!</f>
        <v>#REF!</v>
      </c>
      <c r="V88" s="175" t="e">
        <f>#REF!</f>
        <v>#REF!</v>
      </c>
      <c r="W88" s="175" t="e">
        <f>#REF!</f>
        <v>#REF!</v>
      </c>
      <c r="X88" s="175" t="e">
        <f>#REF!</f>
        <v>#REF!</v>
      </c>
    </row>
    <row r="89" spans="1:24" ht="24.95" customHeight="1" x14ac:dyDescent="0.2">
      <c r="A89" s="168" t="e">
        <f>#REF!</f>
        <v>#REF!</v>
      </c>
      <c r="B89" s="169" t="e">
        <f>#REF!</f>
        <v>#REF!</v>
      </c>
      <c r="C89" s="170" t="e">
        <f>#REF!</f>
        <v>#REF!</v>
      </c>
      <c r="D89" s="171" t="e">
        <f>#REF!</f>
        <v>#REF!</v>
      </c>
      <c r="E89" s="171" t="e">
        <f>#REF!</f>
        <v>#REF!</v>
      </c>
      <c r="F89" s="171" t="e">
        <f>#REF!</f>
        <v>#REF!</v>
      </c>
      <c r="G89" s="171" t="e">
        <f>#REF!</f>
        <v>#REF!</v>
      </c>
      <c r="H89" s="171" t="e">
        <f>#REF!</f>
        <v>#REF!</v>
      </c>
      <c r="I89" s="171" t="e">
        <f>#REF!</f>
        <v>#REF!</v>
      </c>
      <c r="J89" s="171" t="e">
        <f>#REF!</f>
        <v>#REF!</v>
      </c>
      <c r="K89" s="171" t="e">
        <f>#REF!</f>
        <v>#REF!</v>
      </c>
      <c r="L89" s="171" t="e">
        <f>#REF!</f>
        <v>#REF!</v>
      </c>
      <c r="M89" s="171" t="e">
        <f>#REF!</f>
        <v>#REF!</v>
      </c>
      <c r="N89" s="171" t="e">
        <f>#REF!</f>
        <v>#REF!</v>
      </c>
      <c r="O89" s="171" t="e">
        <f>#REF!</f>
        <v>#REF!</v>
      </c>
      <c r="P89" s="171" t="e">
        <f>#REF!</f>
        <v>#REF!</v>
      </c>
      <c r="Q89" s="171" t="e">
        <f>#REF!</f>
        <v>#REF!</v>
      </c>
      <c r="R89" s="171" t="e">
        <f>#REF!</f>
        <v>#REF!</v>
      </c>
      <c r="S89" s="171" t="e">
        <f>#REF!</f>
        <v>#REF!</v>
      </c>
      <c r="T89" s="175" t="e">
        <f>#REF!</f>
        <v>#REF!</v>
      </c>
      <c r="U89" s="175" t="e">
        <f>#REF!</f>
        <v>#REF!</v>
      </c>
      <c r="V89" s="175" t="e">
        <f>#REF!</f>
        <v>#REF!</v>
      </c>
      <c r="W89" s="175" t="e">
        <f>#REF!</f>
        <v>#REF!</v>
      </c>
      <c r="X89" s="175" t="e">
        <f>#REF!</f>
        <v>#REF!</v>
      </c>
    </row>
    <row r="90" spans="1:24" ht="24.95" customHeight="1" x14ac:dyDescent="0.2">
      <c r="A90" s="168" t="e">
        <f>#REF!</f>
        <v>#REF!</v>
      </c>
      <c r="B90" s="169" t="e">
        <f>#REF!</f>
        <v>#REF!</v>
      </c>
      <c r="C90" s="170" t="e">
        <f>#REF!</f>
        <v>#REF!</v>
      </c>
      <c r="D90" s="171" t="e">
        <f>#REF!</f>
        <v>#REF!</v>
      </c>
      <c r="E90" s="171" t="e">
        <f>#REF!</f>
        <v>#REF!</v>
      </c>
      <c r="F90" s="171" t="e">
        <f>#REF!</f>
        <v>#REF!</v>
      </c>
      <c r="G90" s="171" t="e">
        <f>#REF!</f>
        <v>#REF!</v>
      </c>
      <c r="H90" s="171" t="e">
        <f>#REF!</f>
        <v>#REF!</v>
      </c>
      <c r="I90" s="171" t="e">
        <f>#REF!</f>
        <v>#REF!</v>
      </c>
      <c r="J90" s="171" t="e">
        <f>#REF!</f>
        <v>#REF!</v>
      </c>
      <c r="K90" s="171" t="e">
        <f>#REF!</f>
        <v>#REF!</v>
      </c>
      <c r="L90" s="171" t="e">
        <f>#REF!</f>
        <v>#REF!</v>
      </c>
      <c r="M90" s="171" t="e">
        <f>#REF!</f>
        <v>#REF!</v>
      </c>
      <c r="N90" s="171" t="e">
        <f>#REF!</f>
        <v>#REF!</v>
      </c>
      <c r="O90" s="171" t="e">
        <f>#REF!</f>
        <v>#REF!</v>
      </c>
      <c r="P90" s="171" t="e">
        <f>#REF!</f>
        <v>#REF!</v>
      </c>
      <c r="Q90" s="171" t="e">
        <f>#REF!</f>
        <v>#REF!</v>
      </c>
      <c r="R90" s="171" t="e">
        <f>#REF!</f>
        <v>#REF!</v>
      </c>
      <c r="S90" s="171" t="e">
        <f>#REF!</f>
        <v>#REF!</v>
      </c>
      <c r="T90" s="175" t="e">
        <f>#REF!</f>
        <v>#REF!</v>
      </c>
      <c r="U90" s="175" t="e">
        <f>#REF!</f>
        <v>#REF!</v>
      </c>
      <c r="V90" s="175" t="e">
        <f>#REF!</f>
        <v>#REF!</v>
      </c>
      <c r="W90" s="175" t="e">
        <f>#REF!</f>
        <v>#REF!</v>
      </c>
      <c r="X90" s="175" t="e">
        <f>#REF!</f>
        <v>#REF!</v>
      </c>
    </row>
    <row r="91" spans="1:24" ht="24.95" customHeight="1" x14ac:dyDescent="0.2">
      <c r="A91" s="168" t="e">
        <f>#REF!</f>
        <v>#REF!</v>
      </c>
      <c r="B91" s="169" t="e">
        <f>#REF!</f>
        <v>#REF!</v>
      </c>
      <c r="C91" s="170" t="e">
        <f>#REF!</f>
        <v>#REF!</v>
      </c>
      <c r="D91" s="171" t="e">
        <f>#REF!</f>
        <v>#REF!</v>
      </c>
      <c r="E91" s="171" t="e">
        <f>#REF!</f>
        <v>#REF!</v>
      </c>
      <c r="F91" s="171" t="e">
        <f>#REF!</f>
        <v>#REF!</v>
      </c>
      <c r="G91" s="171" t="e">
        <f>#REF!</f>
        <v>#REF!</v>
      </c>
      <c r="H91" s="171" t="e">
        <f>#REF!</f>
        <v>#REF!</v>
      </c>
      <c r="I91" s="171" t="e">
        <f>#REF!</f>
        <v>#REF!</v>
      </c>
      <c r="J91" s="171" t="e">
        <f>#REF!</f>
        <v>#REF!</v>
      </c>
      <c r="K91" s="171" t="e">
        <f>#REF!</f>
        <v>#REF!</v>
      </c>
      <c r="L91" s="171" t="e">
        <f>#REF!</f>
        <v>#REF!</v>
      </c>
      <c r="M91" s="171" t="e">
        <f>#REF!</f>
        <v>#REF!</v>
      </c>
      <c r="N91" s="171" t="e">
        <f>#REF!</f>
        <v>#REF!</v>
      </c>
      <c r="O91" s="171" t="e">
        <f>#REF!</f>
        <v>#REF!</v>
      </c>
      <c r="P91" s="171" t="e">
        <f>#REF!</f>
        <v>#REF!</v>
      </c>
      <c r="Q91" s="171" t="e">
        <f>#REF!</f>
        <v>#REF!</v>
      </c>
      <c r="R91" s="171" t="e">
        <f>#REF!</f>
        <v>#REF!</v>
      </c>
      <c r="S91" s="171" t="e">
        <f>#REF!</f>
        <v>#REF!</v>
      </c>
      <c r="T91" s="175" t="e">
        <f>#REF!</f>
        <v>#REF!</v>
      </c>
      <c r="U91" s="175" t="e">
        <f>#REF!</f>
        <v>#REF!</v>
      </c>
      <c r="V91" s="175" t="e">
        <f>#REF!</f>
        <v>#REF!</v>
      </c>
      <c r="W91" s="175" t="e">
        <f>#REF!</f>
        <v>#REF!</v>
      </c>
      <c r="X91" s="175" t="e">
        <f>#REF!</f>
        <v>#REF!</v>
      </c>
    </row>
    <row r="92" spans="1:24" ht="39.950000000000003" customHeight="1" x14ac:dyDescent="0.2">
      <c r="A92" s="168" t="e">
        <f>#REF!</f>
        <v>#REF!</v>
      </c>
      <c r="B92" s="169" t="e">
        <f>#REF!</f>
        <v>#REF!</v>
      </c>
      <c r="C92" s="170" t="e">
        <f>#REF!</f>
        <v>#REF!</v>
      </c>
      <c r="D92" s="171" t="e">
        <f>#REF!</f>
        <v>#REF!</v>
      </c>
      <c r="E92" s="171" t="e">
        <f>#REF!</f>
        <v>#REF!</v>
      </c>
      <c r="F92" s="171" t="e">
        <f>#REF!</f>
        <v>#REF!</v>
      </c>
      <c r="G92" s="171" t="e">
        <f>#REF!</f>
        <v>#REF!</v>
      </c>
      <c r="H92" s="171" t="e">
        <f>#REF!</f>
        <v>#REF!</v>
      </c>
      <c r="I92" s="171" t="e">
        <f>#REF!</f>
        <v>#REF!</v>
      </c>
      <c r="J92" s="171" t="e">
        <f>#REF!</f>
        <v>#REF!</v>
      </c>
      <c r="K92" s="171" t="e">
        <f>#REF!</f>
        <v>#REF!</v>
      </c>
      <c r="L92" s="171" t="e">
        <f>#REF!</f>
        <v>#REF!</v>
      </c>
      <c r="M92" s="171" t="e">
        <f>#REF!</f>
        <v>#REF!</v>
      </c>
      <c r="N92" s="171" t="e">
        <f>#REF!</f>
        <v>#REF!</v>
      </c>
      <c r="O92" s="171" t="e">
        <f>#REF!</f>
        <v>#REF!</v>
      </c>
      <c r="P92" s="171" t="e">
        <f>#REF!</f>
        <v>#REF!</v>
      </c>
      <c r="Q92" s="171" t="e">
        <f>#REF!</f>
        <v>#REF!</v>
      </c>
      <c r="R92" s="171" t="e">
        <f>#REF!</f>
        <v>#REF!</v>
      </c>
      <c r="S92" s="171" t="e">
        <f>#REF!</f>
        <v>#REF!</v>
      </c>
      <c r="T92" s="175" t="e">
        <f>#REF!</f>
        <v>#REF!</v>
      </c>
      <c r="U92" s="175" t="e">
        <f>#REF!</f>
        <v>#REF!</v>
      </c>
      <c r="V92" s="175" t="e">
        <f>#REF!</f>
        <v>#REF!</v>
      </c>
      <c r="W92" s="175" t="e">
        <f>#REF!</f>
        <v>#REF!</v>
      </c>
      <c r="X92" s="175" t="e">
        <f>#REF!</f>
        <v>#REF!</v>
      </c>
    </row>
    <row r="93" spans="1:24" ht="24.95" customHeight="1" x14ac:dyDescent="0.2">
      <c r="A93" s="168" t="e">
        <f>#REF!</f>
        <v>#REF!</v>
      </c>
      <c r="B93" s="169" t="e">
        <f>#REF!</f>
        <v>#REF!</v>
      </c>
      <c r="C93" s="170" t="e">
        <f>#REF!</f>
        <v>#REF!</v>
      </c>
      <c r="D93" s="171" t="e">
        <f>#REF!</f>
        <v>#REF!</v>
      </c>
      <c r="E93" s="171" t="e">
        <f>#REF!</f>
        <v>#REF!</v>
      </c>
      <c r="F93" s="171" t="e">
        <f>#REF!</f>
        <v>#REF!</v>
      </c>
      <c r="G93" s="171" t="e">
        <f>#REF!</f>
        <v>#REF!</v>
      </c>
      <c r="H93" s="171" t="e">
        <f>#REF!</f>
        <v>#REF!</v>
      </c>
      <c r="I93" s="171" t="e">
        <f>#REF!</f>
        <v>#REF!</v>
      </c>
      <c r="J93" s="171" t="e">
        <f>#REF!</f>
        <v>#REF!</v>
      </c>
      <c r="K93" s="171" t="e">
        <f>#REF!</f>
        <v>#REF!</v>
      </c>
      <c r="L93" s="171" t="e">
        <f>#REF!</f>
        <v>#REF!</v>
      </c>
      <c r="M93" s="171" t="e">
        <f>#REF!</f>
        <v>#REF!</v>
      </c>
      <c r="N93" s="171" t="e">
        <f>#REF!</f>
        <v>#REF!</v>
      </c>
      <c r="O93" s="171" t="e">
        <f>#REF!</f>
        <v>#REF!</v>
      </c>
      <c r="P93" s="171" t="e">
        <f>#REF!</f>
        <v>#REF!</v>
      </c>
      <c r="Q93" s="171" t="e">
        <f>#REF!</f>
        <v>#REF!</v>
      </c>
      <c r="R93" s="171" t="e">
        <f>#REF!</f>
        <v>#REF!</v>
      </c>
      <c r="S93" s="171" t="e">
        <f>#REF!</f>
        <v>#REF!</v>
      </c>
      <c r="T93" s="175" t="e">
        <f>#REF!</f>
        <v>#REF!</v>
      </c>
      <c r="U93" s="175" t="e">
        <f>#REF!</f>
        <v>#REF!</v>
      </c>
      <c r="V93" s="175" t="e">
        <f>#REF!</f>
        <v>#REF!</v>
      </c>
      <c r="W93" s="175" t="e">
        <f>#REF!</f>
        <v>#REF!</v>
      </c>
      <c r="X93" s="175" t="e">
        <f>#REF!</f>
        <v>#REF!</v>
      </c>
    </row>
    <row r="94" spans="1:24" ht="24.95" customHeight="1" x14ac:dyDescent="0.2">
      <c r="A94" s="168" t="e">
        <f>#REF!</f>
        <v>#REF!</v>
      </c>
      <c r="B94" s="169" t="e">
        <f>#REF!</f>
        <v>#REF!</v>
      </c>
      <c r="C94" s="170" t="e">
        <f>#REF!</f>
        <v>#REF!</v>
      </c>
      <c r="D94" s="171" t="e">
        <f>#REF!</f>
        <v>#REF!</v>
      </c>
      <c r="E94" s="171" t="e">
        <f>#REF!</f>
        <v>#REF!</v>
      </c>
      <c r="F94" s="171" t="e">
        <f>#REF!</f>
        <v>#REF!</v>
      </c>
      <c r="G94" s="171" t="e">
        <f>#REF!</f>
        <v>#REF!</v>
      </c>
      <c r="H94" s="171" t="e">
        <f>#REF!</f>
        <v>#REF!</v>
      </c>
      <c r="I94" s="171" t="e">
        <f>#REF!</f>
        <v>#REF!</v>
      </c>
      <c r="J94" s="171" t="e">
        <f>#REF!</f>
        <v>#REF!</v>
      </c>
      <c r="K94" s="171" t="e">
        <f>#REF!</f>
        <v>#REF!</v>
      </c>
      <c r="L94" s="171" t="e">
        <f>#REF!</f>
        <v>#REF!</v>
      </c>
      <c r="M94" s="171" t="e">
        <f>#REF!</f>
        <v>#REF!</v>
      </c>
      <c r="N94" s="171" t="e">
        <f>#REF!</f>
        <v>#REF!</v>
      </c>
      <c r="O94" s="171" t="e">
        <f>#REF!</f>
        <v>#REF!</v>
      </c>
      <c r="P94" s="171" t="e">
        <f>#REF!</f>
        <v>#REF!</v>
      </c>
      <c r="Q94" s="171" t="e">
        <f>#REF!</f>
        <v>#REF!</v>
      </c>
      <c r="R94" s="171" t="e">
        <f>#REF!</f>
        <v>#REF!</v>
      </c>
      <c r="S94" s="171" t="e">
        <f>#REF!</f>
        <v>#REF!</v>
      </c>
      <c r="T94" s="175" t="e">
        <f>#REF!</f>
        <v>#REF!</v>
      </c>
      <c r="U94" s="175" t="e">
        <f>#REF!</f>
        <v>#REF!</v>
      </c>
      <c r="V94" s="175" t="e">
        <f>#REF!</f>
        <v>#REF!</v>
      </c>
      <c r="W94" s="175" t="e">
        <f>#REF!</f>
        <v>#REF!</v>
      </c>
      <c r="X94" s="175" t="e">
        <f>#REF!</f>
        <v>#REF!</v>
      </c>
    </row>
    <row r="95" spans="1:24" ht="24.95" customHeight="1" x14ac:dyDescent="0.2">
      <c r="A95" s="168" t="e">
        <f>#REF!</f>
        <v>#REF!</v>
      </c>
      <c r="B95" s="169" t="e">
        <f>#REF!</f>
        <v>#REF!</v>
      </c>
      <c r="C95" s="170" t="e">
        <f>#REF!</f>
        <v>#REF!</v>
      </c>
      <c r="D95" s="171" t="e">
        <f>#REF!</f>
        <v>#REF!</v>
      </c>
      <c r="E95" s="171" t="e">
        <f>#REF!</f>
        <v>#REF!</v>
      </c>
      <c r="F95" s="171" t="e">
        <f>#REF!</f>
        <v>#REF!</v>
      </c>
      <c r="G95" s="171" t="e">
        <f>#REF!</f>
        <v>#REF!</v>
      </c>
      <c r="H95" s="171" t="e">
        <f>#REF!</f>
        <v>#REF!</v>
      </c>
      <c r="I95" s="171" t="e">
        <f>#REF!</f>
        <v>#REF!</v>
      </c>
      <c r="J95" s="171" t="e">
        <f>#REF!</f>
        <v>#REF!</v>
      </c>
      <c r="K95" s="171" t="e">
        <f>#REF!</f>
        <v>#REF!</v>
      </c>
      <c r="L95" s="171" t="e">
        <f>#REF!</f>
        <v>#REF!</v>
      </c>
      <c r="M95" s="171" t="e">
        <f>#REF!</f>
        <v>#REF!</v>
      </c>
      <c r="N95" s="171" t="e">
        <f>#REF!</f>
        <v>#REF!</v>
      </c>
      <c r="O95" s="171" t="e">
        <f>#REF!</f>
        <v>#REF!</v>
      </c>
      <c r="P95" s="171" t="e">
        <f>#REF!</f>
        <v>#REF!</v>
      </c>
      <c r="Q95" s="171" t="e">
        <f>#REF!</f>
        <v>#REF!</v>
      </c>
      <c r="R95" s="171" t="e">
        <f>#REF!</f>
        <v>#REF!</v>
      </c>
      <c r="S95" s="171" t="e">
        <f>#REF!</f>
        <v>#REF!</v>
      </c>
      <c r="T95" s="175" t="e">
        <f>#REF!</f>
        <v>#REF!</v>
      </c>
      <c r="U95" s="175" t="e">
        <f>#REF!</f>
        <v>#REF!</v>
      </c>
      <c r="V95" s="175" t="e">
        <f>#REF!</f>
        <v>#REF!</v>
      </c>
      <c r="W95" s="175" t="e">
        <f>#REF!</f>
        <v>#REF!</v>
      </c>
      <c r="X95" s="175" t="e">
        <f>#REF!</f>
        <v>#REF!</v>
      </c>
    </row>
    <row r="96" spans="1:24" ht="24.95" customHeight="1" x14ac:dyDescent="0.2">
      <c r="A96" s="168" t="e">
        <f>#REF!</f>
        <v>#REF!</v>
      </c>
      <c r="B96" s="169" t="e">
        <f>#REF!</f>
        <v>#REF!</v>
      </c>
      <c r="C96" s="170" t="e">
        <f>#REF!</f>
        <v>#REF!</v>
      </c>
      <c r="D96" s="171" t="e">
        <f>#REF!</f>
        <v>#REF!</v>
      </c>
      <c r="E96" s="171" t="e">
        <f>#REF!</f>
        <v>#REF!</v>
      </c>
      <c r="F96" s="171" t="e">
        <f>#REF!</f>
        <v>#REF!</v>
      </c>
      <c r="G96" s="171" t="e">
        <f>#REF!</f>
        <v>#REF!</v>
      </c>
      <c r="H96" s="171" t="e">
        <f>#REF!</f>
        <v>#REF!</v>
      </c>
      <c r="I96" s="171" t="e">
        <f>#REF!</f>
        <v>#REF!</v>
      </c>
      <c r="J96" s="171" t="e">
        <f>#REF!</f>
        <v>#REF!</v>
      </c>
      <c r="K96" s="171" t="e">
        <f>#REF!</f>
        <v>#REF!</v>
      </c>
      <c r="L96" s="171" t="e">
        <f>#REF!</f>
        <v>#REF!</v>
      </c>
      <c r="M96" s="171" t="e">
        <f>#REF!</f>
        <v>#REF!</v>
      </c>
      <c r="N96" s="171" t="e">
        <f>#REF!</f>
        <v>#REF!</v>
      </c>
      <c r="O96" s="171" t="e">
        <f>#REF!</f>
        <v>#REF!</v>
      </c>
      <c r="P96" s="171" t="e">
        <f>#REF!</f>
        <v>#REF!</v>
      </c>
      <c r="Q96" s="171" t="e">
        <f>#REF!</f>
        <v>#REF!</v>
      </c>
      <c r="R96" s="171" t="e">
        <f>#REF!</f>
        <v>#REF!</v>
      </c>
      <c r="S96" s="171" t="e">
        <f>#REF!</f>
        <v>#REF!</v>
      </c>
      <c r="T96" s="175" t="e">
        <f>#REF!</f>
        <v>#REF!</v>
      </c>
      <c r="U96" s="175" t="e">
        <f>#REF!</f>
        <v>#REF!</v>
      </c>
      <c r="V96" s="175" t="e">
        <f>#REF!</f>
        <v>#REF!</v>
      </c>
      <c r="W96" s="175" t="e">
        <f>#REF!</f>
        <v>#REF!</v>
      </c>
      <c r="X96" s="175" t="e">
        <f>#REF!</f>
        <v>#REF!</v>
      </c>
    </row>
    <row r="97" spans="1:24" ht="24.95" customHeight="1" x14ac:dyDescent="0.2">
      <c r="A97" s="168" t="e">
        <f>#REF!</f>
        <v>#REF!</v>
      </c>
      <c r="B97" s="169" t="e">
        <f>#REF!</f>
        <v>#REF!</v>
      </c>
      <c r="C97" s="170" t="e">
        <f>#REF!</f>
        <v>#REF!</v>
      </c>
      <c r="D97" s="171" t="e">
        <f>#REF!</f>
        <v>#REF!</v>
      </c>
      <c r="E97" s="171" t="e">
        <f>#REF!</f>
        <v>#REF!</v>
      </c>
      <c r="F97" s="171" t="e">
        <f>#REF!</f>
        <v>#REF!</v>
      </c>
      <c r="G97" s="171" t="e">
        <f>#REF!</f>
        <v>#REF!</v>
      </c>
      <c r="H97" s="171" t="e">
        <f>#REF!</f>
        <v>#REF!</v>
      </c>
      <c r="I97" s="171" t="e">
        <f>#REF!</f>
        <v>#REF!</v>
      </c>
      <c r="J97" s="171" t="e">
        <f>#REF!</f>
        <v>#REF!</v>
      </c>
      <c r="K97" s="171" t="e">
        <f>#REF!</f>
        <v>#REF!</v>
      </c>
      <c r="L97" s="171" t="e">
        <f>#REF!</f>
        <v>#REF!</v>
      </c>
      <c r="M97" s="171" t="e">
        <f>#REF!</f>
        <v>#REF!</v>
      </c>
      <c r="N97" s="171" t="e">
        <f>#REF!</f>
        <v>#REF!</v>
      </c>
      <c r="O97" s="171" t="e">
        <f>#REF!</f>
        <v>#REF!</v>
      </c>
      <c r="P97" s="171" t="e">
        <f>#REF!</f>
        <v>#REF!</v>
      </c>
      <c r="Q97" s="171" t="e">
        <f>#REF!</f>
        <v>#REF!</v>
      </c>
      <c r="R97" s="171" t="e">
        <f>#REF!</f>
        <v>#REF!</v>
      </c>
      <c r="S97" s="171" t="e">
        <f>#REF!</f>
        <v>#REF!</v>
      </c>
      <c r="T97" s="175" t="e">
        <f>#REF!</f>
        <v>#REF!</v>
      </c>
      <c r="U97" s="175" t="e">
        <f>#REF!</f>
        <v>#REF!</v>
      </c>
      <c r="V97" s="175" t="e">
        <f>#REF!</f>
        <v>#REF!</v>
      </c>
      <c r="W97" s="175" t="e">
        <f>#REF!</f>
        <v>#REF!</v>
      </c>
      <c r="X97" s="175" t="e">
        <f>#REF!</f>
        <v>#REF!</v>
      </c>
    </row>
    <row r="98" spans="1:24" ht="24.95" customHeight="1" x14ac:dyDescent="0.2">
      <c r="A98" s="168" t="e">
        <f>#REF!</f>
        <v>#REF!</v>
      </c>
      <c r="B98" s="169" t="e">
        <f>#REF!</f>
        <v>#REF!</v>
      </c>
      <c r="C98" s="170" t="e">
        <f>#REF!</f>
        <v>#REF!</v>
      </c>
      <c r="D98" s="171" t="e">
        <f>#REF!</f>
        <v>#REF!</v>
      </c>
      <c r="E98" s="171" t="e">
        <f>#REF!</f>
        <v>#REF!</v>
      </c>
      <c r="F98" s="171" t="e">
        <f>#REF!</f>
        <v>#REF!</v>
      </c>
      <c r="G98" s="171" t="e">
        <f>#REF!</f>
        <v>#REF!</v>
      </c>
      <c r="H98" s="171" t="e">
        <f>#REF!</f>
        <v>#REF!</v>
      </c>
      <c r="I98" s="171" t="e">
        <f>#REF!</f>
        <v>#REF!</v>
      </c>
      <c r="J98" s="171" t="e">
        <f>#REF!</f>
        <v>#REF!</v>
      </c>
      <c r="K98" s="171" t="e">
        <f>#REF!</f>
        <v>#REF!</v>
      </c>
      <c r="L98" s="171" t="e">
        <f>#REF!</f>
        <v>#REF!</v>
      </c>
      <c r="M98" s="171" t="e">
        <f>#REF!</f>
        <v>#REF!</v>
      </c>
      <c r="N98" s="171" t="e">
        <f>#REF!</f>
        <v>#REF!</v>
      </c>
      <c r="O98" s="171" t="e">
        <f>#REF!</f>
        <v>#REF!</v>
      </c>
      <c r="P98" s="171" t="e">
        <f>#REF!</f>
        <v>#REF!</v>
      </c>
      <c r="Q98" s="171" t="e">
        <f>#REF!</f>
        <v>#REF!</v>
      </c>
      <c r="R98" s="171" t="e">
        <f>#REF!</f>
        <v>#REF!</v>
      </c>
      <c r="S98" s="171" t="e">
        <f>#REF!</f>
        <v>#REF!</v>
      </c>
      <c r="T98" s="175" t="e">
        <f>#REF!</f>
        <v>#REF!</v>
      </c>
      <c r="U98" s="175" t="e">
        <f>#REF!</f>
        <v>#REF!</v>
      </c>
      <c r="V98" s="175" t="e">
        <f>#REF!</f>
        <v>#REF!</v>
      </c>
      <c r="W98" s="175" t="e">
        <f>#REF!</f>
        <v>#REF!</v>
      </c>
      <c r="X98" s="175" t="e">
        <f>#REF!</f>
        <v>#REF!</v>
      </c>
    </row>
    <row r="99" spans="1:24" ht="24.95" customHeight="1" x14ac:dyDescent="0.2">
      <c r="A99" s="168" t="e">
        <f>#REF!</f>
        <v>#REF!</v>
      </c>
      <c r="B99" s="169" t="e">
        <f>#REF!</f>
        <v>#REF!</v>
      </c>
      <c r="C99" s="170" t="e">
        <f>#REF!</f>
        <v>#REF!</v>
      </c>
      <c r="D99" s="171" t="e">
        <f>#REF!</f>
        <v>#REF!</v>
      </c>
      <c r="E99" s="171" t="e">
        <f>#REF!</f>
        <v>#REF!</v>
      </c>
      <c r="F99" s="171" t="e">
        <f>#REF!</f>
        <v>#REF!</v>
      </c>
      <c r="G99" s="171" t="e">
        <f>#REF!</f>
        <v>#REF!</v>
      </c>
      <c r="H99" s="171" t="e">
        <f>#REF!</f>
        <v>#REF!</v>
      </c>
      <c r="I99" s="171" t="e">
        <f>#REF!</f>
        <v>#REF!</v>
      </c>
      <c r="J99" s="171" t="e">
        <f>#REF!</f>
        <v>#REF!</v>
      </c>
      <c r="K99" s="171" t="e">
        <f>#REF!</f>
        <v>#REF!</v>
      </c>
      <c r="L99" s="171" t="e">
        <f>#REF!</f>
        <v>#REF!</v>
      </c>
      <c r="M99" s="171" t="e">
        <f>#REF!</f>
        <v>#REF!</v>
      </c>
      <c r="N99" s="171" t="e">
        <f>#REF!</f>
        <v>#REF!</v>
      </c>
      <c r="O99" s="171" t="e">
        <f>#REF!</f>
        <v>#REF!</v>
      </c>
      <c r="P99" s="171" t="e">
        <f>#REF!</f>
        <v>#REF!</v>
      </c>
      <c r="Q99" s="171" t="e">
        <f>#REF!</f>
        <v>#REF!</v>
      </c>
      <c r="R99" s="171" t="e">
        <f>#REF!</f>
        <v>#REF!</v>
      </c>
      <c r="S99" s="171" t="e">
        <f>#REF!</f>
        <v>#REF!</v>
      </c>
      <c r="T99" s="175" t="e">
        <f>#REF!</f>
        <v>#REF!</v>
      </c>
      <c r="U99" s="175" t="e">
        <f>#REF!</f>
        <v>#REF!</v>
      </c>
      <c r="V99" s="175" t="e">
        <f>#REF!</f>
        <v>#REF!</v>
      </c>
      <c r="W99" s="175" t="e">
        <f>#REF!</f>
        <v>#REF!</v>
      </c>
      <c r="X99" s="175" t="e">
        <f>#REF!</f>
        <v>#REF!</v>
      </c>
    </row>
    <row r="100" spans="1:24" ht="24.95" customHeight="1" x14ac:dyDescent="0.2">
      <c r="A100" s="168" t="e">
        <f>#REF!</f>
        <v>#REF!</v>
      </c>
      <c r="B100" s="169" t="e">
        <f>#REF!</f>
        <v>#REF!</v>
      </c>
      <c r="C100" s="170" t="e">
        <f>#REF!</f>
        <v>#REF!</v>
      </c>
      <c r="D100" s="171" t="e">
        <f>#REF!</f>
        <v>#REF!</v>
      </c>
      <c r="E100" s="171" t="e">
        <f>#REF!</f>
        <v>#REF!</v>
      </c>
      <c r="F100" s="171" t="e">
        <f>#REF!</f>
        <v>#REF!</v>
      </c>
      <c r="G100" s="171" t="e">
        <f>#REF!</f>
        <v>#REF!</v>
      </c>
      <c r="H100" s="171" t="e">
        <f>#REF!</f>
        <v>#REF!</v>
      </c>
      <c r="I100" s="171" t="e">
        <f>#REF!</f>
        <v>#REF!</v>
      </c>
      <c r="J100" s="171" t="e">
        <f>#REF!</f>
        <v>#REF!</v>
      </c>
      <c r="K100" s="171" t="e">
        <f>#REF!</f>
        <v>#REF!</v>
      </c>
      <c r="L100" s="171" t="e">
        <f>#REF!</f>
        <v>#REF!</v>
      </c>
      <c r="M100" s="171" t="e">
        <f>#REF!</f>
        <v>#REF!</v>
      </c>
      <c r="N100" s="171" t="e">
        <f>#REF!</f>
        <v>#REF!</v>
      </c>
      <c r="O100" s="171" t="e">
        <f>#REF!</f>
        <v>#REF!</v>
      </c>
      <c r="P100" s="171" t="e">
        <f>#REF!</f>
        <v>#REF!</v>
      </c>
      <c r="Q100" s="171" t="e">
        <f>#REF!</f>
        <v>#REF!</v>
      </c>
      <c r="R100" s="171" t="e">
        <f>#REF!</f>
        <v>#REF!</v>
      </c>
      <c r="S100" s="171" t="e">
        <f>#REF!</f>
        <v>#REF!</v>
      </c>
      <c r="T100" s="175" t="e">
        <f>#REF!</f>
        <v>#REF!</v>
      </c>
      <c r="U100" s="175" t="e">
        <f>#REF!</f>
        <v>#REF!</v>
      </c>
      <c r="V100" s="175" t="e">
        <f>#REF!</f>
        <v>#REF!</v>
      </c>
      <c r="W100" s="175" t="e">
        <f>#REF!</f>
        <v>#REF!</v>
      </c>
      <c r="X100" s="175" t="e">
        <f>#REF!</f>
        <v>#REF!</v>
      </c>
    </row>
    <row r="101" spans="1:24" ht="24.95" customHeight="1" x14ac:dyDescent="0.2">
      <c r="A101" s="168" t="e">
        <f>#REF!</f>
        <v>#REF!</v>
      </c>
      <c r="B101" s="169" t="e">
        <f>#REF!</f>
        <v>#REF!</v>
      </c>
      <c r="C101" s="170" t="e">
        <f>#REF!</f>
        <v>#REF!</v>
      </c>
      <c r="D101" s="171" t="e">
        <f>#REF!</f>
        <v>#REF!</v>
      </c>
      <c r="E101" s="171" t="e">
        <f>#REF!</f>
        <v>#REF!</v>
      </c>
      <c r="F101" s="171" t="e">
        <f>#REF!</f>
        <v>#REF!</v>
      </c>
      <c r="G101" s="171" t="e">
        <f>#REF!</f>
        <v>#REF!</v>
      </c>
      <c r="H101" s="171" t="e">
        <f>#REF!</f>
        <v>#REF!</v>
      </c>
      <c r="I101" s="171" t="e">
        <f>#REF!</f>
        <v>#REF!</v>
      </c>
      <c r="J101" s="171" t="e">
        <f>#REF!</f>
        <v>#REF!</v>
      </c>
      <c r="K101" s="171" t="e">
        <f>#REF!</f>
        <v>#REF!</v>
      </c>
      <c r="L101" s="171" t="e">
        <f>#REF!</f>
        <v>#REF!</v>
      </c>
      <c r="M101" s="171" t="e">
        <f>#REF!</f>
        <v>#REF!</v>
      </c>
      <c r="N101" s="171" t="e">
        <f>#REF!</f>
        <v>#REF!</v>
      </c>
      <c r="O101" s="171" t="e">
        <f>#REF!</f>
        <v>#REF!</v>
      </c>
      <c r="P101" s="171" t="e">
        <f>#REF!</f>
        <v>#REF!</v>
      </c>
      <c r="Q101" s="171" t="e">
        <f>#REF!</f>
        <v>#REF!</v>
      </c>
      <c r="R101" s="171" t="e">
        <f>#REF!</f>
        <v>#REF!</v>
      </c>
      <c r="S101" s="171" t="e">
        <f>#REF!</f>
        <v>#REF!</v>
      </c>
      <c r="T101" s="175" t="e">
        <f>#REF!</f>
        <v>#REF!</v>
      </c>
      <c r="U101" s="175" t="e">
        <f>#REF!</f>
        <v>#REF!</v>
      </c>
      <c r="V101" s="175" t="e">
        <f>#REF!</f>
        <v>#REF!</v>
      </c>
      <c r="W101" s="175" t="e">
        <f>#REF!</f>
        <v>#REF!</v>
      </c>
      <c r="X101" s="175" t="e">
        <f>#REF!</f>
        <v>#REF!</v>
      </c>
    </row>
    <row r="102" spans="1:24" ht="24.95" customHeight="1" x14ac:dyDescent="0.2">
      <c r="A102" s="168" t="e">
        <f>#REF!</f>
        <v>#REF!</v>
      </c>
      <c r="B102" s="169" t="e">
        <f>#REF!</f>
        <v>#REF!</v>
      </c>
      <c r="C102" s="170" t="e">
        <f>#REF!</f>
        <v>#REF!</v>
      </c>
      <c r="D102" s="171" t="e">
        <f>#REF!</f>
        <v>#REF!</v>
      </c>
      <c r="E102" s="171" t="e">
        <f>#REF!</f>
        <v>#REF!</v>
      </c>
      <c r="F102" s="171" t="e">
        <f>#REF!</f>
        <v>#REF!</v>
      </c>
      <c r="G102" s="171" t="e">
        <f>#REF!</f>
        <v>#REF!</v>
      </c>
      <c r="H102" s="171" t="e">
        <f>#REF!</f>
        <v>#REF!</v>
      </c>
      <c r="I102" s="171" t="e">
        <f>#REF!</f>
        <v>#REF!</v>
      </c>
      <c r="J102" s="171" t="e">
        <f>#REF!</f>
        <v>#REF!</v>
      </c>
      <c r="K102" s="171" t="e">
        <f>#REF!</f>
        <v>#REF!</v>
      </c>
      <c r="L102" s="171" t="e">
        <f>#REF!</f>
        <v>#REF!</v>
      </c>
      <c r="M102" s="171" t="e">
        <f>#REF!</f>
        <v>#REF!</v>
      </c>
      <c r="N102" s="171" t="e">
        <f>#REF!</f>
        <v>#REF!</v>
      </c>
      <c r="O102" s="171" t="e">
        <f>#REF!</f>
        <v>#REF!</v>
      </c>
      <c r="P102" s="171" t="e">
        <f>#REF!</f>
        <v>#REF!</v>
      </c>
      <c r="Q102" s="171" t="e">
        <f>#REF!</f>
        <v>#REF!</v>
      </c>
      <c r="R102" s="171" t="e">
        <f>#REF!</f>
        <v>#REF!</v>
      </c>
      <c r="S102" s="171" t="e">
        <f>#REF!</f>
        <v>#REF!</v>
      </c>
      <c r="T102" s="175" t="e">
        <f>#REF!</f>
        <v>#REF!</v>
      </c>
      <c r="U102" s="175" t="e">
        <f>#REF!</f>
        <v>#REF!</v>
      </c>
      <c r="V102" s="175" t="e">
        <f>#REF!</f>
        <v>#REF!</v>
      </c>
      <c r="W102" s="175" t="e">
        <f>#REF!</f>
        <v>#REF!</v>
      </c>
      <c r="X102" s="175" t="e">
        <f>#REF!</f>
        <v>#REF!</v>
      </c>
    </row>
    <row r="103" spans="1:24" ht="24.95" customHeight="1" x14ac:dyDescent="0.2">
      <c r="A103" s="168" t="e">
        <f>#REF!</f>
        <v>#REF!</v>
      </c>
      <c r="B103" s="169" t="e">
        <f>#REF!</f>
        <v>#REF!</v>
      </c>
      <c r="C103" s="170" t="e">
        <f>#REF!</f>
        <v>#REF!</v>
      </c>
      <c r="D103" s="171" t="e">
        <f>#REF!</f>
        <v>#REF!</v>
      </c>
      <c r="E103" s="171" t="e">
        <f>#REF!</f>
        <v>#REF!</v>
      </c>
      <c r="F103" s="171" t="e">
        <f>#REF!</f>
        <v>#REF!</v>
      </c>
      <c r="G103" s="171" t="e">
        <f>#REF!</f>
        <v>#REF!</v>
      </c>
      <c r="H103" s="171" t="e">
        <f>#REF!</f>
        <v>#REF!</v>
      </c>
      <c r="I103" s="171" t="e">
        <f>#REF!</f>
        <v>#REF!</v>
      </c>
      <c r="J103" s="171" t="e">
        <f>#REF!</f>
        <v>#REF!</v>
      </c>
      <c r="K103" s="171" t="e">
        <f>#REF!</f>
        <v>#REF!</v>
      </c>
      <c r="L103" s="171" t="e">
        <f>#REF!</f>
        <v>#REF!</v>
      </c>
      <c r="M103" s="171" t="e">
        <f>#REF!</f>
        <v>#REF!</v>
      </c>
      <c r="N103" s="171" t="e">
        <f>#REF!</f>
        <v>#REF!</v>
      </c>
      <c r="O103" s="171" t="e">
        <f>#REF!</f>
        <v>#REF!</v>
      </c>
      <c r="P103" s="171" t="e">
        <f>#REF!</f>
        <v>#REF!</v>
      </c>
      <c r="Q103" s="171" t="e">
        <f>#REF!</f>
        <v>#REF!</v>
      </c>
      <c r="R103" s="171" t="e">
        <f>#REF!</f>
        <v>#REF!</v>
      </c>
      <c r="S103" s="171" t="e">
        <f>#REF!</f>
        <v>#REF!</v>
      </c>
      <c r="T103" s="175" t="e">
        <f>#REF!</f>
        <v>#REF!</v>
      </c>
      <c r="U103" s="175" t="e">
        <f>#REF!</f>
        <v>#REF!</v>
      </c>
      <c r="V103" s="175" t="e">
        <f>#REF!</f>
        <v>#REF!</v>
      </c>
      <c r="W103" s="175" t="e">
        <f>#REF!</f>
        <v>#REF!</v>
      </c>
      <c r="X103" s="175" t="e">
        <f>#REF!</f>
        <v>#REF!</v>
      </c>
    </row>
    <row r="104" spans="1:24" ht="24.95" customHeight="1" x14ac:dyDescent="0.2">
      <c r="A104" s="168" t="e">
        <f>#REF!</f>
        <v>#REF!</v>
      </c>
      <c r="B104" s="169" t="e">
        <f>#REF!</f>
        <v>#REF!</v>
      </c>
      <c r="C104" s="170" t="e">
        <f>#REF!</f>
        <v>#REF!</v>
      </c>
      <c r="D104" s="171" t="e">
        <f>#REF!</f>
        <v>#REF!</v>
      </c>
      <c r="E104" s="171" t="e">
        <f>#REF!</f>
        <v>#REF!</v>
      </c>
      <c r="F104" s="171" t="e">
        <f>#REF!</f>
        <v>#REF!</v>
      </c>
      <c r="G104" s="171" t="e">
        <f>#REF!</f>
        <v>#REF!</v>
      </c>
      <c r="H104" s="171" t="e">
        <f>#REF!</f>
        <v>#REF!</v>
      </c>
      <c r="I104" s="171" t="e">
        <f>#REF!</f>
        <v>#REF!</v>
      </c>
      <c r="J104" s="171" t="e">
        <f>#REF!</f>
        <v>#REF!</v>
      </c>
      <c r="K104" s="171" t="e">
        <f>#REF!</f>
        <v>#REF!</v>
      </c>
      <c r="L104" s="171" t="e">
        <f>#REF!</f>
        <v>#REF!</v>
      </c>
      <c r="M104" s="171" t="e">
        <f>#REF!</f>
        <v>#REF!</v>
      </c>
      <c r="N104" s="171" t="e">
        <f>#REF!</f>
        <v>#REF!</v>
      </c>
      <c r="O104" s="171" t="e">
        <f>#REF!</f>
        <v>#REF!</v>
      </c>
      <c r="P104" s="171" t="e">
        <f>#REF!</f>
        <v>#REF!</v>
      </c>
      <c r="Q104" s="171" t="e">
        <f>#REF!</f>
        <v>#REF!</v>
      </c>
      <c r="R104" s="171" t="e">
        <f>#REF!</f>
        <v>#REF!</v>
      </c>
      <c r="S104" s="171" t="e">
        <f>#REF!</f>
        <v>#REF!</v>
      </c>
      <c r="T104" s="175" t="e">
        <f>#REF!</f>
        <v>#REF!</v>
      </c>
      <c r="U104" s="175" t="e">
        <f>#REF!</f>
        <v>#REF!</v>
      </c>
      <c r="V104" s="175" t="e">
        <f>#REF!</f>
        <v>#REF!</v>
      </c>
      <c r="W104" s="175" t="e">
        <f>#REF!</f>
        <v>#REF!</v>
      </c>
      <c r="X104" s="175" t="e">
        <f>#REF!</f>
        <v>#REF!</v>
      </c>
    </row>
    <row r="105" spans="1:24" ht="24.95" customHeight="1" x14ac:dyDescent="0.2">
      <c r="A105" s="168" t="e">
        <f>#REF!</f>
        <v>#REF!</v>
      </c>
      <c r="B105" s="169" t="e">
        <f>#REF!</f>
        <v>#REF!</v>
      </c>
      <c r="C105" s="170" t="e">
        <f>#REF!</f>
        <v>#REF!</v>
      </c>
      <c r="D105" s="171" t="e">
        <f>#REF!</f>
        <v>#REF!</v>
      </c>
      <c r="E105" s="171" t="e">
        <f>#REF!</f>
        <v>#REF!</v>
      </c>
      <c r="F105" s="171" t="e">
        <f>#REF!</f>
        <v>#REF!</v>
      </c>
      <c r="G105" s="171" t="e">
        <f>#REF!</f>
        <v>#REF!</v>
      </c>
      <c r="H105" s="171" t="e">
        <f>#REF!</f>
        <v>#REF!</v>
      </c>
      <c r="I105" s="171" t="e">
        <f>#REF!</f>
        <v>#REF!</v>
      </c>
      <c r="J105" s="171" t="e">
        <f>#REF!</f>
        <v>#REF!</v>
      </c>
      <c r="K105" s="171" t="e">
        <f>#REF!</f>
        <v>#REF!</v>
      </c>
      <c r="L105" s="171" t="e">
        <f>#REF!</f>
        <v>#REF!</v>
      </c>
      <c r="M105" s="171" t="e">
        <f>#REF!</f>
        <v>#REF!</v>
      </c>
      <c r="N105" s="171" t="e">
        <f>#REF!</f>
        <v>#REF!</v>
      </c>
      <c r="O105" s="171" t="e">
        <f>#REF!</f>
        <v>#REF!</v>
      </c>
      <c r="P105" s="171" t="e">
        <f>#REF!</f>
        <v>#REF!</v>
      </c>
      <c r="Q105" s="171" t="e">
        <f>#REF!</f>
        <v>#REF!</v>
      </c>
      <c r="R105" s="171" t="e">
        <f>#REF!</f>
        <v>#REF!</v>
      </c>
      <c r="S105" s="171" t="e">
        <f>#REF!</f>
        <v>#REF!</v>
      </c>
      <c r="T105" s="175" t="e">
        <f>#REF!</f>
        <v>#REF!</v>
      </c>
      <c r="U105" s="175" t="e">
        <f>#REF!</f>
        <v>#REF!</v>
      </c>
      <c r="V105" s="175" t="e">
        <f>#REF!</f>
        <v>#REF!</v>
      </c>
      <c r="W105" s="175" t="e">
        <f>#REF!</f>
        <v>#REF!</v>
      </c>
      <c r="X105" s="175" t="e">
        <f>#REF!</f>
        <v>#REF!</v>
      </c>
    </row>
    <row r="106" spans="1:24" ht="24.95" customHeight="1" x14ac:dyDescent="0.2">
      <c r="A106" s="168" t="e">
        <f>#REF!</f>
        <v>#REF!</v>
      </c>
      <c r="B106" s="169" t="e">
        <f>#REF!</f>
        <v>#REF!</v>
      </c>
      <c r="C106" s="170" t="e">
        <f>#REF!</f>
        <v>#REF!</v>
      </c>
      <c r="D106" s="171" t="e">
        <f>#REF!</f>
        <v>#REF!</v>
      </c>
      <c r="E106" s="171" t="e">
        <f>#REF!</f>
        <v>#REF!</v>
      </c>
      <c r="F106" s="171" t="e">
        <f>#REF!</f>
        <v>#REF!</v>
      </c>
      <c r="G106" s="171" t="e">
        <f>#REF!</f>
        <v>#REF!</v>
      </c>
      <c r="H106" s="171" t="e">
        <f>#REF!</f>
        <v>#REF!</v>
      </c>
      <c r="I106" s="171" t="e">
        <f>#REF!</f>
        <v>#REF!</v>
      </c>
      <c r="J106" s="171" t="e">
        <f>#REF!</f>
        <v>#REF!</v>
      </c>
      <c r="K106" s="171" t="e">
        <f>#REF!</f>
        <v>#REF!</v>
      </c>
      <c r="L106" s="171" t="e">
        <f>#REF!</f>
        <v>#REF!</v>
      </c>
      <c r="M106" s="171" t="e">
        <f>#REF!</f>
        <v>#REF!</v>
      </c>
      <c r="N106" s="171" t="e">
        <f>#REF!</f>
        <v>#REF!</v>
      </c>
      <c r="O106" s="171" t="e">
        <f>#REF!</f>
        <v>#REF!</v>
      </c>
      <c r="P106" s="171" t="e">
        <f>#REF!</f>
        <v>#REF!</v>
      </c>
      <c r="Q106" s="171" t="e">
        <f>#REF!</f>
        <v>#REF!</v>
      </c>
      <c r="R106" s="171" t="e">
        <f>#REF!</f>
        <v>#REF!</v>
      </c>
      <c r="S106" s="171" t="e">
        <f>#REF!</f>
        <v>#REF!</v>
      </c>
      <c r="T106" s="175" t="e">
        <f>#REF!</f>
        <v>#REF!</v>
      </c>
      <c r="U106" s="175" t="e">
        <f>#REF!</f>
        <v>#REF!</v>
      </c>
      <c r="V106" s="175" t="e">
        <f>#REF!</f>
        <v>#REF!</v>
      </c>
      <c r="W106" s="175" t="e">
        <f>#REF!</f>
        <v>#REF!</v>
      </c>
      <c r="X106" s="175" t="e">
        <f>#REF!</f>
        <v>#REF!</v>
      </c>
    </row>
    <row r="107" spans="1:24" ht="24.95" customHeight="1" x14ac:dyDescent="0.2">
      <c r="A107" s="168" t="e">
        <f>#REF!</f>
        <v>#REF!</v>
      </c>
      <c r="B107" s="169" t="e">
        <f>#REF!</f>
        <v>#REF!</v>
      </c>
      <c r="C107" s="170" t="e">
        <f>#REF!</f>
        <v>#REF!</v>
      </c>
      <c r="D107" s="171" t="e">
        <f>#REF!</f>
        <v>#REF!</v>
      </c>
      <c r="E107" s="171" t="e">
        <f>#REF!</f>
        <v>#REF!</v>
      </c>
      <c r="F107" s="171" t="e">
        <f>#REF!</f>
        <v>#REF!</v>
      </c>
      <c r="G107" s="171" t="e">
        <f>#REF!</f>
        <v>#REF!</v>
      </c>
      <c r="H107" s="171" t="e">
        <f>#REF!</f>
        <v>#REF!</v>
      </c>
      <c r="I107" s="171" t="e">
        <f>#REF!</f>
        <v>#REF!</v>
      </c>
      <c r="J107" s="171" t="e">
        <f>#REF!</f>
        <v>#REF!</v>
      </c>
      <c r="K107" s="171" t="e">
        <f>#REF!</f>
        <v>#REF!</v>
      </c>
      <c r="L107" s="171" t="e">
        <f>#REF!</f>
        <v>#REF!</v>
      </c>
      <c r="M107" s="171" t="e">
        <f>#REF!</f>
        <v>#REF!</v>
      </c>
      <c r="N107" s="171" t="e">
        <f>#REF!</f>
        <v>#REF!</v>
      </c>
      <c r="O107" s="171" t="e">
        <f>#REF!</f>
        <v>#REF!</v>
      </c>
      <c r="P107" s="171" t="e">
        <f>#REF!</f>
        <v>#REF!</v>
      </c>
      <c r="Q107" s="171" t="e">
        <f>#REF!</f>
        <v>#REF!</v>
      </c>
      <c r="R107" s="171" t="e">
        <f>#REF!</f>
        <v>#REF!</v>
      </c>
      <c r="S107" s="171" t="e">
        <f>#REF!</f>
        <v>#REF!</v>
      </c>
      <c r="T107" s="175" t="e">
        <f>#REF!</f>
        <v>#REF!</v>
      </c>
      <c r="U107" s="175" t="e">
        <f>#REF!</f>
        <v>#REF!</v>
      </c>
      <c r="V107" s="175" t="e">
        <f>#REF!</f>
        <v>#REF!</v>
      </c>
      <c r="W107" s="175" t="e">
        <f>#REF!</f>
        <v>#REF!</v>
      </c>
      <c r="X107" s="175" t="e">
        <f>#REF!</f>
        <v>#REF!</v>
      </c>
    </row>
    <row r="108" spans="1:24" ht="24.95" customHeight="1" x14ac:dyDescent="0.2">
      <c r="A108" s="168" t="e">
        <f>#REF!</f>
        <v>#REF!</v>
      </c>
      <c r="B108" s="169" t="e">
        <f>#REF!</f>
        <v>#REF!</v>
      </c>
      <c r="C108" s="170" t="e">
        <f>#REF!</f>
        <v>#REF!</v>
      </c>
      <c r="D108" s="171" t="e">
        <f>#REF!</f>
        <v>#REF!</v>
      </c>
      <c r="E108" s="171" t="e">
        <f>#REF!</f>
        <v>#REF!</v>
      </c>
      <c r="F108" s="171" t="e">
        <f>#REF!</f>
        <v>#REF!</v>
      </c>
      <c r="G108" s="171" t="e">
        <f>#REF!</f>
        <v>#REF!</v>
      </c>
      <c r="H108" s="171" t="e">
        <f>#REF!</f>
        <v>#REF!</v>
      </c>
      <c r="I108" s="171" t="e">
        <f>#REF!</f>
        <v>#REF!</v>
      </c>
      <c r="J108" s="171" t="e">
        <f>#REF!</f>
        <v>#REF!</v>
      </c>
      <c r="K108" s="171" t="e">
        <f>#REF!</f>
        <v>#REF!</v>
      </c>
      <c r="L108" s="171" t="e">
        <f>#REF!</f>
        <v>#REF!</v>
      </c>
      <c r="M108" s="171" t="e">
        <f>#REF!</f>
        <v>#REF!</v>
      </c>
      <c r="N108" s="171" t="e">
        <f>#REF!</f>
        <v>#REF!</v>
      </c>
      <c r="O108" s="171" t="e">
        <f>#REF!</f>
        <v>#REF!</v>
      </c>
      <c r="P108" s="171" t="e">
        <f>#REF!</f>
        <v>#REF!</v>
      </c>
      <c r="Q108" s="171" t="e">
        <f>#REF!</f>
        <v>#REF!</v>
      </c>
      <c r="R108" s="171" t="e">
        <f>#REF!</f>
        <v>#REF!</v>
      </c>
      <c r="S108" s="171" t="e">
        <f>#REF!</f>
        <v>#REF!</v>
      </c>
      <c r="T108" s="175" t="e">
        <f>#REF!</f>
        <v>#REF!</v>
      </c>
      <c r="U108" s="175" t="e">
        <f>#REF!</f>
        <v>#REF!</v>
      </c>
      <c r="V108" s="175" t="e">
        <f>#REF!</f>
        <v>#REF!</v>
      </c>
      <c r="W108" s="175" t="e">
        <f>#REF!</f>
        <v>#REF!</v>
      </c>
      <c r="X108" s="175" t="e">
        <f>#REF!</f>
        <v>#REF!</v>
      </c>
    </row>
    <row r="109" spans="1:24" ht="24.95" customHeight="1" x14ac:dyDescent="0.2">
      <c r="A109" s="168" t="e">
        <f>#REF!</f>
        <v>#REF!</v>
      </c>
      <c r="B109" s="169" t="e">
        <f>#REF!</f>
        <v>#REF!</v>
      </c>
      <c r="C109" s="170" t="e">
        <f>#REF!</f>
        <v>#REF!</v>
      </c>
      <c r="D109" s="171" t="e">
        <f>#REF!</f>
        <v>#REF!</v>
      </c>
      <c r="E109" s="171" t="e">
        <f>#REF!</f>
        <v>#REF!</v>
      </c>
      <c r="F109" s="171" t="e">
        <f>#REF!</f>
        <v>#REF!</v>
      </c>
      <c r="G109" s="171" t="e">
        <f>#REF!</f>
        <v>#REF!</v>
      </c>
      <c r="H109" s="171" t="e">
        <f>#REF!</f>
        <v>#REF!</v>
      </c>
      <c r="I109" s="171" t="e">
        <f>#REF!</f>
        <v>#REF!</v>
      </c>
      <c r="J109" s="171" t="e">
        <f>#REF!</f>
        <v>#REF!</v>
      </c>
      <c r="K109" s="171" t="e">
        <f>#REF!</f>
        <v>#REF!</v>
      </c>
      <c r="L109" s="171" t="e">
        <f>#REF!</f>
        <v>#REF!</v>
      </c>
      <c r="M109" s="171" t="e">
        <f>#REF!</f>
        <v>#REF!</v>
      </c>
      <c r="N109" s="171" t="e">
        <f>#REF!</f>
        <v>#REF!</v>
      </c>
      <c r="O109" s="171" t="e">
        <f>#REF!</f>
        <v>#REF!</v>
      </c>
      <c r="P109" s="171" t="e">
        <f>#REF!</f>
        <v>#REF!</v>
      </c>
      <c r="Q109" s="171" t="e">
        <f>#REF!</f>
        <v>#REF!</v>
      </c>
      <c r="R109" s="171" t="e">
        <f>#REF!</f>
        <v>#REF!</v>
      </c>
      <c r="S109" s="171" t="e">
        <f>#REF!</f>
        <v>#REF!</v>
      </c>
      <c r="T109" s="175" t="e">
        <f>#REF!</f>
        <v>#REF!</v>
      </c>
      <c r="U109" s="175" t="e">
        <f>#REF!</f>
        <v>#REF!</v>
      </c>
      <c r="V109" s="175" t="e">
        <f>#REF!</f>
        <v>#REF!</v>
      </c>
      <c r="W109" s="175" t="e">
        <f>#REF!</f>
        <v>#REF!</v>
      </c>
      <c r="X109" s="175" t="e">
        <f>#REF!</f>
        <v>#REF!</v>
      </c>
    </row>
    <row r="110" spans="1:24" ht="24.95" customHeight="1" x14ac:dyDescent="0.2">
      <c r="A110" s="168" t="e">
        <f>#REF!</f>
        <v>#REF!</v>
      </c>
      <c r="B110" s="169" t="e">
        <f>#REF!</f>
        <v>#REF!</v>
      </c>
      <c r="C110" s="170" t="e">
        <f>#REF!</f>
        <v>#REF!</v>
      </c>
      <c r="D110" s="171" t="e">
        <f>#REF!</f>
        <v>#REF!</v>
      </c>
      <c r="E110" s="171" t="e">
        <f>#REF!</f>
        <v>#REF!</v>
      </c>
      <c r="F110" s="171" t="e">
        <f>#REF!</f>
        <v>#REF!</v>
      </c>
      <c r="G110" s="171" t="e">
        <f>#REF!</f>
        <v>#REF!</v>
      </c>
      <c r="H110" s="171" t="e">
        <f>#REF!</f>
        <v>#REF!</v>
      </c>
      <c r="I110" s="171" t="e">
        <f>#REF!</f>
        <v>#REF!</v>
      </c>
      <c r="J110" s="171" t="e">
        <f>#REF!</f>
        <v>#REF!</v>
      </c>
      <c r="K110" s="171" t="e">
        <f>#REF!</f>
        <v>#REF!</v>
      </c>
      <c r="L110" s="171" t="e">
        <f>#REF!</f>
        <v>#REF!</v>
      </c>
      <c r="M110" s="171" t="e">
        <f>#REF!</f>
        <v>#REF!</v>
      </c>
      <c r="N110" s="171" t="e">
        <f>#REF!</f>
        <v>#REF!</v>
      </c>
      <c r="O110" s="171" t="e">
        <f>#REF!</f>
        <v>#REF!</v>
      </c>
      <c r="P110" s="171" t="e">
        <f>#REF!</f>
        <v>#REF!</v>
      </c>
      <c r="Q110" s="171" t="e">
        <f>#REF!</f>
        <v>#REF!</v>
      </c>
      <c r="R110" s="171" t="e">
        <f>#REF!</f>
        <v>#REF!</v>
      </c>
      <c r="S110" s="171" t="e">
        <f>#REF!</f>
        <v>#REF!</v>
      </c>
      <c r="T110" s="175" t="e">
        <f>#REF!</f>
        <v>#REF!</v>
      </c>
      <c r="U110" s="175" t="e">
        <f>#REF!</f>
        <v>#REF!</v>
      </c>
      <c r="V110" s="175" t="e">
        <f>#REF!</f>
        <v>#REF!</v>
      </c>
      <c r="W110" s="175" t="e">
        <f>#REF!</f>
        <v>#REF!</v>
      </c>
      <c r="X110" s="175" t="e">
        <f>#REF!</f>
        <v>#REF!</v>
      </c>
    </row>
    <row r="111" spans="1:24" ht="24.95" customHeight="1" x14ac:dyDescent="0.2">
      <c r="A111" s="168" t="e">
        <f>#REF!</f>
        <v>#REF!</v>
      </c>
      <c r="B111" s="169" t="e">
        <f>#REF!</f>
        <v>#REF!</v>
      </c>
      <c r="C111" s="170" t="e">
        <f>#REF!</f>
        <v>#REF!</v>
      </c>
      <c r="D111" s="171" t="e">
        <f>#REF!</f>
        <v>#REF!</v>
      </c>
      <c r="E111" s="171" t="e">
        <f>#REF!</f>
        <v>#REF!</v>
      </c>
      <c r="F111" s="171" t="e">
        <f>#REF!</f>
        <v>#REF!</v>
      </c>
      <c r="G111" s="171" t="e">
        <f>#REF!</f>
        <v>#REF!</v>
      </c>
      <c r="H111" s="171" t="e">
        <f>#REF!</f>
        <v>#REF!</v>
      </c>
      <c r="I111" s="171" t="e">
        <f>#REF!</f>
        <v>#REF!</v>
      </c>
      <c r="J111" s="171" t="e">
        <f>#REF!</f>
        <v>#REF!</v>
      </c>
      <c r="K111" s="171" t="e">
        <f>#REF!</f>
        <v>#REF!</v>
      </c>
      <c r="L111" s="171" t="e">
        <f>#REF!</f>
        <v>#REF!</v>
      </c>
      <c r="M111" s="171" t="e">
        <f>#REF!</f>
        <v>#REF!</v>
      </c>
      <c r="N111" s="171" t="e">
        <f>#REF!</f>
        <v>#REF!</v>
      </c>
      <c r="O111" s="171" t="e">
        <f>#REF!</f>
        <v>#REF!</v>
      </c>
      <c r="P111" s="171" t="e">
        <f>#REF!</f>
        <v>#REF!</v>
      </c>
      <c r="Q111" s="171" t="e">
        <f>#REF!</f>
        <v>#REF!</v>
      </c>
      <c r="R111" s="171" t="e">
        <f>#REF!</f>
        <v>#REF!</v>
      </c>
      <c r="S111" s="171" t="e">
        <f>#REF!</f>
        <v>#REF!</v>
      </c>
      <c r="T111" s="175" t="e">
        <f>#REF!</f>
        <v>#REF!</v>
      </c>
      <c r="U111" s="175" t="e">
        <f>#REF!</f>
        <v>#REF!</v>
      </c>
      <c r="V111" s="175" t="e">
        <f>#REF!</f>
        <v>#REF!</v>
      </c>
      <c r="W111" s="175" t="e">
        <f>#REF!</f>
        <v>#REF!</v>
      </c>
      <c r="X111" s="175" t="e">
        <f>#REF!</f>
        <v>#REF!</v>
      </c>
    </row>
    <row r="112" spans="1:24" ht="24.95" customHeight="1" x14ac:dyDescent="0.2">
      <c r="A112" s="168" t="e">
        <f>#REF!</f>
        <v>#REF!</v>
      </c>
      <c r="B112" s="169" t="e">
        <f>#REF!</f>
        <v>#REF!</v>
      </c>
      <c r="C112" s="170" t="e">
        <f>#REF!</f>
        <v>#REF!</v>
      </c>
      <c r="D112" s="171" t="e">
        <f>#REF!</f>
        <v>#REF!</v>
      </c>
      <c r="E112" s="171" t="e">
        <f>#REF!</f>
        <v>#REF!</v>
      </c>
      <c r="F112" s="171" t="e">
        <f>#REF!</f>
        <v>#REF!</v>
      </c>
      <c r="G112" s="171" t="e">
        <f>#REF!</f>
        <v>#REF!</v>
      </c>
      <c r="H112" s="171" t="e">
        <f>#REF!</f>
        <v>#REF!</v>
      </c>
      <c r="I112" s="171" t="e">
        <f>#REF!</f>
        <v>#REF!</v>
      </c>
      <c r="J112" s="171" t="e">
        <f>#REF!</f>
        <v>#REF!</v>
      </c>
      <c r="K112" s="171" t="e">
        <f>#REF!</f>
        <v>#REF!</v>
      </c>
      <c r="L112" s="171" t="e">
        <f>#REF!</f>
        <v>#REF!</v>
      </c>
      <c r="M112" s="171" t="e">
        <f>#REF!</f>
        <v>#REF!</v>
      </c>
      <c r="N112" s="171" t="e">
        <f>#REF!</f>
        <v>#REF!</v>
      </c>
      <c r="O112" s="171" t="e">
        <f>#REF!</f>
        <v>#REF!</v>
      </c>
      <c r="P112" s="171" t="e">
        <f>#REF!</f>
        <v>#REF!</v>
      </c>
      <c r="Q112" s="171" t="e">
        <f>#REF!</f>
        <v>#REF!</v>
      </c>
      <c r="R112" s="171" t="e">
        <f>#REF!</f>
        <v>#REF!</v>
      </c>
      <c r="S112" s="171" t="e">
        <f>#REF!</f>
        <v>#REF!</v>
      </c>
      <c r="T112" s="175" t="e">
        <f>#REF!</f>
        <v>#REF!</v>
      </c>
      <c r="U112" s="175" t="e">
        <f>#REF!</f>
        <v>#REF!</v>
      </c>
      <c r="V112" s="175" t="e">
        <f>#REF!</f>
        <v>#REF!</v>
      </c>
      <c r="W112" s="175" t="e">
        <f>#REF!</f>
        <v>#REF!</v>
      </c>
      <c r="X112" s="175" t="e">
        <f>#REF!</f>
        <v>#REF!</v>
      </c>
    </row>
    <row r="113" spans="1:24" ht="24.95" customHeight="1" x14ac:dyDescent="0.2">
      <c r="A113" s="168" t="e">
        <f>#REF!</f>
        <v>#REF!</v>
      </c>
      <c r="B113" s="169" t="e">
        <f>#REF!</f>
        <v>#REF!</v>
      </c>
      <c r="C113" s="170" t="e">
        <f>#REF!</f>
        <v>#REF!</v>
      </c>
      <c r="D113" s="171" t="e">
        <f>#REF!</f>
        <v>#REF!</v>
      </c>
      <c r="E113" s="171" t="e">
        <f>#REF!</f>
        <v>#REF!</v>
      </c>
      <c r="F113" s="171" t="e">
        <f>#REF!</f>
        <v>#REF!</v>
      </c>
      <c r="G113" s="171" t="e">
        <f>#REF!</f>
        <v>#REF!</v>
      </c>
      <c r="H113" s="171" t="e">
        <f>#REF!</f>
        <v>#REF!</v>
      </c>
      <c r="I113" s="171" t="e">
        <f>#REF!</f>
        <v>#REF!</v>
      </c>
      <c r="J113" s="171" t="e">
        <f>#REF!</f>
        <v>#REF!</v>
      </c>
      <c r="K113" s="171" t="e">
        <f>#REF!</f>
        <v>#REF!</v>
      </c>
      <c r="L113" s="171" t="e">
        <f>#REF!</f>
        <v>#REF!</v>
      </c>
      <c r="M113" s="171" t="e">
        <f>#REF!</f>
        <v>#REF!</v>
      </c>
      <c r="N113" s="171" t="e">
        <f>#REF!</f>
        <v>#REF!</v>
      </c>
      <c r="O113" s="171" t="e">
        <f>#REF!</f>
        <v>#REF!</v>
      </c>
      <c r="P113" s="171" t="e">
        <f>#REF!</f>
        <v>#REF!</v>
      </c>
      <c r="Q113" s="171" t="e">
        <f>#REF!</f>
        <v>#REF!</v>
      </c>
      <c r="R113" s="171" t="e">
        <f>#REF!</f>
        <v>#REF!</v>
      </c>
      <c r="S113" s="171" t="e">
        <f>#REF!</f>
        <v>#REF!</v>
      </c>
      <c r="T113" s="175" t="e">
        <f>#REF!</f>
        <v>#REF!</v>
      </c>
      <c r="U113" s="175" t="e">
        <f>#REF!</f>
        <v>#REF!</v>
      </c>
      <c r="V113" s="175" t="e">
        <f>#REF!</f>
        <v>#REF!</v>
      </c>
      <c r="W113" s="175" t="e">
        <f>#REF!</f>
        <v>#REF!</v>
      </c>
      <c r="X113" s="175" t="e">
        <f>#REF!</f>
        <v>#REF!</v>
      </c>
    </row>
    <row r="114" spans="1:24" ht="24.95" customHeight="1" x14ac:dyDescent="0.2">
      <c r="A114" s="168" t="e">
        <f>#REF!</f>
        <v>#REF!</v>
      </c>
      <c r="B114" s="169" t="e">
        <f>#REF!</f>
        <v>#REF!</v>
      </c>
      <c r="C114" s="170" t="e">
        <f>#REF!</f>
        <v>#REF!</v>
      </c>
      <c r="D114" s="171" t="e">
        <f>#REF!</f>
        <v>#REF!</v>
      </c>
      <c r="E114" s="171" t="e">
        <f>#REF!</f>
        <v>#REF!</v>
      </c>
      <c r="F114" s="171" t="e">
        <f>#REF!</f>
        <v>#REF!</v>
      </c>
      <c r="G114" s="171" t="e">
        <f>#REF!</f>
        <v>#REF!</v>
      </c>
      <c r="H114" s="171" t="e">
        <f>#REF!</f>
        <v>#REF!</v>
      </c>
      <c r="I114" s="171" t="e">
        <f>#REF!</f>
        <v>#REF!</v>
      </c>
      <c r="J114" s="171" t="e">
        <f>#REF!</f>
        <v>#REF!</v>
      </c>
      <c r="K114" s="171" t="e">
        <f>#REF!</f>
        <v>#REF!</v>
      </c>
      <c r="L114" s="171" t="e">
        <f>#REF!</f>
        <v>#REF!</v>
      </c>
      <c r="M114" s="171" t="e">
        <f>#REF!</f>
        <v>#REF!</v>
      </c>
      <c r="N114" s="171" t="e">
        <f>#REF!</f>
        <v>#REF!</v>
      </c>
      <c r="O114" s="171" t="e">
        <f>#REF!</f>
        <v>#REF!</v>
      </c>
      <c r="P114" s="171" t="e">
        <f>#REF!</f>
        <v>#REF!</v>
      </c>
      <c r="Q114" s="171" t="e">
        <f>#REF!</f>
        <v>#REF!</v>
      </c>
      <c r="R114" s="171" t="e">
        <f>#REF!</f>
        <v>#REF!</v>
      </c>
      <c r="S114" s="171" t="e">
        <f>#REF!</f>
        <v>#REF!</v>
      </c>
      <c r="T114" s="175" t="e">
        <f>#REF!</f>
        <v>#REF!</v>
      </c>
      <c r="U114" s="175" t="e">
        <f>#REF!</f>
        <v>#REF!</v>
      </c>
      <c r="V114" s="175" t="e">
        <f>#REF!</f>
        <v>#REF!</v>
      </c>
      <c r="W114" s="175" t="e">
        <f>#REF!</f>
        <v>#REF!</v>
      </c>
      <c r="X114" s="175" t="e">
        <f>#REF!</f>
        <v>#REF!</v>
      </c>
    </row>
    <row r="115" spans="1:24" ht="24.95" customHeight="1" x14ac:dyDescent="0.2">
      <c r="A115" s="168" t="e">
        <f>#REF!</f>
        <v>#REF!</v>
      </c>
      <c r="B115" s="169" t="e">
        <f>#REF!</f>
        <v>#REF!</v>
      </c>
      <c r="C115" s="170" t="e">
        <f>#REF!</f>
        <v>#REF!</v>
      </c>
      <c r="D115" s="171" t="e">
        <f>#REF!</f>
        <v>#REF!</v>
      </c>
      <c r="E115" s="171" t="e">
        <f>#REF!</f>
        <v>#REF!</v>
      </c>
      <c r="F115" s="171" t="e">
        <f>#REF!</f>
        <v>#REF!</v>
      </c>
      <c r="G115" s="171" t="e">
        <f>#REF!</f>
        <v>#REF!</v>
      </c>
      <c r="H115" s="171" t="e">
        <f>#REF!</f>
        <v>#REF!</v>
      </c>
      <c r="I115" s="171" t="e">
        <f>#REF!</f>
        <v>#REF!</v>
      </c>
      <c r="J115" s="171" t="e">
        <f>#REF!</f>
        <v>#REF!</v>
      </c>
      <c r="K115" s="171" t="e">
        <f>#REF!</f>
        <v>#REF!</v>
      </c>
      <c r="L115" s="171" t="e">
        <f>#REF!</f>
        <v>#REF!</v>
      </c>
      <c r="M115" s="171" t="e">
        <f>#REF!</f>
        <v>#REF!</v>
      </c>
      <c r="N115" s="171" t="e">
        <f>#REF!</f>
        <v>#REF!</v>
      </c>
      <c r="O115" s="171" t="e">
        <f>#REF!</f>
        <v>#REF!</v>
      </c>
      <c r="P115" s="171" t="e">
        <f>#REF!</f>
        <v>#REF!</v>
      </c>
      <c r="Q115" s="171" t="e">
        <f>#REF!</f>
        <v>#REF!</v>
      </c>
      <c r="R115" s="171" t="e">
        <f>#REF!</f>
        <v>#REF!</v>
      </c>
      <c r="S115" s="171" t="e">
        <f>#REF!</f>
        <v>#REF!</v>
      </c>
      <c r="T115" s="175" t="e">
        <f>#REF!</f>
        <v>#REF!</v>
      </c>
      <c r="U115" s="175" t="e">
        <f>#REF!</f>
        <v>#REF!</v>
      </c>
      <c r="V115" s="175" t="e">
        <f>#REF!</f>
        <v>#REF!</v>
      </c>
      <c r="W115" s="175" t="e">
        <f>#REF!</f>
        <v>#REF!</v>
      </c>
      <c r="X115" s="175" t="e">
        <f>#REF!</f>
        <v>#REF!</v>
      </c>
    </row>
    <row r="116" spans="1:24" ht="24.95" customHeight="1" x14ac:dyDescent="0.2">
      <c r="A116" s="168" t="e">
        <f>#REF!</f>
        <v>#REF!</v>
      </c>
      <c r="B116" s="169" t="e">
        <f>#REF!</f>
        <v>#REF!</v>
      </c>
      <c r="C116" s="170" t="e">
        <f>#REF!</f>
        <v>#REF!</v>
      </c>
      <c r="D116" s="171" t="e">
        <f>#REF!</f>
        <v>#REF!</v>
      </c>
      <c r="E116" s="171" t="e">
        <f>#REF!</f>
        <v>#REF!</v>
      </c>
      <c r="F116" s="171" t="e">
        <f>#REF!</f>
        <v>#REF!</v>
      </c>
      <c r="G116" s="171" t="e">
        <f>#REF!</f>
        <v>#REF!</v>
      </c>
      <c r="H116" s="171" t="e">
        <f>#REF!</f>
        <v>#REF!</v>
      </c>
      <c r="I116" s="171" t="e">
        <f>#REF!</f>
        <v>#REF!</v>
      </c>
      <c r="J116" s="171" t="e">
        <f>#REF!</f>
        <v>#REF!</v>
      </c>
      <c r="K116" s="171" t="e">
        <f>#REF!</f>
        <v>#REF!</v>
      </c>
      <c r="L116" s="171" t="e">
        <f>#REF!</f>
        <v>#REF!</v>
      </c>
      <c r="M116" s="171" t="e">
        <f>#REF!</f>
        <v>#REF!</v>
      </c>
      <c r="N116" s="171" t="e">
        <f>#REF!</f>
        <v>#REF!</v>
      </c>
      <c r="O116" s="171" t="e">
        <f>#REF!</f>
        <v>#REF!</v>
      </c>
      <c r="P116" s="171" t="e">
        <f>#REF!</f>
        <v>#REF!</v>
      </c>
      <c r="Q116" s="171" t="e">
        <f>#REF!</f>
        <v>#REF!</v>
      </c>
      <c r="R116" s="171" t="e">
        <f>#REF!</f>
        <v>#REF!</v>
      </c>
      <c r="S116" s="171" t="e">
        <f>#REF!</f>
        <v>#REF!</v>
      </c>
      <c r="T116" s="175" t="e">
        <f>#REF!</f>
        <v>#REF!</v>
      </c>
      <c r="U116" s="175" t="e">
        <f>#REF!</f>
        <v>#REF!</v>
      </c>
      <c r="V116" s="175" t="e">
        <f>#REF!</f>
        <v>#REF!</v>
      </c>
      <c r="W116" s="175" t="e">
        <f>#REF!</f>
        <v>#REF!</v>
      </c>
      <c r="X116" s="175" t="e">
        <f>#REF!</f>
        <v>#REF!</v>
      </c>
    </row>
    <row r="117" spans="1:24" ht="24.95" customHeight="1" x14ac:dyDescent="0.2">
      <c r="A117" s="168" t="e">
        <f>#REF!</f>
        <v>#REF!</v>
      </c>
      <c r="B117" s="169" t="e">
        <f>#REF!</f>
        <v>#REF!</v>
      </c>
      <c r="C117" s="170" t="e">
        <f>#REF!</f>
        <v>#REF!</v>
      </c>
      <c r="D117" s="171" t="e">
        <f>#REF!</f>
        <v>#REF!</v>
      </c>
      <c r="E117" s="171" t="e">
        <f>#REF!</f>
        <v>#REF!</v>
      </c>
      <c r="F117" s="171" t="e">
        <f>#REF!</f>
        <v>#REF!</v>
      </c>
      <c r="G117" s="171" t="e">
        <f>#REF!</f>
        <v>#REF!</v>
      </c>
      <c r="H117" s="171" t="e">
        <f>#REF!</f>
        <v>#REF!</v>
      </c>
      <c r="I117" s="171" t="e">
        <f>#REF!</f>
        <v>#REF!</v>
      </c>
      <c r="J117" s="171" t="e">
        <f>#REF!</f>
        <v>#REF!</v>
      </c>
      <c r="K117" s="171" t="e">
        <f>#REF!</f>
        <v>#REF!</v>
      </c>
      <c r="L117" s="171" t="e">
        <f>#REF!</f>
        <v>#REF!</v>
      </c>
      <c r="M117" s="171" t="e">
        <f>#REF!</f>
        <v>#REF!</v>
      </c>
      <c r="N117" s="171" t="e">
        <f>#REF!</f>
        <v>#REF!</v>
      </c>
      <c r="O117" s="171" t="e">
        <f>#REF!</f>
        <v>#REF!</v>
      </c>
      <c r="P117" s="171" t="e">
        <f>#REF!</f>
        <v>#REF!</v>
      </c>
      <c r="Q117" s="171" t="e">
        <f>#REF!</f>
        <v>#REF!</v>
      </c>
      <c r="R117" s="171" t="e">
        <f>#REF!</f>
        <v>#REF!</v>
      </c>
      <c r="S117" s="171" t="e">
        <f>#REF!</f>
        <v>#REF!</v>
      </c>
      <c r="T117" s="175" t="e">
        <f>#REF!</f>
        <v>#REF!</v>
      </c>
      <c r="U117" s="175" t="e">
        <f>#REF!</f>
        <v>#REF!</v>
      </c>
      <c r="V117" s="175" t="e">
        <f>#REF!</f>
        <v>#REF!</v>
      </c>
      <c r="W117" s="175" t="e">
        <f>#REF!</f>
        <v>#REF!</v>
      </c>
      <c r="X117" s="175" t="e">
        <f>#REF!</f>
        <v>#REF!</v>
      </c>
    </row>
    <row r="118" spans="1:24" ht="24.95" customHeight="1" x14ac:dyDescent="0.2">
      <c r="A118" s="168" t="e">
        <f>#REF!</f>
        <v>#REF!</v>
      </c>
      <c r="B118" s="169" t="e">
        <f>#REF!</f>
        <v>#REF!</v>
      </c>
      <c r="C118" s="170" t="e">
        <f>#REF!</f>
        <v>#REF!</v>
      </c>
      <c r="D118" s="171" t="e">
        <f>#REF!</f>
        <v>#REF!</v>
      </c>
      <c r="E118" s="171" t="e">
        <f>#REF!</f>
        <v>#REF!</v>
      </c>
      <c r="F118" s="171" t="e">
        <f>#REF!</f>
        <v>#REF!</v>
      </c>
      <c r="G118" s="171" t="e">
        <f>#REF!</f>
        <v>#REF!</v>
      </c>
      <c r="H118" s="171" t="e">
        <f>#REF!</f>
        <v>#REF!</v>
      </c>
      <c r="I118" s="171" t="e">
        <f>#REF!</f>
        <v>#REF!</v>
      </c>
      <c r="J118" s="171" t="e">
        <f>#REF!</f>
        <v>#REF!</v>
      </c>
      <c r="K118" s="171" t="e">
        <f>#REF!</f>
        <v>#REF!</v>
      </c>
      <c r="L118" s="171" t="e">
        <f>#REF!</f>
        <v>#REF!</v>
      </c>
      <c r="M118" s="171" t="e">
        <f>#REF!</f>
        <v>#REF!</v>
      </c>
      <c r="N118" s="171" t="e">
        <f>#REF!</f>
        <v>#REF!</v>
      </c>
      <c r="O118" s="171" t="e">
        <f>#REF!</f>
        <v>#REF!</v>
      </c>
      <c r="P118" s="171" t="e">
        <f>#REF!</f>
        <v>#REF!</v>
      </c>
      <c r="Q118" s="171" t="e">
        <f>#REF!</f>
        <v>#REF!</v>
      </c>
      <c r="R118" s="171" t="e">
        <f>#REF!</f>
        <v>#REF!</v>
      </c>
      <c r="S118" s="171" t="e">
        <f>#REF!</f>
        <v>#REF!</v>
      </c>
      <c r="T118" s="175" t="e">
        <f>#REF!</f>
        <v>#REF!</v>
      </c>
      <c r="U118" s="175" t="e">
        <f>#REF!</f>
        <v>#REF!</v>
      </c>
      <c r="V118" s="175" t="e">
        <f>#REF!</f>
        <v>#REF!</v>
      </c>
      <c r="W118" s="175" t="e">
        <f>#REF!</f>
        <v>#REF!</v>
      </c>
      <c r="X118" s="175" t="e">
        <f>#REF!</f>
        <v>#REF!</v>
      </c>
    </row>
    <row r="119" spans="1:24" ht="24.95" customHeight="1" x14ac:dyDescent="0.2">
      <c r="A119" s="168" t="e">
        <f>#REF!</f>
        <v>#REF!</v>
      </c>
      <c r="B119" s="169" t="e">
        <f>#REF!</f>
        <v>#REF!</v>
      </c>
      <c r="C119" s="170" t="e">
        <f>#REF!</f>
        <v>#REF!</v>
      </c>
      <c r="D119" s="171" t="e">
        <f>#REF!</f>
        <v>#REF!</v>
      </c>
      <c r="E119" s="171" t="e">
        <f>#REF!</f>
        <v>#REF!</v>
      </c>
      <c r="F119" s="171" t="e">
        <f>#REF!</f>
        <v>#REF!</v>
      </c>
      <c r="G119" s="171" t="e">
        <f>#REF!</f>
        <v>#REF!</v>
      </c>
      <c r="H119" s="171" t="e">
        <f>#REF!</f>
        <v>#REF!</v>
      </c>
      <c r="I119" s="171" t="e">
        <f>#REF!</f>
        <v>#REF!</v>
      </c>
      <c r="J119" s="171" t="e">
        <f>#REF!</f>
        <v>#REF!</v>
      </c>
      <c r="K119" s="171" t="e">
        <f>#REF!</f>
        <v>#REF!</v>
      </c>
      <c r="L119" s="171" t="e">
        <f>#REF!</f>
        <v>#REF!</v>
      </c>
      <c r="M119" s="171" t="e">
        <f>#REF!</f>
        <v>#REF!</v>
      </c>
      <c r="N119" s="171" t="e">
        <f>#REF!</f>
        <v>#REF!</v>
      </c>
      <c r="O119" s="171" t="e">
        <f>#REF!</f>
        <v>#REF!</v>
      </c>
      <c r="P119" s="171" t="e">
        <f>#REF!</f>
        <v>#REF!</v>
      </c>
      <c r="Q119" s="171" t="e">
        <f>#REF!</f>
        <v>#REF!</v>
      </c>
      <c r="R119" s="171" t="e">
        <f>#REF!</f>
        <v>#REF!</v>
      </c>
      <c r="S119" s="171" t="e">
        <f>#REF!</f>
        <v>#REF!</v>
      </c>
      <c r="T119" s="175" t="e">
        <f>#REF!</f>
        <v>#REF!</v>
      </c>
      <c r="U119" s="175" t="e">
        <f>#REF!</f>
        <v>#REF!</v>
      </c>
      <c r="V119" s="175" t="e">
        <f>#REF!</f>
        <v>#REF!</v>
      </c>
      <c r="W119" s="175" t="e">
        <f>#REF!</f>
        <v>#REF!</v>
      </c>
      <c r="X119" s="175" t="e">
        <f>#REF!</f>
        <v>#REF!</v>
      </c>
    </row>
    <row r="120" spans="1:24" ht="24.95" customHeight="1" x14ac:dyDescent="0.2">
      <c r="A120" s="168" t="e">
        <f>#REF!</f>
        <v>#REF!</v>
      </c>
      <c r="B120" s="169" t="e">
        <f>#REF!</f>
        <v>#REF!</v>
      </c>
      <c r="C120" s="170" t="e">
        <f>#REF!</f>
        <v>#REF!</v>
      </c>
      <c r="D120" s="171" t="e">
        <f>#REF!</f>
        <v>#REF!</v>
      </c>
      <c r="E120" s="171" t="e">
        <f>#REF!</f>
        <v>#REF!</v>
      </c>
      <c r="F120" s="171" t="e">
        <f>#REF!</f>
        <v>#REF!</v>
      </c>
      <c r="G120" s="171" t="e">
        <f>#REF!</f>
        <v>#REF!</v>
      </c>
      <c r="H120" s="171" t="e">
        <f>#REF!</f>
        <v>#REF!</v>
      </c>
      <c r="I120" s="171" t="e">
        <f>#REF!</f>
        <v>#REF!</v>
      </c>
      <c r="J120" s="171" t="e">
        <f>#REF!</f>
        <v>#REF!</v>
      </c>
      <c r="K120" s="171" t="e">
        <f>#REF!</f>
        <v>#REF!</v>
      </c>
      <c r="L120" s="171" t="e">
        <f>#REF!</f>
        <v>#REF!</v>
      </c>
      <c r="M120" s="171" t="e">
        <f>#REF!</f>
        <v>#REF!</v>
      </c>
      <c r="N120" s="171" t="e">
        <f>#REF!</f>
        <v>#REF!</v>
      </c>
      <c r="O120" s="171" t="e">
        <f>#REF!</f>
        <v>#REF!</v>
      </c>
      <c r="P120" s="171" t="e">
        <f>#REF!</f>
        <v>#REF!</v>
      </c>
      <c r="Q120" s="171" t="e">
        <f>#REF!</f>
        <v>#REF!</v>
      </c>
      <c r="R120" s="171" t="e">
        <f>#REF!</f>
        <v>#REF!</v>
      </c>
      <c r="S120" s="171" t="e">
        <f>#REF!</f>
        <v>#REF!</v>
      </c>
      <c r="T120" s="175" t="e">
        <f>#REF!</f>
        <v>#REF!</v>
      </c>
      <c r="U120" s="175" t="e">
        <f>#REF!</f>
        <v>#REF!</v>
      </c>
      <c r="V120" s="175" t="e">
        <f>#REF!</f>
        <v>#REF!</v>
      </c>
      <c r="W120" s="175" t="e">
        <f>#REF!</f>
        <v>#REF!</v>
      </c>
      <c r="X120" s="175" t="e">
        <f>#REF!</f>
        <v>#REF!</v>
      </c>
    </row>
    <row r="121" spans="1:24" ht="24.95" customHeight="1" x14ac:dyDescent="0.2">
      <c r="A121" s="168" t="e">
        <f>#REF!</f>
        <v>#REF!</v>
      </c>
      <c r="B121" s="169" t="e">
        <f>#REF!</f>
        <v>#REF!</v>
      </c>
      <c r="C121" s="170" t="e">
        <f>#REF!</f>
        <v>#REF!</v>
      </c>
      <c r="D121" s="171" t="e">
        <f>#REF!</f>
        <v>#REF!</v>
      </c>
      <c r="E121" s="171" t="e">
        <f>#REF!</f>
        <v>#REF!</v>
      </c>
      <c r="F121" s="171" t="e">
        <f>#REF!</f>
        <v>#REF!</v>
      </c>
      <c r="G121" s="171" t="e">
        <f>#REF!</f>
        <v>#REF!</v>
      </c>
      <c r="H121" s="171" t="e">
        <f>#REF!</f>
        <v>#REF!</v>
      </c>
      <c r="I121" s="171" t="e">
        <f>#REF!</f>
        <v>#REF!</v>
      </c>
      <c r="J121" s="171" t="e">
        <f>#REF!</f>
        <v>#REF!</v>
      </c>
      <c r="K121" s="171" t="e">
        <f>#REF!</f>
        <v>#REF!</v>
      </c>
      <c r="L121" s="171" t="e">
        <f>#REF!</f>
        <v>#REF!</v>
      </c>
      <c r="M121" s="171" t="e">
        <f>#REF!</f>
        <v>#REF!</v>
      </c>
      <c r="N121" s="171" t="e">
        <f>#REF!</f>
        <v>#REF!</v>
      </c>
      <c r="O121" s="171" t="e">
        <f>#REF!</f>
        <v>#REF!</v>
      </c>
      <c r="P121" s="171" t="e">
        <f>#REF!</f>
        <v>#REF!</v>
      </c>
      <c r="Q121" s="171" t="e">
        <f>#REF!</f>
        <v>#REF!</v>
      </c>
      <c r="R121" s="171" t="e">
        <f>#REF!</f>
        <v>#REF!</v>
      </c>
      <c r="S121" s="171" t="e">
        <f>#REF!</f>
        <v>#REF!</v>
      </c>
      <c r="T121" s="175" t="e">
        <f>#REF!</f>
        <v>#REF!</v>
      </c>
      <c r="U121" s="175" t="e">
        <f>#REF!</f>
        <v>#REF!</v>
      </c>
      <c r="V121" s="175" t="e">
        <f>#REF!</f>
        <v>#REF!</v>
      </c>
      <c r="W121" s="175" t="e">
        <f>#REF!</f>
        <v>#REF!</v>
      </c>
      <c r="X121" s="175" t="e">
        <f>#REF!</f>
        <v>#REF!</v>
      </c>
    </row>
    <row r="122" spans="1:24" ht="24.95" customHeight="1" x14ac:dyDescent="0.2">
      <c r="A122" s="168" t="e">
        <f>#REF!</f>
        <v>#REF!</v>
      </c>
      <c r="B122" s="169" t="e">
        <f>#REF!</f>
        <v>#REF!</v>
      </c>
      <c r="C122" s="170" t="e">
        <f>#REF!</f>
        <v>#REF!</v>
      </c>
      <c r="D122" s="171" t="e">
        <f>#REF!</f>
        <v>#REF!</v>
      </c>
      <c r="E122" s="171" t="e">
        <f>#REF!</f>
        <v>#REF!</v>
      </c>
      <c r="F122" s="171" t="e">
        <f>#REF!</f>
        <v>#REF!</v>
      </c>
      <c r="G122" s="171" t="e">
        <f>#REF!</f>
        <v>#REF!</v>
      </c>
      <c r="H122" s="171" t="e">
        <f>#REF!</f>
        <v>#REF!</v>
      </c>
      <c r="I122" s="171" t="e">
        <f>#REF!</f>
        <v>#REF!</v>
      </c>
      <c r="J122" s="171" t="e">
        <f>#REF!</f>
        <v>#REF!</v>
      </c>
      <c r="K122" s="171" t="e">
        <f>#REF!</f>
        <v>#REF!</v>
      </c>
      <c r="L122" s="171" t="e">
        <f>#REF!</f>
        <v>#REF!</v>
      </c>
      <c r="M122" s="171" t="e">
        <f>#REF!</f>
        <v>#REF!</v>
      </c>
      <c r="N122" s="171" t="e">
        <f>#REF!</f>
        <v>#REF!</v>
      </c>
      <c r="O122" s="171" t="e">
        <f>#REF!</f>
        <v>#REF!</v>
      </c>
      <c r="P122" s="171" t="e">
        <f>#REF!</f>
        <v>#REF!</v>
      </c>
      <c r="Q122" s="171" t="e">
        <f>#REF!</f>
        <v>#REF!</v>
      </c>
      <c r="R122" s="171" t="e">
        <f>#REF!</f>
        <v>#REF!</v>
      </c>
      <c r="S122" s="171" t="e">
        <f>#REF!</f>
        <v>#REF!</v>
      </c>
      <c r="T122" s="175" t="e">
        <f>#REF!</f>
        <v>#REF!</v>
      </c>
      <c r="U122" s="175" t="e">
        <f>#REF!</f>
        <v>#REF!</v>
      </c>
      <c r="V122" s="175" t="e">
        <f>#REF!</f>
        <v>#REF!</v>
      </c>
      <c r="W122" s="175" t="e">
        <f>#REF!</f>
        <v>#REF!</v>
      </c>
      <c r="X122" s="175" t="e">
        <f>#REF!</f>
        <v>#REF!</v>
      </c>
    </row>
    <row r="123" spans="1:24" ht="24.95" customHeight="1" x14ac:dyDescent="0.2">
      <c r="A123" s="168" t="e">
        <f>#REF!</f>
        <v>#REF!</v>
      </c>
      <c r="B123" s="169" t="e">
        <f>#REF!</f>
        <v>#REF!</v>
      </c>
      <c r="C123" s="170" t="e">
        <f>#REF!</f>
        <v>#REF!</v>
      </c>
      <c r="D123" s="171" t="e">
        <f>#REF!</f>
        <v>#REF!</v>
      </c>
      <c r="E123" s="171" t="e">
        <f>#REF!</f>
        <v>#REF!</v>
      </c>
      <c r="F123" s="171" t="e">
        <f>#REF!</f>
        <v>#REF!</v>
      </c>
      <c r="G123" s="171" t="e">
        <f>#REF!</f>
        <v>#REF!</v>
      </c>
      <c r="H123" s="171" t="e">
        <f>#REF!</f>
        <v>#REF!</v>
      </c>
      <c r="I123" s="171" t="e">
        <f>#REF!</f>
        <v>#REF!</v>
      </c>
      <c r="J123" s="171" t="e">
        <f>#REF!</f>
        <v>#REF!</v>
      </c>
      <c r="K123" s="171" t="e">
        <f>#REF!</f>
        <v>#REF!</v>
      </c>
      <c r="L123" s="171" t="e">
        <f>#REF!</f>
        <v>#REF!</v>
      </c>
      <c r="M123" s="171" t="e">
        <f>#REF!</f>
        <v>#REF!</v>
      </c>
      <c r="N123" s="171" t="e">
        <f>#REF!</f>
        <v>#REF!</v>
      </c>
      <c r="O123" s="171" t="e">
        <f>#REF!</f>
        <v>#REF!</v>
      </c>
      <c r="P123" s="171" t="e">
        <f>#REF!</f>
        <v>#REF!</v>
      </c>
      <c r="Q123" s="171" t="e">
        <f>#REF!</f>
        <v>#REF!</v>
      </c>
      <c r="R123" s="171" t="e">
        <f>#REF!</f>
        <v>#REF!</v>
      </c>
      <c r="S123" s="171" t="e">
        <f>#REF!</f>
        <v>#REF!</v>
      </c>
      <c r="T123" s="175" t="e">
        <f>#REF!</f>
        <v>#REF!</v>
      </c>
      <c r="U123" s="175" t="e">
        <f>#REF!</f>
        <v>#REF!</v>
      </c>
      <c r="V123" s="175" t="e">
        <f>#REF!</f>
        <v>#REF!</v>
      </c>
      <c r="W123" s="175" t="e">
        <f>#REF!</f>
        <v>#REF!</v>
      </c>
      <c r="X123" s="175" t="e">
        <f>#REF!</f>
        <v>#REF!</v>
      </c>
    </row>
    <row r="124" spans="1:24" ht="24.95" customHeight="1" x14ac:dyDescent="0.2">
      <c r="A124" s="168" t="e">
        <f>#REF!</f>
        <v>#REF!</v>
      </c>
      <c r="B124" s="169" t="e">
        <f>#REF!</f>
        <v>#REF!</v>
      </c>
      <c r="C124" s="170" t="e">
        <f>#REF!</f>
        <v>#REF!</v>
      </c>
      <c r="D124" s="171" t="e">
        <f>#REF!</f>
        <v>#REF!</v>
      </c>
      <c r="E124" s="171" t="e">
        <f>#REF!</f>
        <v>#REF!</v>
      </c>
      <c r="F124" s="171" t="e">
        <f>#REF!</f>
        <v>#REF!</v>
      </c>
      <c r="G124" s="171" t="e">
        <f>#REF!</f>
        <v>#REF!</v>
      </c>
      <c r="H124" s="171" t="e">
        <f>#REF!</f>
        <v>#REF!</v>
      </c>
      <c r="I124" s="171" t="e">
        <f>#REF!</f>
        <v>#REF!</v>
      </c>
      <c r="J124" s="171" t="e">
        <f>#REF!</f>
        <v>#REF!</v>
      </c>
      <c r="K124" s="171" t="e">
        <f>#REF!</f>
        <v>#REF!</v>
      </c>
      <c r="L124" s="171" t="e">
        <f>#REF!</f>
        <v>#REF!</v>
      </c>
      <c r="M124" s="171" t="e">
        <f>#REF!</f>
        <v>#REF!</v>
      </c>
      <c r="N124" s="171" t="e">
        <f>#REF!</f>
        <v>#REF!</v>
      </c>
      <c r="O124" s="171" t="e">
        <f>#REF!</f>
        <v>#REF!</v>
      </c>
      <c r="P124" s="171" t="e">
        <f>#REF!</f>
        <v>#REF!</v>
      </c>
      <c r="Q124" s="171" t="e">
        <f>#REF!</f>
        <v>#REF!</v>
      </c>
      <c r="R124" s="171" t="e">
        <f>#REF!</f>
        <v>#REF!</v>
      </c>
      <c r="S124" s="171" t="e">
        <f>#REF!</f>
        <v>#REF!</v>
      </c>
      <c r="T124" s="175" t="e">
        <f>#REF!</f>
        <v>#REF!</v>
      </c>
      <c r="U124" s="175" t="e">
        <f>#REF!</f>
        <v>#REF!</v>
      </c>
      <c r="V124" s="175" t="e">
        <f>#REF!</f>
        <v>#REF!</v>
      </c>
      <c r="W124" s="175" t="e">
        <f>#REF!</f>
        <v>#REF!</v>
      </c>
      <c r="X124" s="175" t="e">
        <f>#REF!</f>
        <v>#REF!</v>
      </c>
    </row>
    <row r="125" spans="1:24" ht="24.95" customHeight="1" x14ac:dyDescent="0.2">
      <c r="A125" s="168" t="e">
        <f>#REF!</f>
        <v>#REF!</v>
      </c>
      <c r="B125" s="169" t="e">
        <f>#REF!</f>
        <v>#REF!</v>
      </c>
      <c r="C125" s="170" t="e">
        <f>#REF!</f>
        <v>#REF!</v>
      </c>
      <c r="D125" s="171" t="e">
        <f>#REF!</f>
        <v>#REF!</v>
      </c>
      <c r="E125" s="171" t="e">
        <f>#REF!</f>
        <v>#REF!</v>
      </c>
      <c r="F125" s="171" t="e">
        <f>#REF!</f>
        <v>#REF!</v>
      </c>
      <c r="G125" s="171" t="e">
        <f>#REF!</f>
        <v>#REF!</v>
      </c>
      <c r="H125" s="171" t="e">
        <f>#REF!</f>
        <v>#REF!</v>
      </c>
      <c r="I125" s="171" t="e">
        <f>#REF!</f>
        <v>#REF!</v>
      </c>
      <c r="J125" s="171" t="e">
        <f>#REF!</f>
        <v>#REF!</v>
      </c>
      <c r="K125" s="171" t="e">
        <f>#REF!</f>
        <v>#REF!</v>
      </c>
      <c r="L125" s="171" t="e">
        <f>#REF!</f>
        <v>#REF!</v>
      </c>
      <c r="M125" s="171" t="e">
        <f>#REF!</f>
        <v>#REF!</v>
      </c>
      <c r="N125" s="171" t="e">
        <f>#REF!</f>
        <v>#REF!</v>
      </c>
      <c r="O125" s="171" t="e">
        <f>#REF!</f>
        <v>#REF!</v>
      </c>
      <c r="P125" s="171" t="e">
        <f>#REF!</f>
        <v>#REF!</v>
      </c>
      <c r="Q125" s="171" t="e">
        <f>#REF!</f>
        <v>#REF!</v>
      </c>
      <c r="R125" s="171" t="e">
        <f>#REF!</f>
        <v>#REF!</v>
      </c>
      <c r="S125" s="171" t="e">
        <f>#REF!</f>
        <v>#REF!</v>
      </c>
      <c r="T125" s="175" t="e">
        <f>#REF!</f>
        <v>#REF!</v>
      </c>
      <c r="U125" s="175" t="e">
        <f>#REF!</f>
        <v>#REF!</v>
      </c>
      <c r="V125" s="175" t="e">
        <f>#REF!</f>
        <v>#REF!</v>
      </c>
      <c r="W125" s="175" t="e">
        <f>#REF!</f>
        <v>#REF!</v>
      </c>
      <c r="X125" s="175" t="e">
        <f>#REF!</f>
        <v>#REF!</v>
      </c>
    </row>
    <row r="126" spans="1:24" ht="24.95" customHeight="1" x14ac:dyDescent="0.2">
      <c r="A126" s="168" t="e">
        <f>#REF!</f>
        <v>#REF!</v>
      </c>
      <c r="B126" s="169" t="e">
        <f>#REF!</f>
        <v>#REF!</v>
      </c>
      <c r="C126" s="170" t="e">
        <f>#REF!</f>
        <v>#REF!</v>
      </c>
      <c r="D126" s="171" t="e">
        <f>#REF!</f>
        <v>#REF!</v>
      </c>
      <c r="E126" s="171" t="e">
        <f>#REF!</f>
        <v>#REF!</v>
      </c>
      <c r="F126" s="171" t="e">
        <f>#REF!</f>
        <v>#REF!</v>
      </c>
      <c r="G126" s="171" t="e">
        <f>#REF!</f>
        <v>#REF!</v>
      </c>
      <c r="H126" s="171" t="e">
        <f>#REF!</f>
        <v>#REF!</v>
      </c>
      <c r="I126" s="171" t="e">
        <f>#REF!</f>
        <v>#REF!</v>
      </c>
      <c r="J126" s="171" t="e">
        <f>#REF!</f>
        <v>#REF!</v>
      </c>
      <c r="K126" s="171" t="e">
        <f>#REF!</f>
        <v>#REF!</v>
      </c>
      <c r="L126" s="171" t="e">
        <f>#REF!</f>
        <v>#REF!</v>
      </c>
      <c r="M126" s="171" t="e">
        <f>#REF!</f>
        <v>#REF!</v>
      </c>
      <c r="N126" s="171" t="e">
        <f>#REF!</f>
        <v>#REF!</v>
      </c>
      <c r="O126" s="171" t="e">
        <f>#REF!</f>
        <v>#REF!</v>
      </c>
      <c r="P126" s="171" t="e">
        <f>#REF!</f>
        <v>#REF!</v>
      </c>
      <c r="Q126" s="171" t="e">
        <f>#REF!</f>
        <v>#REF!</v>
      </c>
      <c r="R126" s="171" t="e">
        <f>#REF!</f>
        <v>#REF!</v>
      </c>
      <c r="S126" s="171" t="e">
        <f>#REF!</f>
        <v>#REF!</v>
      </c>
      <c r="T126" s="175" t="e">
        <f>#REF!</f>
        <v>#REF!</v>
      </c>
      <c r="U126" s="175" t="e">
        <f>#REF!</f>
        <v>#REF!</v>
      </c>
      <c r="V126" s="175" t="e">
        <f>#REF!</f>
        <v>#REF!</v>
      </c>
      <c r="W126" s="175" t="e">
        <f>#REF!</f>
        <v>#REF!</v>
      </c>
      <c r="X126" s="175" t="e">
        <f>#REF!</f>
        <v>#REF!</v>
      </c>
    </row>
    <row r="127" spans="1:24" ht="24.95" customHeight="1" x14ac:dyDescent="0.2">
      <c r="A127" s="168" t="e">
        <f>#REF!</f>
        <v>#REF!</v>
      </c>
      <c r="B127" s="169" t="e">
        <f>#REF!</f>
        <v>#REF!</v>
      </c>
      <c r="C127" s="170" t="e">
        <f>#REF!</f>
        <v>#REF!</v>
      </c>
      <c r="D127" s="171" t="e">
        <f>#REF!</f>
        <v>#REF!</v>
      </c>
      <c r="E127" s="171" t="e">
        <f>#REF!</f>
        <v>#REF!</v>
      </c>
      <c r="F127" s="171" t="e">
        <f>#REF!</f>
        <v>#REF!</v>
      </c>
      <c r="G127" s="171" t="e">
        <f>#REF!</f>
        <v>#REF!</v>
      </c>
      <c r="H127" s="171" t="e">
        <f>#REF!</f>
        <v>#REF!</v>
      </c>
      <c r="I127" s="171" t="e">
        <f>#REF!</f>
        <v>#REF!</v>
      </c>
      <c r="J127" s="171" t="e">
        <f>#REF!</f>
        <v>#REF!</v>
      </c>
      <c r="K127" s="171" t="e">
        <f>#REF!</f>
        <v>#REF!</v>
      </c>
      <c r="L127" s="171" t="e">
        <f>#REF!</f>
        <v>#REF!</v>
      </c>
      <c r="M127" s="171" t="e">
        <f>#REF!</f>
        <v>#REF!</v>
      </c>
      <c r="N127" s="171" t="e">
        <f>#REF!</f>
        <v>#REF!</v>
      </c>
      <c r="O127" s="171" t="e">
        <f>#REF!</f>
        <v>#REF!</v>
      </c>
      <c r="P127" s="171" t="e">
        <f>#REF!</f>
        <v>#REF!</v>
      </c>
      <c r="Q127" s="171" t="e">
        <f>#REF!</f>
        <v>#REF!</v>
      </c>
      <c r="R127" s="171" t="e">
        <f>#REF!</f>
        <v>#REF!</v>
      </c>
      <c r="S127" s="171" t="e">
        <f>#REF!</f>
        <v>#REF!</v>
      </c>
      <c r="T127" s="175" t="e">
        <f>#REF!</f>
        <v>#REF!</v>
      </c>
      <c r="U127" s="175" t="e">
        <f>#REF!</f>
        <v>#REF!</v>
      </c>
      <c r="V127" s="175" t="e">
        <f>#REF!</f>
        <v>#REF!</v>
      </c>
      <c r="W127" s="175" t="e">
        <f>#REF!</f>
        <v>#REF!</v>
      </c>
      <c r="X127" s="175" t="e">
        <f>#REF!</f>
        <v>#REF!</v>
      </c>
    </row>
    <row r="128" spans="1:24" ht="24.95" customHeight="1" x14ac:dyDescent="0.2">
      <c r="A128" s="168" t="e">
        <f>#REF!</f>
        <v>#REF!</v>
      </c>
      <c r="B128" s="169" t="e">
        <f>#REF!</f>
        <v>#REF!</v>
      </c>
      <c r="C128" s="170" t="e">
        <f>#REF!</f>
        <v>#REF!</v>
      </c>
      <c r="D128" s="171" t="e">
        <f>#REF!</f>
        <v>#REF!</v>
      </c>
      <c r="E128" s="171" t="e">
        <f>#REF!</f>
        <v>#REF!</v>
      </c>
      <c r="F128" s="171" t="e">
        <f>#REF!</f>
        <v>#REF!</v>
      </c>
      <c r="G128" s="171" t="e">
        <f>#REF!</f>
        <v>#REF!</v>
      </c>
      <c r="H128" s="171" t="e">
        <f>#REF!</f>
        <v>#REF!</v>
      </c>
      <c r="I128" s="171" t="e">
        <f>#REF!</f>
        <v>#REF!</v>
      </c>
      <c r="J128" s="171" t="e">
        <f>#REF!</f>
        <v>#REF!</v>
      </c>
      <c r="K128" s="171" t="e">
        <f>#REF!</f>
        <v>#REF!</v>
      </c>
      <c r="L128" s="171" t="e">
        <f>#REF!</f>
        <v>#REF!</v>
      </c>
      <c r="M128" s="171" t="e">
        <f>#REF!</f>
        <v>#REF!</v>
      </c>
      <c r="N128" s="171" t="e">
        <f>#REF!</f>
        <v>#REF!</v>
      </c>
      <c r="O128" s="171" t="e">
        <f>#REF!</f>
        <v>#REF!</v>
      </c>
      <c r="P128" s="171" t="e">
        <f>#REF!</f>
        <v>#REF!</v>
      </c>
      <c r="Q128" s="171" t="e">
        <f>#REF!</f>
        <v>#REF!</v>
      </c>
      <c r="R128" s="171" t="e">
        <f>#REF!</f>
        <v>#REF!</v>
      </c>
      <c r="S128" s="171" t="e">
        <f>#REF!</f>
        <v>#REF!</v>
      </c>
      <c r="T128" s="175" t="e">
        <f>#REF!</f>
        <v>#REF!</v>
      </c>
      <c r="U128" s="175" t="e">
        <f>#REF!</f>
        <v>#REF!</v>
      </c>
      <c r="V128" s="175" t="e">
        <f>#REF!</f>
        <v>#REF!</v>
      </c>
      <c r="W128" s="175" t="e">
        <f>#REF!</f>
        <v>#REF!</v>
      </c>
      <c r="X128" s="175" t="e">
        <f>#REF!</f>
        <v>#REF!</v>
      </c>
    </row>
    <row r="129" spans="1:24" ht="24.95" customHeight="1" x14ac:dyDescent="0.2">
      <c r="A129" s="168" t="e">
        <f>#REF!</f>
        <v>#REF!</v>
      </c>
      <c r="B129" s="169" t="e">
        <f>#REF!</f>
        <v>#REF!</v>
      </c>
      <c r="C129" s="170" t="e">
        <f>#REF!</f>
        <v>#REF!</v>
      </c>
      <c r="D129" s="171" t="e">
        <f>#REF!</f>
        <v>#REF!</v>
      </c>
      <c r="E129" s="171" t="e">
        <f>#REF!</f>
        <v>#REF!</v>
      </c>
      <c r="F129" s="171" t="e">
        <f>#REF!</f>
        <v>#REF!</v>
      </c>
      <c r="G129" s="171" t="e">
        <f>#REF!</f>
        <v>#REF!</v>
      </c>
      <c r="H129" s="171" t="e">
        <f>#REF!</f>
        <v>#REF!</v>
      </c>
      <c r="I129" s="171" t="e">
        <f>#REF!</f>
        <v>#REF!</v>
      </c>
      <c r="J129" s="171" t="e">
        <f>#REF!</f>
        <v>#REF!</v>
      </c>
      <c r="K129" s="171" t="e">
        <f>#REF!</f>
        <v>#REF!</v>
      </c>
      <c r="L129" s="171" t="e">
        <f>#REF!</f>
        <v>#REF!</v>
      </c>
      <c r="M129" s="171" t="e">
        <f>#REF!</f>
        <v>#REF!</v>
      </c>
      <c r="N129" s="171" t="e">
        <f>#REF!</f>
        <v>#REF!</v>
      </c>
      <c r="O129" s="171" t="e">
        <f>#REF!</f>
        <v>#REF!</v>
      </c>
      <c r="P129" s="171" t="e">
        <f>#REF!</f>
        <v>#REF!</v>
      </c>
      <c r="Q129" s="171" t="e">
        <f>#REF!</f>
        <v>#REF!</v>
      </c>
      <c r="R129" s="171" t="e">
        <f>#REF!</f>
        <v>#REF!</v>
      </c>
      <c r="S129" s="171" t="e">
        <f>#REF!</f>
        <v>#REF!</v>
      </c>
      <c r="T129" s="175" t="e">
        <f>#REF!</f>
        <v>#REF!</v>
      </c>
      <c r="U129" s="175" t="e">
        <f>#REF!</f>
        <v>#REF!</v>
      </c>
      <c r="V129" s="175" t="e">
        <f>#REF!</f>
        <v>#REF!</v>
      </c>
      <c r="W129" s="175" t="e">
        <f>#REF!</f>
        <v>#REF!</v>
      </c>
      <c r="X129" s="175" t="e">
        <f>#REF!</f>
        <v>#REF!</v>
      </c>
    </row>
    <row r="130" spans="1:24" ht="24.95" customHeight="1" x14ac:dyDescent="0.2">
      <c r="A130" s="168" t="e">
        <f>#REF!</f>
        <v>#REF!</v>
      </c>
      <c r="B130" s="169" t="e">
        <f>#REF!</f>
        <v>#REF!</v>
      </c>
      <c r="C130" s="170" t="e">
        <f>#REF!</f>
        <v>#REF!</v>
      </c>
      <c r="D130" s="171" t="e">
        <f>#REF!</f>
        <v>#REF!</v>
      </c>
      <c r="E130" s="171" t="e">
        <f>#REF!</f>
        <v>#REF!</v>
      </c>
      <c r="F130" s="171" t="e">
        <f>#REF!</f>
        <v>#REF!</v>
      </c>
      <c r="G130" s="171" t="e">
        <f>#REF!</f>
        <v>#REF!</v>
      </c>
      <c r="H130" s="171" t="e">
        <f>#REF!</f>
        <v>#REF!</v>
      </c>
      <c r="I130" s="171" t="e">
        <f>#REF!</f>
        <v>#REF!</v>
      </c>
      <c r="J130" s="171" t="e">
        <f>#REF!</f>
        <v>#REF!</v>
      </c>
      <c r="K130" s="171" t="e">
        <f>#REF!</f>
        <v>#REF!</v>
      </c>
      <c r="L130" s="171" t="e">
        <f>#REF!</f>
        <v>#REF!</v>
      </c>
      <c r="M130" s="171" t="e">
        <f>#REF!</f>
        <v>#REF!</v>
      </c>
      <c r="N130" s="171" t="e">
        <f>#REF!</f>
        <v>#REF!</v>
      </c>
      <c r="O130" s="171" t="e">
        <f>#REF!</f>
        <v>#REF!</v>
      </c>
      <c r="P130" s="171" t="e">
        <f>#REF!</f>
        <v>#REF!</v>
      </c>
      <c r="Q130" s="171" t="e">
        <f>#REF!</f>
        <v>#REF!</v>
      </c>
      <c r="R130" s="171" t="e">
        <f>#REF!</f>
        <v>#REF!</v>
      </c>
      <c r="S130" s="171" t="e">
        <f>#REF!</f>
        <v>#REF!</v>
      </c>
      <c r="T130" s="175" t="e">
        <f>#REF!</f>
        <v>#REF!</v>
      </c>
      <c r="U130" s="175" t="e">
        <f>#REF!</f>
        <v>#REF!</v>
      </c>
      <c r="V130" s="175" t="e">
        <f>#REF!</f>
        <v>#REF!</v>
      </c>
      <c r="W130" s="175" t="e">
        <f>#REF!</f>
        <v>#REF!</v>
      </c>
      <c r="X130" s="175" t="e">
        <f>#REF!</f>
        <v>#REF!</v>
      </c>
    </row>
    <row r="131" spans="1:24" ht="24.95" customHeight="1" x14ac:dyDescent="0.2">
      <c r="A131" s="168" t="e">
        <f>#REF!</f>
        <v>#REF!</v>
      </c>
      <c r="B131" s="169" t="e">
        <f>#REF!</f>
        <v>#REF!</v>
      </c>
      <c r="C131" s="170" t="e">
        <f>#REF!</f>
        <v>#REF!</v>
      </c>
      <c r="D131" s="171" t="e">
        <f>#REF!</f>
        <v>#REF!</v>
      </c>
      <c r="E131" s="171" t="e">
        <f>#REF!</f>
        <v>#REF!</v>
      </c>
      <c r="F131" s="171" t="e">
        <f>#REF!</f>
        <v>#REF!</v>
      </c>
      <c r="G131" s="171" t="e">
        <f>#REF!</f>
        <v>#REF!</v>
      </c>
      <c r="H131" s="171" t="e">
        <f>#REF!</f>
        <v>#REF!</v>
      </c>
      <c r="I131" s="171" t="e">
        <f>#REF!</f>
        <v>#REF!</v>
      </c>
      <c r="J131" s="171" t="e">
        <f>#REF!</f>
        <v>#REF!</v>
      </c>
      <c r="K131" s="171" t="e">
        <f>#REF!</f>
        <v>#REF!</v>
      </c>
      <c r="L131" s="171" t="e">
        <f>#REF!</f>
        <v>#REF!</v>
      </c>
      <c r="M131" s="171" t="e">
        <f>#REF!</f>
        <v>#REF!</v>
      </c>
      <c r="N131" s="171" t="e">
        <f>#REF!</f>
        <v>#REF!</v>
      </c>
      <c r="O131" s="171" t="e">
        <f>#REF!</f>
        <v>#REF!</v>
      </c>
      <c r="P131" s="171" t="e">
        <f>#REF!</f>
        <v>#REF!</v>
      </c>
      <c r="Q131" s="171" t="e">
        <f>#REF!</f>
        <v>#REF!</v>
      </c>
      <c r="R131" s="171" t="e">
        <f>#REF!</f>
        <v>#REF!</v>
      </c>
      <c r="S131" s="171" t="e">
        <f>#REF!</f>
        <v>#REF!</v>
      </c>
      <c r="T131" s="175" t="e">
        <f>#REF!</f>
        <v>#REF!</v>
      </c>
      <c r="U131" s="175" t="e">
        <f>#REF!</f>
        <v>#REF!</v>
      </c>
      <c r="V131" s="175" t="e">
        <f>#REF!</f>
        <v>#REF!</v>
      </c>
      <c r="W131" s="175" t="e">
        <f>#REF!</f>
        <v>#REF!</v>
      </c>
      <c r="X131" s="175" t="e">
        <f>#REF!</f>
        <v>#REF!</v>
      </c>
    </row>
    <row r="132" spans="1:24" ht="24.95" customHeight="1" x14ac:dyDescent="0.2">
      <c r="A132" s="168" t="e">
        <f>#REF!</f>
        <v>#REF!</v>
      </c>
      <c r="B132" s="169" t="e">
        <f>#REF!</f>
        <v>#REF!</v>
      </c>
      <c r="C132" s="170" t="e">
        <f>#REF!</f>
        <v>#REF!</v>
      </c>
      <c r="D132" s="171" t="e">
        <f>#REF!</f>
        <v>#REF!</v>
      </c>
      <c r="E132" s="171" t="e">
        <f>#REF!</f>
        <v>#REF!</v>
      </c>
      <c r="F132" s="171" t="e">
        <f>#REF!</f>
        <v>#REF!</v>
      </c>
      <c r="G132" s="171" t="e">
        <f>#REF!</f>
        <v>#REF!</v>
      </c>
      <c r="H132" s="171" t="e">
        <f>#REF!</f>
        <v>#REF!</v>
      </c>
      <c r="I132" s="171" t="e">
        <f>#REF!</f>
        <v>#REF!</v>
      </c>
      <c r="J132" s="171" t="e">
        <f>#REF!</f>
        <v>#REF!</v>
      </c>
      <c r="K132" s="171" t="e">
        <f>#REF!</f>
        <v>#REF!</v>
      </c>
      <c r="L132" s="171" t="e">
        <f>#REF!</f>
        <v>#REF!</v>
      </c>
      <c r="M132" s="171" t="e">
        <f>#REF!</f>
        <v>#REF!</v>
      </c>
      <c r="N132" s="171" t="e">
        <f>#REF!</f>
        <v>#REF!</v>
      </c>
      <c r="O132" s="171" t="e">
        <f>#REF!</f>
        <v>#REF!</v>
      </c>
      <c r="P132" s="171" t="e">
        <f>#REF!</f>
        <v>#REF!</v>
      </c>
      <c r="Q132" s="171" t="e">
        <f>#REF!</f>
        <v>#REF!</v>
      </c>
      <c r="R132" s="171" t="e">
        <f>#REF!</f>
        <v>#REF!</v>
      </c>
      <c r="S132" s="171" t="e">
        <f>#REF!</f>
        <v>#REF!</v>
      </c>
      <c r="T132" s="175" t="e">
        <f>#REF!</f>
        <v>#REF!</v>
      </c>
      <c r="U132" s="175" t="e">
        <f>#REF!</f>
        <v>#REF!</v>
      </c>
      <c r="V132" s="175" t="e">
        <f>#REF!</f>
        <v>#REF!</v>
      </c>
      <c r="W132" s="175" t="e">
        <f>#REF!</f>
        <v>#REF!</v>
      </c>
      <c r="X132" s="175" t="e">
        <f>#REF!</f>
        <v>#REF!</v>
      </c>
    </row>
    <row r="133" spans="1:24" ht="24.95" customHeight="1" x14ac:dyDescent="0.2">
      <c r="A133" s="168" t="e">
        <f>#REF!</f>
        <v>#REF!</v>
      </c>
      <c r="B133" s="169" t="e">
        <f>#REF!</f>
        <v>#REF!</v>
      </c>
      <c r="C133" s="170" t="e">
        <f>#REF!</f>
        <v>#REF!</v>
      </c>
      <c r="D133" s="171" t="e">
        <f>#REF!</f>
        <v>#REF!</v>
      </c>
      <c r="E133" s="171" t="e">
        <f>#REF!</f>
        <v>#REF!</v>
      </c>
      <c r="F133" s="171" t="e">
        <f>#REF!</f>
        <v>#REF!</v>
      </c>
      <c r="G133" s="171" t="e">
        <f>#REF!</f>
        <v>#REF!</v>
      </c>
      <c r="H133" s="171" t="e">
        <f>#REF!</f>
        <v>#REF!</v>
      </c>
      <c r="I133" s="171" t="e">
        <f>#REF!</f>
        <v>#REF!</v>
      </c>
      <c r="J133" s="171" t="e">
        <f>#REF!</f>
        <v>#REF!</v>
      </c>
      <c r="K133" s="171" t="e">
        <f>#REF!</f>
        <v>#REF!</v>
      </c>
      <c r="L133" s="171" t="e">
        <f>#REF!</f>
        <v>#REF!</v>
      </c>
      <c r="M133" s="171" t="e">
        <f>#REF!</f>
        <v>#REF!</v>
      </c>
      <c r="N133" s="171" t="e">
        <f>#REF!</f>
        <v>#REF!</v>
      </c>
      <c r="O133" s="171" t="e">
        <f>#REF!</f>
        <v>#REF!</v>
      </c>
      <c r="P133" s="171" t="e">
        <f>#REF!</f>
        <v>#REF!</v>
      </c>
      <c r="Q133" s="171" t="e">
        <f>#REF!</f>
        <v>#REF!</v>
      </c>
      <c r="R133" s="171" t="e">
        <f>#REF!</f>
        <v>#REF!</v>
      </c>
      <c r="S133" s="171" t="e">
        <f>#REF!</f>
        <v>#REF!</v>
      </c>
      <c r="T133" s="175" t="e">
        <f>#REF!</f>
        <v>#REF!</v>
      </c>
      <c r="U133" s="175" t="e">
        <f>#REF!</f>
        <v>#REF!</v>
      </c>
      <c r="V133" s="175" t="e">
        <f>#REF!</f>
        <v>#REF!</v>
      </c>
      <c r="W133" s="175" t="e">
        <f>#REF!</f>
        <v>#REF!</v>
      </c>
      <c r="X133" s="175" t="e">
        <f>#REF!</f>
        <v>#REF!</v>
      </c>
    </row>
    <row r="134" spans="1:24" ht="24.95" customHeight="1" x14ac:dyDescent="0.2">
      <c r="A134" s="168" t="e">
        <f>#REF!</f>
        <v>#REF!</v>
      </c>
      <c r="B134" s="169" t="e">
        <f>#REF!</f>
        <v>#REF!</v>
      </c>
      <c r="C134" s="170" t="e">
        <f>#REF!</f>
        <v>#REF!</v>
      </c>
      <c r="D134" s="171" t="e">
        <f>#REF!</f>
        <v>#REF!</v>
      </c>
      <c r="E134" s="171" t="e">
        <f>#REF!</f>
        <v>#REF!</v>
      </c>
      <c r="F134" s="171" t="e">
        <f>#REF!</f>
        <v>#REF!</v>
      </c>
      <c r="G134" s="171" t="e">
        <f>#REF!</f>
        <v>#REF!</v>
      </c>
      <c r="H134" s="171" t="e">
        <f>#REF!</f>
        <v>#REF!</v>
      </c>
      <c r="I134" s="171" t="e">
        <f>#REF!</f>
        <v>#REF!</v>
      </c>
      <c r="J134" s="171" t="e">
        <f>#REF!</f>
        <v>#REF!</v>
      </c>
      <c r="K134" s="171" t="e">
        <f>#REF!</f>
        <v>#REF!</v>
      </c>
      <c r="L134" s="171" t="e">
        <f>#REF!</f>
        <v>#REF!</v>
      </c>
      <c r="M134" s="171" t="e">
        <f>#REF!</f>
        <v>#REF!</v>
      </c>
      <c r="N134" s="171" t="e">
        <f>#REF!</f>
        <v>#REF!</v>
      </c>
      <c r="O134" s="171" t="e">
        <f>#REF!</f>
        <v>#REF!</v>
      </c>
      <c r="P134" s="171" t="e">
        <f>#REF!</f>
        <v>#REF!</v>
      </c>
      <c r="Q134" s="171" t="e">
        <f>#REF!</f>
        <v>#REF!</v>
      </c>
      <c r="R134" s="171" t="e">
        <f>#REF!</f>
        <v>#REF!</v>
      </c>
      <c r="S134" s="171" t="e">
        <f>#REF!</f>
        <v>#REF!</v>
      </c>
      <c r="T134" s="175" t="e">
        <f>#REF!</f>
        <v>#REF!</v>
      </c>
      <c r="U134" s="175" t="e">
        <f>#REF!</f>
        <v>#REF!</v>
      </c>
      <c r="V134" s="175" t="e">
        <f>#REF!</f>
        <v>#REF!</v>
      </c>
      <c r="W134" s="175" t="e">
        <f>#REF!</f>
        <v>#REF!</v>
      </c>
      <c r="X134" s="175" t="e">
        <f>#REF!</f>
        <v>#REF!</v>
      </c>
    </row>
    <row r="135" spans="1:24" ht="24.95" customHeight="1" x14ac:dyDescent="0.2">
      <c r="A135" s="168" t="e">
        <f>#REF!</f>
        <v>#REF!</v>
      </c>
      <c r="B135" s="169" t="e">
        <f>#REF!</f>
        <v>#REF!</v>
      </c>
      <c r="C135" s="170" t="e">
        <f>#REF!</f>
        <v>#REF!</v>
      </c>
      <c r="D135" s="171" t="e">
        <f>#REF!</f>
        <v>#REF!</v>
      </c>
      <c r="E135" s="171" t="e">
        <f>#REF!</f>
        <v>#REF!</v>
      </c>
      <c r="F135" s="171" t="e">
        <f>#REF!</f>
        <v>#REF!</v>
      </c>
      <c r="G135" s="171" t="e">
        <f>#REF!</f>
        <v>#REF!</v>
      </c>
      <c r="H135" s="171" t="e">
        <f>#REF!</f>
        <v>#REF!</v>
      </c>
      <c r="I135" s="171" t="e">
        <f>#REF!</f>
        <v>#REF!</v>
      </c>
      <c r="J135" s="171" t="e">
        <f>#REF!</f>
        <v>#REF!</v>
      </c>
      <c r="K135" s="171" t="e">
        <f>#REF!</f>
        <v>#REF!</v>
      </c>
      <c r="L135" s="171" t="e">
        <f>#REF!</f>
        <v>#REF!</v>
      </c>
      <c r="M135" s="171" t="e">
        <f>#REF!</f>
        <v>#REF!</v>
      </c>
      <c r="N135" s="171" t="e">
        <f>#REF!</f>
        <v>#REF!</v>
      </c>
      <c r="O135" s="171" t="e">
        <f>#REF!</f>
        <v>#REF!</v>
      </c>
      <c r="P135" s="171" t="e">
        <f>#REF!</f>
        <v>#REF!</v>
      </c>
      <c r="Q135" s="171" t="e">
        <f>#REF!</f>
        <v>#REF!</v>
      </c>
      <c r="R135" s="171" t="e">
        <f>#REF!</f>
        <v>#REF!</v>
      </c>
      <c r="S135" s="171" t="e">
        <f>#REF!</f>
        <v>#REF!</v>
      </c>
      <c r="T135" s="175" t="e">
        <f>#REF!</f>
        <v>#REF!</v>
      </c>
      <c r="U135" s="175" t="e">
        <f>#REF!</f>
        <v>#REF!</v>
      </c>
      <c r="V135" s="175" t="e">
        <f>#REF!</f>
        <v>#REF!</v>
      </c>
      <c r="W135" s="175" t="e">
        <f>#REF!</f>
        <v>#REF!</v>
      </c>
      <c r="X135" s="175" t="e">
        <f>#REF!</f>
        <v>#REF!</v>
      </c>
    </row>
    <row r="136" spans="1:24" ht="24.95" customHeight="1" x14ac:dyDescent="0.2">
      <c r="A136" s="168" t="e">
        <f>#REF!</f>
        <v>#REF!</v>
      </c>
      <c r="B136" s="169" t="e">
        <f>#REF!</f>
        <v>#REF!</v>
      </c>
      <c r="C136" s="170" t="e">
        <f>#REF!</f>
        <v>#REF!</v>
      </c>
      <c r="D136" s="171" t="e">
        <f>#REF!</f>
        <v>#REF!</v>
      </c>
      <c r="E136" s="171" t="e">
        <f>#REF!</f>
        <v>#REF!</v>
      </c>
      <c r="F136" s="171" t="e">
        <f>#REF!</f>
        <v>#REF!</v>
      </c>
      <c r="G136" s="171" t="e">
        <f>#REF!</f>
        <v>#REF!</v>
      </c>
      <c r="H136" s="171" t="e">
        <f>#REF!</f>
        <v>#REF!</v>
      </c>
      <c r="I136" s="171" t="e">
        <f>#REF!</f>
        <v>#REF!</v>
      </c>
      <c r="J136" s="171" t="e">
        <f>#REF!</f>
        <v>#REF!</v>
      </c>
      <c r="K136" s="171" t="e">
        <f>#REF!</f>
        <v>#REF!</v>
      </c>
      <c r="L136" s="171" t="e">
        <f>#REF!</f>
        <v>#REF!</v>
      </c>
      <c r="M136" s="171" t="e">
        <f>#REF!</f>
        <v>#REF!</v>
      </c>
      <c r="N136" s="171" t="e">
        <f>#REF!</f>
        <v>#REF!</v>
      </c>
      <c r="O136" s="171" t="e">
        <f>#REF!</f>
        <v>#REF!</v>
      </c>
      <c r="P136" s="171" t="e">
        <f>#REF!</f>
        <v>#REF!</v>
      </c>
      <c r="Q136" s="171" t="e">
        <f>#REF!</f>
        <v>#REF!</v>
      </c>
      <c r="R136" s="171" t="e">
        <f>#REF!</f>
        <v>#REF!</v>
      </c>
      <c r="S136" s="171" t="e">
        <f>#REF!</f>
        <v>#REF!</v>
      </c>
      <c r="T136" s="175" t="e">
        <f>#REF!</f>
        <v>#REF!</v>
      </c>
      <c r="U136" s="175" t="e">
        <f>#REF!</f>
        <v>#REF!</v>
      </c>
      <c r="V136" s="175" t="e">
        <f>#REF!</f>
        <v>#REF!</v>
      </c>
      <c r="W136" s="175" t="e">
        <f>#REF!</f>
        <v>#REF!</v>
      </c>
      <c r="X136" s="175" t="e">
        <f>#REF!</f>
        <v>#REF!</v>
      </c>
    </row>
    <row r="137" spans="1:24" ht="24.95" customHeight="1" x14ac:dyDescent="0.2">
      <c r="A137" s="168" t="e">
        <f>#REF!</f>
        <v>#REF!</v>
      </c>
      <c r="B137" s="169" t="e">
        <f>#REF!</f>
        <v>#REF!</v>
      </c>
      <c r="C137" s="170" t="e">
        <f>#REF!</f>
        <v>#REF!</v>
      </c>
      <c r="D137" s="171" t="e">
        <f>#REF!</f>
        <v>#REF!</v>
      </c>
      <c r="E137" s="171" t="e">
        <f>#REF!</f>
        <v>#REF!</v>
      </c>
      <c r="F137" s="171" t="e">
        <f>#REF!</f>
        <v>#REF!</v>
      </c>
      <c r="G137" s="171" t="e">
        <f>#REF!</f>
        <v>#REF!</v>
      </c>
      <c r="H137" s="171" t="e">
        <f>#REF!</f>
        <v>#REF!</v>
      </c>
      <c r="I137" s="171" t="e">
        <f>#REF!</f>
        <v>#REF!</v>
      </c>
      <c r="J137" s="171" t="e">
        <f>#REF!</f>
        <v>#REF!</v>
      </c>
      <c r="K137" s="171" t="e">
        <f>#REF!</f>
        <v>#REF!</v>
      </c>
      <c r="L137" s="171" t="e">
        <f>#REF!</f>
        <v>#REF!</v>
      </c>
      <c r="M137" s="171" t="e">
        <f>#REF!</f>
        <v>#REF!</v>
      </c>
      <c r="N137" s="171" t="e">
        <f>#REF!</f>
        <v>#REF!</v>
      </c>
      <c r="O137" s="171" t="e">
        <f>#REF!</f>
        <v>#REF!</v>
      </c>
      <c r="P137" s="171" t="e">
        <f>#REF!</f>
        <v>#REF!</v>
      </c>
      <c r="Q137" s="171" t="e">
        <f>#REF!</f>
        <v>#REF!</v>
      </c>
      <c r="R137" s="171" t="e">
        <f>#REF!</f>
        <v>#REF!</v>
      </c>
      <c r="S137" s="171" t="e">
        <f>#REF!</f>
        <v>#REF!</v>
      </c>
      <c r="T137" s="175" t="e">
        <f>#REF!</f>
        <v>#REF!</v>
      </c>
      <c r="U137" s="175" t="e">
        <f>#REF!</f>
        <v>#REF!</v>
      </c>
      <c r="V137" s="175" t="e">
        <f>#REF!</f>
        <v>#REF!</v>
      </c>
      <c r="W137" s="175" t="e">
        <f>#REF!</f>
        <v>#REF!</v>
      </c>
      <c r="X137" s="175" t="e">
        <f>#REF!</f>
        <v>#REF!</v>
      </c>
    </row>
    <row r="138" spans="1:24" ht="24.95" customHeight="1" x14ac:dyDescent="0.2">
      <c r="A138" s="168" t="e">
        <f>#REF!</f>
        <v>#REF!</v>
      </c>
      <c r="B138" s="169" t="e">
        <f>#REF!</f>
        <v>#REF!</v>
      </c>
      <c r="C138" s="170" t="e">
        <f>#REF!</f>
        <v>#REF!</v>
      </c>
      <c r="D138" s="171" t="e">
        <f>#REF!</f>
        <v>#REF!</v>
      </c>
      <c r="E138" s="171" t="e">
        <f>#REF!</f>
        <v>#REF!</v>
      </c>
      <c r="F138" s="171" t="e">
        <f>#REF!</f>
        <v>#REF!</v>
      </c>
      <c r="G138" s="171" t="e">
        <f>#REF!</f>
        <v>#REF!</v>
      </c>
      <c r="H138" s="171" t="e">
        <f>#REF!</f>
        <v>#REF!</v>
      </c>
      <c r="I138" s="171" t="e">
        <f>#REF!</f>
        <v>#REF!</v>
      </c>
      <c r="J138" s="171" t="e">
        <f>#REF!</f>
        <v>#REF!</v>
      </c>
      <c r="K138" s="171" t="e">
        <f>#REF!</f>
        <v>#REF!</v>
      </c>
      <c r="L138" s="171" t="e">
        <f>#REF!</f>
        <v>#REF!</v>
      </c>
      <c r="M138" s="171" t="e">
        <f>#REF!</f>
        <v>#REF!</v>
      </c>
      <c r="N138" s="171" t="e">
        <f>#REF!</f>
        <v>#REF!</v>
      </c>
      <c r="O138" s="171" t="e">
        <f>#REF!</f>
        <v>#REF!</v>
      </c>
      <c r="P138" s="171" t="e">
        <f>#REF!</f>
        <v>#REF!</v>
      </c>
      <c r="Q138" s="171" t="e">
        <f>#REF!</f>
        <v>#REF!</v>
      </c>
      <c r="R138" s="171" t="e">
        <f>#REF!</f>
        <v>#REF!</v>
      </c>
      <c r="S138" s="171" t="e">
        <f>#REF!</f>
        <v>#REF!</v>
      </c>
      <c r="T138" s="175" t="e">
        <f>#REF!</f>
        <v>#REF!</v>
      </c>
      <c r="U138" s="175" t="e">
        <f>#REF!</f>
        <v>#REF!</v>
      </c>
      <c r="V138" s="175" t="e">
        <f>#REF!</f>
        <v>#REF!</v>
      </c>
      <c r="W138" s="175" t="e">
        <f>#REF!</f>
        <v>#REF!</v>
      </c>
      <c r="X138" s="175" t="e">
        <f>#REF!</f>
        <v>#REF!</v>
      </c>
    </row>
    <row r="139" spans="1:24" ht="24.95" customHeight="1" x14ac:dyDescent="0.2">
      <c r="A139" s="168" t="e">
        <f>#REF!</f>
        <v>#REF!</v>
      </c>
      <c r="B139" s="169" t="e">
        <f>#REF!</f>
        <v>#REF!</v>
      </c>
      <c r="C139" s="170" t="e">
        <f>#REF!</f>
        <v>#REF!</v>
      </c>
      <c r="D139" s="171" t="e">
        <f>#REF!</f>
        <v>#REF!</v>
      </c>
      <c r="E139" s="171" t="e">
        <f>#REF!</f>
        <v>#REF!</v>
      </c>
      <c r="F139" s="171" t="e">
        <f>#REF!</f>
        <v>#REF!</v>
      </c>
      <c r="G139" s="171" t="e">
        <f>#REF!</f>
        <v>#REF!</v>
      </c>
      <c r="H139" s="171" t="e">
        <f>#REF!</f>
        <v>#REF!</v>
      </c>
      <c r="I139" s="171" t="e">
        <f>#REF!</f>
        <v>#REF!</v>
      </c>
      <c r="J139" s="171" t="e">
        <f>#REF!</f>
        <v>#REF!</v>
      </c>
      <c r="K139" s="171" t="e">
        <f>#REF!</f>
        <v>#REF!</v>
      </c>
      <c r="L139" s="171" t="e">
        <f>#REF!</f>
        <v>#REF!</v>
      </c>
      <c r="M139" s="171" t="e">
        <f>#REF!</f>
        <v>#REF!</v>
      </c>
      <c r="N139" s="171" t="e">
        <f>#REF!</f>
        <v>#REF!</v>
      </c>
      <c r="O139" s="171" t="e">
        <f>#REF!</f>
        <v>#REF!</v>
      </c>
      <c r="P139" s="171" t="e">
        <f>#REF!</f>
        <v>#REF!</v>
      </c>
      <c r="Q139" s="171" t="e">
        <f>#REF!</f>
        <v>#REF!</v>
      </c>
      <c r="R139" s="171" t="e">
        <f>#REF!</f>
        <v>#REF!</v>
      </c>
      <c r="S139" s="171" t="e">
        <f>#REF!</f>
        <v>#REF!</v>
      </c>
      <c r="T139" s="175" t="e">
        <f>#REF!</f>
        <v>#REF!</v>
      </c>
      <c r="U139" s="175" t="e">
        <f>#REF!</f>
        <v>#REF!</v>
      </c>
      <c r="V139" s="175" t="e">
        <f>#REF!</f>
        <v>#REF!</v>
      </c>
      <c r="W139" s="175" t="e">
        <f>#REF!</f>
        <v>#REF!</v>
      </c>
      <c r="X139" s="175" t="e">
        <f>#REF!</f>
        <v>#REF!</v>
      </c>
    </row>
    <row r="140" spans="1:24" x14ac:dyDescent="0.2">
      <c r="A140" s="168" t="e">
        <f>#REF!</f>
        <v>#REF!</v>
      </c>
      <c r="B140" s="169" t="e">
        <f>#REF!</f>
        <v>#REF!</v>
      </c>
      <c r="C140" s="170" t="e">
        <f>#REF!</f>
        <v>#REF!</v>
      </c>
      <c r="D140" s="171" t="e">
        <f>#REF!</f>
        <v>#REF!</v>
      </c>
      <c r="E140" s="171" t="e">
        <f>#REF!</f>
        <v>#REF!</v>
      </c>
      <c r="F140" s="171" t="e">
        <f>#REF!</f>
        <v>#REF!</v>
      </c>
      <c r="G140" s="171" t="e">
        <f>#REF!</f>
        <v>#REF!</v>
      </c>
      <c r="H140" s="171" t="e">
        <f>#REF!</f>
        <v>#REF!</v>
      </c>
      <c r="I140" s="171" t="e">
        <f>#REF!</f>
        <v>#REF!</v>
      </c>
      <c r="J140" s="171" t="e">
        <f>#REF!</f>
        <v>#REF!</v>
      </c>
      <c r="K140" s="171" t="e">
        <f>#REF!</f>
        <v>#REF!</v>
      </c>
      <c r="L140" s="171" t="e">
        <f>#REF!</f>
        <v>#REF!</v>
      </c>
      <c r="M140" s="171" t="e">
        <f>#REF!</f>
        <v>#REF!</v>
      </c>
      <c r="N140" s="171" t="e">
        <f>#REF!</f>
        <v>#REF!</v>
      </c>
      <c r="O140" s="171" t="e">
        <f>#REF!</f>
        <v>#REF!</v>
      </c>
      <c r="P140" s="171" t="e">
        <f>#REF!</f>
        <v>#REF!</v>
      </c>
      <c r="Q140" s="171" t="e">
        <f>#REF!</f>
        <v>#REF!</v>
      </c>
      <c r="R140" s="171" t="e">
        <f>#REF!</f>
        <v>#REF!</v>
      </c>
      <c r="S140" s="171" t="e">
        <f>#REF!</f>
        <v>#REF!</v>
      </c>
      <c r="T140" s="175" t="e">
        <f>#REF!</f>
        <v>#REF!</v>
      </c>
      <c r="U140" s="175" t="e">
        <f>#REF!</f>
        <v>#REF!</v>
      </c>
      <c r="V140" s="175" t="e">
        <f>#REF!</f>
        <v>#REF!</v>
      </c>
      <c r="W140" s="175" t="e">
        <f>#REF!</f>
        <v>#REF!</v>
      </c>
      <c r="X140" s="175" t="e">
        <f>#REF!</f>
        <v>#REF!</v>
      </c>
    </row>
    <row r="141" spans="1:24" ht="24.95" customHeight="1" x14ac:dyDescent="0.2">
      <c r="A141" s="168" t="e">
        <f>#REF!</f>
        <v>#REF!</v>
      </c>
      <c r="B141" s="169" t="e">
        <f>#REF!</f>
        <v>#REF!</v>
      </c>
      <c r="C141" s="170" t="e">
        <f>#REF!</f>
        <v>#REF!</v>
      </c>
      <c r="D141" s="171" t="e">
        <f>#REF!</f>
        <v>#REF!</v>
      </c>
      <c r="E141" s="171" t="e">
        <f>#REF!</f>
        <v>#REF!</v>
      </c>
      <c r="F141" s="171" t="e">
        <f>#REF!</f>
        <v>#REF!</v>
      </c>
      <c r="G141" s="171" t="e">
        <f>#REF!</f>
        <v>#REF!</v>
      </c>
      <c r="H141" s="171" t="e">
        <f>#REF!</f>
        <v>#REF!</v>
      </c>
      <c r="I141" s="171" t="e">
        <f>#REF!</f>
        <v>#REF!</v>
      </c>
      <c r="J141" s="171" t="e">
        <f>#REF!</f>
        <v>#REF!</v>
      </c>
      <c r="K141" s="171" t="e">
        <f>#REF!</f>
        <v>#REF!</v>
      </c>
      <c r="L141" s="171" t="e">
        <f>#REF!</f>
        <v>#REF!</v>
      </c>
      <c r="M141" s="171" t="e">
        <f>#REF!</f>
        <v>#REF!</v>
      </c>
      <c r="N141" s="171" t="e">
        <f>#REF!</f>
        <v>#REF!</v>
      </c>
      <c r="O141" s="171" t="e">
        <f>#REF!</f>
        <v>#REF!</v>
      </c>
      <c r="P141" s="171" t="e">
        <f>#REF!</f>
        <v>#REF!</v>
      </c>
      <c r="Q141" s="171" t="e">
        <f>#REF!</f>
        <v>#REF!</v>
      </c>
      <c r="R141" s="171" t="e">
        <f>#REF!</f>
        <v>#REF!</v>
      </c>
      <c r="S141" s="171" t="e">
        <f>#REF!</f>
        <v>#REF!</v>
      </c>
      <c r="T141" s="175" t="e">
        <f>#REF!</f>
        <v>#REF!</v>
      </c>
      <c r="U141" s="175" t="e">
        <f>#REF!</f>
        <v>#REF!</v>
      </c>
      <c r="V141" s="175" t="e">
        <f>#REF!</f>
        <v>#REF!</v>
      </c>
      <c r="W141" s="175" t="e">
        <f>#REF!</f>
        <v>#REF!</v>
      </c>
      <c r="X141" s="175" t="e">
        <f>#REF!</f>
        <v>#REF!</v>
      </c>
    </row>
    <row r="142" spans="1:24" ht="24.95" customHeight="1" x14ac:dyDescent="0.2">
      <c r="A142" s="168" t="e">
        <f>#REF!</f>
        <v>#REF!</v>
      </c>
      <c r="B142" s="169" t="e">
        <f>#REF!</f>
        <v>#REF!</v>
      </c>
      <c r="C142" s="170" t="e">
        <f>#REF!</f>
        <v>#REF!</v>
      </c>
      <c r="D142" s="171" t="e">
        <f>#REF!</f>
        <v>#REF!</v>
      </c>
      <c r="E142" s="171" t="e">
        <f>#REF!</f>
        <v>#REF!</v>
      </c>
      <c r="F142" s="171" t="e">
        <f>#REF!</f>
        <v>#REF!</v>
      </c>
      <c r="G142" s="171" t="e">
        <f>#REF!</f>
        <v>#REF!</v>
      </c>
      <c r="H142" s="171" t="e">
        <f>#REF!</f>
        <v>#REF!</v>
      </c>
      <c r="I142" s="171" t="e">
        <f>#REF!</f>
        <v>#REF!</v>
      </c>
      <c r="J142" s="171" t="e">
        <f>#REF!</f>
        <v>#REF!</v>
      </c>
      <c r="K142" s="171" t="e">
        <f>#REF!</f>
        <v>#REF!</v>
      </c>
      <c r="L142" s="171" t="e">
        <f>#REF!</f>
        <v>#REF!</v>
      </c>
      <c r="M142" s="171" t="e">
        <f>#REF!</f>
        <v>#REF!</v>
      </c>
      <c r="N142" s="171" t="e">
        <f>#REF!</f>
        <v>#REF!</v>
      </c>
      <c r="O142" s="171" t="e">
        <f>#REF!</f>
        <v>#REF!</v>
      </c>
      <c r="P142" s="171" t="e">
        <f>#REF!</f>
        <v>#REF!</v>
      </c>
      <c r="Q142" s="171" t="e">
        <f>#REF!</f>
        <v>#REF!</v>
      </c>
      <c r="R142" s="171" t="e">
        <f>#REF!</f>
        <v>#REF!</v>
      </c>
      <c r="S142" s="171" t="e">
        <f>#REF!</f>
        <v>#REF!</v>
      </c>
      <c r="T142" s="175" t="e">
        <f>#REF!</f>
        <v>#REF!</v>
      </c>
      <c r="U142" s="175" t="e">
        <f>#REF!</f>
        <v>#REF!</v>
      </c>
      <c r="V142" s="175" t="e">
        <f>#REF!</f>
        <v>#REF!</v>
      </c>
      <c r="W142" s="175" t="e">
        <f>#REF!</f>
        <v>#REF!</v>
      </c>
      <c r="X142" s="175" t="e">
        <f>#REF!</f>
        <v>#REF!</v>
      </c>
    </row>
    <row r="143" spans="1:24" ht="24.95" customHeight="1" x14ac:dyDescent="0.2">
      <c r="A143" s="168" t="e">
        <f>#REF!</f>
        <v>#REF!</v>
      </c>
      <c r="B143" s="169" t="e">
        <f>#REF!</f>
        <v>#REF!</v>
      </c>
      <c r="C143" s="170" t="e">
        <f>#REF!</f>
        <v>#REF!</v>
      </c>
      <c r="D143" s="171" t="e">
        <f>#REF!</f>
        <v>#REF!</v>
      </c>
      <c r="E143" s="171" t="e">
        <f>#REF!</f>
        <v>#REF!</v>
      </c>
      <c r="F143" s="171" t="e">
        <f>#REF!</f>
        <v>#REF!</v>
      </c>
      <c r="G143" s="171" t="e">
        <f>#REF!</f>
        <v>#REF!</v>
      </c>
      <c r="H143" s="171" t="e">
        <f>#REF!</f>
        <v>#REF!</v>
      </c>
      <c r="I143" s="171" t="e">
        <f>#REF!</f>
        <v>#REF!</v>
      </c>
      <c r="J143" s="171" t="e">
        <f>#REF!</f>
        <v>#REF!</v>
      </c>
      <c r="K143" s="171" t="e">
        <f>#REF!</f>
        <v>#REF!</v>
      </c>
      <c r="L143" s="171" t="e">
        <f>#REF!</f>
        <v>#REF!</v>
      </c>
      <c r="M143" s="171" t="e">
        <f>#REF!</f>
        <v>#REF!</v>
      </c>
      <c r="N143" s="171" t="e">
        <f>#REF!</f>
        <v>#REF!</v>
      </c>
      <c r="O143" s="171" t="e">
        <f>#REF!</f>
        <v>#REF!</v>
      </c>
      <c r="P143" s="171" t="e">
        <f>#REF!</f>
        <v>#REF!</v>
      </c>
      <c r="Q143" s="171" t="e">
        <f>#REF!</f>
        <v>#REF!</v>
      </c>
      <c r="R143" s="171" t="e">
        <f>#REF!</f>
        <v>#REF!</v>
      </c>
      <c r="S143" s="171" t="e">
        <f>#REF!</f>
        <v>#REF!</v>
      </c>
      <c r="T143" s="175" t="e">
        <f>#REF!</f>
        <v>#REF!</v>
      </c>
      <c r="U143" s="175" t="e">
        <f>#REF!</f>
        <v>#REF!</v>
      </c>
      <c r="V143" s="175" t="e">
        <f>#REF!</f>
        <v>#REF!</v>
      </c>
      <c r="W143" s="175" t="e">
        <f>#REF!</f>
        <v>#REF!</v>
      </c>
      <c r="X143" s="175" t="e">
        <f>#REF!</f>
        <v>#REF!</v>
      </c>
    </row>
    <row r="144" spans="1:24" ht="24.95" customHeight="1" x14ac:dyDescent="0.2">
      <c r="A144" s="168" t="e">
        <f>#REF!</f>
        <v>#REF!</v>
      </c>
      <c r="B144" s="169" t="e">
        <f>#REF!</f>
        <v>#REF!</v>
      </c>
      <c r="C144" s="170" t="e">
        <f>#REF!</f>
        <v>#REF!</v>
      </c>
      <c r="D144" s="171" t="e">
        <f>#REF!</f>
        <v>#REF!</v>
      </c>
      <c r="E144" s="171" t="e">
        <f>#REF!</f>
        <v>#REF!</v>
      </c>
      <c r="F144" s="171" t="e">
        <f>#REF!</f>
        <v>#REF!</v>
      </c>
      <c r="G144" s="171" t="e">
        <f>#REF!</f>
        <v>#REF!</v>
      </c>
      <c r="H144" s="171" t="e">
        <f>#REF!</f>
        <v>#REF!</v>
      </c>
      <c r="I144" s="171" t="e">
        <f>#REF!</f>
        <v>#REF!</v>
      </c>
      <c r="J144" s="171" t="e">
        <f>#REF!</f>
        <v>#REF!</v>
      </c>
      <c r="K144" s="171" t="e">
        <f>#REF!</f>
        <v>#REF!</v>
      </c>
      <c r="L144" s="171" t="e">
        <f>#REF!</f>
        <v>#REF!</v>
      </c>
      <c r="M144" s="171" t="e">
        <f>#REF!</f>
        <v>#REF!</v>
      </c>
      <c r="N144" s="171" t="e">
        <f>#REF!</f>
        <v>#REF!</v>
      </c>
      <c r="O144" s="171" t="e">
        <f>#REF!</f>
        <v>#REF!</v>
      </c>
      <c r="P144" s="171" t="e">
        <f>#REF!</f>
        <v>#REF!</v>
      </c>
      <c r="Q144" s="171" t="e">
        <f>#REF!</f>
        <v>#REF!</v>
      </c>
      <c r="R144" s="171" t="e">
        <f>#REF!</f>
        <v>#REF!</v>
      </c>
      <c r="S144" s="171" t="e">
        <f>#REF!</f>
        <v>#REF!</v>
      </c>
      <c r="T144" s="175" t="e">
        <f>#REF!</f>
        <v>#REF!</v>
      </c>
      <c r="U144" s="175" t="e">
        <f>#REF!</f>
        <v>#REF!</v>
      </c>
      <c r="V144" s="175" t="e">
        <f>#REF!</f>
        <v>#REF!</v>
      </c>
      <c r="W144" s="175" t="e">
        <f>#REF!</f>
        <v>#REF!</v>
      </c>
      <c r="X144" s="175" t="e">
        <f>#REF!</f>
        <v>#REF!</v>
      </c>
    </row>
    <row r="145" spans="1:24" ht="24.95" customHeight="1" x14ac:dyDescent="0.2">
      <c r="A145" s="168" t="e">
        <f>#REF!</f>
        <v>#REF!</v>
      </c>
      <c r="B145" s="169" t="e">
        <f>#REF!</f>
        <v>#REF!</v>
      </c>
      <c r="C145" s="170" t="e">
        <f>#REF!</f>
        <v>#REF!</v>
      </c>
      <c r="D145" s="171" t="e">
        <f>#REF!</f>
        <v>#REF!</v>
      </c>
      <c r="E145" s="171" t="e">
        <f>#REF!</f>
        <v>#REF!</v>
      </c>
      <c r="F145" s="171" t="e">
        <f>#REF!</f>
        <v>#REF!</v>
      </c>
      <c r="G145" s="171" t="e">
        <f>#REF!</f>
        <v>#REF!</v>
      </c>
      <c r="H145" s="171" t="e">
        <f>#REF!</f>
        <v>#REF!</v>
      </c>
      <c r="I145" s="171" t="e">
        <f>#REF!</f>
        <v>#REF!</v>
      </c>
      <c r="J145" s="171" t="e">
        <f>#REF!</f>
        <v>#REF!</v>
      </c>
      <c r="K145" s="171" t="e">
        <f>#REF!</f>
        <v>#REF!</v>
      </c>
      <c r="L145" s="171" t="e">
        <f>#REF!</f>
        <v>#REF!</v>
      </c>
      <c r="M145" s="171" t="e">
        <f>#REF!</f>
        <v>#REF!</v>
      </c>
      <c r="N145" s="171" t="e">
        <f>#REF!</f>
        <v>#REF!</v>
      </c>
      <c r="O145" s="171" t="e">
        <f>#REF!</f>
        <v>#REF!</v>
      </c>
      <c r="P145" s="171" t="e">
        <f>#REF!</f>
        <v>#REF!</v>
      </c>
      <c r="Q145" s="171" t="e">
        <f>#REF!</f>
        <v>#REF!</v>
      </c>
      <c r="R145" s="171" t="e">
        <f>#REF!</f>
        <v>#REF!</v>
      </c>
      <c r="S145" s="171" t="e">
        <f>#REF!</f>
        <v>#REF!</v>
      </c>
      <c r="T145" s="175" t="e">
        <f>#REF!</f>
        <v>#REF!</v>
      </c>
      <c r="U145" s="175" t="e">
        <f>#REF!</f>
        <v>#REF!</v>
      </c>
      <c r="V145" s="175" t="e">
        <f>#REF!</f>
        <v>#REF!</v>
      </c>
      <c r="W145" s="175" t="e">
        <f>#REF!</f>
        <v>#REF!</v>
      </c>
      <c r="X145" s="175" t="e">
        <f>#REF!</f>
        <v>#REF!</v>
      </c>
    </row>
    <row r="146" spans="1:24" ht="24.95" customHeight="1" x14ac:dyDescent="0.2">
      <c r="A146" s="168" t="e">
        <f>#REF!</f>
        <v>#REF!</v>
      </c>
      <c r="B146" s="169" t="e">
        <f>#REF!</f>
        <v>#REF!</v>
      </c>
      <c r="C146" s="170" t="e">
        <f>#REF!</f>
        <v>#REF!</v>
      </c>
      <c r="D146" s="171" t="e">
        <f>#REF!</f>
        <v>#REF!</v>
      </c>
      <c r="E146" s="171" t="e">
        <f>#REF!</f>
        <v>#REF!</v>
      </c>
      <c r="F146" s="171" t="e">
        <f>#REF!</f>
        <v>#REF!</v>
      </c>
      <c r="G146" s="171" t="e">
        <f>#REF!</f>
        <v>#REF!</v>
      </c>
      <c r="H146" s="171" t="e">
        <f>#REF!</f>
        <v>#REF!</v>
      </c>
      <c r="I146" s="171" t="e">
        <f>#REF!</f>
        <v>#REF!</v>
      </c>
      <c r="J146" s="171" t="e">
        <f>#REF!</f>
        <v>#REF!</v>
      </c>
      <c r="K146" s="171" t="e">
        <f>#REF!</f>
        <v>#REF!</v>
      </c>
      <c r="L146" s="171" t="e">
        <f>#REF!</f>
        <v>#REF!</v>
      </c>
      <c r="M146" s="171" t="e">
        <f>#REF!</f>
        <v>#REF!</v>
      </c>
      <c r="N146" s="171" t="e">
        <f>#REF!</f>
        <v>#REF!</v>
      </c>
      <c r="O146" s="171" t="e">
        <f>#REF!</f>
        <v>#REF!</v>
      </c>
      <c r="P146" s="171" t="e">
        <f>#REF!</f>
        <v>#REF!</v>
      </c>
      <c r="Q146" s="171" t="e">
        <f>#REF!</f>
        <v>#REF!</v>
      </c>
      <c r="R146" s="171" t="e">
        <f>#REF!</f>
        <v>#REF!</v>
      </c>
      <c r="S146" s="171" t="e">
        <f>#REF!</f>
        <v>#REF!</v>
      </c>
      <c r="T146" s="175" t="e">
        <f>#REF!</f>
        <v>#REF!</v>
      </c>
      <c r="U146" s="175" t="e">
        <f>#REF!</f>
        <v>#REF!</v>
      </c>
      <c r="V146" s="175" t="e">
        <f>#REF!</f>
        <v>#REF!</v>
      </c>
      <c r="W146" s="175" t="e">
        <f>#REF!</f>
        <v>#REF!</v>
      </c>
      <c r="X146" s="175" t="e">
        <f>#REF!</f>
        <v>#REF!</v>
      </c>
    </row>
    <row r="147" spans="1:24" ht="24.95" customHeight="1" x14ac:dyDescent="0.2">
      <c r="A147" s="168" t="e">
        <f>#REF!</f>
        <v>#REF!</v>
      </c>
      <c r="B147" s="169" t="e">
        <f>#REF!</f>
        <v>#REF!</v>
      </c>
      <c r="C147" s="170" t="e">
        <f>#REF!</f>
        <v>#REF!</v>
      </c>
      <c r="D147" s="171" t="e">
        <f>#REF!</f>
        <v>#REF!</v>
      </c>
      <c r="E147" s="171" t="e">
        <f>#REF!</f>
        <v>#REF!</v>
      </c>
      <c r="F147" s="171" t="e">
        <f>#REF!</f>
        <v>#REF!</v>
      </c>
      <c r="G147" s="171" t="e">
        <f>#REF!</f>
        <v>#REF!</v>
      </c>
      <c r="H147" s="171" t="e">
        <f>#REF!</f>
        <v>#REF!</v>
      </c>
      <c r="I147" s="171" t="e">
        <f>#REF!</f>
        <v>#REF!</v>
      </c>
      <c r="J147" s="171" t="e">
        <f>#REF!</f>
        <v>#REF!</v>
      </c>
      <c r="K147" s="171" t="e">
        <f>#REF!</f>
        <v>#REF!</v>
      </c>
      <c r="L147" s="171" t="e">
        <f>#REF!</f>
        <v>#REF!</v>
      </c>
      <c r="M147" s="171" t="e">
        <f>#REF!</f>
        <v>#REF!</v>
      </c>
      <c r="N147" s="171" t="e">
        <f>#REF!</f>
        <v>#REF!</v>
      </c>
      <c r="O147" s="171" t="e">
        <f>#REF!</f>
        <v>#REF!</v>
      </c>
      <c r="P147" s="171" t="e">
        <f>#REF!</f>
        <v>#REF!</v>
      </c>
      <c r="Q147" s="171" t="e">
        <f>#REF!</f>
        <v>#REF!</v>
      </c>
      <c r="R147" s="171" t="e">
        <f>#REF!</f>
        <v>#REF!</v>
      </c>
      <c r="S147" s="171" t="e">
        <f>#REF!</f>
        <v>#REF!</v>
      </c>
      <c r="T147" s="175" t="e">
        <f>#REF!</f>
        <v>#REF!</v>
      </c>
      <c r="U147" s="175" t="e">
        <f>#REF!</f>
        <v>#REF!</v>
      </c>
      <c r="V147" s="175" t="e">
        <f>#REF!</f>
        <v>#REF!</v>
      </c>
      <c r="W147" s="175" t="e">
        <f>#REF!</f>
        <v>#REF!</v>
      </c>
      <c r="X147" s="175" t="e">
        <f>#REF!</f>
        <v>#REF!</v>
      </c>
    </row>
    <row r="148" spans="1:24" ht="24.95" customHeight="1" x14ac:dyDescent="0.2">
      <c r="A148" s="168" t="e">
        <f>#REF!</f>
        <v>#REF!</v>
      </c>
      <c r="B148" s="169" t="e">
        <f>#REF!</f>
        <v>#REF!</v>
      </c>
      <c r="C148" s="170" t="e">
        <f>#REF!</f>
        <v>#REF!</v>
      </c>
      <c r="D148" s="171" t="e">
        <f>#REF!</f>
        <v>#REF!</v>
      </c>
      <c r="E148" s="171" t="e">
        <f>#REF!</f>
        <v>#REF!</v>
      </c>
      <c r="F148" s="171" t="e">
        <f>#REF!</f>
        <v>#REF!</v>
      </c>
      <c r="G148" s="171" t="e">
        <f>#REF!</f>
        <v>#REF!</v>
      </c>
      <c r="H148" s="171" t="e">
        <f>#REF!</f>
        <v>#REF!</v>
      </c>
      <c r="I148" s="171" t="e">
        <f>#REF!</f>
        <v>#REF!</v>
      </c>
      <c r="J148" s="171" t="e">
        <f>#REF!</f>
        <v>#REF!</v>
      </c>
      <c r="K148" s="171" t="e">
        <f>#REF!</f>
        <v>#REF!</v>
      </c>
      <c r="L148" s="171" t="e">
        <f>#REF!</f>
        <v>#REF!</v>
      </c>
      <c r="M148" s="171" t="e">
        <f>#REF!</f>
        <v>#REF!</v>
      </c>
      <c r="N148" s="171" t="e">
        <f>#REF!</f>
        <v>#REF!</v>
      </c>
      <c r="O148" s="171" t="e">
        <f>#REF!</f>
        <v>#REF!</v>
      </c>
      <c r="P148" s="171" t="e">
        <f>#REF!</f>
        <v>#REF!</v>
      </c>
      <c r="Q148" s="171" t="e">
        <f>#REF!</f>
        <v>#REF!</v>
      </c>
      <c r="R148" s="171" t="e">
        <f>#REF!</f>
        <v>#REF!</v>
      </c>
      <c r="S148" s="171" t="e">
        <f>#REF!</f>
        <v>#REF!</v>
      </c>
      <c r="T148" s="175" t="e">
        <f>#REF!</f>
        <v>#REF!</v>
      </c>
      <c r="U148" s="175" t="e">
        <f>#REF!</f>
        <v>#REF!</v>
      </c>
      <c r="V148" s="175" t="e">
        <f>#REF!</f>
        <v>#REF!</v>
      </c>
      <c r="W148" s="175" t="e">
        <f>#REF!</f>
        <v>#REF!</v>
      </c>
      <c r="X148" s="175" t="e">
        <f>#REF!</f>
        <v>#REF!</v>
      </c>
    </row>
    <row r="149" spans="1:24" ht="24.95" customHeight="1" x14ac:dyDescent="0.2">
      <c r="A149" s="168" t="e">
        <f>#REF!</f>
        <v>#REF!</v>
      </c>
      <c r="B149" s="169" t="e">
        <f>#REF!</f>
        <v>#REF!</v>
      </c>
      <c r="C149" s="170" t="e">
        <f>#REF!</f>
        <v>#REF!</v>
      </c>
      <c r="D149" s="171" t="e">
        <f>#REF!</f>
        <v>#REF!</v>
      </c>
      <c r="E149" s="171" t="e">
        <f>#REF!</f>
        <v>#REF!</v>
      </c>
      <c r="F149" s="171" t="e">
        <f>#REF!</f>
        <v>#REF!</v>
      </c>
      <c r="G149" s="171" t="e">
        <f>#REF!</f>
        <v>#REF!</v>
      </c>
      <c r="H149" s="171" t="e">
        <f>#REF!</f>
        <v>#REF!</v>
      </c>
      <c r="I149" s="171" t="e">
        <f>#REF!</f>
        <v>#REF!</v>
      </c>
      <c r="J149" s="171" t="e">
        <f>#REF!</f>
        <v>#REF!</v>
      </c>
      <c r="K149" s="171" t="e">
        <f>#REF!</f>
        <v>#REF!</v>
      </c>
      <c r="L149" s="171" t="e">
        <f>#REF!</f>
        <v>#REF!</v>
      </c>
      <c r="M149" s="171" t="e">
        <f>#REF!</f>
        <v>#REF!</v>
      </c>
      <c r="N149" s="171" t="e">
        <f>#REF!</f>
        <v>#REF!</v>
      </c>
      <c r="O149" s="171" t="e">
        <f>#REF!</f>
        <v>#REF!</v>
      </c>
      <c r="P149" s="171" t="e">
        <f>#REF!</f>
        <v>#REF!</v>
      </c>
      <c r="Q149" s="171" t="e">
        <f>#REF!</f>
        <v>#REF!</v>
      </c>
      <c r="R149" s="171" t="e">
        <f>#REF!</f>
        <v>#REF!</v>
      </c>
      <c r="S149" s="171" t="e">
        <f>#REF!</f>
        <v>#REF!</v>
      </c>
      <c r="T149" s="175" t="e">
        <f>#REF!</f>
        <v>#REF!</v>
      </c>
      <c r="U149" s="175" t="e">
        <f>#REF!</f>
        <v>#REF!</v>
      </c>
      <c r="V149" s="175" t="e">
        <f>#REF!</f>
        <v>#REF!</v>
      </c>
      <c r="W149" s="175" t="e">
        <f>#REF!</f>
        <v>#REF!</v>
      </c>
      <c r="X149" s="175" t="e">
        <f>#REF!</f>
        <v>#REF!</v>
      </c>
    </row>
    <row r="150" spans="1:24" ht="24.95" customHeight="1" x14ac:dyDescent="0.2">
      <c r="A150" s="168" t="e">
        <f>#REF!</f>
        <v>#REF!</v>
      </c>
      <c r="B150" s="169" t="e">
        <f>#REF!</f>
        <v>#REF!</v>
      </c>
      <c r="C150" s="170" t="e">
        <f>#REF!</f>
        <v>#REF!</v>
      </c>
      <c r="D150" s="171" t="e">
        <f>#REF!</f>
        <v>#REF!</v>
      </c>
      <c r="E150" s="171" t="e">
        <f>#REF!</f>
        <v>#REF!</v>
      </c>
      <c r="F150" s="171" t="e">
        <f>#REF!</f>
        <v>#REF!</v>
      </c>
      <c r="G150" s="171" t="e">
        <f>#REF!</f>
        <v>#REF!</v>
      </c>
      <c r="H150" s="171" t="e">
        <f>#REF!</f>
        <v>#REF!</v>
      </c>
      <c r="I150" s="171" t="e">
        <f>#REF!</f>
        <v>#REF!</v>
      </c>
      <c r="J150" s="171" t="e">
        <f>#REF!</f>
        <v>#REF!</v>
      </c>
      <c r="K150" s="171" t="e">
        <f>#REF!</f>
        <v>#REF!</v>
      </c>
      <c r="L150" s="171" t="e">
        <f>#REF!</f>
        <v>#REF!</v>
      </c>
      <c r="M150" s="171" t="e">
        <f>#REF!</f>
        <v>#REF!</v>
      </c>
      <c r="N150" s="171" t="e">
        <f>#REF!</f>
        <v>#REF!</v>
      </c>
      <c r="O150" s="171" t="e">
        <f>#REF!</f>
        <v>#REF!</v>
      </c>
      <c r="P150" s="171" t="e">
        <f>#REF!</f>
        <v>#REF!</v>
      </c>
      <c r="Q150" s="171" t="e">
        <f>#REF!</f>
        <v>#REF!</v>
      </c>
      <c r="R150" s="171" t="e">
        <f>#REF!</f>
        <v>#REF!</v>
      </c>
      <c r="S150" s="171" t="e">
        <f>#REF!</f>
        <v>#REF!</v>
      </c>
      <c r="T150" s="175" t="e">
        <f>#REF!</f>
        <v>#REF!</v>
      </c>
      <c r="U150" s="175" t="e">
        <f>#REF!</f>
        <v>#REF!</v>
      </c>
      <c r="V150" s="175" t="e">
        <f>#REF!</f>
        <v>#REF!</v>
      </c>
      <c r="W150" s="175" t="e">
        <f>#REF!</f>
        <v>#REF!</v>
      </c>
      <c r="X150" s="175" t="e">
        <f>#REF!</f>
        <v>#REF!</v>
      </c>
    </row>
    <row r="151" spans="1:24" ht="24.95" customHeight="1" x14ac:dyDescent="0.2">
      <c r="A151" s="168" t="e">
        <f>#REF!</f>
        <v>#REF!</v>
      </c>
      <c r="B151" s="169" t="e">
        <f>#REF!</f>
        <v>#REF!</v>
      </c>
      <c r="C151" s="170" t="e">
        <f>#REF!</f>
        <v>#REF!</v>
      </c>
      <c r="D151" s="171" t="e">
        <f>#REF!</f>
        <v>#REF!</v>
      </c>
      <c r="E151" s="171" t="e">
        <f>#REF!</f>
        <v>#REF!</v>
      </c>
      <c r="F151" s="171" t="e">
        <f>#REF!</f>
        <v>#REF!</v>
      </c>
      <c r="G151" s="171" t="e">
        <f>#REF!</f>
        <v>#REF!</v>
      </c>
      <c r="H151" s="171" t="e">
        <f>#REF!</f>
        <v>#REF!</v>
      </c>
      <c r="I151" s="171" t="e">
        <f>#REF!</f>
        <v>#REF!</v>
      </c>
      <c r="J151" s="171" t="e">
        <f>#REF!</f>
        <v>#REF!</v>
      </c>
      <c r="K151" s="171" t="e">
        <f>#REF!</f>
        <v>#REF!</v>
      </c>
      <c r="L151" s="171" t="e">
        <f>#REF!</f>
        <v>#REF!</v>
      </c>
      <c r="M151" s="171" t="e">
        <f>#REF!</f>
        <v>#REF!</v>
      </c>
      <c r="N151" s="171" t="e">
        <f>#REF!</f>
        <v>#REF!</v>
      </c>
      <c r="O151" s="171" t="e">
        <f>#REF!</f>
        <v>#REF!</v>
      </c>
      <c r="P151" s="171" t="e">
        <f>#REF!</f>
        <v>#REF!</v>
      </c>
      <c r="Q151" s="171" t="e">
        <f>#REF!</f>
        <v>#REF!</v>
      </c>
      <c r="R151" s="171" t="e">
        <f>#REF!</f>
        <v>#REF!</v>
      </c>
      <c r="S151" s="171" t="e">
        <f>#REF!</f>
        <v>#REF!</v>
      </c>
      <c r="T151" s="175" t="e">
        <f>#REF!</f>
        <v>#REF!</v>
      </c>
      <c r="U151" s="175" t="e">
        <f>#REF!</f>
        <v>#REF!</v>
      </c>
      <c r="V151" s="175" t="e">
        <f>#REF!</f>
        <v>#REF!</v>
      </c>
      <c r="W151" s="175" t="e">
        <f>#REF!</f>
        <v>#REF!</v>
      </c>
      <c r="X151" s="175" t="e">
        <f>#REF!</f>
        <v>#REF!</v>
      </c>
    </row>
    <row r="152" spans="1:24" ht="24.95" customHeight="1" x14ac:dyDescent="0.2">
      <c r="A152" s="168" t="e">
        <f>#REF!</f>
        <v>#REF!</v>
      </c>
      <c r="B152" s="169" t="e">
        <f>#REF!</f>
        <v>#REF!</v>
      </c>
      <c r="C152" s="170" t="e">
        <f>#REF!</f>
        <v>#REF!</v>
      </c>
      <c r="D152" s="171" t="e">
        <f>#REF!</f>
        <v>#REF!</v>
      </c>
      <c r="E152" s="171" t="e">
        <f>#REF!</f>
        <v>#REF!</v>
      </c>
      <c r="F152" s="171" t="e">
        <f>#REF!</f>
        <v>#REF!</v>
      </c>
      <c r="G152" s="171" t="e">
        <f>#REF!</f>
        <v>#REF!</v>
      </c>
      <c r="H152" s="171" t="e">
        <f>#REF!</f>
        <v>#REF!</v>
      </c>
      <c r="I152" s="171" t="e">
        <f>#REF!</f>
        <v>#REF!</v>
      </c>
      <c r="J152" s="171" t="e">
        <f>#REF!</f>
        <v>#REF!</v>
      </c>
      <c r="K152" s="171" t="e">
        <f>#REF!</f>
        <v>#REF!</v>
      </c>
      <c r="L152" s="171" t="e">
        <f>#REF!</f>
        <v>#REF!</v>
      </c>
      <c r="M152" s="171" t="e">
        <f>#REF!</f>
        <v>#REF!</v>
      </c>
      <c r="N152" s="171" t="e">
        <f>#REF!</f>
        <v>#REF!</v>
      </c>
      <c r="O152" s="171" t="e">
        <f>#REF!</f>
        <v>#REF!</v>
      </c>
      <c r="P152" s="171" t="e">
        <f>#REF!</f>
        <v>#REF!</v>
      </c>
      <c r="Q152" s="171" t="e">
        <f>#REF!</f>
        <v>#REF!</v>
      </c>
      <c r="R152" s="171" t="e">
        <f>#REF!</f>
        <v>#REF!</v>
      </c>
      <c r="S152" s="171" t="e">
        <f>#REF!</f>
        <v>#REF!</v>
      </c>
      <c r="T152" s="175" t="e">
        <f>#REF!</f>
        <v>#REF!</v>
      </c>
      <c r="U152" s="175" t="e">
        <f>#REF!</f>
        <v>#REF!</v>
      </c>
      <c r="V152" s="175" t="e">
        <f>#REF!</f>
        <v>#REF!</v>
      </c>
      <c r="W152" s="175" t="e">
        <f>#REF!</f>
        <v>#REF!</v>
      </c>
      <c r="X152" s="175" t="e">
        <f>#REF!</f>
        <v>#REF!</v>
      </c>
    </row>
    <row r="153" spans="1:24" ht="24.95" customHeight="1" x14ac:dyDescent="0.2">
      <c r="A153" s="168" t="e">
        <f>#REF!</f>
        <v>#REF!</v>
      </c>
      <c r="B153" s="169" t="e">
        <f>#REF!</f>
        <v>#REF!</v>
      </c>
      <c r="C153" s="170" t="e">
        <f>#REF!</f>
        <v>#REF!</v>
      </c>
      <c r="D153" s="171" t="e">
        <f>#REF!</f>
        <v>#REF!</v>
      </c>
      <c r="E153" s="171" t="e">
        <f>#REF!</f>
        <v>#REF!</v>
      </c>
      <c r="F153" s="171" t="e">
        <f>#REF!</f>
        <v>#REF!</v>
      </c>
      <c r="G153" s="171" t="e">
        <f>#REF!</f>
        <v>#REF!</v>
      </c>
      <c r="H153" s="171" t="e">
        <f>#REF!</f>
        <v>#REF!</v>
      </c>
      <c r="I153" s="171" t="e">
        <f>#REF!</f>
        <v>#REF!</v>
      </c>
      <c r="J153" s="171" t="e">
        <f>#REF!</f>
        <v>#REF!</v>
      </c>
      <c r="K153" s="171" t="e">
        <f>#REF!</f>
        <v>#REF!</v>
      </c>
      <c r="L153" s="171" t="e">
        <f>#REF!</f>
        <v>#REF!</v>
      </c>
      <c r="M153" s="171" t="e">
        <f>#REF!</f>
        <v>#REF!</v>
      </c>
      <c r="N153" s="171" t="e">
        <f>#REF!</f>
        <v>#REF!</v>
      </c>
      <c r="O153" s="171" t="e">
        <f>#REF!</f>
        <v>#REF!</v>
      </c>
      <c r="P153" s="171" t="e">
        <f>#REF!</f>
        <v>#REF!</v>
      </c>
      <c r="Q153" s="171" t="e">
        <f>#REF!</f>
        <v>#REF!</v>
      </c>
      <c r="R153" s="171" t="e">
        <f>#REF!</f>
        <v>#REF!</v>
      </c>
      <c r="S153" s="171" t="e">
        <f>#REF!</f>
        <v>#REF!</v>
      </c>
      <c r="T153" s="175" t="e">
        <f>#REF!</f>
        <v>#REF!</v>
      </c>
      <c r="U153" s="175" t="e">
        <f>#REF!</f>
        <v>#REF!</v>
      </c>
      <c r="V153" s="175" t="e">
        <f>#REF!</f>
        <v>#REF!</v>
      </c>
      <c r="W153" s="175" t="e">
        <f>#REF!</f>
        <v>#REF!</v>
      </c>
      <c r="X153" s="175" t="e">
        <f>#REF!</f>
        <v>#REF!</v>
      </c>
    </row>
    <row r="154" spans="1:24" ht="24.95" customHeight="1" x14ac:dyDescent="0.2">
      <c r="A154" s="168" t="e">
        <f>#REF!</f>
        <v>#REF!</v>
      </c>
      <c r="B154" s="169" t="e">
        <f>#REF!</f>
        <v>#REF!</v>
      </c>
      <c r="C154" s="170" t="e">
        <f>#REF!</f>
        <v>#REF!</v>
      </c>
      <c r="D154" s="171" t="e">
        <f>#REF!</f>
        <v>#REF!</v>
      </c>
      <c r="E154" s="171" t="e">
        <f>#REF!</f>
        <v>#REF!</v>
      </c>
      <c r="F154" s="171" t="e">
        <f>#REF!</f>
        <v>#REF!</v>
      </c>
      <c r="G154" s="171" t="e">
        <f>#REF!</f>
        <v>#REF!</v>
      </c>
      <c r="H154" s="171" t="e">
        <f>#REF!</f>
        <v>#REF!</v>
      </c>
      <c r="I154" s="171" t="e">
        <f>#REF!</f>
        <v>#REF!</v>
      </c>
      <c r="J154" s="171" t="e">
        <f>#REF!</f>
        <v>#REF!</v>
      </c>
      <c r="K154" s="171" t="e">
        <f>#REF!</f>
        <v>#REF!</v>
      </c>
      <c r="L154" s="171" t="e">
        <f>#REF!</f>
        <v>#REF!</v>
      </c>
      <c r="M154" s="171" t="e">
        <f>#REF!</f>
        <v>#REF!</v>
      </c>
      <c r="N154" s="171" t="e">
        <f>#REF!</f>
        <v>#REF!</v>
      </c>
      <c r="O154" s="171" t="e">
        <f>#REF!</f>
        <v>#REF!</v>
      </c>
      <c r="P154" s="171" t="e">
        <f>#REF!</f>
        <v>#REF!</v>
      </c>
      <c r="Q154" s="171" t="e">
        <f>#REF!</f>
        <v>#REF!</v>
      </c>
      <c r="R154" s="171" t="e">
        <f>#REF!</f>
        <v>#REF!</v>
      </c>
      <c r="S154" s="171" t="e">
        <f>#REF!</f>
        <v>#REF!</v>
      </c>
      <c r="T154" s="175" t="e">
        <f>#REF!</f>
        <v>#REF!</v>
      </c>
      <c r="U154" s="175" t="e">
        <f>#REF!</f>
        <v>#REF!</v>
      </c>
      <c r="V154" s="175" t="e">
        <f>#REF!</f>
        <v>#REF!</v>
      </c>
      <c r="W154" s="175" t="e">
        <f>#REF!</f>
        <v>#REF!</v>
      </c>
      <c r="X154" s="175" t="e">
        <f>#REF!</f>
        <v>#REF!</v>
      </c>
    </row>
    <row r="155" spans="1:24" ht="24.95" customHeight="1" x14ac:dyDescent="0.2">
      <c r="A155" s="168" t="e">
        <f>#REF!</f>
        <v>#REF!</v>
      </c>
      <c r="B155" s="169" t="e">
        <f>#REF!</f>
        <v>#REF!</v>
      </c>
      <c r="C155" s="170" t="e">
        <f>#REF!</f>
        <v>#REF!</v>
      </c>
      <c r="D155" s="171" t="e">
        <f>#REF!</f>
        <v>#REF!</v>
      </c>
      <c r="E155" s="171" t="e">
        <f>#REF!</f>
        <v>#REF!</v>
      </c>
      <c r="F155" s="171" t="e">
        <f>#REF!</f>
        <v>#REF!</v>
      </c>
      <c r="G155" s="171" t="e">
        <f>#REF!</f>
        <v>#REF!</v>
      </c>
      <c r="H155" s="171" t="e">
        <f>#REF!</f>
        <v>#REF!</v>
      </c>
      <c r="I155" s="171" t="e">
        <f>#REF!</f>
        <v>#REF!</v>
      </c>
      <c r="J155" s="171" t="e">
        <f>#REF!</f>
        <v>#REF!</v>
      </c>
      <c r="K155" s="171" t="e">
        <f>#REF!</f>
        <v>#REF!</v>
      </c>
      <c r="L155" s="171" t="e">
        <f>#REF!</f>
        <v>#REF!</v>
      </c>
      <c r="M155" s="171" t="e">
        <f>#REF!</f>
        <v>#REF!</v>
      </c>
      <c r="N155" s="171" t="e">
        <f>#REF!</f>
        <v>#REF!</v>
      </c>
      <c r="O155" s="171" t="e">
        <f>#REF!</f>
        <v>#REF!</v>
      </c>
      <c r="P155" s="171" t="e">
        <f>#REF!</f>
        <v>#REF!</v>
      </c>
      <c r="Q155" s="171" t="e">
        <f>#REF!</f>
        <v>#REF!</v>
      </c>
      <c r="R155" s="171" t="e">
        <f>#REF!</f>
        <v>#REF!</v>
      </c>
      <c r="S155" s="171" t="e">
        <f>#REF!</f>
        <v>#REF!</v>
      </c>
      <c r="T155" s="175" t="e">
        <f>#REF!</f>
        <v>#REF!</v>
      </c>
      <c r="U155" s="175" t="e">
        <f>#REF!</f>
        <v>#REF!</v>
      </c>
      <c r="V155" s="175" t="e">
        <f>#REF!</f>
        <v>#REF!</v>
      </c>
      <c r="W155" s="175" t="e">
        <f>#REF!</f>
        <v>#REF!</v>
      </c>
      <c r="X155" s="175" t="e">
        <f>#REF!</f>
        <v>#REF!</v>
      </c>
    </row>
    <row r="156" spans="1:24" ht="24.95" customHeight="1" x14ac:dyDescent="0.2">
      <c r="A156" s="168" t="e">
        <f>#REF!</f>
        <v>#REF!</v>
      </c>
      <c r="B156" s="169" t="e">
        <f>#REF!</f>
        <v>#REF!</v>
      </c>
      <c r="C156" s="170" t="e">
        <f>#REF!</f>
        <v>#REF!</v>
      </c>
      <c r="D156" s="171" t="e">
        <f>#REF!</f>
        <v>#REF!</v>
      </c>
      <c r="E156" s="171" t="e">
        <f>#REF!</f>
        <v>#REF!</v>
      </c>
      <c r="F156" s="171" t="e">
        <f>#REF!</f>
        <v>#REF!</v>
      </c>
      <c r="G156" s="171" t="e">
        <f>#REF!</f>
        <v>#REF!</v>
      </c>
      <c r="H156" s="171" t="e">
        <f>#REF!</f>
        <v>#REF!</v>
      </c>
      <c r="I156" s="171" t="e">
        <f>#REF!</f>
        <v>#REF!</v>
      </c>
      <c r="J156" s="171" t="e">
        <f>#REF!</f>
        <v>#REF!</v>
      </c>
      <c r="K156" s="171" t="e">
        <f>#REF!</f>
        <v>#REF!</v>
      </c>
      <c r="L156" s="171" t="e">
        <f>#REF!</f>
        <v>#REF!</v>
      </c>
      <c r="M156" s="171" t="e">
        <f>#REF!</f>
        <v>#REF!</v>
      </c>
      <c r="N156" s="171" t="e">
        <f>#REF!</f>
        <v>#REF!</v>
      </c>
      <c r="O156" s="171" t="e">
        <f>#REF!</f>
        <v>#REF!</v>
      </c>
      <c r="P156" s="171" t="e">
        <f>#REF!</f>
        <v>#REF!</v>
      </c>
      <c r="Q156" s="171" t="e">
        <f>#REF!</f>
        <v>#REF!</v>
      </c>
      <c r="R156" s="171" t="e">
        <f>#REF!</f>
        <v>#REF!</v>
      </c>
      <c r="S156" s="171" t="e">
        <f>#REF!</f>
        <v>#REF!</v>
      </c>
      <c r="T156" s="175" t="e">
        <f>#REF!</f>
        <v>#REF!</v>
      </c>
      <c r="U156" s="175" t="e">
        <f>#REF!</f>
        <v>#REF!</v>
      </c>
      <c r="V156" s="175" t="e">
        <f>#REF!</f>
        <v>#REF!</v>
      </c>
      <c r="W156" s="175" t="e">
        <f>#REF!</f>
        <v>#REF!</v>
      </c>
      <c r="X156" s="175" t="e">
        <f>#REF!</f>
        <v>#REF!</v>
      </c>
    </row>
    <row r="157" spans="1:24" ht="24.95" customHeight="1" x14ac:dyDescent="0.2">
      <c r="A157" s="168" t="e">
        <f>#REF!</f>
        <v>#REF!</v>
      </c>
      <c r="B157" s="169" t="e">
        <f>#REF!</f>
        <v>#REF!</v>
      </c>
      <c r="C157" s="170" t="e">
        <f>#REF!</f>
        <v>#REF!</v>
      </c>
      <c r="D157" s="171" t="e">
        <f>#REF!</f>
        <v>#REF!</v>
      </c>
      <c r="E157" s="171" t="e">
        <f>#REF!</f>
        <v>#REF!</v>
      </c>
      <c r="F157" s="171" t="e">
        <f>#REF!</f>
        <v>#REF!</v>
      </c>
      <c r="G157" s="171" t="e">
        <f>#REF!</f>
        <v>#REF!</v>
      </c>
      <c r="H157" s="171" t="e">
        <f>#REF!</f>
        <v>#REF!</v>
      </c>
      <c r="I157" s="171" t="e">
        <f>#REF!</f>
        <v>#REF!</v>
      </c>
      <c r="J157" s="171" t="e">
        <f>#REF!</f>
        <v>#REF!</v>
      </c>
      <c r="K157" s="171" t="e">
        <f>#REF!</f>
        <v>#REF!</v>
      </c>
      <c r="L157" s="171" t="e">
        <f>#REF!</f>
        <v>#REF!</v>
      </c>
      <c r="M157" s="171" t="e">
        <f>#REF!</f>
        <v>#REF!</v>
      </c>
      <c r="N157" s="171" t="e">
        <f>#REF!</f>
        <v>#REF!</v>
      </c>
      <c r="O157" s="171" t="e">
        <f>#REF!</f>
        <v>#REF!</v>
      </c>
      <c r="P157" s="171" t="e">
        <f>#REF!</f>
        <v>#REF!</v>
      </c>
      <c r="Q157" s="171" t="e">
        <f>#REF!</f>
        <v>#REF!</v>
      </c>
      <c r="R157" s="171" t="e">
        <f>#REF!</f>
        <v>#REF!</v>
      </c>
      <c r="S157" s="171" t="e">
        <f>#REF!</f>
        <v>#REF!</v>
      </c>
      <c r="T157" s="175" t="e">
        <f>#REF!</f>
        <v>#REF!</v>
      </c>
      <c r="U157" s="175" t="e">
        <f>#REF!</f>
        <v>#REF!</v>
      </c>
      <c r="V157" s="175" t="e">
        <f>#REF!</f>
        <v>#REF!</v>
      </c>
      <c r="W157" s="175" t="e">
        <f>#REF!</f>
        <v>#REF!</v>
      </c>
      <c r="X157" s="175" t="e">
        <f>#REF!</f>
        <v>#REF!</v>
      </c>
    </row>
    <row r="158" spans="1:24" ht="24.95" customHeight="1" x14ac:dyDescent="0.2">
      <c r="A158" s="168" t="e">
        <f>#REF!</f>
        <v>#REF!</v>
      </c>
      <c r="B158" s="169" t="e">
        <f>#REF!</f>
        <v>#REF!</v>
      </c>
      <c r="C158" s="170" t="e">
        <f>#REF!</f>
        <v>#REF!</v>
      </c>
      <c r="D158" s="171" t="e">
        <f>#REF!</f>
        <v>#REF!</v>
      </c>
      <c r="E158" s="171" t="e">
        <f>#REF!</f>
        <v>#REF!</v>
      </c>
      <c r="F158" s="171" t="e">
        <f>#REF!</f>
        <v>#REF!</v>
      </c>
      <c r="G158" s="171" t="e">
        <f>#REF!</f>
        <v>#REF!</v>
      </c>
      <c r="H158" s="171" t="e">
        <f>#REF!</f>
        <v>#REF!</v>
      </c>
      <c r="I158" s="171" t="e">
        <f>#REF!</f>
        <v>#REF!</v>
      </c>
      <c r="J158" s="171" t="e">
        <f>#REF!</f>
        <v>#REF!</v>
      </c>
      <c r="K158" s="171" t="e">
        <f>#REF!</f>
        <v>#REF!</v>
      </c>
      <c r="L158" s="171" t="e">
        <f>#REF!</f>
        <v>#REF!</v>
      </c>
      <c r="M158" s="171" t="e">
        <f>#REF!</f>
        <v>#REF!</v>
      </c>
      <c r="N158" s="171" t="e">
        <f>#REF!</f>
        <v>#REF!</v>
      </c>
      <c r="O158" s="171" t="e">
        <f>#REF!</f>
        <v>#REF!</v>
      </c>
      <c r="P158" s="171" t="e">
        <f>#REF!</f>
        <v>#REF!</v>
      </c>
      <c r="Q158" s="171" t="e">
        <f>#REF!</f>
        <v>#REF!</v>
      </c>
      <c r="R158" s="171" t="e">
        <f>#REF!</f>
        <v>#REF!</v>
      </c>
      <c r="S158" s="171" t="e">
        <f>#REF!</f>
        <v>#REF!</v>
      </c>
      <c r="T158" s="175" t="e">
        <f>#REF!</f>
        <v>#REF!</v>
      </c>
      <c r="U158" s="175" t="e">
        <f>#REF!</f>
        <v>#REF!</v>
      </c>
      <c r="V158" s="175" t="e">
        <f>#REF!</f>
        <v>#REF!</v>
      </c>
      <c r="W158" s="175" t="e">
        <f>#REF!</f>
        <v>#REF!</v>
      </c>
      <c r="X158" s="175" t="e">
        <f>#REF!</f>
        <v>#REF!</v>
      </c>
    </row>
    <row r="159" spans="1:24" ht="24.95" customHeight="1" x14ac:dyDescent="0.2">
      <c r="A159" s="168" t="e">
        <f>#REF!</f>
        <v>#REF!</v>
      </c>
      <c r="B159" s="169" t="e">
        <f>#REF!</f>
        <v>#REF!</v>
      </c>
      <c r="C159" s="170" t="e">
        <f>#REF!</f>
        <v>#REF!</v>
      </c>
      <c r="D159" s="171" t="e">
        <f>#REF!</f>
        <v>#REF!</v>
      </c>
      <c r="E159" s="171" t="e">
        <f>#REF!</f>
        <v>#REF!</v>
      </c>
      <c r="F159" s="171" t="e">
        <f>#REF!</f>
        <v>#REF!</v>
      </c>
      <c r="G159" s="171" t="e">
        <f>#REF!</f>
        <v>#REF!</v>
      </c>
      <c r="H159" s="171" t="e">
        <f>#REF!</f>
        <v>#REF!</v>
      </c>
      <c r="I159" s="171" t="e">
        <f>#REF!</f>
        <v>#REF!</v>
      </c>
      <c r="J159" s="171" t="e">
        <f>#REF!</f>
        <v>#REF!</v>
      </c>
      <c r="K159" s="171" t="e">
        <f>#REF!</f>
        <v>#REF!</v>
      </c>
      <c r="L159" s="171" t="e">
        <f>#REF!</f>
        <v>#REF!</v>
      </c>
      <c r="M159" s="171" t="e">
        <f>#REF!</f>
        <v>#REF!</v>
      </c>
      <c r="N159" s="171" t="e">
        <f>#REF!</f>
        <v>#REF!</v>
      </c>
      <c r="O159" s="171" t="e">
        <f>#REF!</f>
        <v>#REF!</v>
      </c>
      <c r="P159" s="171" t="e">
        <f>#REF!</f>
        <v>#REF!</v>
      </c>
      <c r="Q159" s="171" t="e">
        <f>#REF!</f>
        <v>#REF!</v>
      </c>
      <c r="R159" s="171" t="e">
        <f>#REF!</f>
        <v>#REF!</v>
      </c>
      <c r="S159" s="171" t="e">
        <f>#REF!</f>
        <v>#REF!</v>
      </c>
      <c r="T159" s="175" t="e">
        <f>#REF!</f>
        <v>#REF!</v>
      </c>
      <c r="U159" s="175" t="e">
        <f>#REF!</f>
        <v>#REF!</v>
      </c>
      <c r="V159" s="175" t="e">
        <f>#REF!</f>
        <v>#REF!</v>
      </c>
      <c r="W159" s="175" t="e">
        <f>#REF!</f>
        <v>#REF!</v>
      </c>
      <c r="X159" s="175" t="e">
        <f>#REF!</f>
        <v>#REF!</v>
      </c>
    </row>
    <row r="160" spans="1:24" ht="24.95" customHeight="1" x14ac:dyDescent="0.2">
      <c r="A160" s="168" t="e">
        <f>#REF!</f>
        <v>#REF!</v>
      </c>
      <c r="B160" s="169" t="e">
        <f>#REF!</f>
        <v>#REF!</v>
      </c>
      <c r="C160" s="170" t="e">
        <f>#REF!</f>
        <v>#REF!</v>
      </c>
      <c r="D160" s="171" t="e">
        <f>#REF!</f>
        <v>#REF!</v>
      </c>
      <c r="E160" s="171" t="e">
        <f>#REF!</f>
        <v>#REF!</v>
      </c>
      <c r="F160" s="171" t="e">
        <f>#REF!</f>
        <v>#REF!</v>
      </c>
      <c r="G160" s="171" t="e">
        <f>#REF!</f>
        <v>#REF!</v>
      </c>
      <c r="H160" s="171" t="e">
        <f>#REF!</f>
        <v>#REF!</v>
      </c>
      <c r="I160" s="171" t="e">
        <f>#REF!</f>
        <v>#REF!</v>
      </c>
      <c r="J160" s="171" t="e">
        <f>#REF!</f>
        <v>#REF!</v>
      </c>
      <c r="K160" s="171" t="e">
        <f>#REF!</f>
        <v>#REF!</v>
      </c>
      <c r="L160" s="171" t="e">
        <f>#REF!</f>
        <v>#REF!</v>
      </c>
      <c r="M160" s="171" t="e">
        <f>#REF!</f>
        <v>#REF!</v>
      </c>
      <c r="N160" s="171" t="e">
        <f>#REF!</f>
        <v>#REF!</v>
      </c>
      <c r="O160" s="171" t="e">
        <f>#REF!</f>
        <v>#REF!</v>
      </c>
      <c r="P160" s="171" t="e">
        <f>#REF!</f>
        <v>#REF!</v>
      </c>
      <c r="Q160" s="171" t="e">
        <f>#REF!</f>
        <v>#REF!</v>
      </c>
      <c r="R160" s="171" t="e">
        <f>#REF!</f>
        <v>#REF!</v>
      </c>
      <c r="S160" s="171" t="e">
        <f>#REF!</f>
        <v>#REF!</v>
      </c>
      <c r="T160" s="175" t="e">
        <f>#REF!</f>
        <v>#REF!</v>
      </c>
      <c r="U160" s="175" t="e">
        <f>#REF!</f>
        <v>#REF!</v>
      </c>
      <c r="V160" s="175" t="e">
        <f>#REF!</f>
        <v>#REF!</v>
      </c>
      <c r="W160" s="175" t="e">
        <f>#REF!</f>
        <v>#REF!</v>
      </c>
      <c r="X160" s="175" t="e">
        <f>#REF!</f>
        <v>#REF!</v>
      </c>
    </row>
    <row r="161" spans="1:24" ht="24.95" customHeight="1" x14ac:dyDescent="0.2">
      <c r="A161" s="168" t="e">
        <f>#REF!</f>
        <v>#REF!</v>
      </c>
      <c r="B161" s="169" t="e">
        <f>#REF!</f>
        <v>#REF!</v>
      </c>
      <c r="C161" s="170" t="e">
        <f>#REF!</f>
        <v>#REF!</v>
      </c>
      <c r="D161" s="171" t="e">
        <f>#REF!</f>
        <v>#REF!</v>
      </c>
      <c r="E161" s="171" t="e">
        <f>#REF!</f>
        <v>#REF!</v>
      </c>
      <c r="F161" s="171" t="e">
        <f>#REF!</f>
        <v>#REF!</v>
      </c>
      <c r="G161" s="171" t="e">
        <f>#REF!</f>
        <v>#REF!</v>
      </c>
      <c r="H161" s="171" t="e">
        <f>#REF!</f>
        <v>#REF!</v>
      </c>
      <c r="I161" s="171" t="e">
        <f>#REF!</f>
        <v>#REF!</v>
      </c>
      <c r="J161" s="171" t="e">
        <f>#REF!</f>
        <v>#REF!</v>
      </c>
      <c r="K161" s="171" t="e">
        <f>#REF!</f>
        <v>#REF!</v>
      </c>
      <c r="L161" s="171" t="e">
        <f>#REF!</f>
        <v>#REF!</v>
      </c>
      <c r="M161" s="171" t="e">
        <f>#REF!</f>
        <v>#REF!</v>
      </c>
      <c r="N161" s="171" t="e">
        <f>#REF!</f>
        <v>#REF!</v>
      </c>
      <c r="O161" s="171" t="e">
        <f>#REF!</f>
        <v>#REF!</v>
      </c>
      <c r="P161" s="171" t="e">
        <f>#REF!</f>
        <v>#REF!</v>
      </c>
      <c r="Q161" s="171" t="e">
        <f>#REF!</f>
        <v>#REF!</v>
      </c>
      <c r="R161" s="171" t="e">
        <f>#REF!</f>
        <v>#REF!</v>
      </c>
      <c r="S161" s="171" t="e">
        <f>#REF!</f>
        <v>#REF!</v>
      </c>
      <c r="T161" s="175" t="e">
        <f>#REF!</f>
        <v>#REF!</v>
      </c>
      <c r="U161" s="175" t="e">
        <f>#REF!</f>
        <v>#REF!</v>
      </c>
      <c r="V161" s="175" t="e">
        <f>#REF!</f>
        <v>#REF!</v>
      </c>
      <c r="W161" s="175" t="e">
        <f>#REF!</f>
        <v>#REF!</v>
      </c>
      <c r="X161" s="175" t="e">
        <f>#REF!</f>
        <v>#REF!</v>
      </c>
    </row>
    <row r="162" spans="1:24" ht="24.95" customHeight="1" x14ac:dyDescent="0.2">
      <c r="A162" s="168" t="e">
        <f>#REF!</f>
        <v>#REF!</v>
      </c>
      <c r="B162" s="169" t="e">
        <f>#REF!</f>
        <v>#REF!</v>
      </c>
      <c r="C162" s="170" t="e">
        <f>#REF!</f>
        <v>#REF!</v>
      </c>
      <c r="D162" s="171" t="e">
        <f>#REF!</f>
        <v>#REF!</v>
      </c>
      <c r="E162" s="171" t="e">
        <f>#REF!</f>
        <v>#REF!</v>
      </c>
      <c r="F162" s="171" t="e">
        <f>#REF!</f>
        <v>#REF!</v>
      </c>
      <c r="G162" s="171" t="e">
        <f>#REF!</f>
        <v>#REF!</v>
      </c>
      <c r="H162" s="171" t="e">
        <f>#REF!</f>
        <v>#REF!</v>
      </c>
      <c r="I162" s="171" t="e">
        <f>#REF!</f>
        <v>#REF!</v>
      </c>
      <c r="J162" s="171" t="e">
        <f>#REF!</f>
        <v>#REF!</v>
      </c>
      <c r="K162" s="171" t="e">
        <f>#REF!</f>
        <v>#REF!</v>
      </c>
      <c r="L162" s="171" t="e">
        <f>#REF!</f>
        <v>#REF!</v>
      </c>
      <c r="M162" s="171" t="e">
        <f>#REF!</f>
        <v>#REF!</v>
      </c>
      <c r="N162" s="171" t="e">
        <f>#REF!</f>
        <v>#REF!</v>
      </c>
      <c r="O162" s="171" t="e">
        <f>#REF!</f>
        <v>#REF!</v>
      </c>
      <c r="P162" s="171" t="e">
        <f>#REF!</f>
        <v>#REF!</v>
      </c>
      <c r="Q162" s="171" t="e">
        <f>#REF!</f>
        <v>#REF!</v>
      </c>
      <c r="R162" s="171" t="e">
        <f>#REF!</f>
        <v>#REF!</v>
      </c>
      <c r="S162" s="171" t="e">
        <f>#REF!</f>
        <v>#REF!</v>
      </c>
      <c r="T162" s="175" t="e">
        <f>#REF!</f>
        <v>#REF!</v>
      </c>
      <c r="U162" s="175" t="e">
        <f>#REF!</f>
        <v>#REF!</v>
      </c>
      <c r="V162" s="175" t="e">
        <f>#REF!</f>
        <v>#REF!</v>
      </c>
      <c r="W162" s="175" t="e">
        <f>#REF!</f>
        <v>#REF!</v>
      </c>
      <c r="X162" s="175" t="e">
        <f>#REF!</f>
        <v>#REF!</v>
      </c>
    </row>
    <row r="163" spans="1:24" ht="24.95" customHeight="1" x14ac:dyDescent="0.2">
      <c r="A163" s="168" t="e">
        <f>#REF!</f>
        <v>#REF!</v>
      </c>
      <c r="B163" s="169" t="e">
        <f>#REF!</f>
        <v>#REF!</v>
      </c>
      <c r="C163" s="170" t="e">
        <f>#REF!</f>
        <v>#REF!</v>
      </c>
      <c r="D163" s="171" t="e">
        <f>#REF!</f>
        <v>#REF!</v>
      </c>
      <c r="E163" s="171" t="e">
        <f>#REF!</f>
        <v>#REF!</v>
      </c>
      <c r="F163" s="171" t="e">
        <f>#REF!</f>
        <v>#REF!</v>
      </c>
      <c r="G163" s="171" t="e">
        <f>#REF!</f>
        <v>#REF!</v>
      </c>
      <c r="H163" s="171" t="e">
        <f>#REF!</f>
        <v>#REF!</v>
      </c>
      <c r="I163" s="171" t="e">
        <f>#REF!</f>
        <v>#REF!</v>
      </c>
      <c r="J163" s="171" t="e">
        <f>#REF!</f>
        <v>#REF!</v>
      </c>
      <c r="K163" s="171" t="e">
        <f>#REF!</f>
        <v>#REF!</v>
      </c>
      <c r="L163" s="171" t="e">
        <f>#REF!</f>
        <v>#REF!</v>
      </c>
      <c r="M163" s="171" t="e">
        <f>#REF!</f>
        <v>#REF!</v>
      </c>
      <c r="N163" s="171" t="e">
        <f>#REF!</f>
        <v>#REF!</v>
      </c>
      <c r="O163" s="171" t="e">
        <f>#REF!</f>
        <v>#REF!</v>
      </c>
      <c r="P163" s="171" t="e">
        <f>#REF!</f>
        <v>#REF!</v>
      </c>
      <c r="Q163" s="171" t="e">
        <f>#REF!</f>
        <v>#REF!</v>
      </c>
      <c r="R163" s="171" t="e">
        <f>#REF!</f>
        <v>#REF!</v>
      </c>
      <c r="S163" s="171" t="e">
        <f>#REF!</f>
        <v>#REF!</v>
      </c>
      <c r="T163" s="175" t="e">
        <f>#REF!</f>
        <v>#REF!</v>
      </c>
      <c r="U163" s="175" t="e">
        <f>#REF!</f>
        <v>#REF!</v>
      </c>
      <c r="V163" s="175" t="e">
        <f>#REF!</f>
        <v>#REF!</v>
      </c>
      <c r="W163" s="175" t="e">
        <f>#REF!</f>
        <v>#REF!</v>
      </c>
      <c r="X163" s="175" t="e">
        <f>#REF!</f>
        <v>#REF!</v>
      </c>
    </row>
    <row r="164" spans="1:24" ht="24.95" customHeight="1" x14ac:dyDescent="0.2">
      <c r="A164" s="168" t="e">
        <f>#REF!</f>
        <v>#REF!</v>
      </c>
      <c r="B164" s="169" t="e">
        <f>#REF!</f>
        <v>#REF!</v>
      </c>
      <c r="C164" s="170" t="e">
        <f>#REF!</f>
        <v>#REF!</v>
      </c>
      <c r="D164" s="171" t="e">
        <f>#REF!</f>
        <v>#REF!</v>
      </c>
      <c r="E164" s="171" t="e">
        <f>#REF!</f>
        <v>#REF!</v>
      </c>
      <c r="F164" s="171" t="e">
        <f>#REF!</f>
        <v>#REF!</v>
      </c>
      <c r="G164" s="171" t="e">
        <f>#REF!</f>
        <v>#REF!</v>
      </c>
      <c r="H164" s="171" t="e">
        <f>#REF!</f>
        <v>#REF!</v>
      </c>
      <c r="I164" s="171" t="e">
        <f>#REF!</f>
        <v>#REF!</v>
      </c>
      <c r="J164" s="171" t="e">
        <f>#REF!</f>
        <v>#REF!</v>
      </c>
      <c r="K164" s="171" t="e">
        <f>#REF!</f>
        <v>#REF!</v>
      </c>
      <c r="L164" s="171" t="e">
        <f>#REF!</f>
        <v>#REF!</v>
      </c>
      <c r="M164" s="171" t="e">
        <f>#REF!</f>
        <v>#REF!</v>
      </c>
      <c r="N164" s="171" t="e">
        <f>#REF!</f>
        <v>#REF!</v>
      </c>
      <c r="O164" s="171" t="e">
        <f>#REF!</f>
        <v>#REF!</v>
      </c>
      <c r="P164" s="171" t="e">
        <f>#REF!</f>
        <v>#REF!</v>
      </c>
      <c r="Q164" s="171" t="e">
        <f>#REF!</f>
        <v>#REF!</v>
      </c>
      <c r="R164" s="171" t="e">
        <f>#REF!</f>
        <v>#REF!</v>
      </c>
      <c r="S164" s="171" t="e">
        <f>#REF!</f>
        <v>#REF!</v>
      </c>
      <c r="T164" s="175" t="e">
        <f>#REF!</f>
        <v>#REF!</v>
      </c>
      <c r="U164" s="175" t="e">
        <f>#REF!</f>
        <v>#REF!</v>
      </c>
      <c r="V164" s="175" t="e">
        <f>#REF!</f>
        <v>#REF!</v>
      </c>
      <c r="W164" s="175" t="e">
        <f>#REF!</f>
        <v>#REF!</v>
      </c>
      <c r="X164" s="175" t="e">
        <f>#REF!</f>
        <v>#REF!</v>
      </c>
    </row>
    <row r="165" spans="1:24" ht="24.95" customHeight="1" x14ac:dyDescent="0.2">
      <c r="A165" s="168" t="e">
        <f>#REF!</f>
        <v>#REF!</v>
      </c>
      <c r="B165" s="169" t="e">
        <f>#REF!</f>
        <v>#REF!</v>
      </c>
      <c r="C165" s="170" t="e">
        <f>#REF!</f>
        <v>#REF!</v>
      </c>
      <c r="D165" s="171" t="e">
        <f>#REF!</f>
        <v>#REF!</v>
      </c>
      <c r="E165" s="171" t="e">
        <f>#REF!</f>
        <v>#REF!</v>
      </c>
      <c r="F165" s="171" t="e">
        <f>#REF!</f>
        <v>#REF!</v>
      </c>
      <c r="G165" s="171" t="e">
        <f>#REF!</f>
        <v>#REF!</v>
      </c>
      <c r="H165" s="171" t="e">
        <f>#REF!</f>
        <v>#REF!</v>
      </c>
      <c r="I165" s="171" t="e">
        <f>#REF!</f>
        <v>#REF!</v>
      </c>
      <c r="J165" s="171" t="e">
        <f>#REF!</f>
        <v>#REF!</v>
      </c>
      <c r="K165" s="171" t="e">
        <f>#REF!</f>
        <v>#REF!</v>
      </c>
      <c r="L165" s="171" t="e">
        <f>#REF!</f>
        <v>#REF!</v>
      </c>
      <c r="M165" s="171" t="e">
        <f>#REF!</f>
        <v>#REF!</v>
      </c>
      <c r="N165" s="171" t="e">
        <f>#REF!</f>
        <v>#REF!</v>
      </c>
      <c r="O165" s="171" t="e">
        <f>#REF!</f>
        <v>#REF!</v>
      </c>
      <c r="P165" s="171" t="e">
        <f>#REF!</f>
        <v>#REF!</v>
      </c>
      <c r="Q165" s="171" t="e">
        <f>#REF!</f>
        <v>#REF!</v>
      </c>
      <c r="R165" s="171" t="e">
        <f>#REF!</f>
        <v>#REF!</v>
      </c>
      <c r="S165" s="171" t="e">
        <f>#REF!</f>
        <v>#REF!</v>
      </c>
      <c r="T165" s="175" t="e">
        <f>#REF!</f>
        <v>#REF!</v>
      </c>
      <c r="U165" s="175" t="e">
        <f>#REF!</f>
        <v>#REF!</v>
      </c>
      <c r="V165" s="175" t="e">
        <f>#REF!</f>
        <v>#REF!</v>
      </c>
      <c r="W165" s="175" t="e">
        <f>#REF!</f>
        <v>#REF!</v>
      </c>
      <c r="X165" s="175" t="e">
        <f>#REF!</f>
        <v>#REF!</v>
      </c>
    </row>
    <row r="166" spans="1:24" ht="24.95" customHeight="1" x14ac:dyDescent="0.2">
      <c r="A166" s="168" t="e">
        <f>#REF!</f>
        <v>#REF!</v>
      </c>
      <c r="B166" s="169" t="e">
        <f>#REF!</f>
        <v>#REF!</v>
      </c>
      <c r="C166" s="170" t="e">
        <f>#REF!</f>
        <v>#REF!</v>
      </c>
      <c r="D166" s="171" t="e">
        <f>#REF!</f>
        <v>#REF!</v>
      </c>
      <c r="E166" s="171" t="e">
        <f>#REF!</f>
        <v>#REF!</v>
      </c>
      <c r="F166" s="171" t="e">
        <f>#REF!</f>
        <v>#REF!</v>
      </c>
      <c r="G166" s="171" t="e">
        <f>#REF!</f>
        <v>#REF!</v>
      </c>
      <c r="H166" s="171" t="e">
        <f>#REF!</f>
        <v>#REF!</v>
      </c>
      <c r="I166" s="171" t="e">
        <f>#REF!</f>
        <v>#REF!</v>
      </c>
      <c r="J166" s="171" t="e">
        <f>#REF!</f>
        <v>#REF!</v>
      </c>
      <c r="K166" s="171" t="e">
        <f>#REF!</f>
        <v>#REF!</v>
      </c>
      <c r="L166" s="171" t="e">
        <f>#REF!</f>
        <v>#REF!</v>
      </c>
      <c r="M166" s="171" t="e">
        <f>#REF!</f>
        <v>#REF!</v>
      </c>
      <c r="N166" s="171" t="e">
        <f>#REF!</f>
        <v>#REF!</v>
      </c>
      <c r="O166" s="171" t="e">
        <f>#REF!</f>
        <v>#REF!</v>
      </c>
      <c r="P166" s="171" t="e">
        <f>#REF!</f>
        <v>#REF!</v>
      </c>
      <c r="Q166" s="171" t="e">
        <f>#REF!</f>
        <v>#REF!</v>
      </c>
      <c r="R166" s="171" t="e">
        <f>#REF!</f>
        <v>#REF!</v>
      </c>
      <c r="S166" s="171" t="e">
        <f>#REF!</f>
        <v>#REF!</v>
      </c>
      <c r="T166" s="175" t="e">
        <f>#REF!</f>
        <v>#REF!</v>
      </c>
      <c r="U166" s="175" t="e">
        <f>#REF!</f>
        <v>#REF!</v>
      </c>
      <c r="V166" s="175" t="e">
        <f>#REF!</f>
        <v>#REF!</v>
      </c>
      <c r="W166" s="175" t="e">
        <f>#REF!</f>
        <v>#REF!</v>
      </c>
      <c r="X166" s="175" t="e">
        <f>#REF!</f>
        <v>#REF!</v>
      </c>
    </row>
    <row r="167" spans="1:24" ht="24.95" customHeight="1" x14ac:dyDescent="0.2">
      <c r="A167" s="168" t="e">
        <f>#REF!</f>
        <v>#REF!</v>
      </c>
      <c r="B167" s="169" t="e">
        <f>#REF!</f>
        <v>#REF!</v>
      </c>
      <c r="C167" s="170" t="e">
        <f>#REF!</f>
        <v>#REF!</v>
      </c>
      <c r="D167" s="171" t="e">
        <f>#REF!</f>
        <v>#REF!</v>
      </c>
      <c r="E167" s="171" t="e">
        <f>#REF!</f>
        <v>#REF!</v>
      </c>
      <c r="F167" s="171" t="e">
        <f>#REF!</f>
        <v>#REF!</v>
      </c>
      <c r="G167" s="171" t="e">
        <f>#REF!</f>
        <v>#REF!</v>
      </c>
      <c r="H167" s="171" t="e">
        <f>#REF!</f>
        <v>#REF!</v>
      </c>
      <c r="I167" s="171" t="e">
        <f>#REF!</f>
        <v>#REF!</v>
      </c>
      <c r="J167" s="171" t="e">
        <f>#REF!</f>
        <v>#REF!</v>
      </c>
      <c r="K167" s="171" t="e">
        <f>#REF!</f>
        <v>#REF!</v>
      </c>
      <c r="L167" s="171" t="e">
        <f>#REF!</f>
        <v>#REF!</v>
      </c>
      <c r="M167" s="171" t="e">
        <f>#REF!</f>
        <v>#REF!</v>
      </c>
      <c r="N167" s="171" t="e">
        <f>#REF!</f>
        <v>#REF!</v>
      </c>
      <c r="O167" s="171" t="e">
        <f>#REF!</f>
        <v>#REF!</v>
      </c>
      <c r="P167" s="171" t="e">
        <f>#REF!</f>
        <v>#REF!</v>
      </c>
      <c r="Q167" s="171" t="e">
        <f>#REF!</f>
        <v>#REF!</v>
      </c>
      <c r="R167" s="171" t="e">
        <f>#REF!</f>
        <v>#REF!</v>
      </c>
      <c r="S167" s="171" t="e">
        <f>#REF!</f>
        <v>#REF!</v>
      </c>
      <c r="T167" s="175" t="e">
        <f>#REF!</f>
        <v>#REF!</v>
      </c>
      <c r="U167" s="175" t="e">
        <f>#REF!</f>
        <v>#REF!</v>
      </c>
      <c r="V167" s="175" t="e">
        <f>#REF!</f>
        <v>#REF!</v>
      </c>
      <c r="W167" s="175" t="e">
        <f>#REF!</f>
        <v>#REF!</v>
      </c>
      <c r="X167" s="175" t="e">
        <f>#REF!</f>
        <v>#REF!</v>
      </c>
    </row>
    <row r="168" spans="1:24" ht="24.95" customHeight="1" x14ac:dyDescent="0.2">
      <c r="A168" s="168" t="e">
        <f>#REF!</f>
        <v>#REF!</v>
      </c>
      <c r="B168" s="169" t="e">
        <f>#REF!</f>
        <v>#REF!</v>
      </c>
      <c r="C168" s="170" t="e">
        <f>#REF!</f>
        <v>#REF!</v>
      </c>
      <c r="D168" s="171" t="e">
        <f>#REF!</f>
        <v>#REF!</v>
      </c>
      <c r="E168" s="171" t="e">
        <f>#REF!</f>
        <v>#REF!</v>
      </c>
      <c r="F168" s="171" t="e">
        <f>#REF!</f>
        <v>#REF!</v>
      </c>
      <c r="G168" s="171" t="e">
        <f>#REF!</f>
        <v>#REF!</v>
      </c>
      <c r="H168" s="171" t="e">
        <f>#REF!</f>
        <v>#REF!</v>
      </c>
      <c r="I168" s="171" t="e">
        <f>#REF!</f>
        <v>#REF!</v>
      </c>
      <c r="J168" s="171" t="e">
        <f>#REF!</f>
        <v>#REF!</v>
      </c>
      <c r="K168" s="171" t="e">
        <f>#REF!</f>
        <v>#REF!</v>
      </c>
      <c r="L168" s="171" t="e">
        <f>#REF!</f>
        <v>#REF!</v>
      </c>
      <c r="M168" s="171" t="e">
        <f>#REF!</f>
        <v>#REF!</v>
      </c>
      <c r="N168" s="171" t="e">
        <f>#REF!</f>
        <v>#REF!</v>
      </c>
      <c r="O168" s="171" t="e">
        <f>#REF!</f>
        <v>#REF!</v>
      </c>
      <c r="P168" s="171" t="e">
        <f>#REF!</f>
        <v>#REF!</v>
      </c>
      <c r="Q168" s="171" t="e">
        <f>#REF!</f>
        <v>#REF!</v>
      </c>
      <c r="R168" s="171" t="e">
        <f>#REF!</f>
        <v>#REF!</v>
      </c>
      <c r="S168" s="171" t="e">
        <f>#REF!</f>
        <v>#REF!</v>
      </c>
      <c r="T168" s="175" t="e">
        <f>#REF!</f>
        <v>#REF!</v>
      </c>
      <c r="U168" s="175" t="e">
        <f>#REF!</f>
        <v>#REF!</v>
      </c>
      <c r="V168" s="175" t="e">
        <f>#REF!</f>
        <v>#REF!</v>
      </c>
      <c r="W168" s="175" t="e">
        <f>#REF!</f>
        <v>#REF!</v>
      </c>
      <c r="X168" s="175" t="e">
        <f>#REF!</f>
        <v>#REF!</v>
      </c>
    </row>
    <row r="169" spans="1:24" ht="24.95" customHeight="1" x14ac:dyDescent="0.2">
      <c r="A169" s="168" t="e">
        <f>#REF!</f>
        <v>#REF!</v>
      </c>
      <c r="B169" s="169" t="e">
        <f>#REF!</f>
        <v>#REF!</v>
      </c>
      <c r="C169" s="170" t="e">
        <f>#REF!</f>
        <v>#REF!</v>
      </c>
      <c r="D169" s="171" t="e">
        <f>#REF!</f>
        <v>#REF!</v>
      </c>
      <c r="E169" s="171" t="e">
        <f>#REF!</f>
        <v>#REF!</v>
      </c>
      <c r="F169" s="171" t="e">
        <f>#REF!</f>
        <v>#REF!</v>
      </c>
      <c r="G169" s="171" t="e">
        <f>#REF!</f>
        <v>#REF!</v>
      </c>
      <c r="H169" s="171" t="e">
        <f>#REF!</f>
        <v>#REF!</v>
      </c>
      <c r="I169" s="171" t="e">
        <f>#REF!</f>
        <v>#REF!</v>
      </c>
      <c r="J169" s="171" t="e">
        <f>#REF!</f>
        <v>#REF!</v>
      </c>
      <c r="K169" s="171" t="e">
        <f>#REF!</f>
        <v>#REF!</v>
      </c>
      <c r="L169" s="171" t="e">
        <f>#REF!</f>
        <v>#REF!</v>
      </c>
      <c r="M169" s="171" t="e">
        <f>#REF!</f>
        <v>#REF!</v>
      </c>
      <c r="N169" s="171" t="e">
        <f>#REF!</f>
        <v>#REF!</v>
      </c>
      <c r="O169" s="171" t="e">
        <f>#REF!</f>
        <v>#REF!</v>
      </c>
      <c r="P169" s="171" t="e">
        <f>#REF!</f>
        <v>#REF!</v>
      </c>
      <c r="Q169" s="171" t="e">
        <f>#REF!</f>
        <v>#REF!</v>
      </c>
      <c r="R169" s="171" t="e">
        <f>#REF!</f>
        <v>#REF!</v>
      </c>
      <c r="S169" s="171" t="e">
        <f>#REF!</f>
        <v>#REF!</v>
      </c>
      <c r="T169" s="175" t="e">
        <f>#REF!</f>
        <v>#REF!</v>
      </c>
      <c r="U169" s="175" t="e">
        <f>#REF!</f>
        <v>#REF!</v>
      </c>
      <c r="V169" s="175" t="e">
        <f>#REF!</f>
        <v>#REF!</v>
      </c>
      <c r="W169" s="175" t="e">
        <f>#REF!</f>
        <v>#REF!</v>
      </c>
      <c r="X169" s="175" t="e">
        <f>#REF!</f>
        <v>#REF!</v>
      </c>
    </row>
    <row r="170" spans="1:24" ht="24.95" customHeight="1" x14ac:dyDescent="0.2">
      <c r="A170" s="168" t="e">
        <f>#REF!</f>
        <v>#REF!</v>
      </c>
      <c r="B170" s="169" t="e">
        <f>#REF!</f>
        <v>#REF!</v>
      </c>
      <c r="C170" s="170" t="e">
        <f>#REF!</f>
        <v>#REF!</v>
      </c>
      <c r="D170" s="171" t="e">
        <f>#REF!</f>
        <v>#REF!</v>
      </c>
      <c r="E170" s="171" t="e">
        <f>#REF!</f>
        <v>#REF!</v>
      </c>
      <c r="F170" s="171" t="e">
        <f>#REF!</f>
        <v>#REF!</v>
      </c>
      <c r="G170" s="171" t="e">
        <f>#REF!</f>
        <v>#REF!</v>
      </c>
      <c r="H170" s="171" t="e">
        <f>#REF!</f>
        <v>#REF!</v>
      </c>
      <c r="I170" s="171" t="e">
        <f>#REF!</f>
        <v>#REF!</v>
      </c>
      <c r="J170" s="171" t="e">
        <f>#REF!</f>
        <v>#REF!</v>
      </c>
      <c r="K170" s="171" t="e">
        <f>#REF!</f>
        <v>#REF!</v>
      </c>
      <c r="L170" s="171" t="e">
        <f>#REF!</f>
        <v>#REF!</v>
      </c>
      <c r="M170" s="171" t="e">
        <f>#REF!</f>
        <v>#REF!</v>
      </c>
      <c r="N170" s="171" t="e">
        <f>#REF!</f>
        <v>#REF!</v>
      </c>
      <c r="O170" s="171" t="e">
        <f>#REF!</f>
        <v>#REF!</v>
      </c>
      <c r="P170" s="171" t="e">
        <f>#REF!</f>
        <v>#REF!</v>
      </c>
      <c r="Q170" s="171" t="e">
        <f>#REF!</f>
        <v>#REF!</v>
      </c>
      <c r="R170" s="171" t="e">
        <f>#REF!</f>
        <v>#REF!</v>
      </c>
      <c r="S170" s="171" t="e">
        <f>#REF!</f>
        <v>#REF!</v>
      </c>
      <c r="T170" s="175" t="e">
        <f>#REF!</f>
        <v>#REF!</v>
      </c>
      <c r="U170" s="175" t="e">
        <f>#REF!</f>
        <v>#REF!</v>
      </c>
      <c r="V170" s="175" t="e">
        <f>#REF!</f>
        <v>#REF!</v>
      </c>
      <c r="W170" s="175" t="e">
        <f>#REF!</f>
        <v>#REF!</v>
      </c>
      <c r="X170" s="175" t="e">
        <f>#REF!</f>
        <v>#REF!</v>
      </c>
    </row>
    <row r="171" spans="1:24" ht="24.95" customHeight="1" x14ac:dyDescent="0.2">
      <c r="A171" s="168" t="e">
        <f>#REF!</f>
        <v>#REF!</v>
      </c>
      <c r="B171" s="169" t="e">
        <f>#REF!</f>
        <v>#REF!</v>
      </c>
      <c r="C171" s="170" t="e">
        <f>#REF!</f>
        <v>#REF!</v>
      </c>
      <c r="D171" s="171" t="e">
        <f>#REF!</f>
        <v>#REF!</v>
      </c>
      <c r="E171" s="171" t="e">
        <f>#REF!</f>
        <v>#REF!</v>
      </c>
      <c r="F171" s="171" t="e">
        <f>#REF!</f>
        <v>#REF!</v>
      </c>
      <c r="G171" s="171" t="e">
        <f>#REF!</f>
        <v>#REF!</v>
      </c>
      <c r="H171" s="171" t="e">
        <f>#REF!</f>
        <v>#REF!</v>
      </c>
      <c r="I171" s="171" t="e">
        <f>#REF!</f>
        <v>#REF!</v>
      </c>
      <c r="J171" s="171" t="e">
        <f>#REF!</f>
        <v>#REF!</v>
      </c>
      <c r="K171" s="171" t="e">
        <f>#REF!</f>
        <v>#REF!</v>
      </c>
      <c r="L171" s="171" t="e">
        <f>#REF!</f>
        <v>#REF!</v>
      </c>
      <c r="M171" s="171" t="e">
        <f>#REF!</f>
        <v>#REF!</v>
      </c>
      <c r="N171" s="171" t="e">
        <f>#REF!</f>
        <v>#REF!</v>
      </c>
      <c r="O171" s="171" t="e">
        <f>#REF!</f>
        <v>#REF!</v>
      </c>
      <c r="P171" s="171" t="e">
        <f>#REF!</f>
        <v>#REF!</v>
      </c>
      <c r="Q171" s="171" t="e">
        <f>#REF!</f>
        <v>#REF!</v>
      </c>
      <c r="R171" s="171" t="e">
        <f>#REF!</f>
        <v>#REF!</v>
      </c>
      <c r="S171" s="171" t="e">
        <f>#REF!</f>
        <v>#REF!</v>
      </c>
      <c r="T171" s="175" t="e">
        <f>#REF!</f>
        <v>#REF!</v>
      </c>
      <c r="U171" s="175" t="e">
        <f>#REF!</f>
        <v>#REF!</v>
      </c>
      <c r="V171" s="175" t="e">
        <f>#REF!</f>
        <v>#REF!</v>
      </c>
      <c r="W171" s="175" t="e">
        <f>#REF!</f>
        <v>#REF!</v>
      </c>
      <c r="X171" s="175" t="e">
        <f>#REF!</f>
        <v>#REF!</v>
      </c>
    </row>
    <row r="172" spans="1:24" ht="24.95" customHeight="1" x14ac:dyDescent="0.2">
      <c r="A172" s="168" t="e">
        <f>#REF!</f>
        <v>#REF!</v>
      </c>
      <c r="B172" s="169" t="e">
        <f>#REF!</f>
        <v>#REF!</v>
      </c>
      <c r="C172" s="170" t="e">
        <f>#REF!</f>
        <v>#REF!</v>
      </c>
      <c r="D172" s="171" t="e">
        <f>#REF!</f>
        <v>#REF!</v>
      </c>
      <c r="E172" s="171" t="e">
        <f>#REF!</f>
        <v>#REF!</v>
      </c>
      <c r="F172" s="171" t="e">
        <f>#REF!</f>
        <v>#REF!</v>
      </c>
      <c r="G172" s="171" t="e">
        <f>#REF!</f>
        <v>#REF!</v>
      </c>
      <c r="H172" s="171" t="e">
        <f>#REF!</f>
        <v>#REF!</v>
      </c>
      <c r="I172" s="171" t="e">
        <f>#REF!</f>
        <v>#REF!</v>
      </c>
      <c r="J172" s="171" t="e">
        <f>#REF!</f>
        <v>#REF!</v>
      </c>
      <c r="K172" s="171" t="e">
        <f>#REF!</f>
        <v>#REF!</v>
      </c>
      <c r="L172" s="171" t="e">
        <f>#REF!</f>
        <v>#REF!</v>
      </c>
      <c r="M172" s="171" t="e">
        <f>#REF!</f>
        <v>#REF!</v>
      </c>
      <c r="N172" s="171" t="e">
        <f>#REF!</f>
        <v>#REF!</v>
      </c>
      <c r="O172" s="171" t="e">
        <f>#REF!</f>
        <v>#REF!</v>
      </c>
      <c r="P172" s="171" t="e">
        <f>#REF!</f>
        <v>#REF!</v>
      </c>
      <c r="Q172" s="171" t="e">
        <f>#REF!</f>
        <v>#REF!</v>
      </c>
      <c r="R172" s="171" t="e">
        <f>#REF!</f>
        <v>#REF!</v>
      </c>
      <c r="S172" s="171" t="e">
        <f>#REF!</f>
        <v>#REF!</v>
      </c>
      <c r="T172" s="175" t="e">
        <f>#REF!</f>
        <v>#REF!</v>
      </c>
      <c r="U172" s="175" t="e">
        <f>#REF!</f>
        <v>#REF!</v>
      </c>
      <c r="V172" s="175" t="e">
        <f>#REF!</f>
        <v>#REF!</v>
      </c>
      <c r="W172" s="175" t="e">
        <f>#REF!</f>
        <v>#REF!</v>
      </c>
      <c r="X172" s="175" t="e">
        <f>#REF!</f>
        <v>#REF!</v>
      </c>
    </row>
    <row r="173" spans="1:24" ht="24.95" customHeight="1" x14ac:dyDescent="0.2">
      <c r="A173" s="168" t="e">
        <f>#REF!</f>
        <v>#REF!</v>
      </c>
      <c r="B173" s="169" t="e">
        <f>#REF!</f>
        <v>#REF!</v>
      </c>
      <c r="C173" s="170" t="e">
        <f>#REF!</f>
        <v>#REF!</v>
      </c>
      <c r="D173" s="171" t="e">
        <f>#REF!</f>
        <v>#REF!</v>
      </c>
      <c r="E173" s="171" t="e">
        <f>#REF!</f>
        <v>#REF!</v>
      </c>
      <c r="F173" s="171" t="e">
        <f>#REF!</f>
        <v>#REF!</v>
      </c>
      <c r="G173" s="171" t="e">
        <f>#REF!</f>
        <v>#REF!</v>
      </c>
      <c r="H173" s="171" t="e">
        <f>#REF!</f>
        <v>#REF!</v>
      </c>
      <c r="I173" s="171" t="e">
        <f>#REF!</f>
        <v>#REF!</v>
      </c>
      <c r="J173" s="171" t="e">
        <f>#REF!</f>
        <v>#REF!</v>
      </c>
      <c r="K173" s="171" t="e">
        <f>#REF!</f>
        <v>#REF!</v>
      </c>
      <c r="L173" s="171" t="e">
        <f>#REF!</f>
        <v>#REF!</v>
      </c>
      <c r="M173" s="171" t="e">
        <f>#REF!</f>
        <v>#REF!</v>
      </c>
      <c r="N173" s="171" t="e">
        <f>#REF!</f>
        <v>#REF!</v>
      </c>
      <c r="O173" s="171" t="e">
        <f>#REF!</f>
        <v>#REF!</v>
      </c>
      <c r="P173" s="171" t="e">
        <f>#REF!</f>
        <v>#REF!</v>
      </c>
      <c r="Q173" s="171" t="e">
        <f>#REF!</f>
        <v>#REF!</v>
      </c>
      <c r="R173" s="171" t="e">
        <f>#REF!</f>
        <v>#REF!</v>
      </c>
      <c r="S173" s="171" t="e">
        <f>#REF!</f>
        <v>#REF!</v>
      </c>
      <c r="T173" s="175" t="e">
        <f>#REF!</f>
        <v>#REF!</v>
      </c>
      <c r="U173" s="175" t="e">
        <f>#REF!</f>
        <v>#REF!</v>
      </c>
      <c r="V173" s="175" t="e">
        <f>#REF!</f>
        <v>#REF!</v>
      </c>
      <c r="W173" s="175" t="e">
        <f>#REF!</f>
        <v>#REF!</v>
      </c>
      <c r="X173" s="175" t="e">
        <f>#REF!</f>
        <v>#REF!</v>
      </c>
    </row>
    <row r="174" spans="1:24" ht="24.95" customHeight="1" x14ac:dyDescent="0.2">
      <c r="A174" s="168" t="e">
        <f>#REF!</f>
        <v>#REF!</v>
      </c>
      <c r="B174" s="169" t="e">
        <f>#REF!</f>
        <v>#REF!</v>
      </c>
      <c r="C174" s="170" t="e">
        <f>#REF!</f>
        <v>#REF!</v>
      </c>
      <c r="D174" s="171" t="e">
        <f>#REF!</f>
        <v>#REF!</v>
      </c>
      <c r="E174" s="171" t="e">
        <f>#REF!</f>
        <v>#REF!</v>
      </c>
      <c r="F174" s="171" t="e">
        <f>#REF!</f>
        <v>#REF!</v>
      </c>
      <c r="G174" s="171" t="e">
        <f>#REF!</f>
        <v>#REF!</v>
      </c>
      <c r="H174" s="171" t="e">
        <f>#REF!</f>
        <v>#REF!</v>
      </c>
      <c r="I174" s="171" t="e">
        <f>#REF!</f>
        <v>#REF!</v>
      </c>
      <c r="J174" s="171" t="e">
        <f>#REF!</f>
        <v>#REF!</v>
      </c>
      <c r="K174" s="171" t="e">
        <f>#REF!</f>
        <v>#REF!</v>
      </c>
      <c r="L174" s="171" t="e">
        <f>#REF!</f>
        <v>#REF!</v>
      </c>
      <c r="M174" s="171" t="e">
        <f>#REF!</f>
        <v>#REF!</v>
      </c>
      <c r="N174" s="171" t="e">
        <f>#REF!</f>
        <v>#REF!</v>
      </c>
      <c r="O174" s="171" t="e">
        <f>#REF!</f>
        <v>#REF!</v>
      </c>
      <c r="P174" s="171" t="e">
        <f>#REF!</f>
        <v>#REF!</v>
      </c>
      <c r="Q174" s="171" t="e">
        <f>#REF!</f>
        <v>#REF!</v>
      </c>
      <c r="R174" s="171" t="e">
        <f>#REF!</f>
        <v>#REF!</v>
      </c>
      <c r="S174" s="171" t="e">
        <f>#REF!</f>
        <v>#REF!</v>
      </c>
      <c r="T174" s="175" t="e">
        <f>#REF!</f>
        <v>#REF!</v>
      </c>
      <c r="U174" s="175" t="e">
        <f>#REF!</f>
        <v>#REF!</v>
      </c>
      <c r="V174" s="175" t="e">
        <f>#REF!</f>
        <v>#REF!</v>
      </c>
      <c r="W174" s="175" t="e">
        <f>#REF!</f>
        <v>#REF!</v>
      </c>
      <c r="X174" s="175" t="e">
        <f>#REF!</f>
        <v>#REF!</v>
      </c>
    </row>
    <row r="175" spans="1:24" ht="24.95" customHeight="1" x14ac:dyDescent="0.2">
      <c r="A175" s="168" t="e">
        <f>#REF!</f>
        <v>#REF!</v>
      </c>
      <c r="B175" s="169" t="e">
        <f>#REF!</f>
        <v>#REF!</v>
      </c>
      <c r="C175" s="170" t="e">
        <f>#REF!</f>
        <v>#REF!</v>
      </c>
      <c r="D175" s="171" t="e">
        <f>#REF!</f>
        <v>#REF!</v>
      </c>
      <c r="E175" s="171" t="e">
        <f>#REF!</f>
        <v>#REF!</v>
      </c>
      <c r="F175" s="171" t="e">
        <f>#REF!</f>
        <v>#REF!</v>
      </c>
      <c r="G175" s="171" t="e">
        <f>#REF!</f>
        <v>#REF!</v>
      </c>
      <c r="H175" s="171" t="e">
        <f>#REF!</f>
        <v>#REF!</v>
      </c>
      <c r="I175" s="171" t="e">
        <f>#REF!</f>
        <v>#REF!</v>
      </c>
      <c r="J175" s="171" t="e">
        <f>#REF!</f>
        <v>#REF!</v>
      </c>
      <c r="K175" s="171" t="e">
        <f>#REF!</f>
        <v>#REF!</v>
      </c>
      <c r="L175" s="171" t="e">
        <f>#REF!</f>
        <v>#REF!</v>
      </c>
      <c r="M175" s="171" t="e">
        <f>#REF!</f>
        <v>#REF!</v>
      </c>
      <c r="N175" s="171" t="e">
        <f>#REF!</f>
        <v>#REF!</v>
      </c>
      <c r="O175" s="171" t="e">
        <f>#REF!</f>
        <v>#REF!</v>
      </c>
      <c r="P175" s="171" t="e">
        <f>#REF!</f>
        <v>#REF!</v>
      </c>
      <c r="Q175" s="171" t="e">
        <f>#REF!</f>
        <v>#REF!</v>
      </c>
      <c r="R175" s="171" t="e">
        <f>#REF!</f>
        <v>#REF!</v>
      </c>
      <c r="S175" s="171" t="e">
        <f>#REF!</f>
        <v>#REF!</v>
      </c>
      <c r="T175" s="175" t="e">
        <f>#REF!</f>
        <v>#REF!</v>
      </c>
      <c r="U175" s="175" t="e">
        <f>#REF!</f>
        <v>#REF!</v>
      </c>
      <c r="V175" s="175" t="e">
        <f>#REF!</f>
        <v>#REF!</v>
      </c>
      <c r="W175" s="175" t="e">
        <f>#REF!</f>
        <v>#REF!</v>
      </c>
      <c r="X175" s="175" t="e">
        <f>#REF!</f>
        <v>#REF!</v>
      </c>
    </row>
    <row r="176" spans="1:24" ht="24.95" customHeight="1" x14ac:dyDescent="0.2">
      <c r="A176" s="168" t="e">
        <f>#REF!</f>
        <v>#REF!</v>
      </c>
      <c r="B176" s="169" t="e">
        <f>#REF!</f>
        <v>#REF!</v>
      </c>
      <c r="C176" s="170" t="e">
        <f>#REF!</f>
        <v>#REF!</v>
      </c>
      <c r="D176" s="171" t="e">
        <f>#REF!</f>
        <v>#REF!</v>
      </c>
      <c r="E176" s="171" t="e">
        <f>#REF!</f>
        <v>#REF!</v>
      </c>
      <c r="F176" s="171" t="e">
        <f>#REF!</f>
        <v>#REF!</v>
      </c>
      <c r="G176" s="171" t="e">
        <f>#REF!</f>
        <v>#REF!</v>
      </c>
      <c r="H176" s="171" t="e">
        <f>#REF!</f>
        <v>#REF!</v>
      </c>
      <c r="I176" s="171" t="e">
        <f>#REF!</f>
        <v>#REF!</v>
      </c>
      <c r="J176" s="171" t="e">
        <f>#REF!</f>
        <v>#REF!</v>
      </c>
      <c r="K176" s="171" t="e">
        <f>#REF!</f>
        <v>#REF!</v>
      </c>
      <c r="L176" s="171" t="e">
        <f>#REF!</f>
        <v>#REF!</v>
      </c>
      <c r="M176" s="171" t="e">
        <f>#REF!</f>
        <v>#REF!</v>
      </c>
      <c r="N176" s="171" t="e">
        <f>#REF!</f>
        <v>#REF!</v>
      </c>
      <c r="O176" s="171" t="e">
        <f>#REF!</f>
        <v>#REF!</v>
      </c>
      <c r="P176" s="171" t="e">
        <f>#REF!</f>
        <v>#REF!</v>
      </c>
      <c r="Q176" s="171" t="e">
        <f>#REF!</f>
        <v>#REF!</v>
      </c>
      <c r="R176" s="171" t="e">
        <f>#REF!</f>
        <v>#REF!</v>
      </c>
      <c r="S176" s="171" t="e">
        <f>#REF!</f>
        <v>#REF!</v>
      </c>
      <c r="T176" s="175" t="e">
        <f>#REF!</f>
        <v>#REF!</v>
      </c>
      <c r="U176" s="175" t="e">
        <f>#REF!</f>
        <v>#REF!</v>
      </c>
      <c r="V176" s="175" t="e">
        <f>#REF!</f>
        <v>#REF!</v>
      </c>
      <c r="W176" s="175" t="e">
        <f>#REF!</f>
        <v>#REF!</v>
      </c>
      <c r="X176" s="175" t="e">
        <f>#REF!</f>
        <v>#REF!</v>
      </c>
    </row>
    <row r="177" spans="1:24" ht="24.95" customHeight="1" x14ac:dyDescent="0.2">
      <c r="A177" s="168" t="e">
        <f>#REF!</f>
        <v>#REF!</v>
      </c>
      <c r="B177" s="169" t="e">
        <f>#REF!</f>
        <v>#REF!</v>
      </c>
      <c r="C177" s="170" t="e">
        <f>#REF!</f>
        <v>#REF!</v>
      </c>
      <c r="D177" s="171" t="e">
        <f>#REF!</f>
        <v>#REF!</v>
      </c>
      <c r="E177" s="171" t="e">
        <f>#REF!</f>
        <v>#REF!</v>
      </c>
      <c r="F177" s="171" t="e">
        <f>#REF!</f>
        <v>#REF!</v>
      </c>
      <c r="G177" s="171" t="e">
        <f>#REF!</f>
        <v>#REF!</v>
      </c>
      <c r="H177" s="171" t="e">
        <f>#REF!</f>
        <v>#REF!</v>
      </c>
      <c r="I177" s="171" t="e">
        <f>#REF!</f>
        <v>#REF!</v>
      </c>
      <c r="J177" s="171" t="e">
        <f>#REF!</f>
        <v>#REF!</v>
      </c>
      <c r="K177" s="171" t="e">
        <f>#REF!</f>
        <v>#REF!</v>
      </c>
      <c r="L177" s="171" t="e">
        <f>#REF!</f>
        <v>#REF!</v>
      </c>
      <c r="M177" s="171" t="e">
        <f>#REF!</f>
        <v>#REF!</v>
      </c>
      <c r="N177" s="171" t="e">
        <f>#REF!</f>
        <v>#REF!</v>
      </c>
      <c r="O177" s="171" t="e">
        <f>#REF!</f>
        <v>#REF!</v>
      </c>
      <c r="P177" s="171" t="e">
        <f>#REF!</f>
        <v>#REF!</v>
      </c>
      <c r="Q177" s="171" t="e">
        <f>#REF!</f>
        <v>#REF!</v>
      </c>
      <c r="R177" s="171" t="e">
        <f>#REF!</f>
        <v>#REF!</v>
      </c>
      <c r="S177" s="171" t="e">
        <f>#REF!</f>
        <v>#REF!</v>
      </c>
      <c r="T177" s="175" t="e">
        <f>#REF!</f>
        <v>#REF!</v>
      </c>
      <c r="U177" s="175" t="e">
        <f>#REF!</f>
        <v>#REF!</v>
      </c>
      <c r="V177" s="175" t="e">
        <f>#REF!</f>
        <v>#REF!</v>
      </c>
      <c r="W177" s="175" t="e">
        <f>#REF!</f>
        <v>#REF!</v>
      </c>
      <c r="X177" s="175" t="e">
        <f>#REF!</f>
        <v>#REF!</v>
      </c>
    </row>
    <row r="178" spans="1:24" ht="24.95" customHeight="1" x14ac:dyDescent="0.2">
      <c r="A178" s="168" t="e">
        <f>#REF!</f>
        <v>#REF!</v>
      </c>
      <c r="B178" s="169" t="e">
        <f>#REF!</f>
        <v>#REF!</v>
      </c>
      <c r="C178" s="170" t="e">
        <f>#REF!</f>
        <v>#REF!</v>
      </c>
      <c r="D178" s="171" t="e">
        <f>#REF!</f>
        <v>#REF!</v>
      </c>
      <c r="E178" s="171" t="e">
        <f>#REF!</f>
        <v>#REF!</v>
      </c>
      <c r="F178" s="171" t="e">
        <f>#REF!</f>
        <v>#REF!</v>
      </c>
      <c r="G178" s="171" t="e">
        <f>#REF!</f>
        <v>#REF!</v>
      </c>
      <c r="H178" s="171" t="e">
        <f>#REF!</f>
        <v>#REF!</v>
      </c>
      <c r="I178" s="171" t="e">
        <f>#REF!</f>
        <v>#REF!</v>
      </c>
      <c r="J178" s="171" t="e">
        <f>#REF!</f>
        <v>#REF!</v>
      </c>
      <c r="K178" s="171" t="e">
        <f>#REF!</f>
        <v>#REF!</v>
      </c>
      <c r="L178" s="171" t="e">
        <f>#REF!</f>
        <v>#REF!</v>
      </c>
      <c r="M178" s="171" t="e">
        <f>#REF!</f>
        <v>#REF!</v>
      </c>
      <c r="N178" s="171" t="e">
        <f>#REF!</f>
        <v>#REF!</v>
      </c>
      <c r="O178" s="171" t="e">
        <f>#REF!</f>
        <v>#REF!</v>
      </c>
      <c r="P178" s="171" t="e">
        <f>#REF!</f>
        <v>#REF!</v>
      </c>
      <c r="Q178" s="171" t="e">
        <f>#REF!</f>
        <v>#REF!</v>
      </c>
      <c r="R178" s="171" t="e">
        <f>#REF!</f>
        <v>#REF!</v>
      </c>
      <c r="S178" s="171" t="e">
        <f>#REF!</f>
        <v>#REF!</v>
      </c>
      <c r="T178" s="175" t="e">
        <f>#REF!</f>
        <v>#REF!</v>
      </c>
      <c r="U178" s="175" t="e">
        <f>#REF!</f>
        <v>#REF!</v>
      </c>
      <c r="V178" s="175" t="e">
        <f>#REF!</f>
        <v>#REF!</v>
      </c>
      <c r="W178" s="175" t="e">
        <f>#REF!</f>
        <v>#REF!</v>
      </c>
      <c r="X178" s="175" t="e">
        <f>#REF!</f>
        <v>#REF!</v>
      </c>
    </row>
    <row r="179" spans="1:24" ht="24.95" customHeight="1" x14ac:dyDescent="0.2">
      <c r="A179" s="168" t="e">
        <f>#REF!</f>
        <v>#REF!</v>
      </c>
      <c r="B179" s="169" t="e">
        <f>#REF!</f>
        <v>#REF!</v>
      </c>
      <c r="C179" s="170" t="e">
        <f>#REF!</f>
        <v>#REF!</v>
      </c>
      <c r="D179" s="171" t="e">
        <f>#REF!</f>
        <v>#REF!</v>
      </c>
      <c r="E179" s="171" t="e">
        <f>#REF!</f>
        <v>#REF!</v>
      </c>
      <c r="F179" s="171" t="e">
        <f>#REF!</f>
        <v>#REF!</v>
      </c>
      <c r="G179" s="171" t="e">
        <f>#REF!</f>
        <v>#REF!</v>
      </c>
      <c r="H179" s="171" t="e">
        <f>#REF!</f>
        <v>#REF!</v>
      </c>
      <c r="I179" s="171" t="e">
        <f>#REF!</f>
        <v>#REF!</v>
      </c>
      <c r="J179" s="171" t="e">
        <f>#REF!</f>
        <v>#REF!</v>
      </c>
      <c r="K179" s="171" t="e">
        <f>#REF!</f>
        <v>#REF!</v>
      </c>
      <c r="L179" s="171" t="e">
        <f>#REF!</f>
        <v>#REF!</v>
      </c>
      <c r="M179" s="171" t="e">
        <f>#REF!</f>
        <v>#REF!</v>
      </c>
      <c r="N179" s="171" t="e">
        <f>#REF!</f>
        <v>#REF!</v>
      </c>
      <c r="O179" s="171" t="e">
        <f>#REF!</f>
        <v>#REF!</v>
      </c>
      <c r="P179" s="171" t="e">
        <f>#REF!</f>
        <v>#REF!</v>
      </c>
      <c r="Q179" s="171" t="e">
        <f>#REF!</f>
        <v>#REF!</v>
      </c>
      <c r="R179" s="171" t="e">
        <f>#REF!</f>
        <v>#REF!</v>
      </c>
      <c r="S179" s="171" t="e">
        <f>#REF!</f>
        <v>#REF!</v>
      </c>
      <c r="T179" s="175" t="e">
        <f>#REF!</f>
        <v>#REF!</v>
      </c>
      <c r="U179" s="175" t="e">
        <f>#REF!</f>
        <v>#REF!</v>
      </c>
      <c r="V179" s="175" t="e">
        <f>#REF!</f>
        <v>#REF!</v>
      </c>
      <c r="W179" s="175" t="e">
        <f>#REF!</f>
        <v>#REF!</v>
      </c>
      <c r="X179" s="175" t="e">
        <f>#REF!</f>
        <v>#REF!</v>
      </c>
    </row>
    <row r="180" spans="1:24" ht="24.95" customHeight="1" x14ac:dyDescent="0.2">
      <c r="A180" s="168" t="e">
        <f>#REF!</f>
        <v>#REF!</v>
      </c>
      <c r="B180" s="169" t="e">
        <f>#REF!</f>
        <v>#REF!</v>
      </c>
      <c r="C180" s="170" t="e">
        <f>#REF!</f>
        <v>#REF!</v>
      </c>
      <c r="D180" s="171" t="e">
        <f>#REF!</f>
        <v>#REF!</v>
      </c>
      <c r="E180" s="171" t="e">
        <f>#REF!</f>
        <v>#REF!</v>
      </c>
      <c r="F180" s="171" t="e">
        <f>#REF!</f>
        <v>#REF!</v>
      </c>
      <c r="G180" s="171" t="e">
        <f>#REF!</f>
        <v>#REF!</v>
      </c>
      <c r="H180" s="171" t="e">
        <f>#REF!</f>
        <v>#REF!</v>
      </c>
      <c r="I180" s="171" t="e">
        <f>#REF!</f>
        <v>#REF!</v>
      </c>
      <c r="J180" s="171" t="e">
        <f>#REF!</f>
        <v>#REF!</v>
      </c>
      <c r="K180" s="171" t="e">
        <f>#REF!</f>
        <v>#REF!</v>
      </c>
      <c r="L180" s="171" t="e">
        <f>#REF!</f>
        <v>#REF!</v>
      </c>
      <c r="M180" s="171" t="e">
        <f>#REF!</f>
        <v>#REF!</v>
      </c>
      <c r="N180" s="171" t="e">
        <f>#REF!</f>
        <v>#REF!</v>
      </c>
      <c r="O180" s="171" t="e">
        <f>#REF!</f>
        <v>#REF!</v>
      </c>
      <c r="P180" s="171" t="e">
        <f>#REF!</f>
        <v>#REF!</v>
      </c>
      <c r="Q180" s="171" t="e">
        <f>#REF!</f>
        <v>#REF!</v>
      </c>
      <c r="R180" s="171" t="e">
        <f>#REF!</f>
        <v>#REF!</v>
      </c>
      <c r="S180" s="171" t="e">
        <f>#REF!</f>
        <v>#REF!</v>
      </c>
      <c r="T180" s="175" t="e">
        <f>#REF!</f>
        <v>#REF!</v>
      </c>
      <c r="U180" s="175" t="e">
        <f>#REF!</f>
        <v>#REF!</v>
      </c>
      <c r="V180" s="175" t="e">
        <f>#REF!</f>
        <v>#REF!</v>
      </c>
      <c r="W180" s="175" t="e">
        <f>#REF!</f>
        <v>#REF!</v>
      </c>
      <c r="X180" s="175" t="e">
        <f>#REF!</f>
        <v>#REF!</v>
      </c>
    </row>
    <row r="181" spans="1:24" ht="24.95" customHeight="1" x14ac:dyDescent="0.2">
      <c r="A181" s="168" t="e">
        <f>#REF!</f>
        <v>#REF!</v>
      </c>
      <c r="B181" s="169" t="e">
        <f>#REF!</f>
        <v>#REF!</v>
      </c>
      <c r="C181" s="170" t="e">
        <f>#REF!</f>
        <v>#REF!</v>
      </c>
      <c r="D181" s="171" t="e">
        <f>#REF!</f>
        <v>#REF!</v>
      </c>
      <c r="E181" s="171" t="e">
        <f>#REF!</f>
        <v>#REF!</v>
      </c>
      <c r="F181" s="171" t="e">
        <f>#REF!</f>
        <v>#REF!</v>
      </c>
      <c r="G181" s="171" t="e">
        <f>#REF!</f>
        <v>#REF!</v>
      </c>
      <c r="H181" s="171" t="e">
        <f>#REF!</f>
        <v>#REF!</v>
      </c>
      <c r="I181" s="171" t="e">
        <f>#REF!</f>
        <v>#REF!</v>
      </c>
      <c r="J181" s="171" t="e">
        <f>#REF!</f>
        <v>#REF!</v>
      </c>
      <c r="K181" s="171" t="e">
        <f>#REF!</f>
        <v>#REF!</v>
      </c>
      <c r="L181" s="171" t="e">
        <f>#REF!</f>
        <v>#REF!</v>
      </c>
      <c r="M181" s="171" t="e">
        <f>#REF!</f>
        <v>#REF!</v>
      </c>
      <c r="N181" s="171" t="e">
        <f>#REF!</f>
        <v>#REF!</v>
      </c>
      <c r="O181" s="171" t="e">
        <f>#REF!</f>
        <v>#REF!</v>
      </c>
      <c r="P181" s="171" t="e">
        <f>#REF!</f>
        <v>#REF!</v>
      </c>
      <c r="Q181" s="171" t="e">
        <f>#REF!</f>
        <v>#REF!</v>
      </c>
      <c r="R181" s="171" t="e">
        <f>#REF!</f>
        <v>#REF!</v>
      </c>
      <c r="S181" s="171" t="e">
        <f>#REF!</f>
        <v>#REF!</v>
      </c>
      <c r="T181" s="175" t="e">
        <f>#REF!</f>
        <v>#REF!</v>
      </c>
      <c r="U181" s="175" t="e">
        <f>#REF!</f>
        <v>#REF!</v>
      </c>
      <c r="V181" s="175" t="e">
        <f>#REF!</f>
        <v>#REF!</v>
      </c>
      <c r="W181" s="175" t="e">
        <f>#REF!</f>
        <v>#REF!</v>
      </c>
      <c r="X181" s="175" t="e">
        <f>#REF!</f>
        <v>#REF!</v>
      </c>
    </row>
    <row r="182" spans="1:24" ht="24.95" customHeight="1" x14ac:dyDescent="0.2">
      <c r="A182" s="168" t="e">
        <f>#REF!</f>
        <v>#REF!</v>
      </c>
      <c r="B182" s="169" t="e">
        <f>#REF!</f>
        <v>#REF!</v>
      </c>
      <c r="C182" s="170" t="e">
        <f>#REF!</f>
        <v>#REF!</v>
      </c>
      <c r="D182" s="171" t="e">
        <f>#REF!</f>
        <v>#REF!</v>
      </c>
      <c r="E182" s="171" t="e">
        <f>#REF!</f>
        <v>#REF!</v>
      </c>
      <c r="F182" s="171" t="e">
        <f>#REF!</f>
        <v>#REF!</v>
      </c>
      <c r="G182" s="171" t="e">
        <f>#REF!</f>
        <v>#REF!</v>
      </c>
      <c r="H182" s="171" t="e">
        <f>#REF!</f>
        <v>#REF!</v>
      </c>
      <c r="I182" s="171" t="e">
        <f>#REF!</f>
        <v>#REF!</v>
      </c>
      <c r="J182" s="171" t="e">
        <f>#REF!</f>
        <v>#REF!</v>
      </c>
      <c r="K182" s="171" t="e">
        <f>#REF!</f>
        <v>#REF!</v>
      </c>
      <c r="L182" s="171" t="e">
        <f>#REF!</f>
        <v>#REF!</v>
      </c>
      <c r="M182" s="171" t="e">
        <f>#REF!</f>
        <v>#REF!</v>
      </c>
      <c r="N182" s="171" t="e">
        <f>#REF!</f>
        <v>#REF!</v>
      </c>
      <c r="O182" s="171" t="e">
        <f>#REF!</f>
        <v>#REF!</v>
      </c>
      <c r="P182" s="171" t="e">
        <f>#REF!</f>
        <v>#REF!</v>
      </c>
      <c r="Q182" s="171" t="e">
        <f>#REF!</f>
        <v>#REF!</v>
      </c>
      <c r="R182" s="171" t="e">
        <f>#REF!</f>
        <v>#REF!</v>
      </c>
      <c r="S182" s="171" t="e">
        <f>#REF!</f>
        <v>#REF!</v>
      </c>
      <c r="T182" s="175" t="e">
        <f>#REF!</f>
        <v>#REF!</v>
      </c>
      <c r="U182" s="175" t="e">
        <f>#REF!</f>
        <v>#REF!</v>
      </c>
      <c r="V182" s="175" t="e">
        <f>#REF!</f>
        <v>#REF!</v>
      </c>
      <c r="W182" s="175" t="e">
        <f>#REF!</f>
        <v>#REF!</v>
      </c>
      <c r="X182" s="175" t="e">
        <f>#REF!</f>
        <v>#REF!</v>
      </c>
    </row>
    <row r="183" spans="1:24" ht="24.95" customHeight="1" x14ac:dyDescent="0.2">
      <c r="A183" s="168" t="e">
        <f>#REF!</f>
        <v>#REF!</v>
      </c>
      <c r="B183" s="169" t="e">
        <f>#REF!</f>
        <v>#REF!</v>
      </c>
      <c r="C183" s="170" t="e">
        <f>#REF!</f>
        <v>#REF!</v>
      </c>
      <c r="D183" s="171" t="e">
        <f>#REF!</f>
        <v>#REF!</v>
      </c>
      <c r="E183" s="171" t="e">
        <f>#REF!</f>
        <v>#REF!</v>
      </c>
      <c r="F183" s="171" t="e">
        <f>#REF!</f>
        <v>#REF!</v>
      </c>
      <c r="G183" s="171" t="e">
        <f>#REF!</f>
        <v>#REF!</v>
      </c>
      <c r="H183" s="171" t="e">
        <f>#REF!</f>
        <v>#REF!</v>
      </c>
      <c r="I183" s="171" t="e">
        <f>#REF!</f>
        <v>#REF!</v>
      </c>
      <c r="J183" s="171" t="e">
        <f>#REF!</f>
        <v>#REF!</v>
      </c>
      <c r="K183" s="171" t="e">
        <f>#REF!</f>
        <v>#REF!</v>
      </c>
      <c r="L183" s="171" t="e">
        <f>#REF!</f>
        <v>#REF!</v>
      </c>
      <c r="M183" s="171" t="e">
        <f>#REF!</f>
        <v>#REF!</v>
      </c>
      <c r="N183" s="171" t="e">
        <f>#REF!</f>
        <v>#REF!</v>
      </c>
      <c r="O183" s="171" t="e">
        <f>#REF!</f>
        <v>#REF!</v>
      </c>
      <c r="P183" s="171" t="e">
        <f>#REF!</f>
        <v>#REF!</v>
      </c>
      <c r="Q183" s="171" t="e">
        <f>#REF!</f>
        <v>#REF!</v>
      </c>
      <c r="R183" s="171" t="e">
        <f>#REF!</f>
        <v>#REF!</v>
      </c>
      <c r="S183" s="171" t="e">
        <f>#REF!</f>
        <v>#REF!</v>
      </c>
      <c r="T183" s="175" t="e">
        <f>#REF!</f>
        <v>#REF!</v>
      </c>
      <c r="U183" s="175" t="e">
        <f>#REF!</f>
        <v>#REF!</v>
      </c>
      <c r="V183" s="175" t="e">
        <f>#REF!</f>
        <v>#REF!</v>
      </c>
      <c r="W183" s="175" t="e">
        <f>#REF!</f>
        <v>#REF!</v>
      </c>
      <c r="X183" s="175" t="e">
        <f>#REF!</f>
        <v>#REF!</v>
      </c>
    </row>
    <row r="184" spans="1:24" ht="24.95" customHeight="1" x14ac:dyDescent="0.2">
      <c r="A184" s="168" t="e">
        <f>#REF!</f>
        <v>#REF!</v>
      </c>
      <c r="B184" s="169" t="e">
        <f>#REF!</f>
        <v>#REF!</v>
      </c>
      <c r="C184" s="170" t="e">
        <f>#REF!</f>
        <v>#REF!</v>
      </c>
      <c r="D184" s="171" t="e">
        <f>#REF!</f>
        <v>#REF!</v>
      </c>
      <c r="E184" s="171" t="e">
        <f>#REF!</f>
        <v>#REF!</v>
      </c>
      <c r="F184" s="171" t="e">
        <f>#REF!</f>
        <v>#REF!</v>
      </c>
      <c r="G184" s="171" t="e">
        <f>#REF!</f>
        <v>#REF!</v>
      </c>
      <c r="H184" s="171" t="e">
        <f>#REF!</f>
        <v>#REF!</v>
      </c>
      <c r="I184" s="171" t="e">
        <f>#REF!</f>
        <v>#REF!</v>
      </c>
      <c r="J184" s="171" t="e">
        <f>#REF!</f>
        <v>#REF!</v>
      </c>
      <c r="K184" s="171" t="e">
        <f>#REF!</f>
        <v>#REF!</v>
      </c>
      <c r="L184" s="171" t="e">
        <f>#REF!</f>
        <v>#REF!</v>
      </c>
      <c r="M184" s="171" t="e">
        <f>#REF!</f>
        <v>#REF!</v>
      </c>
      <c r="N184" s="171" t="e">
        <f>#REF!</f>
        <v>#REF!</v>
      </c>
      <c r="O184" s="171" t="e">
        <f>#REF!</f>
        <v>#REF!</v>
      </c>
      <c r="P184" s="171" t="e">
        <f>#REF!</f>
        <v>#REF!</v>
      </c>
      <c r="Q184" s="171" t="e">
        <f>#REF!</f>
        <v>#REF!</v>
      </c>
      <c r="R184" s="171" t="e">
        <f>#REF!</f>
        <v>#REF!</v>
      </c>
      <c r="S184" s="171" t="e">
        <f>#REF!</f>
        <v>#REF!</v>
      </c>
      <c r="T184" s="175" t="e">
        <f>#REF!</f>
        <v>#REF!</v>
      </c>
      <c r="U184" s="175" t="e">
        <f>#REF!</f>
        <v>#REF!</v>
      </c>
      <c r="V184" s="175" t="e">
        <f>#REF!</f>
        <v>#REF!</v>
      </c>
      <c r="W184" s="175" t="e">
        <f>#REF!</f>
        <v>#REF!</v>
      </c>
      <c r="X184" s="175" t="e">
        <f>#REF!</f>
        <v>#REF!</v>
      </c>
    </row>
    <row r="185" spans="1:24" ht="24.95" customHeight="1" x14ac:dyDescent="0.2">
      <c r="A185" s="168" t="e">
        <f>#REF!</f>
        <v>#REF!</v>
      </c>
      <c r="B185" s="169" t="e">
        <f>#REF!</f>
        <v>#REF!</v>
      </c>
      <c r="C185" s="170" t="e">
        <f>#REF!</f>
        <v>#REF!</v>
      </c>
      <c r="D185" s="171" t="e">
        <f>#REF!</f>
        <v>#REF!</v>
      </c>
      <c r="E185" s="171" t="e">
        <f>#REF!</f>
        <v>#REF!</v>
      </c>
      <c r="F185" s="171" t="e">
        <f>#REF!</f>
        <v>#REF!</v>
      </c>
      <c r="G185" s="171" t="e">
        <f>#REF!</f>
        <v>#REF!</v>
      </c>
      <c r="H185" s="171" t="e">
        <f>#REF!</f>
        <v>#REF!</v>
      </c>
      <c r="I185" s="171" t="e">
        <f>#REF!</f>
        <v>#REF!</v>
      </c>
      <c r="J185" s="171" t="e">
        <f>#REF!</f>
        <v>#REF!</v>
      </c>
      <c r="K185" s="171" t="e">
        <f>#REF!</f>
        <v>#REF!</v>
      </c>
      <c r="L185" s="171" t="e">
        <f>#REF!</f>
        <v>#REF!</v>
      </c>
      <c r="M185" s="171" t="e">
        <f>#REF!</f>
        <v>#REF!</v>
      </c>
      <c r="N185" s="171" t="e">
        <f>#REF!</f>
        <v>#REF!</v>
      </c>
      <c r="O185" s="171" t="e">
        <f>#REF!</f>
        <v>#REF!</v>
      </c>
      <c r="P185" s="171" t="e">
        <f>#REF!</f>
        <v>#REF!</v>
      </c>
      <c r="Q185" s="171" t="e">
        <f>#REF!</f>
        <v>#REF!</v>
      </c>
      <c r="R185" s="171" t="e">
        <f>#REF!</f>
        <v>#REF!</v>
      </c>
      <c r="S185" s="171" t="e">
        <f>#REF!</f>
        <v>#REF!</v>
      </c>
      <c r="T185" s="175" t="e">
        <f>#REF!</f>
        <v>#REF!</v>
      </c>
      <c r="U185" s="175" t="e">
        <f>#REF!</f>
        <v>#REF!</v>
      </c>
      <c r="V185" s="175" t="e">
        <f>#REF!</f>
        <v>#REF!</v>
      </c>
      <c r="W185" s="175" t="e">
        <f>#REF!</f>
        <v>#REF!</v>
      </c>
      <c r="X185" s="175" t="e">
        <f>#REF!</f>
        <v>#REF!</v>
      </c>
    </row>
    <row r="186" spans="1:24" ht="24.95" customHeight="1" x14ac:dyDescent="0.2">
      <c r="A186" s="168" t="e">
        <f>#REF!</f>
        <v>#REF!</v>
      </c>
      <c r="B186" s="169" t="e">
        <f>#REF!</f>
        <v>#REF!</v>
      </c>
      <c r="C186" s="170" t="e">
        <f>#REF!</f>
        <v>#REF!</v>
      </c>
      <c r="D186" s="171" t="e">
        <f>#REF!</f>
        <v>#REF!</v>
      </c>
      <c r="E186" s="171" t="e">
        <f>#REF!</f>
        <v>#REF!</v>
      </c>
      <c r="F186" s="171" t="e">
        <f>#REF!</f>
        <v>#REF!</v>
      </c>
      <c r="G186" s="171" t="e">
        <f>#REF!</f>
        <v>#REF!</v>
      </c>
      <c r="H186" s="171" t="e">
        <f>#REF!</f>
        <v>#REF!</v>
      </c>
      <c r="I186" s="171" t="e">
        <f>#REF!</f>
        <v>#REF!</v>
      </c>
      <c r="J186" s="171" t="e">
        <f>#REF!</f>
        <v>#REF!</v>
      </c>
      <c r="K186" s="171" t="e">
        <f>#REF!</f>
        <v>#REF!</v>
      </c>
      <c r="L186" s="171" t="e">
        <f>#REF!</f>
        <v>#REF!</v>
      </c>
      <c r="M186" s="171" t="e">
        <f>#REF!</f>
        <v>#REF!</v>
      </c>
      <c r="N186" s="171" t="e">
        <f>#REF!</f>
        <v>#REF!</v>
      </c>
      <c r="O186" s="171" t="e">
        <f>#REF!</f>
        <v>#REF!</v>
      </c>
      <c r="P186" s="171" t="e">
        <f>#REF!</f>
        <v>#REF!</v>
      </c>
      <c r="Q186" s="171" t="e">
        <f>#REF!</f>
        <v>#REF!</v>
      </c>
      <c r="R186" s="171" t="e">
        <f>#REF!</f>
        <v>#REF!</v>
      </c>
      <c r="S186" s="171" t="e">
        <f>#REF!</f>
        <v>#REF!</v>
      </c>
      <c r="T186" s="175" t="e">
        <f>#REF!</f>
        <v>#REF!</v>
      </c>
      <c r="U186" s="175" t="e">
        <f>#REF!</f>
        <v>#REF!</v>
      </c>
      <c r="V186" s="175" t="e">
        <f>#REF!</f>
        <v>#REF!</v>
      </c>
      <c r="W186" s="175" t="e">
        <f>#REF!</f>
        <v>#REF!</v>
      </c>
      <c r="X186" s="175" t="e">
        <f>#REF!</f>
        <v>#REF!</v>
      </c>
    </row>
    <row r="187" spans="1:24" ht="24.95" customHeight="1" x14ac:dyDescent="0.2">
      <c r="A187" s="168" t="e">
        <f>#REF!</f>
        <v>#REF!</v>
      </c>
      <c r="B187" s="169" t="e">
        <f>#REF!</f>
        <v>#REF!</v>
      </c>
      <c r="C187" s="170" t="e">
        <f>#REF!</f>
        <v>#REF!</v>
      </c>
      <c r="D187" s="171" t="e">
        <f>#REF!</f>
        <v>#REF!</v>
      </c>
      <c r="E187" s="171" t="e">
        <f>#REF!</f>
        <v>#REF!</v>
      </c>
      <c r="F187" s="171" t="e">
        <f>#REF!</f>
        <v>#REF!</v>
      </c>
      <c r="G187" s="171" t="e">
        <f>#REF!</f>
        <v>#REF!</v>
      </c>
      <c r="H187" s="171" t="e">
        <f>#REF!</f>
        <v>#REF!</v>
      </c>
      <c r="I187" s="171" t="e">
        <f>#REF!</f>
        <v>#REF!</v>
      </c>
      <c r="J187" s="171" t="e">
        <f>#REF!</f>
        <v>#REF!</v>
      </c>
      <c r="K187" s="171" t="e">
        <f>#REF!</f>
        <v>#REF!</v>
      </c>
      <c r="L187" s="171" t="e">
        <f>#REF!</f>
        <v>#REF!</v>
      </c>
      <c r="M187" s="171" t="e">
        <f>#REF!</f>
        <v>#REF!</v>
      </c>
      <c r="N187" s="171" t="e">
        <f>#REF!</f>
        <v>#REF!</v>
      </c>
      <c r="O187" s="171" t="e">
        <f>#REF!</f>
        <v>#REF!</v>
      </c>
      <c r="P187" s="171" t="e">
        <f>#REF!</f>
        <v>#REF!</v>
      </c>
      <c r="Q187" s="171" t="e">
        <f>#REF!</f>
        <v>#REF!</v>
      </c>
      <c r="R187" s="171" t="e">
        <f>#REF!</f>
        <v>#REF!</v>
      </c>
      <c r="S187" s="171" t="e">
        <f>#REF!</f>
        <v>#REF!</v>
      </c>
      <c r="T187" s="175" t="e">
        <f>#REF!</f>
        <v>#REF!</v>
      </c>
      <c r="U187" s="175" t="e">
        <f>#REF!</f>
        <v>#REF!</v>
      </c>
      <c r="V187" s="175" t="e">
        <f>#REF!</f>
        <v>#REF!</v>
      </c>
      <c r="W187" s="175" t="e">
        <f>#REF!</f>
        <v>#REF!</v>
      </c>
      <c r="X187" s="175" t="e">
        <f>#REF!</f>
        <v>#REF!</v>
      </c>
    </row>
    <row r="188" spans="1:24" ht="24.95" customHeight="1" x14ac:dyDescent="0.2">
      <c r="A188" s="168" t="e">
        <f>#REF!</f>
        <v>#REF!</v>
      </c>
      <c r="B188" s="169" t="e">
        <f>#REF!</f>
        <v>#REF!</v>
      </c>
      <c r="C188" s="170" t="e">
        <f>#REF!</f>
        <v>#REF!</v>
      </c>
      <c r="D188" s="171" t="e">
        <f>#REF!</f>
        <v>#REF!</v>
      </c>
      <c r="E188" s="171" t="e">
        <f>#REF!</f>
        <v>#REF!</v>
      </c>
      <c r="F188" s="171" t="e">
        <f>#REF!</f>
        <v>#REF!</v>
      </c>
      <c r="G188" s="171" t="e">
        <f>#REF!</f>
        <v>#REF!</v>
      </c>
      <c r="H188" s="171" t="e">
        <f>#REF!</f>
        <v>#REF!</v>
      </c>
      <c r="I188" s="171" t="e">
        <f>#REF!</f>
        <v>#REF!</v>
      </c>
      <c r="J188" s="171" t="e">
        <f>#REF!</f>
        <v>#REF!</v>
      </c>
      <c r="K188" s="171" t="e">
        <f>#REF!</f>
        <v>#REF!</v>
      </c>
      <c r="L188" s="171" t="e">
        <f>#REF!</f>
        <v>#REF!</v>
      </c>
      <c r="M188" s="171" t="e">
        <f>#REF!</f>
        <v>#REF!</v>
      </c>
      <c r="N188" s="171" t="e">
        <f>#REF!</f>
        <v>#REF!</v>
      </c>
      <c r="O188" s="171" t="e">
        <f>#REF!</f>
        <v>#REF!</v>
      </c>
      <c r="P188" s="171" t="e">
        <f>#REF!</f>
        <v>#REF!</v>
      </c>
      <c r="Q188" s="171" t="e">
        <f>#REF!</f>
        <v>#REF!</v>
      </c>
      <c r="R188" s="171" t="e">
        <f>#REF!</f>
        <v>#REF!</v>
      </c>
      <c r="S188" s="171" t="e">
        <f>#REF!</f>
        <v>#REF!</v>
      </c>
      <c r="T188" s="175" t="e">
        <f>#REF!</f>
        <v>#REF!</v>
      </c>
      <c r="U188" s="175" t="e">
        <f>#REF!</f>
        <v>#REF!</v>
      </c>
      <c r="V188" s="175" t="e">
        <f>#REF!</f>
        <v>#REF!</v>
      </c>
      <c r="W188" s="175" t="e">
        <f>#REF!</f>
        <v>#REF!</v>
      </c>
      <c r="X188" s="175" t="e">
        <f>#REF!</f>
        <v>#REF!</v>
      </c>
    </row>
    <row r="189" spans="1:24" ht="24.95" customHeight="1" x14ac:dyDescent="0.2">
      <c r="A189" s="168" t="e">
        <f>#REF!</f>
        <v>#REF!</v>
      </c>
      <c r="B189" s="169" t="e">
        <f>#REF!</f>
        <v>#REF!</v>
      </c>
      <c r="C189" s="170" t="e">
        <f>#REF!</f>
        <v>#REF!</v>
      </c>
      <c r="D189" s="171" t="e">
        <f>#REF!</f>
        <v>#REF!</v>
      </c>
      <c r="E189" s="171" t="e">
        <f>#REF!</f>
        <v>#REF!</v>
      </c>
      <c r="F189" s="171" t="e">
        <f>#REF!</f>
        <v>#REF!</v>
      </c>
      <c r="G189" s="171" t="e">
        <f>#REF!</f>
        <v>#REF!</v>
      </c>
      <c r="H189" s="171" t="e">
        <f>#REF!</f>
        <v>#REF!</v>
      </c>
      <c r="I189" s="171" t="e">
        <f>#REF!</f>
        <v>#REF!</v>
      </c>
      <c r="J189" s="171" t="e">
        <f>#REF!</f>
        <v>#REF!</v>
      </c>
      <c r="K189" s="171" t="e">
        <f>#REF!</f>
        <v>#REF!</v>
      </c>
      <c r="L189" s="171" t="e">
        <f>#REF!</f>
        <v>#REF!</v>
      </c>
      <c r="M189" s="171" t="e">
        <f>#REF!</f>
        <v>#REF!</v>
      </c>
      <c r="N189" s="171" t="e">
        <f>#REF!</f>
        <v>#REF!</v>
      </c>
      <c r="O189" s="171" t="e">
        <f>#REF!</f>
        <v>#REF!</v>
      </c>
      <c r="P189" s="171" t="e">
        <f>#REF!</f>
        <v>#REF!</v>
      </c>
      <c r="Q189" s="171" t="e">
        <f>#REF!</f>
        <v>#REF!</v>
      </c>
      <c r="R189" s="171" t="e">
        <f>#REF!</f>
        <v>#REF!</v>
      </c>
      <c r="S189" s="171" t="e">
        <f>#REF!</f>
        <v>#REF!</v>
      </c>
      <c r="T189" s="175" t="e">
        <f>#REF!</f>
        <v>#REF!</v>
      </c>
      <c r="U189" s="175" t="e">
        <f>#REF!</f>
        <v>#REF!</v>
      </c>
      <c r="V189" s="175" t="e">
        <f>#REF!</f>
        <v>#REF!</v>
      </c>
      <c r="W189" s="175" t="e">
        <f>#REF!</f>
        <v>#REF!</v>
      </c>
      <c r="X189" s="175" t="e">
        <f>#REF!</f>
        <v>#REF!</v>
      </c>
    </row>
    <row r="190" spans="1:24" ht="24.95" customHeight="1" x14ac:dyDescent="0.2">
      <c r="A190" s="168" t="e">
        <f>#REF!</f>
        <v>#REF!</v>
      </c>
      <c r="B190" s="169" t="e">
        <f>#REF!</f>
        <v>#REF!</v>
      </c>
      <c r="C190" s="170" t="e">
        <f>#REF!</f>
        <v>#REF!</v>
      </c>
      <c r="D190" s="171" t="e">
        <f>#REF!</f>
        <v>#REF!</v>
      </c>
      <c r="E190" s="171" t="e">
        <f>#REF!</f>
        <v>#REF!</v>
      </c>
      <c r="F190" s="171" t="e">
        <f>#REF!</f>
        <v>#REF!</v>
      </c>
      <c r="G190" s="171" t="e">
        <f>#REF!</f>
        <v>#REF!</v>
      </c>
      <c r="H190" s="171" t="e">
        <f>#REF!</f>
        <v>#REF!</v>
      </c>
      <c r="I190" s="171" t="e">
        <f>#REF!</f>
        <v>#REF!</v>
      </c>
      <c r="J190" s="171" t="e">
        <f>#REF!</f>
        <v>#REF!</v>
      </c>
      <c r="K190" s="171" t="e">
        <f>#REF!</f>
        <v>#REF!</v>
      </c>
      <c r="L190" s="171" t="e">
        <f>#REF!</f>
        <v>#REF!</v>
      </c>
      <c r="M190" s="171" t="e">
        <f>#REF!</f>
        <v>#REF!</v>
      </c>
      <c r="N190" s="171" t="e">
        <f>#REF!</f>
        <v>#REF!</v>
      </c>
      <c r="O190" s="171" t="e">
        <f>#REF!</f>
        <v>#REF!</v>
      </c>
      <c r="P190" s="171" t="e">
        <f>#REF!</f>
        <v>#REF!</v>
      </c>
      <c r="Q190" s="171" t="e">
        <f>#REF!</f>
        <v>#REF!</v>
      </c>
      <c r="R190" s="171" t="e">
        <f>#REF!</f>
        <v>#REF!</v>
      </c>
      <c r="S190" s="171" t="e">
        <f>#REF!</f>
        <v>#REF!</v>
      </c>
      <c r="T190" s="175" t="e">
        <f>#REF!</f>
        <v>#REF!</v>
      </c>
      <c r="U190" s="175" t="e">
        <f>#REF!</f>
        <v>#REF!</v>
      </c>
      <c r="V190" s="175" t="e">
        <f>#REF!</f>
        <v>#REF!</v>
      </c>
      <c r="W190" s="175" t="e">
        <f>#REF!</f>
        <v>#REF!</v>
      </c>
      <c r="X190" s="175" t="e">
        <f>#REF!</f>
        <v>#REF!</v>
      </c>
    </row>
    <row r="191" spans="1:24" ht="24.95" customHeight="1" x14ac:dyDescent="0.2">
      <c r="A191" s="168" t="e">
        <f>#REF!</f>
        <v>#REF!</v>
      </c>
      <c r="B191" s="169" t="e">
        <f>#REF!</f>
        <v>#REF!</v>
      </c>
      <c r="C191" s="170" t="e">
        <f>#REF!</f>
        <v>#REF!</v>
      </c>
      <c r="D191" s="171" t="e">
        <f>#REF!</f>
        <v>#REF!</v>
      </c>
      <c r="E191" s="171" t="e">
        <f>#REF!</f>
        <v>#REF!</v>
      </c>
      <c r="F191" s="171" t="e">
        <f>#REF!</f>
        <v>#REF!</v>
      </c>
      <c r="G191" s="171" t="e">
        <f>#REF!</f>
        <v>#REF!</v>
      </c>
      <c r="H191" s="171" t="e">
        <f>#REF!</f>
        <v>#REF!</v>
      </c>
      <c r="I191" s="171" t="e">
        <f>#REF!</f>
        <v>#REF!</v>
      </c>
      <c r="J191" s="171" t="e">
        <f>#REF!</f>
        <v>#REF!</v>
      </c>
      <c r="K191" s="171" t="e">
        <f>#REF!</f>
        <v>#REF!</v>
      </c>
      <c r="L191" s="171" t="e">
        <f>#REF!</f>
        <v>#REF!</v>
      </c>
      <c r="M191" s="171" t="e">
        <f>#REF!</f>
        <v>#REF!</v>
      </c>
      <c r="N191" s="171" t="e">
        <f>#REF!</f>
        <v>#REF!</v>
      </c>
      <c r="O191" s="171" t="e">
        <f>#REF!</f>
        <v>#REF!</v>
      </c>
      <c r="P191" s="171" t="e">
        <f>#REF!</f>
        <v>#REF!</v>
      </c>
      <c r="Q191" s="171" t="e">
        <f>#REF!</f>
        <v>#REF!</v>
      </c>
      <c r="R191" s="171" t="e">
        <f>#REF!</f>
        <v>#REF!</v>
      </c>
      <c r="S191" s="171" t="e">
        <f>#REF!</f>
        <v>#REF!</v>
      </c>
      <c r="T191" s="175" t="e">
        <f>#REF!</f>
        <v>#REF!</v>
      </c>
      <c r="U191" s="175" t="e">
        <f>#REF!</f>
        <v>#REF!</v>
      </c>
      <c r="V191" s="175" t="e">
        <f>#REF!</f>
        <v>#REF!</v>
      </c>
      <c r="W191" s="175" t="e">
        <f>#REF!</f>
        <v>#REF!</v>
      </c>
      <c r="X191" s="175" t="e">
        <f>#REF!</f>
        <v>#REF!</v>
      </c>
    </row>
    <row r="192" spans="1:24" ht="24.95" customHeight="1" x14ac:dyDescent="0.2">
      <c r="A192" s="168" t="e">
        <f>#REF!</f>
        <v>#REF!</v>
      </c>
      <c r="B192" s="169" t="e">
        <f>#REF!</f>
        <v>#REF!</v>
      </c>
      <c r="C192" s="170" t="e">
        <f>#REF!</f>
        <v>#REF!</v>
      </c>
      <c r="D192" s="171" t="e">
        <f>#REF!</f>
        <v>#REF!</v>
      </c>
      <c r="E192" s="171" t="e">
        <f>#REF!</f>
        <v>#REF!</v>
      </c>
      <c r="F192" s="171" t="e">
        <f>#REF!</f>
        <v>#REF!</v>
      </c>
      <c r="G192" s="171" t="e">
        <f>#REF!</f>
        <v>#REF!</v>
      </c>
      <c r="H192" s="171" t="e">
        <f>#REF!</f>
        <v>#REF!</v>
      </c>
      <c r="I192" s="171" t="e">
        <f>#REF!</f>
        <v>#REF!</v>
      </c>
      <c r="J192" s="171" t="e">
        <f>#REF!</f>
        <v>#REF!</v>
      </c>
      <c r="K192" s="171" t="e">
        <f>#REF!</f>
        <v>#REF!</v>
      </c>
      <c r="L192" s="171" t="e">
        <f>#REF!</f>
        <v>#REF!</v>
      </c>
      <c r="M192" s="171" t="e">
        <f>#REF!</f>
        <v>#REF!</v>
      </c>
      <c r="N192" s="171" t="e">
        <f>#REF!</f>
        <v>#REF!</v>
      </c>
      <c r="O192" s="171" t="e">
        <f>#REF!</f>
        <v>#REF!</v>
      </c>
      <c r="P192" s="171" t="e">
        <f>#REF!</f>
        <v>#REF!</v>
      </c>
      <c r="Q192" s="171" t="e">
        <f>#REF!</f>
        <v>#REF!</v>
      </c>
      <c r="R192" s="171" t="e">
        <f>#REF!</f>
        <v>#REF!</v>
      </c>
      <c r="S192" s="171" t="e">
        <f>#REF!</f>
        <v>#REF!</v>
      </c>
      <c r="T192" s="175" t="e">
        <f>#REF!</f>
        <v>#REF!</v>
      </c>
      <c r="U192" s="175" t="e">
        <f>#REF!</f>
        <v>#REF!</v>
      </c>
      <c r="V192" s="175" t="e">
        <f>#REF!</f>
        <v>#REF!</v>
      </c>
      <c r="W192" s="175" t="e">
        <f>#REF!</f>
        <v>#REF!</v>
      </c>
      <c r="X192" s="175" t="e">
        <f>#REF!</f>
        <v>#REF!</v>
      </c>
    </row>
    <row r="193" spans="1:24" ht="24.95" customHeight="1" x14ac:dyDescent="0.2">
      <c r="A193" s="168" t="e">
        <f>#REF!</f>
        <v>#REF!</v>
      </c>
      <c r="B193" s="169" t="e">
        <f>#REF!</f>
        <v>#REF!</v>
      </c>
      <c r="C193" s="170" t="e">
        <f>#REF!</f>
        <v>#REF!</v>
      </c>
      <c r="D193" s="171" t="e">
        <f>#REF!</f>
        <v>#REF!</v>
      </c>
      <c r="E193" s="171" t="e">
        <f>#REF!</f>
        <v>#REF!</v>
      </c>
      <c r="F193" s="171" t="e">
        <f>#REF!</f>
        <v>#REF!</v>
      </c>
      <c r="G193" s="171" t="e">
        <f>#REF!</f>
        <v>#REF!</v>
      </c>
      <c r="H193" s="171" t="e">
        <f>#REF!</f>
        <v>#REF!</v>
      </c>
      <c r="I193" s="171" t="e">
        <f>#REF!</f>
        <v>#REF!</v>
      </c>
      <c r="J193" s="171" t="e">
        <f>#REF!</f>
        <v>#REF!</v>
      </c>
      <c r="K193" s="171" t="e">
        <f>#REF!</f>
        <v>#REF!</v>
      </c>
      <c r="L193" s="171" t="e">
        <f>#REF!</f>
        <v>#REF!</v>
      </c>
      <c r="M193" s="171" t="e">
        <f>#REF!</f>
        <v>#REF!</v>
      </c>
      <c r="N193" s="171" t="e">
        <f>#REF!</f>
        <v>#REF!</v>
      </c>
      <c r="O193" s="171" t="e">
        <f>#REF!</f>
        <v>#REF!</v>
      </c>
      <c r="P193" s="171" t="e">
        <f>#REF!</f>
        <v>#REF!</v>
      </c>
      <c r="Q193" s="171" t="e">
        <f>#REF!</f>
        <v>#REF!</v>
      </c>
      <c r="R193" s="171" t="e">
        <f>#REF!</f>
        <v>#REF!</v>
      </c>
      <c r="S193" s="171" t="e">
        <f>#REF!</f>
        <v>#REF!</v>
      </c>
      <c r="T193" s="175" t="e">
        <f>#REF!</f>
        <v>#REF!</v>
      </c>
      <c r="U193" s="175" t="e">
        <f>#REF!</f>
        <v>#REF!</v>
      </c>
      <c r="V193" s="175" t="e">
        <f>#REF!</f>
        <v>#REF!</v>
      </c>
      <c r="W193" s="175" t="e">
        <f>#REF!</f>
        <v>#REF!</v>
      </c>
      <c r="X193" s="175" t="e">
        <f>#REF!</f>
        <v>#REF!</v>
      </c>
    </row>
    <row r="194" spans="1:24" ht="24.95" customHeight="1" x14ac:dyDescent="0.2">
      <c r="A194" s="168" t="e">
        <f>#REF!</f>
        <v>#REF!</v>
      </c>
      <c r="B194" s="169" t="e">
        <f>#REF!</f>
        <v>#REF!</v>
      </c>
      <c r="C194" s="170" t="e">
        <f>#REF!</f>
        <v>#REF!</v>
      </c>
      <c r="D194" s="171" t="e">
        <f>#REF!</f>
        <v>#REF!</v>
      </c>
      <c r="E194" s="171" t="e">
        <f>#REF!</f>
        <v>#REF!</v>
      </c>
      <c r="F194" s="171" t="e">
        <f>#REF!</f>
        <v>#REF!</v>
      </c>
      <c r="G194" s="171" t="e">
        <f>#REF!</f>
        <v>#REF!</v>
      </c>
      <c r="H194" s="171" t="e">
        <f>#REF!</f>
        <v>#REF!</v>
      </c>
      <c r="I194" s="171" t="e">
        <f>#REF!</f>
        <v>#REF!</v>
      </c>
      <c r="J194" s="171" t="e">
        <f>#REF!</f>
        <v>#REF!</v>
      </c>
      <c r="K194" s="171" t="e">
        <f>#REF!</f>
        <v>#REF!</v>
      </c>
      <c r="L194" s="171" t="e">
        <f>#REF!</f>
        <v>#REF!</v>
      </c>
      <c r="M194" s="171" t="e">
        <f>#REF!</f>
        <v>#REF!</v>
      </c>
      <c r="N194" s="171" t="e">
        <f>#REF!</f>
        <v>#REF!</v>
      </c>
      <c r="O194" s="171" t="e">
        <f>#REF!</f>
        <v>#REF!</v>
      </c>
      <c r="P194" s="171" t="e">
        <f>#REF!</f>
        <v>#REF!</v>
      </c>
      <c r="Q194" s="171" t="e">
        <f>#REF!</f>
        <v>#REF!</v>
      </c>
      <c r="R194" s="171" t="e">
        <f>#REF!</f>
        <v>#REF!</v>
      </c>
      <c r="S194" s="171" t="e">
        <f>#REF!</f>
        <v>#REF!</v>
      </c>
      <c r="T194" s="175" t="e">
        <f>#REF!</f>
        <v>#REF!</v>
      </c>
      <c r="U194" s="175" t="e">
        <f>#REF!</f>
        <v>#REF!</v>
      </c>
      <c r="V194" s="175" t="e">
        <f>#REF!</f>
        <v>#REF!</v>
      </c>
      <c r="W194" s="175" t="e">
        <f>#REF!</f>
        <v>#REF!</v>
      </c>
      <c r="X194" s="175" t="e">
        <f>#REF!</f>
        <v>#REF!</v>
      </c>
    </row>
    <row r="195" spans="1:24" ht="24.95" customHeight="1" x14ac:dyDescent="0.2">
      <c r="A195" s="168" t="e">
        <f>#REF!</f>
        <v>#REF!</v>
      </c>
      <c r="B195" s="169" t="e">
        <f>#REF!</f>
        <v>#REF!</v>
      </c>
      <c r="C195" s="170" t="e">
        <f>#REF!</f>
        <v>#REF!</v>
      </c>
      <c r="D195" s="171" t="e">
        <f>#REF!</f>
        <v>#REF!</v>
      </c>
      <c r="E195" s="171" t="e">
        <f>#REF!</f>
        <v>#REF!</v>
      </c>
      <c r="F195" s="171" t="e">
        <f>#REF!</f>
        <v>#REF!</v>
      </c>
      <c r="G195" s="171" t="e">
        <f>#REF!</f>
        <v>#REF!</v>
      </c>
      <c r="H195" s="171" t="e">
        <f>#REF!</f>
        <v>#REF!</v>
      </c>
      <c r="I195" s="171" t="e">
        <f>#REF!</f>
        <v>#REF!</v>
      </c>
      <c r="J195" s="171" t="e">
        <f>#REF!</f>
        <v>#REF!</v>
      </c>
      <c r="K195" s="171" t="e">
        <f>#REF!</f>
        <v>#REF!</v>
      </c>
      <c r="L195" s="171" t="e">
        <f>#REF!</f>
        <v>#REF!</v>
      </c>
      <c r="M195" s="171" t="e">
        <f>#REF!</f>
        <v>#REF!</v>
      </c>
      <c r="N195" s="171" t="e">
        <f>#REF!</f>
        <v>#REF!</v>
      </c>
      <c r="O195" s="171" t="e">
        <f>#REF!</f>
        <v>#REF!</v>
      </c>
      <c r="P195" s="171" t="e">
        <f>#REF!</f>
        <v>#REF!</v>
      </c>
      <c r="Q195" s="171" t="e">
        <f>#REF!</f>
        <v>#REF!</v>
      </c>
      <c r="R195" s="171" t="e">
        <f>#REF!</f>
        <v>#REF!</v>
      </c>
      <c r="S195" s="171" t="e">
        <f>#REF!</f>
        <v>#REF!</v>
      </c>
      <c r="T195" s="175" t="e">
        <f>#REF!</f>
        <v>#REF!</v>
      </c>
      <c r="U195" s="175" t="e">
        <f>#REF!</f>
        <v>#REF!</v>
      </c>
      <c r="V195" s="175" t="e">
        <f>#REF!</f>
        <v>#REF!</v>
      </c>
      <c r="W195" s="175" t="e">
        <f>#REF!</f>
        <v>#REF!</v>
      </c>
      <c r="X195" s="175" t="e">
        <f>#REF!</f>
        <v>#REF!</v>
      </c>
    </row>
    <row r="196" spans="1:24" ht="24.95" customHeight="1" x14ac:dyDescent="0.2">
      <c r="A196" s="168" t="e">
        <f>#REF!</f>
        <v>#REF!</v>
      </c>
      <c r="B196" s="169" t="e">
        <f>#REF!</f>
        <v>#REF!</v>
      </c>
      <c r="C196" s="170" t="e">
        <f>#REF!</f>
        <v>#REF!</v>
      </c>
      <c r="D196" s="171" t="e">
        <f>#REF!</f>
        <v>#REF!</v>
      </c>
      <c r="E196" s="171" t="e">
        <f>#REF!</f>
        <v>#REF!</v>
      </c>
      <c r="F196" s="171" t="e">
        <f>#REF!</f>
        <v>#REF!</v>
      </c>
      <c r="G196" s="171" t="e">
        <f>#REF!</f>
        <v>#REF!</v>
      </c>
      <c r="H196" s="171" t="e">
        <f>#REF!</f>
        <v>#REF!</v>
      </c>
      <c r="I196" s="171" t="e">
        <f>#REF!</f>
        <v>#REF!</v>
      </c>
      <c r="J196" s="171" t="e">
        <f>#REF!</f>
        <v>#REF!</v>
      </c>
      <c r="K196" s="171" t="e">
        <f>#REF!</f>
        <v>#REF!</v>
      </c>
      <c r="L196" s="171" t="e">
        <f>#REF!</f>
        <v>#REF!</v>
      </c>
      <c r="M196" s="171" t="e">
        <f>#REF!</f>
        <v>#REF!</v>
      </c>
      <c r="N196" s="171" t="e">
        <f>#REF!</f>
        <v>#REF!</v>
      </c>
      <c r="O196" s="171" t="e">
        <f>#REF!</f>
        <v>#REF!</v>
      </c>
      <c r="P196" s="171" t="e">
        <f>#REF!</f>
        <v>#REF!</v>
      </c>
      <c r="Q196" s="171" t="e">
        <f>#REF!</f>
        <v>#REF!</v>
      </c>
      <c r="R196" s="171" t="e">
        <f>#REF!</f>
        <v>#REF!</v>
      </c>
      <c r="S196" s="171" t="e">
        <f>#REF!</f>
        <v>#REF!</v>
      </c>
      <c r="T196" s="175" t="e">
        <f>#REF!</f>
        <v>#REF!</v>
      </c>
      <c r="U196" s="175" t="e">
        <f>#REF!</f>
        <v>#REF!</v>
      </c>
      <c r="V196" s="175" t="e">
        <f>#REF!</f>
        <v>#REF!</v>
      </c>
      <c r="W196" s="175" t="e">
        <f>#REF!</f>
        <v>#REF!</v>
      </c>
      <c r="X196" s="175" t="e">
        <f>#REF!</f>
        <v>#REF!</v>
      </c>
    </row>
    <row r="197" spans="1:24" ht="24.95" customHeight="1" x14ac:dyDescent="0.2">
      <c r="A197" s="168" t="e">
        <f>#REF!</f>
        <v>#REF!</v>
      </c>
      <c r="B197" s="169" t="e">
        <f>#REF!</f>
        <v>#REF!</v>
      </c>
      <c r="C197" s="170" t="e">
        <f>#REF!</f>
        <v>#REF!</v>
      </c>
      <c r="D197" s="171" t="e">
        <f>#REF!</f>
        <v>#REF!</v>
      </c>
      <c r="E197" s="171" t="e">
        <f>#REF!</f>
        <v>#REF!</v>
      </c>
      <c r="F197" s="171" t="e">
        <f>#REF!</f>
        <v>#REF!</v>
      </c>
      <c r="G197" s="171" t="e">
        <f>#REF!</f>
        <v>#REF!</v>
      </c>
      <c r="H197" s="171" t="e">
        <f>#REF!</f>
        <v>#REF!</v>
      </c>
      <c r="I197" s="171" t="e">
        <f>#REF!</f>
        <v>#REF!</v>
      </c>
      <c r="J197" s="171" t="e">
        <f>#REF!</f>
        <v>#REF!</v>
      </c>
      <c r="K197" s="171" t="e">
        <f>#REF!</f>
        <v>#REF!</v>
      </c>
      <c r="L197" s="171" t="e">
        <f>#REF!</f>
        <v>#REF!</v>
      </c>
      <c r="M197" s="171" t="e">
        <f>#REF!</f>
        <v>#REF!</v>
      </c>
      <c r="N197" s="171" t="e">
        <f>#REF!</f>
        <v>#REF!</v>
      </c>
      <c r="O197" s="171" t="e">
        <f>#REF!</f>
        <v>#REF!</v>
      </c>
      <c r="P197" s="171" t="e">
        <f>#REF!</f>
        <v>#REF!</v>
      </c>
      <c r="Q197" s="171" t="e">
        <f>#REF!</f>
        <v>#REF!</v>
      </c>
      <c r="R197" s="171" t="e">
        <f>#REF!</f>
        <v>#REF!</v>
      </c>
      <c r="S197" s="171" t="e">
        <f>#REF!</f>
        <v>#REF!</v>
      </c>
      <c r="T197" s="175" t="e">
        <f>#REF!</f>
        <v>#REF!</v>
      </c>
      <c r="U197" s="175" t="e">
        <f>#REF!</f>
        <v>#REF!</v>
      </c>
      <c r="V197" s="175" t="e">
        <f>#REF!</f>
        <v>#REF!</v>
      </c>
      <c r="W197" s="175" t="e">
        <f>#REF!</f>
        <v>#REF!</v>
      </c>
      <c r="X197" s="175" t="e">
        <f>#REF!</f>
        <v>#REF!</v>
      </c>
    </row>
    <row r="198" spans="1:24" ht="24.95" customHeight="1" x14ac:dyDescent="0.2">
      <c r="A198" s="168" t="e">
        <f>#REF!</f>
        <v>#REF!</v>
      </c>
      <c r="B198" s="169" t="e">
        <f>#REF!</f>
        <v>#REF!</v>
      </c>
      <c r="C198" s="170" t="e">
        <f>#REF!</f>
        <v>#REF!</v>
      </c>
      <c r="D198" s="171" t="e">
        <f>#REF!</f>
        <v>#REF!</v>
      </c>
      <c r="E198" s="171" t="e">
        <f>#REF!</f>
        <v>#REF!</v>
      </c>
      <c r="F198" s="171" t="e">
        <f>#REF!</f>
        <v>#REF!</v>
      </c>
      <c r="G198" s="171" t="e">
        <f>#REF!</f>
        <v>#REF!</v>
      </c>
      <c r="H198" s="171" t="e">
        <f>#REF!</f>
        <v>#REF!</v>
      </c>
      <c r="I198" s="171" t="e">
        <f>#REF!</f>
        <v>#REF!</v>
      </c>
      <c r="J198" s="171" t="e">
        <f>#REF!</f>
        <v>#REF!</v>
      </c>
      <c r="K198" s="171" t="e">
        <f>#REF!</f>
        <v>#REF!</v>
      </c>
      <c r="L198" s="171" t="e">
        <f>#REF!</f>
        <v>#REF!</v>
      </c>
      <c r="M198" s="171" t="e">
        <f>#REF!</f>
        <v>#REF!</v>
      </c>
      <c r="N198" s="171" t="e">
        <f>#REF!</f>
        <v>#REF!</v>
      </c>
      <c r="O198" s="171" t="e">
        <f>#REF!</f>
        <v>#REF!</v>
      </c>
      <c r="P198" s="171" t="e">
        <f>#REF!</f>
        <v>#REF!</v>
      </c>
      <c r="Q198" s="171" t="e">
        <f>#REF!</f>
        <v>#REF!</v>
      </c>
      <c r="R198" s="171" t="e">
        <f>#REF!</f>
        <v>#REF!</v>
      </c>
      <c r="S198" s="171" t="e">
        <f>#REF!</f>
        <v>#REF!</v>
      </c>
      <c r="T198" s="175" t="e">
        <f>#REF!</f>
        <v>#REF!</v>
      </c>
      <c r="U198" s="175" t="e">
        <f>#REF!</f>
        <v>#REF!</v>
      </c>
      <c r="V198" s="175" t="e">
        <f>#REF!</f>
        <v>#REF!</v>
      </c>
      <c r="W198" s="175" t="e">
        <f>#REF!</f>
        <v>#REF!</v>
      </c>
      <c r="X198" s="175" t="e">
        <f>#REF!</f>
        <v>#REF!</v>
      </c>
    </row>
    <row r="199" spans="1:24" ht="24.95" customHeight="1" x14ac:dyDescent="0.2">
      <c r="A199" s="168" t="e">
        <f>#REF!</f>
        <v>#REF!</v>
      </c>
      <c r="B199" s="169" t="e">
        <f>#REF!</f>
        <v>#REF!</v>
      </c>
      <c r="C199" s="170" t="e">
        <f>#REF!</f>
        <v>#REF!</v>
      </c>
      <c r="D199" s="171" t="e">
        <f>#REF!</f>
        <v>#REF!</v>
      </c>
      <c r="E199" s="171" t="e">
        <f>#REF!</f>
        <v>#REF!</v>
      </c>
      <c r="F199" s="171" t="e">
        <f>#REF!</f>
        <v>#REF!</v>
      </c>
      <c r="G199" s="171" t="e">
        <f>#REF!</f>
        <v>#REF!</v>
      </c>
      <c r="H199" s="171" t="e">
        <f>#REF!</f>
        <v>#REF!</v>
      </c>
      <c r="I199" s="171" t="e">
        <f>#REF!</f>
        <v>#REF!</v>
      </c>
      <c r="J199" s="171" t="e">
        <f>#REF!</f>
        <v>#REF!</v>
      </c>
      <c r="K199" s="171" t="e">
        <f>#REF!</f>
        <v>#REF!</v>
      </c>
      <c r="L199" s="171" t="e">
        <f>#REF!</f>
        <v>#REF!</v>
      </c>
      <c r="M199" s="171" t="e">
        <f>#REF!</f>
        <v>#REF!</v>
      </c>
      <c r="N199" s="171" t="e">
        <f>#REF!</f>
        <v>#REF!</v>
      </c>
      <c r="O199" s="171" t="e">
        <f>#REF!</f>
        <v>#REF!</v>
      </c>
      <c r="P199" s="171" t="e">
        <f>#REF!</f>
        <v>#REF!</v>
      </c>
      <c r="Q199" s="171" t="e">
        <f>#REF!</f>
        <v>#REF!</v>
      </c>
      <c r="R199" s="171" t="e">
        <f>#REF!</f>
        <v>#REF!</v>
      </c>
      <c r="S199" s="171" t="e">
        <f>#REF!</f>
        <v>#REF!</v>
      </c>
      <c r="T199" s="175" t="e">
        <f>#REF!</f>
        <v>#REF!</v>
      </c>
      <c r="U199" s="175" t="e">
        <f>#REF!</f>
        <v>#REF!</v>
      </c>
      <c r="V199" s="175" t="e">
        <f>#REF!</f>
        <v>#REF!</v>
      </c>
      <c r="W199" s="175" t="e">
        <f>#REF!</f>
        <v>#REF!</v>
      </c>
      <c r="X199" s="175" t="e">
        <f>#REF!</f>
        <v>#REF!</v>
      </c>
    </row>
    <row r="200" spans="1:24" ht="24.95" customHeight="1" x14ac:dyDescent="0.2">
      <c r="A200" s="168" t="e">
        <f>#REF!</f>
        <v>#REF!</v>
      </c>
      <c r="B200" s="169" t="e">
        <f>#REF!</f>
        <v>#REF!</v>
      </c>
      <c r="C200" s="170" t="e">
        <f>#REF!</f>
        <v>#REF!</v>
      </c>
      <c r="D200" s="171" t="e">
        <f>#REF!</f>
        <v>#REF!</v>
      </c>
      <c r="E200" s="171" t="e">
        <f>#REF!</f>
        <v>#REF!</v>
      </c>
      <c r="F200" s="171" t="e">
        <f>#REF!</f>
        <v>#REF!</v>
      </c>
      <c r="G200" s="171" t="e">
        <f>#REF!</f>
        <v>#REF!</v>
      </c>
      <c r="H200" s="171" t="e">
        <f>#REF!</f>
        <v>#REF!</v>
      </c>
      <c r="I200" s="171" t="e">
        <f>#REF!</f>
        <v>#REF!</v>
      </c>
      <c r="J200" s="171" t="e">
        <f>#REF!</f>
        <v>#REF!</v>
      </c>
      <c r="K200" s="171" t="e">
        <f>#REF!</f>
        <v>#REF!</v>
      </c>
      <c r="L200" s="171" t="e">
        <f>#REF!</f>
        <v>#REF!</v>
      </c>
      <c r="M200" s="171" t="e">
        <f>#REF!</f>
        <v>#REF!</v>
      </c>
      <c r="N200" s="171" t="e">
        <f>#REF!</f>
        <v>#REF!</v>
      </c>
      <c r="O200" s="171" t="e">
        <f>#REF!</f>
        <v>#REF!</v>
      </c>
      <c r="P200" s="171" t="e">
        <f>#REF!</f>
        <v>#REF!</v>
      </c>
      <c r="Q200" s="171" t="e">
        <f>#REF!</f>
        <v>#REF!</v>
      </c>
      <c r="R200" s="171" t="e">
        <f>#REF!</f>
        <v>#REF!</v>
      </c>
      <c r="S200" s="171" t="e">
        <f>#REF!</f>
        <v>#REF!</v>
      </c>
      <c r="T200" s="175" t="e">
        <f>#REF!</f>
        <v>#REF!</v>
      </c>
      <c r="U200" s="175" t="e">
        <f>#REF!</f>
        <v>#REF!</v>
      </c>
      <c r="V200" s="175" t="e">
        <f>#REF!</f>
        <v>#REF!</v>
      </c>
      <c r="W200" s="175" t="e">
        <f>#REF!</f>
        <v>#REF!</v>
      </c>
      <c r="X200" s="175" t="e">
        <f>#REF!</f>
        <v>#REF!</v>
      </c>
    </row>
    <row r="201" spans="1:24" ht="24.95" customHeight="1" x14ac:dyDescent="0.2">
      <c r="A201" s="168" t="e">
        <f>#REF!</f>
        <v>#REF!</v>
      </c>
      <c r="B201" s="169" t="e">
        <f>#REF!</f>
        <v>#REF!</v>
      </c>
      <c r="C201" s="170" t="e">
        <f>#REF!</f>
        <v>#REF!</v>
      </c>
      <c r="D201" s="171" t="e">
        <f>#REF!</f>
        <v>#REF!</v>
      </c>
      <c r="E201" s="171" t="e">
        <f>#REF!</f>
        <v>#REF!</v>
      </c>
      <c r="F201" s="171" t="e">
        <f>#REF!</f>
        <v>#REF!</v>
      </c>
      <c r="G201" s="171" t="e">
        <f>#REF!</f>
        <v>#REF!</v>
      </c>
      <c r="H201" s="171" t="e">
        <f>#REF!</f>
        <v>#REF!</v>
      </c>
      <c r="I201" s="171" t="e">
        <f>#REF!</f>
        <v>#REF!</v>
      </c>
      <c r="J201" s="171" t="e">
        <f>#REF!</f>
        <v>#REF!</v>
      </c>
      <c r="K201" s="171" t="e">
        <f>#REF!</f>
        <v>#REF!</v>
      </c>
      <c r="L201" s="171" t="e">
        <f>#REF!</f>
        <v>#REF!</v>
      </c>
      <c r="M201" s="171" t="e">
        <f>#REF!</f>
        <v>#REF!</v>
      </c>
      <c r="N201" s="171" t="e">
        <f>#REF!</f>
        <v>#REF!</v>
      </c>
      <c r="O201" s="171" t="e">
        <f>#REF!</f>
        <v>#REF!</v>
      </c>
      <c r="P201" s="171" t="e">
        <f>#REF!</f>
        <v>#REF!</v>
      </c>
      <c r="Q201" s="171" t="e">
        <f>#REF!</f>
        <v>#REF!</v>
      </c>
      <c r="R201" s="171" t="e">
        <f>#REF!</f>
        <v>#REF!</v>
      </c>
      <c r="S201" s="171" t="e">
        <f>#REF!</f>
        <v>#REF!</v>
      </c>
      <c r="T201" s="175" t="e">
        <f>#REF!</f>
        <v>#REF!</v>
      </c>
      <c r="U201" s="175" t="e">
        <f>#REF!</f>
        <v>#REF!</v>
      </c>
      <c r="V201" s="175" t="e">
        <f>#REF!</f>
        <v>#REF!</v>
      </c>
      <c r="W201" s="175" t="e">
        <f>#REF!</f>
        <v>#REF!</v>
      </c>
      <c r="X201" s="175" t="e">
        <f>#REF!</f>
        <v>#REF!</v>
      </c>
    </row>
    <row r="202" spans="1:24" ht="24.95" customHeight="1" x14ac:dyDescent="0.2">
      <c r="A202" s="168" t="e">
        <f>#REF!</f>
        <v>#REF!</v>
      </c>
      <c r="B202" s="169" t="e">
        <f>#REF!</f>
        <v>#REF!</v>
      </c>
      <c r="C202" s="170" t="e">
        <f>#REF!</f>
        <v>#REF!</v>
      </c>
      <c r="D202" s="171" t="e">
        <f>#REF!</f>
        <v>#REF!</v>
      </c>
      <c r="E202" s="171" t="e">
        <f>#REF!</f>
        <v>#REF!</v>
      </c>
      <c r="F202" s="171" t="e">
        <f>#REF!</f>
        <v>#REF!</v>
      </c>
      <c r="G202" s="171" t="e">
        <f>#REF!</f>
        <v>#REF!</v>
      </c>
      <c r="H202" s="171" t="e">
        <f>#REF!</f>
        <v>#REF!</v>
      </c>
      <c r="I202" s="171" t="e">
        <f>#REF!</f>
        <v>#REF!</v>
      </c>
      <c r="J202" s="171" t="e">
        <f>#REF!</f>
        <v>#REF!</v>
      </c>
      <c r="K202" s="171" t="e">
        <f>#REF!</f>
        <v>#REF!</v>
      </c>
      <c r="L202" s="171" t="e">
        <f>#REF!</f>
        <v>#REF!</v>
      </c>
      <c r="M202" s="171" t="e">
        <f>#REF!</f>
        <v>#REF!</v>
      </c>
      <c r="N202" s="171" t="e">
        <f>#REF!</f>
        <v>#REF!</v>
      </c>
      <c r="O202" s="171" t="e">
        <f>#REF!</f>
        <v>#REF!</v>
      </c>
      <c r="P202" s="171" t="e">
        <f>#REF!</f>
        <v>#REF!</v>
      </c>
      <c r="Q202" s="171" t="e">
        <f>#REF!</f>
        <v>#REF!</v>
      </c>
      <c r="R202" s="171" t="e">
        <f>#REF!</f>
        <v>#REF!</v>
      </c>
      <c r="S202" s="171" t="e">
        <f>#REF!</f>
        <v>#REF!</v>
      </c>
      <c r="T202" s="175" t="e">
        <f>#REF!</f>
        <v>#REF!</v>
      </c>
      <c r="U202" s="175" t="e">
        <f>#REF!</f>
        <v>#REF!</v>
      </c>
      <c r="V202" s="175" t="e">
        <f>#REF!</f>
        <v>#REF!</v>
      </c>
      <c r="W202" s="175" t="e">
        <f>#REF!</f>
        <v>#REF!</v>
      </c>
      <c r="X202" s="175" t="e">
        <f>#REF!</f>
        <v>#REF!</v>
      </c>
    </row>
    <row r="203" spans="1:24" ht="24.95" customHeight="1" x14ac:dyDescent="0.2">
      <c r="A203" s="168" t="e">
        <f>#REF!</f>
        <v>#REF!</v>
      </c>
      <c r="B203" s="169" t="e">
        <f>#REF!</f>
        <v>#REF!</v>
      </c>
      <c r="C203" s="170" t="e">
        <f>#REF!</f>
        <v>#REF!</v>
      </c>
      <c r="D203" s="171" t="e">
        <f>#REF!</f>
        <v>#REF!</v>
      </c>
      <c r="E203" s="171" t="e">
        <f>#REF!</f>
        <v>#REF!</v>
      </c>
      <c r="F203" s="171" t="e">
        <f>#REF!</f>
        <v>#REF!</v>
      </c>
      <c r="G203" s="171" t="e">
        <f>#REF!</f>
        <v>#REF!</v>
      </c>
      <c r="H203" s="171" t="e">
        <f>#REF!</f>
        <v>#REF!</v>
      </c>
      <c r="I203" s="171" t="e">
        <f>#REF!</f>
        <v>#REF!</v>
      </c>
      <c r="J203" s="171" t="e">
        <f>#REF!</f>
        <v>#REF!</v>
      </c>
      <c r="K203" s="171" t="e">
        <f>#REF!</f>
        <v>#REF!</v>
      </c>
      <c r="L203" s="171" t="e">
        <f>#REF!</f>
        <v>#REF!</v>
      </c>
      <c r="M203" s="171" t="e">
        <f>#REF!</f>
        <v>#REF!</v>
      </c>
      <c r="N203" s="171" t="e">
        <f>#REF!</f>
        <v>#REF!</v>
      </c>
      <c r="O203" s="171" t="e">
        <f>#REF!</f>
        <v>#REF!</v>
      </c>
      <c r="P203" s="171" t="e">
        <f>#REF!</f>
        <v>#REF!</v>
      </c>
      <c r="Q203" s="171" t="e">
        <f>#REF!</f>
        <v>#REF!</v>
      </c>
      <c r="R203" s="171" t="e">
        <f>#REF!</f>
        <v>#REF!</v>
      </c>
      <c r="S203" s="171" t="e">
        <f>#REF!</f>
        <v>#REF!</v>
      </c>
      <c r="T203" s="175" t="e">
        <f>#REF!</f>
        <v>#REF!</v>
      </c>
      <c r="U203" s="175" t="e">
        <f>#REF!</f>
        <v>#REF!</v>
      </c>
      <c r="V203" s="175" t="e">
        <f>#REF!</f>
        <v>#REF!</v>
      </c>
      <c r="W203" s="175" t="e">
        <f>#REF!</f>
        <v>#REF!</v>
      </c>
      <c r="X203" s="175" t="e">
        <f>#REF!</f>
        <v>#REF!</v>
      </c>
    </row>
    <row r="204" spans="1:24" ht="24.95" customHeight="1" x14ac:dyDescent="0.2">
      <c r="A204" s="168" t="e">
        <f>#REF!</f>
        <v>#REF!</v>
      </c>
      <c r="B204" s="169" t="e">
        <f>#REF!</f>
        <v>#REF!</v>
      </c>
      <c r="C204" s="170" t="e">
        <f>#REF!</f>
        <v>#REF!</v>
      </c>
      <c r="D204" s="171" t="e">
        <f>#REF!</f>
        <v>#REF!</v>
      </c>
      <c r="E204" s="171" t="e">
        <f>#REF!</f>
        <v>#REF!</v>
      </c>
      <c r="F204" s="171" t="e">
        <f>#REF!</f>
        <v>#REF!</v>
      </c>
      <c r="G204" s="171" t="e">
        <f>#REF!</f>
        <v>#REF!</v>
      </c>
      <c r="H204" s="171" t="e">
        <f>#REF!</f>
        <v>#REF!</v>
      </c>
      <c r="I204" s="171" t="e">
        <f>#REF!</f>
        <v>#REF!</v>
      </c>
      <c r="J204" s="171" t="e">
        <f>#REF!</f>
        <v>#REF!</v>
      </c>
      <c r="K204" s="171" t="e">
        <f>#REF!</f>
        <v>#REF!</v>
      </c>
      <c r="L204" s="171" t="e">
        <f>#REF!</f>
        <v>#REF!</v>
      </c>
      <c r="M204" s="171" t="e">
        <f>#REF!</f>
        <v>#REF!</v>
      </c>
      <c r="N204" s="171" t="e">
        <f>#REF!</f>
        <v>#REF!</v>
      </c>
      <c r="O204" s="171" t="e">
        <f>#REF!</f>
        <v>#REF!</v>
      </c>
      <c r="P204" s="171" t="e">
        <f>#REF!</f>
        <v>#REF!</v>
      </c>
      <c r="Q204" s="171" t="e">
        <f>#REF!</f>
        <v>#REF!</v>
      </c>
      <c r="R204" s="171" t="e">
        <f>#REF!</f>
        <v>#REF!</v>
      </c>
      <c r="S204" s="171" t="e">
        <f>#REF!</f>
        <v>#REF!</v>
      </c>
      <c r="T204" s="175" t="e">
        <f>#REF!</f>
        <v>#REF!</v>
      </c>
      <c r="U204" s="175" t="e">
        <f>#REF!</f>
        <v>#REF!</v>
      </c>
      <c r="V204" s="175" t="e">
        <f>#REF!</f>
        <v>#REF!</v>
      </c>
      <c r="W204" s="175" t="e">
        <f>#REF!</f>
        <v>#REF!</v>
      </c>
      <c r="X204" s="175" t="e">
        <f>#REF!</f>
        <v>#REF!</v>
      </c>
    </row>
    <row r="205" spans="1:24" ht="24.95" customHeight="1" x14ac:dyDescent="0.2">
      <c r="A205" s="168" t="e">
        <f>#REF!</f>
        <v>#REF!</v>
      </c>
      <c r="B205" s="169" t="e">
        <f>#REF!</f>
        <v>#REF!</v>
      </c>
      <c r="C205" s="170" t="e">
        <f>#REF!</f>
        <v>#REF!</v>
      </c>
      <c r="D205" s="171" t="e">
        <f>#REF!</f>
        <v>#REF!</v>
      </c>
      <c r="E205" s="171" t="e">
        <f>#REF!</f>
        <v>#REF!</v>
      </c>
      <c r="F205" s="171" t="e">
        <f>#REF!</f>
        <v>#REF!</v>
      </c>
      <c r="G205" s="171" t="e">
        <f>#REF!</f>
        <v>#REF!</v>
      </c>
      <c r="H205" s="171" t="e">
        <f>#REF!</f>
        <v>#REF!</v>
      </c>
      <c r="I205" s="171" t="e">
        <f>#REF!</f>
        <v>#REF!</v>
      </c>
      <c r="J205" s="171" t="e">
        <f>#REF!</f>
        <v>#REF!</v>
      </c>
      <c r="K205" s="171" t="e">
        <f>#REF!</f>
        <v>#REF!</v>
      </c>
      <c r="L205" s="171" t="e">
        <f>#REF!</f>
        <v>#REF!</v>
      </c>
      <c r="M205" s="171" t="e">
        <f>#REF!</f>
        <v>#REF!</v>
      </c>
      <c r="N205" s="171" t="e">
        <f>#REF!</f>
        <v>#REF!</v>
      </c>
      <c r="O205" s="171" t="e">
        <f>#REF!</f>
        <v>#REF!</v>
      </c>
      <c r="P205" s="171" t="e">
        <f>#REF!</f>
        <v>#REF!</v>
      </c>
      <c r="Q205" s="171" t="e">
        <f>#REF!</f>
        <v>#REF!</v>
      </c>
      <c r="R205" s="171" t="e">
        <f>#REF!</f>
        <v>#REF!</v>
      </c>
      <c r="S205" s="171" t="e">
        <f>#REF!</f>
        <v>#REF!</v>
      </c>
      <c r="T205" s="175" t="e">
        <f>#REF!</f>
        <v>#REF!</v>
      </c>
      <c r="U205" s="175" t="e">
        <f>#REF!</f>
        <v>#REF!</v>
      </c>
      <c r="V205" s="175" t="e">
        <f>#REF!</f>
        <v>#REF!</v>
      </c>
      <c r="W205" s="175" t="e">
        <f>#REF!</f>
        <v>#REF!</v>
      </c>
      <c r="X205" s="175" t="e">
        <f>#REF!</f>
        <v>#REF!</v>
      </c>
    </row>
    <row r="206" spans="1:24" ht="24.95" customHeight="1" x14ac:dyDescent="0.2">
      <c r="A206" s="168" t="e">
        <f>#REF!</f>
        <v>#REF!</v>
      </c>
      <c r="B206" s="169" t="e">
        <f>#REF!</f>
        <v>#REF!</v>
      </c>
      <c r="C206" s="170" t="e">
        <f>#REF!</f>
        <v>#REF!</v>
      </c>
      <c r="D206" s="171" t="e">
        <f>#REF!</f>
        <v>#REF!</v>
      </c>
      <c r="E206" s="171" t="e">
        <f>#REF!</f>
        <v>#REF!</v>
      </c>
      <c r="F206" s="171" t="e">
        <f>#REF!</f>
        <v>#REF!</v>
      </c>
      <c r="G206" s="171" t="e">
        <f>#REF!</f>
        <v>#REF!</v>
      </c>
      <c r="H206" s="171" t="e">
        <f>#REF!</f>
        <v>#REF!</v>
      </c>
      <c r="I206" s="171" t="e">
        <f>#REF!</f>
        <v>#REF!</v>
      </c>
      <c r="J206" s="171" t="e">
        <f>#REF!</f>
        <v>#REF!</v>
      </c>
      <c r="K206" s="171" t="e">
        <f>#REF!</f>
        <v>#REF!</v>
      </c>
      <c r="L206" s="171" t="e">
        <f>#REF!</f>
        <v>#REF!</v>
      </c>
      <c r="M206" s="171" t="e">
        <f>#REF!</f>
        <v>#REF!</v>
      </c>
      <c r="N206" s="171" t="e">
        <f>#REF!</f>
        <v>#REF!</v>
      </c>
      <c r="O206" s="171" t="e">
        <f>#REF!</f>
        <v>#REF!</v>
      </c>
      <c r="P206" s="171" t="e">
        <f>#REF!</f>
        <v>#REF!</v>
      </c>
      <c r="Q206" s="171" t="e">
        <f>#REF!</f>
        <v>#REF!</v>
      </c>
      <c r="R206" s="171" t="e">
        <f>#REF!</f>
        <v>#REF!</v>
      </c>
      <c r="S206" s="171" t="e">
        <f>#REF!</f>
        <v>#REF!</v>
      </c>
      <c r="T206" s="175" t="e">
        <f>#REF!</f>
        <v>#REF!</v>
      </c>
      <c r="U206" s="175" t="e">
        <f>#REF!</f>
        <v>#REF!</v>
      </c>
      <c r="V206" s="175" t="e">
        <f>#REF!</f>
        <v>#REF!</v>
      </c>
      <c r="W206" s="175" t="e">
        <f>#REF!</f>
        <v>#REF!</v>
      </c>
      <c r="X206" s="175" t="e">
        <f>#REF!</f>
        <v>#REF!</v>
      </c>
    </row>
    <row r="207" spans="1:24" ht="24.95" customHeight="1" x14ac:dyDescent="0.2">
      <c r="A207" s="168" t="e">
        <f>#REF!</f>
        <v>#REF!</v>
      </c>
      <c r="B207" s="169" t="e">
        <f>#REF!</f>
        <v>#REF!</v>
      </c>
      <c r="C207" s="170" t="e">
        <f>#REF!</f>
        <v>#REF!</v>
      </c>
      <c r="D207" s="171" t="e">
        <f>#REF!</f>
        <v>#REF!</v>
      </c>
      <c r="E207" s="171" t="e">
        <f>#REF!</f>
        <v>#REF!</v>
      </c>
      <c r="F207" s="171" t="e">
        <f>#REF!</f>
        <v>#REF!</v>
      </c>
      <c r="G207" s="171" t="e">
        <f>#REF!</f>
        <v>#REF!</v>
      </c>
      <c r="H207" s="171" t="e">
        <f>#REF!</f>
        <v>#REF!</v>
      </c>
      <c r="I207" s="171" t="e">
        <f>#REF!</f>
        <v>#REF!</v>
      </c>
      <c r="J207" s="171" t="e">
        <f>#REF!</f>
        <v>#REF!</v>
      </c>
      <c r="K207" s="171" t="e">
        <f>#REF!</f>
        <v>#REF!</v>
      </c>
      <c r="L207" s="171" t="e">
        <f>#REF!</f>
        <v>#REF!</v>
      </c>
      <c r="M207" s="171" t="e">
        <f>#REF!</f>
        <v>#REF!</v>
      </c>
      <c r="N207" s="171" t="e">
        <f>#REF!</f>
        <v>#REF!</v>
      </c>
      <c r="O207" s="171" t="e">
        <f>#REF!</f>
        <v>#REF!</v>
      </c>
      <c r="P207" s="171" t="e">
        <f>#REF!</f>
        <v>#REF!</v>
      </c>
      <c r="Q207" s="171" t="e">
        <f>#REF!</f>
        <v>#REF!</v>
      </c>
      <c r="R207" s="171" t="e">
        <f>#REF!</f>
        <v>#REF!</v>
      </c>
      <c r="S207" s="171" t="e">
        <f>#REF!</f>
        <v>#REF!</v>
      </c>
      <c r="T207" s="175" t="e">
        <f>#REF!</f>
        <v>#REF!</v>
      </c>
      <c r="U207" s="175" t="e">
        <f>#REF!</f>
        <v>#REF!</v>
      </c>
      <c r="V207" s="175" t="e">
        <f>#REF!</f>
        <v>#REF!</v>
      </c>
      <c r="W207" s="175" t="e">
        <f>#REF!</f>
        <v>#REF!</v>
      </c>
      <c r="X207" s="175" t="e">
        <f>#REF!</f>
        <v>#REF!</v>
      </c>
    </row>
    <row r="208" spans="1:24" ht="24.95" customHeight="1" x14ac:dyDescent="0.2">
      <c r="A208" s="168" t="e">
        <f>#REF!</f>
        <v>#REF!</v>
      </c>
      <c r="B208" s="169" t="e">
        <f>#REF!</f>
        <v>#REF!</v>
      </c>
      <c r="C208" s="170" t="e">
        <f>#REF!</f>
        <v>#REF!</v>
      </c>
      <c r="D208" s="171" t="e">
        <f>#REF!</f>
        <v>#REF!</v>
      </c>
      <c r="E208" s="171" t="e">
        <f>#REF!</f>
        <v>#REF!</v>
      </c>
      <c r="F208" s="171" t="e">
        <f>#REF!</f>
        <v>#REF!</v>
      </c>
      <c r="G208" s="171" t="e">
        <f>#REF!</f>
        <v>#REF!</v>
      </c>
      <c r="H208" s="171" t="e">
        <f>#REF!</f>
        <v>#REF!</v>
      </c>
      <c r="I208" s="171" t="e">
        <f>#REF!</f>
        <v>#REF!</v>
      </c>
      <c r="J208" s="171" t="e">
        <f>#REF!</f>
        <v>#REF!</v>
      </c>
      <c r="K208" s="171" t="e">
        <f>#REF!</f>
        <v>#REF!</v>
      </c>
      <c r="L208" s="171" t="e">
        <f>#REF!</f>
        <v>#REF!</v>
      </c>
      <c r="M208" s="171" t="e">
        <f>#REF!</f>
        <v>#REF!</v>
      </c>
      <c r="N208" s="171" t="e">
        <f>#REF!</f>
        <v>#REF!</v>
      </c>
      <c r="O208" s="171" t="e">
        <f>#REF!</f>
        <v>#REF!</v>
      </c>
      <c r="P208" s="171" t="e">
        <f>#REF!</f>
        <v>#REF!</v>
      </c>
      <c r="Q208" s="171" t="e">
        <f>#REF!</f>
        <v>#REF!</v>
      </c>
      <c r="R208" s="171" t="e">
        <f>#REF!</f>
        <v>#REF!</v>
      </c>
      <c r="S208" s="171" t="e">
        <f>#REF!</f>
        <v>#REF!</v>
      </c>
      <c r="T208" s="175" t="e">
        <f>#REF!</f>
        <v>#REF!</v>
      </c>
      <c r="U208" s="175" t="e">
        <f>#REF!</f>
        <v>#REF!</v>
      </c>
      <c r="V208" s="175" t="e">
        <f>#REF!</f>
        <v>#REF!</v>
      </c>
      <c r="W208" s="175" t="e">
        <f>#REF!</f>
        <v>#REF!</v>
      </c>
      <c r="X208" s="175" t="e">
        <f>#REF!</f>
        <v>#REF!</v>
      </c>
    </row>
    <row r="209" spans="1:24" ht="24.95" customHeight="1" x14ac:dyDescent="0.2">
      <c r="A209" s="168" t="e">
        <f>#REF!</f>
        <v>#REF!</v>
      </c>
      <c r="B209" s="169" t="e">
        <f>#REF!</f>
        <v>#REF!</v>
      </c>
      <c r="C209" s="170" t="e">
        <f>#REF!</f>
        <v>#REF!</v>
      </c>
      <c r="D209" s="171" t="e">
        <f>#REF!</f>
        <v>#REF!</v>
      </c>
      <c r="E209" s="171" t="e">
        <f>#REF!</f>
        <v>#REF!</v>
      </c>
      <c r="F209" s="171" t="e">
        <f>#REF!</f>
        <v>#REF!</v>
      </c>
      <c r="G209" s="171" t="e">
        <f>#REF!</f>
        <v>#REF!</v>
      </c>
      <c r="H209" s="171" t="e">
        <f>#REF!</f>
        <v>#REF!</v>
      </c>
      <c r="I209" s="171" t="e">
        <f>#REF!</f>
        <v>#REF!</v>
      </c>
      <c r="J209" s="171" t="e">
        <f>#REF!</f>
        <v>#REF!</v>
      </c>
      <c r="K209" s="171" t="e">
        <f>#REF!</f>
        <v>#REF!</v>
      </c>
      <c r="L209" s="171" t="e">
        <f>#REF!</f>
        <v>#REF!</v>
      </c>
      <c r="M209" s="171" t="e">
        <f>#REF!</f>
        <v>#REF!</v>
      </c>
      <c r="N209" s="171" t="e">
        <f>#REF!</f>
        <v>#REF!</v>
      </c>
      <c r="O209" s="171" t="e">
        <f>#REF!</f>
        <v>#REF!</v>
      </c>
      <c r="P209" s="171" t="e">
        <f>#REF!</f>
        <v>#REF!</v>
      </c>
      <c r="Q209" s="171" t="e">
        <f>#REF!</f>
        <v>#REF!</v>
      </c>
      <c r="R209" s="171" t="e">
        <f>#REF!</f>
        <v>#REF!</v>
      </c>
      <c r="S209" s="171" t="e">
        <f>#REF!</f>
        <v>#REF!</v>
      </c>
      <c r="T209" s="175" t="e">
        <f>#REF!</f>
        <v>#REF!</v>
      </c>
      <c r="U209" s="175" t="e">
        <f>#REF!</f>
        <v>#REF!</v>
      </c>
      <c r="V209" s="175" t="e">
        <f>#REF!</f>
        <v>#REF!</v>
      </c>
      <c r="W209" s="175" t="e">
        <f>#REF!</f>
        <v>#REF!</v>
      </c>
      <c r="X209" s="175" t="e">
        <f>#REF!</f>
        <v>#REF!</v>
      </c>
    </row>
    <row r="210" spans="1:24" ht="24.95" customHeight="1" x14ac:dyDescent="0.2">
      <c r="A210" s="168" t="e">
        <f>#REF!</f>
        <v>#REF!</v>
      </c>
      <c r="B210" s="169" t="e">
        <f>#REF!</f>
        <v>#REF!</v>
      </c>
      <c r="C210" s="170" t="e">
        <f>#REF!</f>
        <v>#REF!</v>
      </c>
      <c r="D210" s="171" t="e">
        <f>#REF!</f>
        <v>#REF!</v>
      </c>
      <c r="E210" s="171" t="e">
        <f>#REF!</f>
        <v>#REF!</v>
      </c>
      <c r="F210" s="171" t="e">
        <f>#REF!</f>
        <v>#REF!</v>
      </c>
      <c r="G210" s="171" t="e">
        <f>#REF!</f>
        <v>#REF!</v>
      </c>
      <c r="H210" s="171" t="e">
        <f>#REF!</f>
        <v>#REF!</v>
      </c>
      <c r="I210" s="171" t="e">
        <f>#REF!</f>
        <v>#REF!</v>
      </c>
      <c r="J210" s="171" t="e">
        <f>#REF!</f>
        <v>#REF!</v>
      </c>
      <c r="K210" s="171" t="e">
        <f>#REF!</f>
        <v>#REF!</v>
      </c>
      <c r="L210" s="171" t="e">
        <f>#REF!</f>
        <v>#REF!</v>
      </c>
      <c r="M210" s="171" t="e">
        <f>#REF!</f>
        <v>#REF!</v>
      </c>
      <c r="N210" s="171" t="e">
        <f>#REF!</f>
        <v>#REF!</v>
      </c>
      <c r="O210" s="171" t="e">
        <f>#REF!</f>
        <v>#REF!</v>
      </c>
      <c r="P210" s="171" t="e">
        <f>#REF!</f>
        <v>#REF!</v>
      </c>
      <c r="Q210" s="171" t="e">
        <f>#REF!</f>
        <v>#REF!</v>
      </c>
      <c r="R210" s="171" t="e">
        <f>#REF!</f>
        <v>#REF!</v>
      </c>
      <c r="S210" s="171" t="e">
        <f>#REF!</f>
        <v>#REF!</v>
      </c>
      <c r="T210" s="175" t="e">
        <f>#REF!</f>
        <v>#REF!</v>
      </c>
      <c r="U210" s="175" t="e">
        <f>#REF!</f>
        <v>#REF!</v>
      </c>
      <c r="V210" s="175" t="e">
        <f>#REF!</f>
        <v>#REF!</v>
      </c>
      <c r="W210" s="175" t="e">
        <f>#REF!</f>
        <v>#REF!</v>
      </c>
      <c r="X210" s="175" t="e">
        <f>#REF!</f>
        <v>#REF!</v>
      </c>
    </row>
    <row r="211" spans="1:24" ht="24.95" customHeight="1" x14ac:dyDescent="0.2">
      <c r="A211" s="168" t="e">
        <f>#REF!</f>
        <v>#REF!</v>
      </c>
      <c r="B211" s="169" t="e">
        <f>#REF!</f>
        <v>#REF!</v>
      </c>
      <c r="C211" s="170" t="e">
        <f>#REF!</f>
        <v>#REF!</v>
      </c>
      <c r="D211" s="171" t="e">
        <f>#REF!</f>
        <v>#REF!</v>
      </c>
      <c r="E211" s="171" t="e">
        <f>#REF!</f>
        <v>#REF!</v>
      </c>
      <c r="F211" s="171" t="e">
        <f>#REF!</f>
        <v>#REF!</v>
      </c>
      <c r="G211" s="171" t="e">
        <f>#REF!</f>
        <v>#REF!</v>
      </c>
      <c r="H211" s="171" t="e">
        <f>#REF!</f>
        <v>#REF!</v>
      </c>
      <c r="I211" s="171" t="e">
        <f>#REF!</f>
        <v>#REF!</v>
      </c>
      <c r="J211" s="171" t="e">
        <f>#REF!</f>
        <v>#REF!</v>
      </c>
      <c r="K211" s="171" t="e">
        <f>#REF!</f>
        <v>#REF!</v>
      </c>
      <c r="L211" s="171" t="e">
        <f>#REF!</f>
        <v>#REF!</v>
      </c>
      <c r="M211" s="171" t="e">
        <f>#REF!</f>
        <v>#REF!</v>
      </c>
      <c r="N211" s="171" t="e">
        <f>#REF!</f>
        <v>#REF!</v>
      </c>
      <c r="O211" s="171" t="e">
        <f>#REF!</f>
        <v>#REF!</v>
      </c>
      <c r="P211" s="171" t="e">
        <f>#REF!</f>
        <v>#REF!</v>
      </c>
      <c r="Q211" s="171" t="e">
        <f>#REF!</f>
        <v>#REF!</v>
      </c>
      <c r="R211" s="171" t="e">
        <f>#REF!</f>
        <v>#REF!</v>
      </c>
      <c r="S211" s="171" t="e">
        <f>#REF!</f>
        <v>#REF!</v>
      </c>
      <c r="T211" s="175" t="e">
        <f>#REF!</f>
        <v>#REF!</v>
      </c>
      <c r="U211" s="175" t="e">
        <f>#REF!</f>
        <v>#REF!</v>
      </c>
      <c r="V211" s="175" t="e">
        <f>#REF!</f>
        <v>#REF!</v>
      </c>
      <c r="W211" s="175" t="e">
        <f>#REF!</f>
        <v>#REF!</v>
      </c>
      <c r="X211" s="175" t="e">
        <f>#REF!</f>
        <v>#REF!</v>
      </c>
    </row>
    <row r="212" spans="1:24" ht="24.95" customHeight="1" x14ac:dyDescent="0.2">
      <c r="A212" s="168" t="e">
        <f>#REF!</f>
        <v>#REF!</v>
      </c>
      <c r="B212" s="169" t="e">
        <f>#REF!</f>
        <v>#REF!</v>
      </c>
      <c r="C212" s="170" t="e">
        <f>#REF!</f>
        <v>#REF!</v>
      </c>
      <c r="D212" s="171" t="e">
        <f>#REF!</f>
        <v>#REF!</v>
      </c>
      <c r="E212" s="171" t="e">
        <f>#REF!</f>
        <v>#REF!</v>
      </c>
      <c r="F212" s="171" t="e">
        <f>#REF!</f>
        <v>#REF!</v>
      </c>
      <c r="G212" s="171" t="e">
        <f>#REF!</f>
        <v>#REF!</v>
      </c>
      <c r="H212" s="171" t="e">
        <f>#REF!</f>
        <v>#REF!</v>
      </c>
      <c r="I212" s="171" t="e">
        <f>#REF!</f>
        <v>#REF!</v>
      </c>
      <c r="J212" s="171" t="e">
        <f>#REF!</f>
        <v>#REF!</v>
      </c>
      <c r="K212" s="171" t="e">
        <f>#REF!</f>
        <v>#REF!</v>
      </c>
      <c r="L212" s="171" t="e">
        <f>#REF!</f>
        <v>#REF!</v>
      </c>
      <c r="M212" s="171" t="e">
        <f>#REF!</f>
        <v>#REF!</v>
      </c>
      <c r="N212" s="171" t="e">
        <f>#REF!</f>
        <v>#REF!</v>
      </c>
      <c r="O212" s="171" t="e">
        <f>#REF!</f>
        <v>#REF!</v>
      </c>
      <c r="P212" s="171" t="e">
        <f>#REF!</f>
        <v>#REF!</v>
      </c>
      <c r="Q212" s="171" t="e">
        <f>#REF!</f>
        <v>#REF!</v>
      </c>
      <c r="R212" s="171" t="e">
        <f>#REF!</f>
        <v>#REF!</v>
      </c>
      <c r="S212" s="171" t="e">
        <f>#REF!</f>
        <v>#REF!</v>
      </c>
      <c r="T212" s="175" t="e">
        <f>#REF!</f>
        <v>#REF!</v>
      </c>
      <c r="U212" s="175" t="e">
        <f>#REF!</f>
        <v>#REF!</v>
      </c>
      <c r="V212" s="175" t="e">
        <f>#REF!</f>
        <v>#REF!</v>
      </c>
      <c r="W212" s="175" t="e">
        <f>#REF!</f>
        <v>#REF!</v>
      </c>
      <c r="X212" s="175" t="e">
        <f>#REF!</f>
        <v>#REF!</v>
      </c>
    </row>
    <row r="213" spans="1:24" ht="24.95" customHeight="1" x14ac:dyDescent="0.2">
      <c r="A213" s="168" t="e">
        <f>#REF!</f>
        <v>#REF!</v>
      </c>
      <c r="B213" s="169" t="e">
        <f>#REF!</f>
        <v>#REF!</v>
      </c>
      <c r="C213" s="170" t="e">
        <f>#REF!</f>
        <v>#REF!</v>
      </c>
      <c r="D213" s="171" t="e">
        <f>#REF!</f>
        <v>#REF!</v>
      </c>
      <c r="E213" s="171" t="e">
        <f>#REF!</f>
        <v>#REF!</v>
      </c>
      <c r="F213" s="171" t="e">
        <f>#REF!</f>
        <v>#REF!</v>
      </c>
      <c r="G213" s="171" t="e">
        <f>#REF!</f>
        <v>#REF!</v>
      </c>
      <c r="H213" s="171" t="e">
        <f>#REF!</f>
        <v>#REF!</v>
      </c>
      <c r="I213" s="171" t="e">
        <f>#REF!</f>
        <v>#REF!</v>
      </c>
      <c r="J213" s="171" t="e">
        <f>#REF!</f>
        <v>#REF!</v>
      </c>
      <c r="K213" s="171" t="e">
        <f>#REF!</f>
        <v>#REF!</v>
      </c>
      <c r="L213" s="171" t="e">
        <f>#REF!</f>
        <v>#REF!</v>
      </c>
      <c r="M213" s="171" t="e">
        <f>#REF!</f>
        <v>#REF!</v>
      </c>
      <c r="N213" s="171" t="e">
        <f>#REF!</f>
        <v>#REF!</v>
      </c>
      <c r="O213" s="171" t="e">
        <f>#REF!</f>
        <v>#REF!</v>
      </c>
      <c r="P213" s="171" t="e">
        <f>#REF!</f>
        <v>#REF!</v>
      </c>
      <c r="Q213" s="171" t="e">
        <f>#REF!</f>
        <v>#REF!</v>
      </c>
      <c r="R213" s="171" t="e">
        <f>#REF!</f>
        <v>#REF!</v>
      </c>
      <c r="S213" s="171" t="e">
        <f>#REF!</f>
        <v>#REF!</v>
      </c>
      <c r="T213" s="175" t="e">
        <f>#REF!</f>
        <v>#REF!</v>
      </c>
      <c r="U213" s="175" t="e">
        <f>#REF!</f>
        <v>#REF!</v>
      </c>
      <c r="V213" s="175" t="e">
        <f>#REF!</f>
        <v>#REF!</v>
      </c>
      <c r="W213" s="175" t="e">
        <f>#REF!</f>
        <v>#REF!</v>
      </c>
      <c r="X213" s="175" t="e">
        <f>#REF!</f>
        <v>#REF!</v>
      </c>
    </row>
    <row r="214" spans="1:24" ht="24.95" customHeight="1" x14ac:dyDescent="0.2">
      <c r="A214" s="168" t="e">
        <f>#REF!</f>
        <v>#REF!</v>
      </c>
      <c r="B214" s="169" t="e">
        <f>#REF!</f>
        <v>#REF!</v>
      </c>
      <c r="C214" s="170" t="e">
        <f>#REF!</f>
        <v>#REF!</v>
      </c>
      <c r="D214" s="171" t="e">
        <f>#REF!</f>
        <v>#REF!</v>
      </c>
      <c r="E214" s="171" t="e">
        <f>#REF!</f>
        <v>#REF!</v>
      </c>
      <c r="F214" s="171" t="e">
        <f>#REF!</f>
        <v>#REF!</v>
      </c>
      <c r="G214" s="171" t="e">
        <f>#REF!</f>
        <v>#REF!</v>
      </c>
      <c r="H214" s="171" t="e">
        <f>#REF!</f>
        <v>#REF!</v>
      </c>
      <c r="I214" s="171" t="e">
        <f>#REF!</f>
        <v>#REF!</v>
      </c>
      <c r="J214" s="171" t="e">
        <f>#REF!</f>
        <v>#REF!</v>
      </c>
      <c r="K214" s="171" t="e">
        <f>#REF!</f>
        <v>#REF!</v>
      </c>
      <c r="L214" s="171" t="e">
        <f>#REF!</f>
        <v>#REF!</v>
      </c>
      <c r="M214" s="171" t="e">
        <f>#REF!</f>
        <v>#REF!</v>
      </c>
      <c r="N214" s="171" t="e">
        <f>#REF!</f>
        <v>#REF!</v>
      </c>
      <c r="O214" s="171" t="e">
        <f>#REF!</f>
        <v>#REF!</v>
      </c>
      <c r="P214" s="171" t="e">
        <f>#REF!</f>
        <v>#REF!</v>
      </c>
      <c r="Q214" s="171" t="e">
        <f>#REF!</f>
        <v>#REF!</v>
      </c>
      <c r="R214" s="171" t="e">
        <f>#REF!</f>
        <v>#REF!</v>
      </c>
      <c r="S214" s="171" t="e">
        <f>#REF!</f>
        <v>#REF!</v>
      </c>
      <c r="T214" s="175" t="e">
        <f>#REF!</f>
        <v>#REF!</v>
      </c>
      <c r="U214" s="175" t="e">
        <f>#REF!</f>
        <v>#REF!</v>
      </c>
      <c r="V214" s="175" t="e">
        <f>#REF!</f>
        <v>#REF!</v>
      </c>
      <c r="W214" s="175" t="e">
        <f>#REF!</f>
        <v>#REF!</v>
      </c>
      <c r="X214" s="175" t="e">
        <f>#REF!</f>
        <v>#REF!</v>
      </c>
    </row>
    <row r="215" spans="1:24" ht="24.95" customHeight="1" x14ac:dyDescent="0.2">
      <c r="A215" s="168" t="e">
        <f>#REF!</f>
        <v>#REF!</v>
      </c>
      <c r="B215" s="169" t="e">
        <f>#REF!</f>
        <v>#REF!</v>
      </c>
      <c r="C215" s="170" t="e">
        <f>#REF!</f>
        <v>#REF!</v>
      </c>
      <c r="D215" s="171" t="e">
        <f>#REF!</f>
        <v>#REF!</v>
      </c>
      <c r="E215" s="171" t="e">
        <f>#REF!</f>
        <v>#REF!</v>
      </c>
      <c r="F215" s="171" t="e">
        <f>#REF!</f>
        <v>#REF!</v>
      </c>
      <c r="G215" s="171" t="e">
        <f>#REF!</f>
        <v>#REF!</v>
      </c>
      <c r="H215" s="171" t="e">
        <f>#REF!</f>
        <v>#REF!</v>
      </c>
      <c r="I215" s="171" t="e">
        <f>#REF!</f>
        <v>#REF!</v>
      </c>
      <c r="J215" s="171" t="e">
        <f>#REF!</f>
        <v>#REF!</v>
      </c>
      <c r="K215" s="171" t="e">
        <f>#REF!</f>
        <v>#REF!</v>
      </c>
      <c r="L215" s="171" t="e">
        <f>#REF!</f>
        <v>#REF!</v>
      </c>
      <c r="M215" s="171" t="e">
        <f>#REF!</f>
        <v>#REF!</v>
      </c>
      <c r="N215" s="171" t="e">
        <f>#REF!</f>
        <v>#REF!</v>
      </c>
      <c r="O215" s="171" t="e">
        <f>#REF!</f>
        <v>#REF!</v>
      </c>
      <c r="P215" s="171" t="e">
        <f>#REF!</f>
        <v>#REF!</v>
      </c>
      <c r="Q215" s="171" t="e">
        <f>#REF!</f>
        <v>#REF!</v>
      </c>
      <c r="R215" s="171" t="e">
        <f>#REF!</f>
        <v>#REF!</v>
      </c>
      <c r="S215" s="171" t="e">
        <f>#REF!</f>
        <v>#REF!</v>
      </c>
      <c r="T215" s="175" t="e">
        <f>#REF!</f>
        <v>#REF!</v>
      </c>
      <c r="U215" s="175" t="e">
        <f>#REF!</f>
        <v>#REF!</v>
      </c>
      <c r="V215" s="175" t="e">
        <f>#REF!</f>
        <v>#REF!</v>
      </c>
      <c r="W215" s="175" t="e">
        <f>#REF!</f>
        <v>#REF!</v>
      </c>
      <c r="X215" s="175" t="e">
        <f>#REF!</f>
        <v>#REF!</v>
      </c>
    </row>
    <row r="216" spans="1:24" ht="24.95" customHeight="1" x14ac:dyDescent="0.2">
      <c r="A216" s="168" t="e">
        <f>#REF!</f>
        <v>#REF!</v>
      </c>
      <c r="B216" s="169" t="e">
        <f>#REF!</f>
        <v>#REF!</v>
      </c>
      <c r="C216" s="170" t="e">
        <f>#REF!</f>
        <v>#REF!</v>
      </c>
      <c r="D216" s="171" t="e">
        <f>#REF!</f>
        <v>#REF!</v>
      </c>
      <c r="E216" s="171" t="e">
        <f>#REF!</f>
        <v>#REF!</v>
      </c>
      <c r="F216" s="171" t="e">
        <f>#REF!</f>
        <v>#REF!</v>
      </c>
      <c r="G216" s="171" t="e">
        <f>#REF!</f>
        <v>#REF!</v>
      </c>
      <c r="H216" s="171" t="e">
        <f>#REF!</f>
        <v>#REF!</v>
      </c>
      <c r="I216" s="171" t="e">
        <f>#REF!</f>
        <v>#REF!</v>
      </c>
      <c r="J216" s="171" t="e">
        <f>#REF!</f>
        <v>#REF!</v>
      </c>
      <c r="K216" s="171" t="e">
        <f>#REF!</f>
        <v>#REF!</v>
      </c>
      <c r="L216" s="171" t="e">
        <f>#REF!</f>
        <v>#REF!</v>
      </c>
      <c r="M216" s="171" t="e">
        <f>#REF!</f>
        <v>#REF!</v>
      </c>
      <c r="N216" s="171" t="e">
        <f>#REF!</f>
        <v>#REF!</v>
      </c>
      <c r="O216" s="171" t="e">
        <f>#REF!</f>
        <v>#REF!</v>
      </c>
      <c r="P216" s="171" t="e">
        <f>#REF!</f>
        <v>#REF!</v>
      </c>
      <c r="Q216" s="171" t="e">
        <f>#REF!</f>
        <v>#REF!</v>
      </c>
      <c r="R216" s="171" t="e">
        <f>#REF!</f>
        <v>#REF!</v>
      </c>
      <c r="S216" s="171" t="e">
        <f>#REF!</f>
        <v>#REF!</v>
      </c>
      <c r="T216" s="175" t="e">
        <f>#REF!</f>
        <v>#REF!</v>
      </c>
      <c r="U216" s="175" t="e">
        <f>#REF!</f>
        <v>#REF!</v>
      </c>
      <c r="V216" s="175" t="e">
        <f>#REF!</f>
        <v>#REF!</v>
      </c>
      <c r="W216" s="175" t="e">
        <f>#REF!</f>
        <v>#REF!</v>
      </c>
      <c r="X216" s="175" t="e">
        <f>#REF!</f>
        <v>#REF!</v>
      </c>
    </row>
    <row r="217" spans="1:24" ht="24.95" customHeight="1" x14ac:dyDescent="0.2">
      <c r="A217" s="168" t="e">
        <f>#REF!</f>
        <v>#REF!</v>
      </c>
      <c r="B217" s="169" t="e">
        <f>#REF!</f>
        <v>#REF!</v>
      </c>
      <c r="C217" s="170" t="e">
        <f>#REF!</f>
        <v>#REF!</v>
      </c>
      <c r="D217" s="171" t="e">
        <f>#REF!</f>
        <v>#REF!</v>
      </c>
      <c r="E217" s="171" t="e">
        <f>#REF!</f>
        <v>#REF!</v>
      </c>
      <c r="F217" s="171" t="e">
        <f>#REF!</f>
        <v>#REF!</v>
      </c>
      <c r="G217" s="171" t="e">
        <f>#REF!</f>
        <v>#REF!</v>
      </c>
      <c r="H217" s="171" t="e">
        <f>#REF!</f>
        <v>#REF!</v>
      </c>
      <c r="I217" s="171" t="e">
        <f>#REF!</f>
        <v>#REF!</v>
      </c>
      <c r="J217" s="171" t="e">
        <f>#REF!</f>
        <v>#REF!</v>
      </c>
      <c r="K217" s="171" t="e">
        <f>#REF!</f>
        <v>#REF!</v>
      </c>
      <c r="L217" s="171" t="e">
        <f>#REF!</f>
        <v>#REF!</v>
      </c>
      <c r="M217" s="171" t="e">
        <f>#REF!</f>
        <v>#REF!</v>
      </c>
      <c r="N217" s="171" t="e">
        <f>#REF!</f>
        <v>#REF!</v>
      </c>
      <c r="O217" s="171" t="e">
        <f>#REF!</f>
        <v>#REF!</v>
      </c>
      <c r="P217" s="171" t="e">
        <f>#REF!</f>
        <v>#REF!</v>
      </c>
      <c r="Q217" s="171" t="e">
        <f>#REF!</f>
        <v>#REF!</v>
      </c>
      <c r="R217" s="171" t="e">
        <f>#REF!</f>
        <v>#REF!</v>
      </c>
      <c r="S217" s="171" t="e">
        <f>#REF!</f>
        <v>#REF!</v>
      </c>
      <c r="T217" s="175" t="e">
        <f>#REF!</f>
        <v>#REF!</v>
      </c>
      <c r="U217" s="175" t="e">
        <f>#REF!</f>
        <v>#REF!</v>
      </c>
      <c r="V217" s="175" t="e">
        <f>#REF!</f>
        <v>#REF!</v>
      </c>
      <c r="W217" s="175" t="e">
        <f>#REF!</f>
        <v>#REF!</v>
      </c>
      <c r="X217" s="175" t="e">
        <f>#REF!</f>
        <v>#REF!</v>
      </c>
    </row>
    <row r="218" spans="1:24" ht="24.95" customHeight="1" x14ac:dyDescent="0.2">
      <c r="A218" s="168" t="e">
        <f>#REF!</f>
        <v>#REF!</v>
      </c>
      <c r="B218" s="169" t="e">
        <f>#REF!</f>
        <v>#REF!</v>
      </c>
      <c r="C218" s="170" t="e">
        <f>#REF!</f>
        <v>#REF!</v>
      </c>
      <c r="D218" s="171" t="e">
        <f>#REF!</f>
        <v>#REF!</v>
      </c>
      <c r="E218" s="171" t="e">
        <f>#REF!</f>
        <v>#REF!</v>
      </c>
      <c r="F218" s="171" t="e">
        <f>#REF!</f>
        <v>#REF!</v>
      </c>
      <c r="G218" s="171" t="e">
        <f>#REF!</f>
        <v>#REF!</v>
      </c>
      <c r="H218" s="171" t="e">
        <f>#REF!</f>
        <v>#REF!</v>
      </c>
      <c r="I218" s="171" t="e">
        <f>#REF!</f>
        <v>#REF!</v>
      </c>
      <c r="J218" s="171" t="e">
        <f>#REF!</f>
        <v>#REF!</v>
      </c>
      <c r="K218" s="171" t="e">
        <f>#REF!</f>
        <v>#REF!</v>
      </c>
      <c r="L218" s="171" t="e">
        <f>#REF!</f>
        <v>#REF!</v>
      </c>
      <c r="M218" s="171" t="e">
        <f>#REF!</f>
        <v>#REF!</v>
      </c>
      <c r="N218" s="171" t="e">
        <f>#REF!</f>
        <v>#REF!</v>
      </c>
      <c r="O218" s="171" t="e">
        <f>#REF!</f>
        <v>#REF!</v>
      </c>
      <c r="P218" s="171" t="e">
        <f>#REF!</f>
        <v>#REF!</v>
      </c>
      <c r="Q218" s="171" t="e">
        <f>#REF!</f>
        <v>#REF!</v>
      </c>
      <c r="R218" s="171" t="e">
        <f>#REF!</f>
        <v>#REF!</v>
      </c>
      <c r="S218" s="171" t="e">
        <f>#REF!</f>
        <v>#REF!</v>
      </c>
      <c r="T218" s="175" t="e">
        <f>#REF!</f>
        <v>#REF!</v>
      </c>
      <c r="U218" s="175" t="e">
        <f>#REF!</f>
        <v>#REF!</v>
      </c>
      <c r="V218" s="175" t="e">
        <f>#REF!</f>
        <v>#REF!</v>
      </c>
      <c r="W218" s="175" t="e">
        <f>#REF!</f>
        <v>#REF!</v>
      </c>
      <c r="X218" s="175" t="e">
        <f>#REF!</f>
        <v>#REF!</v>
      </c>
    </row>
    <row r="219" spans="1:24" ht="24.95" customHeight="1" x14ac:dyDescent="0.2">
      <c r="A219" s="168" t="e">
        <f>#REF!</f>
        <v>#REF!</v>
      </c>
      <c r="B219" s="169" t="e">
        <f>#REF!</f>
        <v>#REF!</v>
      </c>
      <c r="C219" s="170" t="e">
        <f>#REF!</f>
        <v>#REF!</v>
      </c>
      <c r="D219" s="171" t="e">
        <f>#REF!</f>
        <v>#REF!</v>
      </c>
      <c r="E219" s="171" t="e">
        <f>#REF!</f>
        <v>#REF!</v>
      </c>
      <c r="F219" s="171" t="e">
        <f>#REF!</f>
        <v>#REF!</v>
      </c>
      <c r="G219" s="171" t="e">
        <f>#REF!</f>
        <v>#REF!</v>
      </c>
      <c r="H219" s="171" t="e">
        <f>#REF!</f>
        <v>#REF!</v>
      </c>
      <c r="I219" s="171" t="e">
        <f>#REF!</f>
        <v>#REF!</v>
      </c>
      <c r="J219" s="171" t="e">
        <f>#REF!</f>
        <v>#REF!</v>
      </c>
      <c r="K219" s="171" t="e">
        <f>#REF!</f>
        <v>#REF!</v>
      </c>
      <c r="L219" s="171" t="e">
        <f>#REF!</f>
        <v>#REF!</v>
      </c>
      <c r="M219" s="171" t="e">
        <f>#REF!</f>
        <v>#REF!</v>
      </c>
      <c r="N219" s="171" t="e">
        <f>#REF!</f>
        <v>#REF!</v>
      </c>
      <c r="O219" s="171" t="e">
        <f>#REF!</f>
        <v>#REF!</v>
      </c>
      <c r="P219" s="171" t="e">
        <f>#REF!</f>
        <v>#REF!</v>
      </c>
      <c r="Q219" s="171" t="e">
        <f>#REF!</f>
        <v>#REF!</v>
      </c>
      <c r="R219" s="171" t="e">
        <f>#REF!</f>
        <v>#REF!</v>
      </c>
      <c r="S219" s="171" t="e">
        <f>#REF!</f>
        <v>#REF!</v>
      </c>
      <c r="T219" s="175" t="e">
        <f>#REF!</f>
        <v>#REF!</v>
      </c>
      <c r="U219" s="175" t="e">
        <f>#REF!</f>
        <v>#REF!</v>
      </c>
      <c r="V219" s="175" t="e">
        <f>#REF!</f>
        <v>#REF!</v>
      </c>
      <c r="W219" s="175" t="e">
        <f>#REF!</f>
        <v>#REF!</v>
      </c>
      <c r="X219" s="175" t="e">
        <f>#REF!</f>
        <v>#REF!</v>
      </c>
    </row>
    <row r="220" spans="1:24" ht="24.95" customHeight="1" x14ac:dyDescent="0.2">
      <c r="A220" s="168" t="e">
        <f>#REF!</f>
        <v>#REF!</v>
      </c>
      <c r="B220" s="169" t="e">
        <f>#REF!</f>
        <v>#REF!</v>
      </c>
      <c r="C220" s="170" t="e">
        <f>#REF!</f>
        <v>#REF!</v>
      </c>
      <c r="D220" s="171" t="e">
        <f>#REF!</f>
        <v>#REF!</v>
      </c>
      <c r="E220" s="171" t="e">
        <f>#REF!</f>
        <v>#REF!</v>
      </c>
      <c r="F220" s="171" t="e">
        <f>#REF!</f>
        <v>#REF!</v>
      </c>
      <c r="G220" s="171" t="e">
        <f>#REF!</f>
        <v>#REF!</v>
      </c>
      <c r="H220" s="171" t="e">
        <f>#REF!</f>
        <v>#REF!</v>
      </c>
      <c r="I220" s="171" t="e">
        <f>#REF!</f>
        <v>#REF!</v>
      </c>
      <c r="J220" s="171" t="e">
        <f>#REF!</f>
        <v>#REF!</v>
      </c>
      <c r="K220" s="171" t="e">
        <f>#REF!</f>
        <v>#REF!</v>
      </c>
      <c r="L220" s="171" t="e">
        <f>#REF!</f>
        <v>#REF!</v>
      </c>
      <c r="M220" s="171" t="e">
        <f>#REF!</f>
        <v>#REF!</v>
      </c>
      <c r="N220" s="171" t="e">
        <f>#REF!</f>
        <v>#REF!</v>
      </c>
      <c r="O220" s="171" t="e">
        <f>#REF!</f>
        <v>#REF!</v>
      </c>
      <c r="P220" s="171" t="e">
        <f>#REF!</f>
        <v>#REF!</v>
      </c>
      <c r="Q220" s="171" t="e">
        <f>#REF!</f>
        <v>#REF!</v>
      </c>
      <c r="R220" s="171" t="e">
        <f>#REF!</f>
        <v>#REF!</v>
      </c>
      <c r="S220" s="171" t="e">
        <f>#REF!</f>
        <v>#REF!</v>
      </c>
      <c r="T220" s="175" t="e">
        <f>#REF!</f>
        <v>#REF!</v>
      </c>
      <c r="U220" s="175" t="e">
        <f>#REF!</f>
        <v>#REF!</v>
      </c>
      <c r="V220" s="175" t="e">
        <f>#REF!</f>
        <v>#REF!</v>
      </c>
      <c r="W220" s="175" t="e">
        <f>#REF!</f>
        <v>#REF!</v>
      </c>
      <c r="X220" s="175" t="e">
        <f>#REF!</f>
        <v>#REF!</v>
      </c>
    </row>
    <row r="221" spans="1:24" ht="24.95" customHeight="1" x14ac:dyDescent="0.2">
      <c r="A221" s="168" t="e">
        <f>#REF!</f>
        <v>#REF!</v>
      </c>
      <c r="B221" s="169" t="e">
        <f>#REF!</f>
        <v>#REF!</v>
      </c>
      <c r="C221" s="170" t="e">
        <f>#REF!</f>
        <v>#REF!</v>
      </c>
      <c r="D221" s="171" t="e">
        <f>#REF!</f>
        <v>#REF!</v>
      </c>
      <c r="E221" s="171" t="e">
        <f>#REF!</f>
        <v>#REF!</v>
      </c>
      <c r="F221" s="171" t="e">
        <f>#REF!</f>
        <v>#REF!</v>
      </c>
      <c r="G221" s="171" t="e">
        <f>#REF!</f>
        <v>#REF!</v>
      </c>
      <c r="H221" s="171" t="e">
        <f>#REF!</f>
        <v>#REF!</v>
      </c>
      <c r="I221" s="171" t="e">
        <f>#REF!</f>
        <v>#REF!</v>
      </c>
      <c r="J221" s="171" t="e">
        <f>#REF!</f>
        <v>#REF!</v>
      </c>
      <c r="K221" s="171" t="e">
        <f>#REF!</f>
        <v>#REF!</v>
      </c>
      <c r="L221" s="171" t="e">
        <f>#REF!</f>
        <v>#REF!</v>
      </c>
      <c r="M221" s="171" t="e">
        <f>#REF!</f>
        <v>#REF!</v>
      </c>
      <c r="N221" s="171" t="e">
        <f>#REF!</f>
        <v>#REF!</v>
      </c>
      <c r="O221" s="171" t="e">
        <f>#REF!</f>
        <v>#REF!</v>
      </c>
      <c r="P221" s="171" t="e">
        <f>#REF!</f>
        <v>#REF!</v>
      </c>
      <c r="Q221" s="171" t="e">
        <f>#REF!</f>
        <v>#REF!</v>
      </c>
      <c r="R221" s="171" t="e">
        <f>#REF!</f>
        <v>#REF!</v>
      </c>
      <c r="S221" s="171" t="e">
        <f>#REF!</f>
        <v>#REF!</v>
      </c>
      <c r="T221" s="175" t="e">
        <f>#REF!</f>
        <v>#REF!</v>
      </c>
      <c r="U221" s="175" t="e">
        <f>#REF!</f>
        <v>#REF!</v>
      </c>
      <c r="V221" s="175" t="e">
        <f>#REF!</f>
        <v>#REF!</v>
      </c>
      <c r="W221" s="175" t="e">
        <f>#REF!</f>
        <v>#REF!</v>
      </c>
      <c r="X221" s="175" t="e">
        <f>#REF!</f>
        <v>#REF!</v>
      </c>
    </row>
    <row r="222" spans="1:24" ht="24.95" customHeight="1" x14ac:dyDescent="0.2">
      <c r="A222" s="168" t="e">
        <f>#REF!</f>
        <v>#REF!</v>
      </c>
      <c r="B222" s="169" t="e">
        <f>#REF!</f>
        <v>#REF!</v>
      </c>
      <c r="C222" s="170" t="e">
        <f>#REF!</f>
        <v>#REF!</v>
      </c>
      <c r="D222" s="171" t="e">
        <f>#REF!</f>
        <v>#REF!</v>
      </c>
      <c r="E222" s="171" t="e">
        <f>#REF!</f>
        <v>#REF!</v>
      </c>
      <c r="F222" s="171" t="e">
        <f>#REF!</f>
        <v>#REF!</v>
      </c>
      <c r="G222" s="171" t="e">
        <f>#REF!</f>
        <v>#REF!</v>
      </c>
      <c r="H222" s="171" t="e">
        <f>#REF!</f>
        <v>#REF!</v>
      </c>
      <c r="I222" s="171" t="e">
        <f>#REF!</f>
        <v>#REF!</v>
      </c>
      <c r="J222" s="171" t="e">
        <f>#REF!</f>
        <v>#REF!</v>
      </c>
      <c r="K222" s="171" t="e">
        <f>#REF!</f>
        <v>#REF!</v>
      </c>
      <c r="L222" s="171" t="e">
        <f>#REF!</f>
        <v>#REF!</v>
      </c>
      <c r="M222" s="171" t="e">
        <f>#REF!</f>
        <v>#REF!</v>
      </c>
      <c r="N222" s="171" t="e">
        <f>#REF!</f>
        <v>#REF!</v>
      </c>
      <c r="O222" s="171" t="e">
        <f>#REF!</f>
        <v>#REF!</v>
      </c>
      <c r="P222" s="171" t="e">
        <f>#REF!</f>
        <v>#REF!</v>
      </c>
      <c r="Q222" s="171" t="e">
        <f>#REF!</f>
        <v>#REF!</v>
      </c>
      <c r="R222" s="171" t="e">
        <f>#REF!</f>
        <v>#REF!</v>
      </c>
      <c r="S222" s="171" t="e">
        <f>#REF!</f>
        <v>#REF!</v>
      </c>
      <c r="T222" s="175" t="e">
        <f>#REF!</f>
        <v>#REF!</v>
      </c>
      <c r="U222" s="175" t="e">
        <f>#REF!</f>
        <v>#REF!</v>
      </c>
      <c r="V222" s="175" t="e">
        <f>#REF!</f>
        <v>#REF!</v>
      </c>
      <c r="W222" s="175" t="e">
        <f>#REF!</f>
        <v>#REF!</v>
      </c>
      <c r="X222" s="175" t="e">
        <f>#REF!</f>
        <v>#REF!</v>
      </c>
    </row>
    <row r="223" spans="1:24" ht="24.95" customHeight="1" x14ac:dyDescent="0.2">
      <c r="A223" s="168" t="e">
        <f>#REF!</f>
        <v>#REF!</v>
      </c>
      <c r="B223" s="169" t="e">
        <f>#REF!</f>
        <v>#REF!</v>
      </c>
      <c r="C223" s="170" t="e">
        <f>#REF!</f>
        <v>#REF!</v>
      </c>
      <c r="D223" s="171" t="e">
        <f>#REF!</f>
        <v>#REF!</v>
      </c>
      <c r="E223" s="171" t="e">
        <f>#REF!</f>
        <v>#REF!</v>
      </c>
      <c r="F223" s="171" t="e">
        <f>#REF!</f>
        <v>#REF!</v>
      </c>
      <c r="G223" s="171" t="e">
        <f>#REF!</f>
        <v>#REF!</v>
      </c>
      <c r="H223" s="171" t="e">
        <f>#REF!</f>
        <v>#REF!</v>
      </c>
      <c r="I223" s="171" t="e">
        <f>#REF!</f>
        <v>#REF!</v>
      </c>
      <c r="J223" s="171" t="e">
        <f>#REF!</f>
        <v>#REF!</v>
      </c>
      <c r="K223" s="171" t="e">
        <f>#REF!</f>
        <v>#REF!</v>
      </c>
      <c r="L223" s="171" t="e">
        <f>#REF!</f>
        <v>#REF!</v>
      </c>
      <c r="M223" s="171" t="e">
        <f>#REF!</f>
        <v>#REF!</v>
      </c>
      <c r="N223" s="171" t="e">
        <f>#REF!</f>
        <v>#REF!</v>
      </c>
      <c r="O223" s="171" t="e">
        <f>#REF!</f>
        <v>#REF!</v>
      </c>
      <c r="P223" s="171" t="e">
        <f>#REF!</f>
        <v>#REF!</v>
      </c>
      <c r="Q223" s="171" t="e">
        <f>#REF!</f>
        <v>#REF!</v>
      </c>
      <c r="R223" s="171" t="e">
        <f>#REF!</f>
        <v>#REF!</v>
      </c>
      <c r="S223" s="171" t="e">
        <f>#REF!</f>
        <v>#REF!</v>
      </c>
      <c r="T223" s="175" t="e">
        <f>#REF!</f>
        <v>#REF!</v>
      </c>
      <c r="U223" s="175" t="e">
        <f>#REF!</f>
        <v>#REF!</v>
      </c>
      <c r="V223" s="175" t="e">
        <f>#REF!</f>
        <v>#REF!</v>
      </c>
      <c r="W223" s="175" t="e">
        <f>#REF!</f>
        <v>#REF!</v>
      </c>
      <c r="X223" s="175" t="e">
        <f>#REF!</f>
        <v>#REF!</v>
      </c>
    </row>
    <row r="224" spans="1:24" ht="24.95" customHeight="1" x14ac:dyDescent="0.2">
      <c r="A224" s="168" t="e">
        <f>#REF!</f>
        <v>#REF!</v>
      </c>
      <c r="B224" s="169" t="e">
        <f>#REF!</f>
        <v>#REF!</v>
      </c>
      <c r="C224" s="170" t="e">
        <f>#REF!</f>
        <v>#REF!</v>
      </c>
      <c r="D224" s="171" t="e">
        <f>#REF!</f>
        <v>#REF!</v>
      </c>
      <c r="E224" s="171" t="e">
        <f>#REF!</f>
        <v>#REF!</v>
      </c>
      <c r="F224" s="171" t="e">
        <f>#REF!</f>
        <v>#REF!</v>
      </c>
      <c r="G224" s="171" t="e">
        <f>#REF!</f>
        <v>#REF!</v>
      </c>
      <c r="H224" s="171" t="e">
        <f>#REF!</f>
        <v>#REF!</v>
      </c>
      <c r="I224" s="171" t="e">
        <f>#REF!</f>
        <v>#REF!</v>
      </c>
      <c r="J224" s="171" t="e">
        <f>#REF!</f>
        <v>#REF!</v>
      </c>
      <c r="K224" s="171" t="e">
        <f>#REF!</f>
        <v>#REF!</v>
      </c>
      <c r="L224" s="171" t="e">
        <f>#REF!</f>
        <v>#REF!</v>
      </c>
      <c r="M224" s="171" t="e">
        <f>#REF!</f>
        <v>#REF!</v>
      </c>
      <c r="N224" s="171" t="e">
        <f>#REF!</f>
        <v>#REF!</v>
      </c>
      <c r="O224" s="171" t="e">
        <f>#REF!</f>
        <v>#REF!</v>
      </c>
      <c r="P224" s="171" t="e">
        <f>#REF!</f>
        <v>#REF!</v>
      </c>
      <c r="Q224" s="171" t="e">
        <f>#REF!</f>
        <v>#REF!</v>
      </c>
      <c r="R224" s="171" t="e">
        <f>#REF!</f>
        <v>#REF!</v>
      </c>
      <c r="S224" s="171" t="e">
        <f>#REF!</f>
        <v>#REF!</v>
      </c>
      <c r="T224" s="175" t="e">
        <f>#REF!</f>
        <v>#REF!</v>
      </c>
      <c r="U224" s="175" t="e">
        <f>#REF!</f>
        <v>#REF!</v>
      </c>
      <c r="V224" s="175" t="e">
        <f>#REF!</f>
        <v>#REF!</v>
      </c>
      <c r="W224" s="175" t="e">
        <f>#REF!</f>
        <v>#REF!</v>
      </c>
      <c r="X224" s="175" t="e">
        <f>#REF!</f>
        <v>#REF!</v>
      </c>
    </row>
    <row r="225" spans="1:24" ht="24.95" customHeight="1" x14ac:dyDescent="0.2">
      <c r="A225" s="168" t="e">
        <f>#REF!</f>
        <v>#REF!</v>
      </c>
      <c r="B225" s="169" t="e">
        <f>#REF!</f>
        <v>#REF!</v>
      </c>
      <c r="C225" s="170" t="e">
        <f>#REF!</f>
        <v>#REF!</v>
      </c>
      <c r="D225" s="171" t="e">
        <f>#REF!</f>
        <v>#REF!</v>
      </c>
      <c r="E225" s="171" t="e">
        <f>#REF!</f>
        <v>#REF!</v>
      </c>
      <c r="F225" s="171" t="e">
        <f>#REF!</f>
        <v>#REF!</v>
      </c>
      <c r="G225" s="171" t="e">
        <f>#REF!</f>
        <v>#REF!</v>
      </c>
      <c r="H225" s="171" t="e">
        <f>#REF!</f>
        <v>#REF!</v>
      </c>
      <c r="I225" s="171" t="e">
        <f>#REF!</f>
        <v>#REF!</v>
      </c>
      <c r="J225" s="171" t="e">
        <f>#REF!</f>
        <v>#REF!</v>
      </c>
      <c r="K225" s="171" t="e">
        <f>#REF!</f>
        <v>#REF!</v>
      </c>
      <c r="L225" s="171" t="e">
        <f>#REF!</f>
        <v>#REF!</v>
      </c>
      <c r="M225" s="171" t="e">
        <f>#REF!</f>
        <v>#REF!</v>
      </c>
      <c r="N225" s="171" t="e">
        <f>#REF!</f>
        <v>#REF!</v>
      </c>
      <c r="O225" s="171" t="e">
        <f>#REF!</f>
        <v>#REF!</v>
      </c>
      <c r="P225" s="171" t="e">
        <f>#REF!</f>
        <v>#REF!</v>
      </c>
      <c r="Q225" s="171" t="e">
        <f>#REF!</f>
        <v>#REF!</v>
      </c>
      <c r="R225" s="171" t="e">
        <f>#REF!</f>
        <v>#REF!</v>
      </c>
      <c r="S225" s="171" t="e">
        <f>#REF!</f>
        <v>#REF!</v>
      </c>
      <c r="T225" s="175" t="e">
        <f>#REF!</f>
        <v>#REF!</v>
      </c>
      <c r="U225" s="175" t="e">
        <f>#REF!</f>
        <v>#REF!</v>
      </c>
      <c r="V225" s="175" t="e">
        <f>#REF!</f>
        <v>#REF!</v>
      </c>
      <c r="W225" s="175" t="e">
        <f>#REF!</f>
        <v>#REF!</v>
      </c>
      <c r="X225" s="175" t="e">
        <f>#REF!</f>
        <v>#REF!</v>
      </c>
    </row>
    <row r="226" spans="1:24" ht="24.95" customHeight="1" x14ac:dyDescent="0.2">
      <c r="A226" s="168" t="e">
        <f>#REF!</f>
        <v>#REF!</v>
      </c>
      <c r="B226" s="169" t="e">
        <f>#REF!</f>
        <v>#REF!</v>
      </c>
      <c r="C226" s="170" t="e">
        <f>#REF!</f>
        <v>#REF!</v>
      </c>
      <c r="D226" s="171" t="e">
        <f>#REF!</f>
        <v>#REF!</v>
      </c>
      <c r="E226" s="171" t="e">
        <f>#REF!</f>
        <v>#REF!</v>
      </c>
      <c r="F226" s="171" t="e">
        <f>#REF!</f>
        <v>#REF!</v>
      </c>
      <c r="G226" s="171" t="e">
        <f>#REF!</f>
        <v>#REF!</v>
      </c>
      <c r="H226" s="171" t="e">
        <f>#REF!</f>
        <v>#REF!</v>
      </c>
      <c r="I226" s="171" t="e">
        <f>#REF!</f>
        <v>#REF!</v>
      </c>
      <c r="J226" s="171" t="e">
        <f>#REF!</f>
        <v>#REF!</v>
      </c>
      <c r="K226" s="171" t="e">
        <f>#REF!</f>
        <v>#REF!</v>
      </c>
      <c r="L226" s="171" t="e">
        <f>#REF!</f>
        <v>#REF!</v>
      </c>
      <c r="M226" s="171" t="e">
        <f>#REF!</f>
        <v>#REF!</v>
      </c>
      <c r="N226" s="171" t="e">
        <f>#REF!</f>
        <v>#REF!</v>
      </c>
      <c r="O226" s="171" t="e">
        <f>#REF!</f>
        <v>#REF!</v>
      </c>
      <c r="P226" s="171" t="e">
        <f>#REF!</f>
        <v>#REF!</v>
      </c>
      <c r="Q226" s="171" t="e">
        <f>#REF!</f>
        <v>#REF!</v>
      </c>
      <c r="R226" s="171" t="e">
        <f>#REF!</f>
        <v>#REF!</v>
      </c>
      <c r="S226" s="171" t="e">
        <f>#REF!</f>
        <v>#REF!</v>
      </c>
      <c r="T226" s="175" t="e">
        <f>#REF!</f>
        <v>#REF!</v>
      </c>
      <c r="U226" s="175" t="e">
        <f>#REF!</f>
        <v>#REF!</v>
      </c>
      <c r="V226" s="175" t="e">
        <f>#REF!</f>
        <v>#REF!</v>
      </c>
      <c r="W226" s="175" t="e">
        <f>#REF!</f>
        <v>#REF!</v>
      </c>
      <c r="X226" s="175" t="e">
        <f>#REF!</f>
        <v>#REF!</v>
      </c>
    </row>
    <row r="227" spans="1:24" ht="24.95" customHeight="1" x14ac:dyDescent="0.2">
      <c r="A227" s="168" t="e">
        <f>#REF!</f>
        <v>#REF!</v>
      </c>
      <c r="B227" s="169" t="e">
        <f>#REF!</f>
        <v>#REF!</v>
      </c>
      <c r="C227" s="170" t="e">
        <f>#REF!</f>
        <v>#REF!</v>
      </c>
      <c r="D227" s="171" t="e">
        <f>#REF!</f>
        <v>#REF!</v>
      </c>
      <c r="E227" s="171" t="e">
        <f>#REF!</f>
        <v>#REF!</v>
      </c>
      <c r="F227" s="171" t="e">
        <f>#REF!</f>
        <v>#REF!</v>
      </c>
      <c r="G227" s="171" t="e">
        <f>#REF!</f>
        <v>#REF!</v>
      </c>
      <c r="H227" s="171" t="e">
        <f>#REF!</f>
        <v>#REF!</v>
      </c>
      <c r="I227" s="171" t="e">
        <f>#REF!</f>
        <v>#REF!</v>
      </c>
      <c r="J227" s="171" t="e">
        <f>#REF!</f>
        <v>#REF!</v>
      </c>
      <c r="K227" s="171" t="e">
        <f>#REF!</f>
        <v>#REF!</v>
      </c>
      <c r="L227" s="171" t="e">
        <f>#REF!</f>
        <v>#REF!</v>
      </c>
      <c r="M227" s="171" t="e">
        <f>#REF!</f>
        <v>#REF!</v>
      </c>
      <c r="N227" s="171" t="e">
        <f>#REF!</f>
        <v>#REF!</v>
      </c>
      <c r="O227" s="171" t="e">
        <f>#REF!</f>
        <v>#REF!</v>
      </c>
      <c r="P227" s="171" t="e">
        <f>#REF!</f>
        <v>#REF!</v>
      </c>
      <c r="Q227" s="171" t="e">
        <f>#REF!</f>
        <v>#REF!</v>
      </c>
      <c r="R227" s="171" t="e">
        <f>#REF!</f>
        <v>#REF!</v>
      </c>
      <c r="S227" s="171" t="e">
        <f>#REF!</f>
        <v>#REF!</v>
      </c>
      <c r="T227" s="175" t="e">
        <f>#REF!</f>
        <v>#REF!</v>
      </c>
      <c r="U227" s="175" t="e">
        <f>#REF!</f>
        <v>#REF!</v>
      </c>
      <c r="V227" s="175" t="e">
        <f>#REF!</f>
        <v>#REF!</v>
      </c>
      <c r="W227" s="175" t="e">
        <f>#REF!</f>
        <v>#REF!</v>
      </c>
      <c r="X227" s="175" t="e">
        <f>#REF!</f>
        <v>#REF!</v>
      </c>
    </row>
    <row r="228" spans="1:24" ht="24.95" customHeight="1" x14ac:dyDescent="0.2">
      <c r="A228" s="168" t="e">
        <f>#REF!</f>
        <v>#REF!</v>
      </c>
      <c r="B228" s="169" t="e">
        <f>#REF!</f>
        <v>#REF!</v>
      </c>
      <c r="C228" s="170" t="e">
        <f>#REF!</f>
        <v>#REF!</v>
      </c>
      <c r="D228" s="171" t="e">
        <f>#REF!</f>
        <v>#REF!</v>
      </c>
      <c r="E228" s="171" t="e">
        <f>#REF!</f>
        <v>#REF!</v>
      </c>
      <c r="F228" s="171" t="e">
        <f>#REF!</f>
        <v>#REF!</v>
      </c>
      <c r="G228" s="171" t="e">
        <f>#REF!</f>
        <v>#REF!</v>
      </c>
      <c r="H228" s="171" t="e">
        <f>#REF!</f>
        <v>#REF!</v>
      </c>
      <c r="I228" s="171" t="e">
        <f>#REF!</f>
        <v>#REF!</v>
      </c>
      <c r="J228" s="171" t="e">
        <f>#REF!</f>
        <v>#REF!</v>
      </c>
      <c r="K228" s="171" t="e">
        <f>#REF!</f>
        <v>#REF!</v>
      </c>
      <c r="L228" s="171" t="e">
        <f>#REF!</f>
        <v>#REF!</v>
      </c>
      <c r="M228" s="171" t="e">
        <f>#REF!</f>
        <v>#REF!</v>
      </c>
      <c r="N228" s="171" t="e">
        <f>#REF!</f>
        <v>#REF!</v>
      </c>
      <c r="O228" s="171" t="e">
        <f>#REF!</f>
        <v>#REF!</v>
      </c>
      <c r="P228" s="171" t="e">
        <f>#REF!</f>
        <v>#REF!</v>
      </c>
      <c r="Q228" s="171" t="e">
        <f>#REF!</f>
        <v>#REF!</v>
      </c>
      <c r="R228" s="171" t="e">
        <f>#REF!</f>
        <v>#REF!</v>
      </c>
      <c r="S228" s="171" t="e">
        <f>#REF!</f>
        <v>#REF!</v>
      </c>
      <c r="T228" s="175" t="e">
        <f>#REF!</f>
        <v>#REF!</v>
      </c>
      <c r="U228" s="175" t="e">
        <f>#REF!</f>
        <v>#REF!</v>
      </c>
      <c r="V228" s="175" t="e">
        <f>#REF!</f>
        <v>#REF!</v>
      </c>
      <c r="W228" s="175" t="e">
        <f>#REF!</f>
        <v>#REF!</v>
      </c>
      <c r="X228" s="175" t="e">
        <f>#REF!</f>
        <v>#REF!</v>
      </c>
    </row>
    <row r="229" spans="1:24" ht="24.95" customHeight="1" x14ac:dyDescent="0.2">
      <c r="A229" s="168" t="e">
        <f>#REF!</f>
        <v>#REF!</v>
      </c>
      <c r="B229" s="169" t="e">
        <f>#REF!</f>
        <v>#REF!</v>
      </c>
      <c r="C229" s="170" t="e">
        <f>#REF!</f>
        <v>#REF!</v>
      </c>
      <c r="D229" s="171" t="e">
        <f>#REF!</f>
        <v>#REF!</v>
      </c>
      <c r="E229" s="171" t="e">
        <f>#REF!</f>
        <v>#REF!</v>
      </c>
      <c r="F229" s="171" t="e">
        <f>#REF!</f>
        <v>#REF!</v>
      </c>
      <c r="G229" s="171" t="e">
        <f>#REF!</f>
        <v>#REF!</v>
      </c>
      <c r="H229" s="171" t="e">
        <f>#REF!</f>
        <v>#REF!</v>
      </c>
      <c r="I229" s="171" t="e">
        <f>#REF!</f>
        <v>#REF!</v>
      </c>
      <c r="J229" s="171" t="e">
        <f>#REF!</f>
        <v>#REF!</v>
      </c>
      <c r="K229" s="171" t="e">
        <f>#REF!</f>
        <v>#REF!</v>
      </c>
      <c r="L229" s="171" t="e">
        <f>#REF!</f>
        <v>#REF!</v>
      </c>
      <c r="M229" s="171" t="e">
        <f>#REF!</f>
        <v>#REF!</v>
      </c>
      <c r="N229" s="171" t="e">
        <f>#REF!</f>
        <v>#REF!</v>
      </c>
      <c r="O229" s="171" t="e">
        <f>#REF!</f>
        <v>#REF!</v>
      </c>
      <c r="P229" s="171" t="e">
        <f>#REF!</f>
        <v>#REF!</v>
      </c>
      <c r="Q229" s="171" t="e">
        <f>#REF!</f>
        <v>#REF!</v>
      </c>
      <c r="R229" s="171" t="e">
        <f>#REF!</f>
        <v>#REF!</v>
      </c>
      <c r="S229" s="171" t="e">
        <f>#REF!</f>
        <v>#REF!</v>
      </c>
      <c r="T229" s="175" t="e">
        <f>#REF!</f>
        <v>#REF!</v>
      </c>
      <c r="U229" s="175" t="e">
        <f>#REF!</f>
        <v>#REF!</v>
      </c>
      <c r="V229" s="175" t="e">
        <f>#REF!</f>
        <v>#REF!</v>
      </c>
      <c r="W229" s="175" t="e">
        <f>#REF!</f>
        <v>#REF!</v>
      </c>
      <c r="X229" s="175" t="e">
        <f>#REF!</f>
        <v>#REF!</v>
      </c>
    </row>
    <row r="230" spans="1:24" ht="24.95" customHeight="1" x14ac:dyDescent="0.2">
      <c r="A230" s="168" t="e">
        <f>#REF!</f>
        <v>#REF!</v>
      </c>
      <c r="B230" s="169" t="e">
        <f>#REF!</f>
        <v>#REF!</v>
      </c>
      <c r="C230" s="170" t="e">
        <f>#REF!</f>
        <v>#REF!</v>
      </c>
      <c r="D230" s="171" t="e">
        <f>#REF!</f>
        <v>#REF!</v>
      </c>
      <c r="E230" s="171" t="e">
        <f>#REF!</f>
        <v>#REF!</v>
      </c>
      <c r="F230" s="171" t="e">
        <f>#REF!</f>
        <v>#REF!</v>
      </c>
      <c r="G230" s="171" t="e">
        <f>#REF!</f>
        <v>#REF!</v>
      </c>
      <c r="H230" s="171" t="e">
        <f>#REF!</f>
        <v>#REF!</v>
      </c>
      <c r="I230" s="171" t="e">
        <f>#REF!</f>
        <v>#REF!</v>
      </c>
      <c r="J230" s="171" t="e">
        <f>#REF!</f>
        <v>#REF!</v>
      </c>
      <c r="K230" s="171" t="e">
        <f>#REF!</f>
        <v>#REF!</v>
      </c>
      <c r="L230" s="171" t="e">
        <f>#REF!</f>
        <v>#REF!</v>
      </c>
      <c r="M230" s="171" t="e">
        <f>#REF!</f>
        <v>#REF!</v>
      </c>
      <c r="N230" s="171" t="e">
        <f>#REF!</f>
        <v>#REF!</v>
      </c>
      <c r="O230" s="171" t="e">
        <f>#REF!</f>
        <v>#REF!</v>
      </c>
      <c r="P230" s="171" t="e">
        <f>#REF!</f>
        <v>#REF!</v>
      </c>
      <c r="Q230" s="171" t="e">
        <f>#REF!</f>
        <v>#REF!</v>
      </c>
      <c r="R230" s="171" t="e">
        <f>#REF!</f>
        <v>#REF!</v>
      </c>
      <c r="S230" s="171" t="e">
        <f>#REF!</f>
        <v>#REF!</v>
      </c>
      <c r="T230" s="175" t="e">
        <f>#REF!</f>
        <v>#REF!</v>
      </c>
      <c r="U230" s="175" t="e">
        <f>#REF!</f>
        <v>#REF!</v>
      </c>
      <c r="V230" s="175" t="e">
        <f>#REF!</f>
        <v>#REF!</v>
      </c>
      <c r="W230" s="175" t="e">
        <f>#REF!</f>
        <v>#REF!</v>
      </c>
      <c r="X230" s="175" t="e">
        <f>#REF!</f>
        <v>#REF!</v>
      </c>
    </row>
    <row r="231" spans="1:24" ht="24.95" customHeight="1" x14ac:dyDescent="0.2">
      <c r="A231" s="168" t="e">
        <f>#REF!</f>
        <v>#REF!</v>
      </c>
      <c r="B231" s="169" t="e">
        <f>#REF!</f>
        <v>#REF!</v>
      </c>
      <c r="C231" s="170" t="e">
        <f>#REF!</f>
        <v>#REF!</v>
      </c>
      <c r="D231" s="171" t="e">
        <f>#REF!</f>
        <v>#REF!</v>
      </c>
      <c r="E231" s="171" t="e">
        <f>#REF!</f>
        <v>#REF!</v>
      </c>
      <c r="F231" s="171" t="e">
        <f>#REF!</f>
        <v>#REF!</v>
      </c>
      <c r="G231" s="171" t="e">
        <f>#REF!</f>
        <v>#REF!</v>
      </c>
      <c r="H231" s="171" t="e">
        <f>#REF!</f>
        <v>#REF!</v>
      </c>
      <c r="I231" s="171" t="e">
        <f>#REF!</f>
        <v>#REF!</v>
      </c>
      <c r="J231" s="171" t="e">
        <f>#REF!</f>
        <v>#REF!</v>
      </c>
      <c r="K231" s="171" t="e">
        <f>#REF!</f>
        <v>#REF!</v>
      </c>
      <c r="L231" s="171" t="e">
        <f>#REF!</f>
        <v>#REF!</v>
      </c>
      <c r="M231" s="171" t="e">
        <f>#REF!</f>
        <v>#REF!</v>
      </c>
      <c r="N231" s="171" t="e">
        <f>#REF!</f>
        <v>#REF!</v>
      </c>
      <c r="O231" s="171" t="e">
        <f>#REF!</f>
        <v>#REF!</v>
      </c>
      <c r="P231" s="171" t="e">
        <f>#REF!</f>
        <v>#REF!</v>
      </c>
      <c r="Q231" s="171" t="e">
        <f>#REF!</f>
        <v>#REF!</v>
      </c>
      <c r="R231" s="171" t="e">
        <f>#REF!</f>
        <v>#REF!</v>
      </c>
      <c r="S231" s="171" t="e">
        <f>#REF!</f>
        <v>#REF!</v>
      </c>
      <c r="T231" s="175" t="e">
        <f>#REF!</f>
        <v>#REF!</v>
      </c>
      <c r="U231" s="175" t="e">
        <f>#REF!</f>
        <v>#REF!</v>
      </c>
      <c r="V231" s="175" t="e">
        <f>#REF!</f>
        <v>#REF!</v>
      </c>
      <c r="W231" s="175" t="e">
        <f>#REF!</f>
        <v>#REF!</v>
      </c>
      <c r="X231" s="175" t="e">
        <f>#REF!</f>
        <v>#REF!</v>
      </c>
    </row>
    <row r="232" spans="1:24" ht="24.95" customHeight="1" x14ac:dyDescent="0.2">
      <c r="A232" s="168" t="e">
        <f>#REF!</f>
        <v>#REF!</v>
      </c>
      <c r="B232" s="169" t="e">
        <f>#REF!</f>
        <v>#REF!</v>
      </c>
      <c r="C232" s="170" t="e">
        <f>#REF!</f>
        <v>#REF!</v>
      </c>
      <c r="D232" s="171" t="e">
        <f>#REF!</f>
        <v>#REF!</v>
      </c>
      <c r="E232" s="171" t="e">
        <f>#REF!</f>
        <v>#REF!</v>
      </c>
      <c r="F232" s="171" t="e">
        <f>#REF!</f>
        <v>#REF!</v>
      </c>
      <c r="G232" s="171" t="e">
        <f>#REF!</f>
        <v>#REF!</v>
      </c>
      <c r="H232" s="171" t="e">
        <f>#REF!</f>
        <v>#REF!</v>
      </c>
      <c r="I232" s="171" t="e">
        <f>#REF!</f>
        <v>#REF!</v>
      </c>
      <c r="J232" s="171" t="e">
        <f>#REF!</f>
        <v>#REF!</v>
      </c>
      <c r="K232" s="171" t="e">
        <f>#REF!</f>
        <v>#REF!</v>
      </c>
      <c r="L232" s="171" t="e">
        <f>#REF!</f>
        <v>#REF!</v>
      </c>
      <c r="M232" s="171" t="e">
        <f>#REF!</f>
        <v>#REF!</v>
      </c>
      <c r="N232" s="171" t="e">
        <f>#REF!</f>
        <v>#REF!</v>
      </c>
      <c r="O232" s="171" t="e">
        <f>#REF!</f>
        <v>#REF!</v>
      </c>
      <c r="P232" s="171" t="e">
        <f>#REF!</f>
        <v>#REF!</v>
      </c>
      <c r="Q232" s="171" t="e">
        <f>#REF!</f>
        <v>#REF!</v>
      </c>
      <c r="R232" s="171" t="e">
        <f>#REF!</f>
        <v>#REF!</v>
      </c>
      <c r="S232" s="171" t="e">
        <f>#REF!</f>
        <v>#REF!</v>
      </c>
      <c r="T232" s="175" t="e">
        <f>#REF!</f>
        <v>#REF!</v>
      </c>
      <c r="U232" s="175" t="e">
        <f>#REF!</f>
        <v>#REF!</v>
      </c>
      <c r="V232" s="175" t="e">
        <f>#REF!</f>
        <v>#REF!</v>
      </c>
      <c r="W232" s="175" t="e">
        <f>#REF!</f>
        <v>#REF!</v>
      </c>
      <c r="X232" s="175" t="e">
        <f>#REF!</f>
        <v>#REF!</v>
      </c>
    </row>
    <row r="233" spans="1:24" ht="24.95" customHeight="1" x14ac:dyDescent="0.2">
      <c r="A233" s="168" t="e">
        <f>#REF!</f>
        <v>#REF!</v>
      </c>
      <c r="B233" s="169" t="e">
        <f>#REF!</f>
        <v>#REF!</v>
      </c>
      <c r="C233" s="170" t="e">
        <f>#REF!</f>
        <v>#REF!</v>
      </c>
      <c r="D233" s="171" t="e">
        <f>#REF!</f>
        <v>#REF!</v>
      </c>
      <c r="E233" s="171" t="e">
        <f>#REF!</f>
        <v>#REF!</v>
      </c>
      <c r="F233" s="171" t="e">
        <f>#REF!</f>
        <v>#REF!</v>
      </c>
      <c r="G233" s="171" t="e">
        <f>#REF!</f>
        <v>#REF!</v>
      </c>
      <c r="H233" s="171" t="e">
        <f>#REF!</f>
        <v>#REF!</v>
      </c>
      <c r="I233" s="171" t="e">
        <f>#REF!</f>
        <v>#REF!</v>
      </c>
      <c r="J233" s="171" t="e">
        <f>#REF!</f>
        <v>#REF!</v>
      </c>
      <c r="K233" s="171" t="e">
        <f>#REF!</f>
        <v>#REF!</v>
      </c>
      <c r="L233" s="171" t="e">
        <f>#REF!</f>
        <v>#REF!</v>
      </c>
      <c r="M233" s="171" t="e">
        <f>#REF!</f>
        <v>#REF!</v>
      </c>
      <c r="N233" s="171" t="e">
        <f>#REF!</f>
        <v>#REF!</v>
      </c>
      <c r="O233" s="171" t="e">
        <f>#REF!</f>
        <v>#REF!</v>
      </c>
      <c r="P233" s="171" t="e">
        <f>#REF!</f>
        <v>#REF!</v>
      </c>
      <c r="Q233" s="171" t="e">
        <f>#REF!</f>
        <v>#REF!</v>
      </c>
      <c r="R233" s="171" t="e">
        <f>#REF!</f>
        <v>#REF!</v>
      </c>
      <c r="S233" s="171" t="e">
        <f>#REF!</f>
        <v>#REF!</v>
      </c>
      <c r="T233" s="175" t="e">
        <f>#REF!</f>
        <v>#REF!</v>
      </c>
      <c r="U233" s="175" t="e">
        <f>#REF!</f>
        <v>#REF!</v>
      </c>
      <c r="V233" s="175" t="e">
        <f>#REF!</f>
        <v>#REF!</v>
      </c>
      <c r="W233" s="175" t="e">
        <f>#REF!</f>
        <v>#REF!</v>
      </c>
      <c r="X233" s="175" t="e">
        <f>#REF!</f>
        <v>#REF!</v>
      </c>
    </row>
    <row r="234" spans="1:24" ht="24.95" customHeight="1" x14ac:dyDescent="0.2">
      <c r="A234" s="168" t="e">
        <f>#REF!</f>
        <v>#REF!</v>
      </c>
      <c r="B234" s="169" t="e">
        <f>#REF!</f>
        <v>#REF!</v>
      </c>
      <c r="C234" s="170" t="e">
        <f>#REF!</f>
        <v>#REF!</v>
      </c>
      <c r="D234" s="171" t="e">
        <f>#REF!</f>
        <v>#REF!</v>
      </c>
      <c r="E234" s="171" t="e">
        <f>#REF!</f>
        <v>#REF!</v>
      </c>
      <c r="F234" s="171" t="e">
        <f>#REF!</f>
        <v>#REF!</v>
      </c>
      <c r="G234" s="171" t="e">
        <f>#REF!</f>
        <v>#REF!</v>
      </c>
      <c r="H234" s="171" t="e">
        <f>#REF!</f>
        <v>#REF!</v>
      </c>
      <c r="I234" s="171" t="e">
        <f>#REF!</f>
        <v>#REF!</v>
      </c>
      <c r="J234" s="171" t="e">
        <f>#REF!</f>
        <v>#REF!</v>
      </c>
      <c r="K234" s="171" t="e">
        <f>#REF!</f>
        <v>#REF!</v>
      </c>
      <c r="L234" s="171" t="e">
        <f>#REF!</f>
        <v>#REF!</v>
      </c>
      <c r="M234" s="171" t="e">
        <f>#REF!</f>
        <v>#REF!</v>
      </c>
      <c r="N234" s="171" t="e">
        <f>#REF!</f>
        <v>#REF!</v>
      </c>
      <c r="O234" s="171" t="e">
        <f>#REF!</f>
        <v>#REF!</v>
      </c>
      <c r="P234" s="171" t="e">
        <f>#REF!</f>
        <v>#REF!</v>
      </c>
      <c r="Q234" s="171" t="e">
        <f>#REF!</f>
        <v>#REF!</v>
      </c>
      <c r="R234" s="171" t="e">
        <f>#REF!</f>
        <v>#REF!</v>
      </c>
      <c r="S234" s="171" t="e">
        <f>#REF!</f>
        <v>#REF!</v>
      </c>
      <c r="T234" s="175" t="e">
        <f>#REF!</f>
        <v>#REF!</v>
      </c>
      <c r="U234" s="175" t="e">
        <f>#REF!</f>
        <v>#REF!</v>
      </c>
      <c r="V234" s="175" t="e">
        <f>#REF!</f>
        <v>#REF!</v>
      </c>
      <c r="W234" s="175" t="e">
        <f>#REF!</f>
        <v>#REF!</v>
      </c>
      <c r="X234" s="175" t="e">
        <f>#REF!</f>
        <v>#REF!</v>
      </c>
    </row>
    <row r="235" spans="1:24" ht="24.95" customHeight="1" x14ac:dyDescent="0.2">
      <c r="A235" s="168" t="e">
        <f>#REF!</f>
        <v>#REF!</v>
      </c>
      <c r="B235" s="169" t="e">
        <f>#REF!</f>
        <v>#REF!</v>
      </c>
      <c r="C235" s="170" t="e">
        <f>#REF!</f>
        <v>#REF!</v>
      </c>
      <c r="D235" s="171" t="e">
        <f>#REF!</f>
        <v>#REF!</v>
      </c>
      <c r="E235" s="171" t="e">
        <f>#REF!</f>
        <v>#REF!</v>
      </c>
      <c r="F235" s="171" t="e">
        <f>#REF!</f>
        <v>#REF!</v>
      </c>
      <c r="G235" s="171" t="e">
        <f>#REF!</f>
        <v>#REF!</v>
      </c>
      <c r="H235" s="171" t="e">
        <f>#REF!</f>
        <v>#REF!</v>
      </c>
      <c r="I235" s="171" t="e">
        <f>#REF!</f>
        <v>#REF!</v>
      </c>
      <c r="J235" s="171" t="e">
        <f>#REF!</f>
        <v>#REF!</v>
      </c>
      <c r="K235" s="171" t="e">
        <f>#REF!</f>
        <v>#REF!</v>
      </c>
      <c r="L235" s="171" t="e">
        <f>#REF!</f>
        <v>#REF!</v>
      </c>
      <c r="M235" s="171" t="e">
        <f>#REF!</f>
        <v>#REF!</v>
      </c>
      <c r="N235" s="171" t="e">
        <f>#REF!</f>
        <v>#REF!</v>
      </c>
      <c r="O235" s="171" t="e">
        <f>#REF!</f>
        <v>#REF!</v>
      </c>
      <c r="P235" s="171" t="e">
        <f>#REF!</f>
        <v>#REF!</v>
      </c>
      <c r="Q235" s="171" t="e">
        <f>#REF!</f>
        <v>#REF!</v>
      </c>
      <c r="R235" s="171" t="e">
        <f>#REF!</f>
        <v>#REF!</v>
      </c>
      <c r="S235" s="171" t="e">
        <f>#REF!</f>
        <v>#REF!</v>
      </c>
      <c r="T235" s="175" t="e">
        <f>#REF!</f>
        <v>#REF!</v>
      </c>
      <c r="U235" s="175" t="e">
        <f>#REF!</f>
        <v>#REF!</v>
      </c>
      <c r="V235" s="175" t="e">
        <f>#REF!</f>
        <v>#REF!</v>
      </c>
      <c r="W235" s="175" t="e">
        <f>#REF!</f>
        <v>#REF!</v>
      </c>
      <c r="X235" s="175" t="e">
        <f>#REF!</f>
        <v>#REF!</v>
      </c>
    </row>
    <row r="236" spans="1:24" ht="24.95" customHeight="1" x14ac:dyDescent="0.2">
      <c r="A236" s="168" t="e">
        <f>#REF!</f>
        <v>#REF!</v>
      </c>
      <c r="B236" s="169" t="e">
        <f>#REF!</f>
        <v>#REF!</v>
      </c>
      <c r="C236" s="170" t="e">
        <f>#REF!</f>
        <v>#REF!</v>
      </c>
      <c r="D236" s="171" t="e">
        <f>#REF!</f>
        <v>#REF!</v>
      </c>
      <c r="E236" s="171" t="e">
        <f>#REF!</f>
        <v>#REF!</v>
      </c>
      <c r="F236" s="171" t="e">
        <f>#REF!</f>
        <v>#REF!</v>
      </c>
      <c r="G236" s="171" t="e">
        <f>#REF!</f>
        <v>#REF!</v>
      </c>
      <c r="H236" s="171" t="e">
        <f>#REF!</f>
        <v>#REF!</v>
      </c>
      <c r="I236" s="171" t="e">
        <f>#REF!</f>
        <v>#REF!</v>
      </c>
      <c r="J236" s="171" t="e">
        <f>#REF!</f>
        <v>#REF!</v>
      </c>
      <c r="K236" s="171" t="e">
        <f>#REF!</f>
        <v>#REF!</v>
      </c>
      <c r="L236" s="171" t="e">
        <f>#REF!</f>
        <v>#REF!</v>
      </c>
      <c r="M236" s="171" t="e">
        <f>#REF!</f>
        <v>#REF!</v>
      </c>
      <c r="N236" s="171" t="e">
        <f>#REF!</f>
        <v>#REF!</v>
      </c>
      <c r="O236" s="171" t="e">
        <f>#REF!</f>
        <v>#REF!</v>
      </c>
      <c r="P236" s="171" t="e">
        <f>#REF!</f>
        <v>#REF!</v>
      </c>
      <c r="Q236" s="171" t="e">
        <f>#REF!</f>
        <v>#REF!</v>
      </c>
      <c r="R236" s="171" t="e">
        <f>#REF!</f>
        <v>#REF!</v>
      </c>
      <c r="S236" s="171" t="e">
        <f>#REF!</f>
        <v>#REF!</v>
      </c>
      <c r="T236" s="175" t="e">
        <f>#REF!</f>
        <v>#REF!</v>
      </c>
      <c r="U236" s="175" t="e">
        <f>#REF!</f>
        <v>#REF!</v>
      </c>
      <c r="V236" s="175" t="e">
        <f>#REF!</f>
        <v>#REF!</v>
      </c>
      <c r="W236" s="175" t="e">
        <f>#REF!</f>
        <v>#REF!</v>
      </c>
      <c r="X236" s="175" t="e">
        <f>#REF!</f>
        <v>#REF!</v>
      </c>
    </row>
    <row r="237" spans="1:24" ht="24.95" customHeight="1" x14ac:dyDescent="0.2">
      <c r="A237" s="168" t="e">
        <f>#REF!</f>
        <v>#REF!</v>
      </c>
      <c r="B237" s="169" t="e">
        <f>#REF!</f>
        <v>#REF!</v>
      </c>
      <c r="C237" s="170" t="e">
        <f>#REF!</f>
        <v>#REF!</v>
      </c>
      <c r="D237" s="171" t="e">
        <f>#REF!</f>
        <v>#REF!</v>
      </c>
      <c r="E237" s="171" t="e">
        <f>#REF!</f>
        <v>#REF!</v>
      </c>
      <c r="F237" s="171" t="e">
        <f>#REF!</f>
        <v>#REF!</v>
      </c>
      <c r="G237" s="171" t="e">
        <f>#REF!</f>
        <v>#REF!</v>
      </c>
      <c r="H237" s="171" t="e">
        <f>#REF!</f>
        <v>#REF!</v>
      </c>
      <c r="I237" s="171" t="e">
        <f>#REF!</f>
        <v>#REF!</v>
      </c>
      <c r="J237" s="171" t="e">
        <f>#REF!</f>
        <v>#REF!</v>
      </c>
      <c r="K237" s="171" t="e">
        <f>#REF!</f>
        <v>#REF!</v>
      </c>
      <c r="L237" s="171" t="e">
        <f>#REF!</f>
        <v>#REF!</v>
      </c>
      <c r="M237" s="171" t="e">
        <f>#REF!</f>
        <v>#REF!</v>
      </c>
      <c r="N237" s="171" t="e">
        <f>#REF!</f>
        <v>#REF!</v>
      </c>
      <c r="O237" s="171" t="e">
        <f>#REF!</f>
        <v>#REF!</v>
      </c>
      <c r="P237" s="171" t="e">
        <f>#REF!</f>
        <v>#REF!</v>
      </c>
      <c r="Q237" s="171" t="e">
        <f>#REF!</f>
        <v>#REF!</v>
      </c>
      <c r="R237" s="171" t="e">
        <f>#REF!</f>
        <v>#REF!</v>
      </c>
      <c r="S237" s="171" t="e">
        <f>#REF!</f>
        <v>#REF!</v>
      </c>
      <c r="T237" s="175" t="e">
        <f>#REF!</f>
        <v>#REF!</v>
      </c>
      <c r="U237" s="175" t="e">
        <f>#REF!</f>
        <v>#REF!</v>
      </c>
      <c r="V237" s="175" t="e">
        <f>#REF!</f>
        <v>#REF!</v>
      </c>
      <c r="W237" s="175" t="e">
        <f>#REF!</f>
        <v>#REF!</v>
      </c>
      <c r="X237" s="175" t="e">
        <f>#REF!</f>
        <v>#REF!</v>
      </c>
    </row>
    <row r="238" spans="1:24" ht="24.95" customHeight="1" x14ac:dyDescent="0.2">
      <c r="A238" s="168" t="e">
        <f>#REF!</f>
        <v>#REF!</v>
      </c>
      <c r="B238" s="169" t="e">
        <f>#REF!</f>
        <v>#REF!</v>
      </c>
      <c r="C238" s="170" t="e">
        <f>#REF!</f>
        <v>#REF!</v>
      </c>
      <c r="D238" s="171" t="e">
        <f>#REF!</f>
        <v>#REF!</v>
      </c>
      <c r="E238" s="171" t="e">
        <f>#REF!</f>
        <v>#REF!</v>
      </c>
      <c r="F238" s="171" t="e">
        <f>#REF!</f>
        <v>#REF!</v>
      </c>
      <c r="G238" s="171" t="e">
        <f>#REF!</f>
        <v>#REF!</v>
      </c>
      <c r="H238" s="171" t="e">
        <f>#REF!</f>
        <v>#REF!</v>
      </c>
      <c r="I238" s="171" t="e">
        <f>#REF!</f>
        <v>#REF!</v>
      </c>
      <c r="J238" s="171" t="e">
        <f>#REF!</f>
        <v>#REF!</v>
      </c>
      <c r="K238" s="171" t="e">
        <f>#REF!</f>
        <v>#REF!</v>
      </c>
      <c r="L238" s="171" t="e">
        <f>#REF!</f>
        <v>#REF!</v>
      </c>
      <c r="M238" s="171" t="e">
        <f>#REF!</f>
        <v>#REF!</v>
      </c>
      <c r="N238" s="171" t="e">
        <f>#REF!</f>
        <v>#REF!</v>
      </c>
      <c r="O238" s="171" t="e">
        <f>#REF!</f>
        <v>#REF!</v>
      </c>
      <c r="P238" s="171" t="e">
        <f>#REF!</f>
        <v>#REF!</v>
      </c>
      <c r="Q238" s="171" t="e">
        <f>#REF!</f>
        <v>#REF!</v>
      </c>
      <c r="R238" s="171" t="e">
        <f>#REF!</f>
        <v>#REF!</v>
      </c>
      <c r="S238" s="171" t="e">
        <f>#REF!</f>
        <v>#REF!</v>
      </c>
      <c r="T238" s="175" t="e">
        <f>#REF!</f>
        <v>#REF!</v>
      </c>
      <c r="U238" s="175" t="e">
        <f>#REF!</f>
        <v>#REF!</v>
      </c>
      <c r="V238" s="175" t="e">
        <f>#REF!</f>
        <v>#REF!</v>
      </c>
      <c r="W238" s="175" t="e">
        <f>#REF!</f>
        <v>#REF!</v>
      </c>
      <c r="X238" s="175" t="e">
        <f>#REF!</f>
        <v>#REF!</v>
      </c>
    </row>
    <row r="239" spans="1:24" ht="24.95" customHeight="1" x14ac:dyDescent="0.2">
      <c r="A239" s="168" t="e">
        <f>#REF!</f>
        <v>#REF!</v>
      </c>
      <c r="B239" s="169" t="e">
        <f>#REF!</f>
        <v>#REF!</v>
      </c>
      <c r="C239" s="170" t="e">
        <f>#REF!</f>
        <v>#REF!</v>
      </c>
      <c r="D239" s="171" t="e">
        <f>#REF!</f>
        <v>#REF!</v>
      </c>
      <c r="E239" s="171" t="e">
        <f>#REF!</f>
        <v>#REF!</v>
      </c>
      <c r="F239" s="171" t="e">
        <f>#REF!</f>
        <v>#REF!</v>
      </c>
      <c r="G239" s="171" t="e">
        <f>#REF!</f>
        <v>#REF!</v>
      </c>
      <c r="H239" s="171" t="e">
        <f>#REF!</f>
        <v>#REF!</v>
      </c>
      <c r="I239" s="171" t="e">
        <f>#REF!</f>
        <v>#REF!</v>
      </c>
      <c r="J239" s="171" t="e">
        <f>#REF!</f>
        <v>#REF!</v>
      </c>
      <c r="K239" s="171" t="e">
        <f>#REF!</f>
        <v>#REF!</v>
      </c>
      <c r="L239" s="171" t="e">
        <f>#REF!</f>
        <v>#REF!</v>
      </c>
      <c r="M239" s="171" t="e">
        <f>#REF!</f>
        <v>#REF!</v>
      </c>
      <c r="N239" s="171" t="e">
        <f>#REF!</f>
        <v>#REF!</v>
      </c>
      <c r="O239" s="171" t="e">
        <f>#REF!</f>
        <v>#REF!</v>
      </c>
      <c r="P239" s="171" t="e">
        <f>#REF!</f>
        <v>#REF!</v>
      </c>
      <c r="Q239" s="171" t="e">
        <f>#REF!</f>
        <v>#REF!</v>
      </c>
      <c r="R239" s="171" t="e">
        <f>#REF!</f>
        <v>#REF!</v>
      </c>
      <c r="S239" s="171" t="e">
        <f>#REF!</f>
        <v>#REF!</v>
      </c>
      <c r="T239" s="175" t="e">
        <f>#REF!</f>
        <v>#REF!</v>
      </c>
      <c r="U239" s="175" t="e">
        <f>#REF!</f>
        <v>#REF!</v>
      </c>
      <c r="V239" s="175" t="e">
        <f>#REF!</f>
        <v>#REF!</v>
      </c>
      <c r="W239" s="175" t="e">
        <f>#REF!</f>
        <v>#REF!</v>
      </c>
      <c r="X239" s="175" t="e">
        <f>#REF!</f>
        <v>#REF!</v>
      </c>
    </row>
    <row r="240" spans="1:24" ht="24.95" customHeight="1" x14ac:dyDescent="0.2">
      <c r="A240" s="168" t="e">
        <f>#REF!</f>
        <v>#REF!</v>
      </c>
      <c r="B240" s="169" t="e">
        <f>#REF!</f>
        <v>#REF!</v>
      </c>
      <c r="C240" s="170" t="e">
        <f>#REF!</f>
        <v>#REF!</v>
      </c>
      <c r="D240" s="171" t="e">
        <f>#REF!</f>
        <v>#REF!</v>
      </c>
      <c r="E240" s="171" t="e">
        <f>#REF!</f>
        <v>#REF!</v>
      </c>
      <c r="F240" s="171" t="e">
        <f>#REF!</f>
        <v>#REF!</v>
      </c>
      <c r="G240" s="171" t="e">
        <f>#REF!</f>
        <v>#REF!</v>
      </c>
      <c r="H240" s="171" t="e">
        <f>#REF!</f>
        <v>#REF!</v>
      </c>
      <c r="I240" s="171" t="e">
        <f>#REF!</f>
        <v>#REF!</v>
      </c>
      <c r="J240" s="171" t="e">
        <f>#REF!</f>
        <v>#REF!</v>
      </c>
      <c r="K240" s="171" t="e">
        <f>#REF!</f>
        <v>#REF!</v>
      </c>
      <c r="L240" s="171" t="e">
        <f>#REF!</f>
        <v>#REF!</v>
      </c>
      <c r="M240" s="171" t="e">
        <f>#REF!</f>
        <v>#REF!</v>
      </c>
      <c r="N240" s="171" t="e">
        <f>#REF!</f>
        <v>#REF!</v>
      </c>
      <c r="O240" s="171" t="e">
        <f>#REF!</f>
        <v>#REF!</v>
      </c>
      <c r="P240" s="171" t="e">
        <f>#REF!</f>
        <v>#REF!</v>
      </c>
      <c r="Q240" s="171" t="e">
        <f>#REF!</f>
        <v>#REF!</v>
      </c>
      <c r="R240" s="171" t="e">
        <f>#REF!</f>
        <v>#REF!</v>
      </c>
      <c r="S240" s="171" t="e">
        <f>#REF!</f>
        <v>#REF!</v>
      </c>
      <c r="T240" s="175" t="e">
        <f>#REF!</f>
        <v>#REF!</v>
      </c>
      <c r="U240" s="175" t="e">
        <f>#REF!</f>
        <v>#REF!</v>
      </c>
      <c r="V240" s="175" t="e">
        <f>#REF!</f>
        <v>#REF!</v>
      </c>
      <c r="W240" s="175" t="e">
        <f>#REF!</f>
        <v>#REF!</v>
      </c>
      <c r="X240" s="175" t="e">
        <f>#REF!</f>
        <v>#REF!</v>
      </c>
    </row>
    <row r="250" x14ac:dyDescent="0.2"/>
    <row r="251" x14ac:dyDescent="0.2"/>
    <row r="252" x14ac:dyDescent="0.2"/>
  </sheetData>
  <sheetProtection algorithmName="SHA-512" hashValue="iXkS+KvP80xNixBtIu5iwRYxRPyYOWvarng7BlJrs5HYmHYXpzSCHVjL9rJ8saWTNCKqobiBpu9OUJt03KV8Ag==" saltValue="fN/mLIVCnRinIrNVTMavKA==" spinCount="100000" sheet="1" sort="0" autoFilter="0"/>
  <autoFilter ref="A5:D240" xr:uid="{A726FC20-CDD7-45CC-AECC-5F6D8822B0D3}"/>
  <mergeCells count="4">
    <mergeCell ref="B1:J1"/>
    <mergeCell ref="D2:J2"/>
    <mergeCell ref="D3:J3"/>
    <mergeCell ref="C4:D4"/>
  </mergeCells>
  <pageMargins left="0.25" right="0.25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E1E40-9350-4519-9293-29FB947586F1}">
  <sheetPr>
    <tabColor rgb="FFC00000"/>
  </sheetPr>
  <dimension ref="A1:EP264"/>
  <sheetViews>
    <sheetView showGridLines="0" zoomScale="80" zoomScaleNormal="80" workbookViewId="0">
      <pane xSplit="47" ySplit="11" topLeftCell="AV12" activePane="bottomRight" state="frozen"/>
      <selection pane="topRight" activeCell="CA13" sqref="CA13"/>
      <selection pane="bottomLeft" activeCell="CA13" sqref="CA13"/>
      <selection pane="bottomRight" activeCell="AP49" sqref="AP49"/>
    </sheetView>
  </sheetViews>
  <sheetFormatPr baseColWidth="10" defaultColWidth="0" defaultRowHeight="11.25" zeroHeight="1" outlineLevelRow="1" outlineLevelCol="1" x14ac:dyDescent="0.25"/>
  <cols>
    <col min="1" max="20" width="5.7109375" style="227" hidden="1" customWidth="1" outlineLevel="1"/>
    <col min="21" max="21" width="6.42578125" style="227" customWidth="1" collapsed="1"/>
    <col min="22" max="22" width="11.28515625" style="337" customWidth="1"/>
    <col min="23" max="23" width="30.85546875" style="237" customWidth="1"/>
    <col min="24" max="24" width="5.85546875" style="338" customWidth="1"/>
    <col min="25" max="25" width="9.140625" style="339" hidden="1" customWidth="1" outlineLevel="1"/>
    <col min="26" max="26" width="9.42578125" style="339" customWidth="1" collapsed="1"/>
    <col min="27" max="27" width="7.85546875" style="339" customWidth="1"/>
    <col min="28" max="30" width="7.7109375" style="339" hidden="1" customWidth="1" outlineLevel="1"/>
    <col min="31" max="31" width="7.7109375" style="339" hidden="1" customWidth="1" outlineLevel="1" collapsed="1"/>
    <col min="32" max="33" width="7.7109375" style="339" hidden="1" customWidth="1" outlineLevel="1"/>
    <col min="34" max="34" width="10.140625" style="227" customWidth="1" collapsed="1"/>
    <col min="35" max="35" width="8.85546875" style="336" customWidth="1" outlineLevel="1"/>
    <col min="36" max="36" width="10.85546875" style="340" customWidth="1" outlineLevel="1"/>
    <col min="37" max="37" width="9.28515625" style="336" customWidth="1" outlineLevel="1"/>
    <col min="38" max="38" width="2.7109375" style="336" customWidth="1"/>
    <col min="39" max="39" width="7.85546875" style="336" customWidth="1" outlineLevel="1"/>
    <col min="40" max="40" width="11" style="336" customWidth="1" outlineLevel="1"/>
    <col min="41" max="41" width="9.28515625" style="336" customWidth="1" outlineLevel="1"/>
    <col min="42" max="43" width="3.7109375" style="336" customWidth="1" outlineLevel="1"/>
    <col min="44" max="44" width="2.7109375" style="336" customWidth="1"/>
    <col min="45" max="45" width="7.85546875" style="336" customWidth="1" outlineLevel="1"/>
    <col min="46" max="46" width="9.42578125" style="336" customWidth="1" outlineLevel="1"/>
    <col min="47" max="47" width="8.28515625" style="336" customWidth="1" outlineLevel="1"/>
    <col min="48" max="48" width="5.7109375" style="227" customWidth="1"/>
    <col min="49" max="50" width="8.7109375" style="227" customWidth="1"/>
    <col min="51" max="51" width="5.7109375" style="227" customWidth="1"/>
    <col min="52" max="53" width="8.7109375" style="227" customWidth="1"/>
    <col min="54" max="54" width="5.7109375" style="227" customWidth="1"/>
    <col min="55" max="56" width="8.7109375" style="227" customWidth="1"/>
    <col min="57" max="57" width="5.7109375" style="227" customWidth="1"/>
    <col min="58" max="59" width="8.7109375" style="227" customWidth="1"/>
    <col min="60" max="60" width="5.7109375" style="227" customWidth="1"/>
    <col min="61" max="62" width="8.7109375" style="227" customWidth="1"/>
    <col min="63" max="63" width="5.7109375" style="227" customWidth="1"/>
    <col min="64" max="65" width="8.7109375" style="227" customWidth="1"/>
    <col min="66" max="66" width="5.7109375" style="227" customWidth="1"/>
    <col min="67" max="68" width="8.7109375" style="227" customWidth="1"/>
    <col min="69" max="69" width="5.7109375" style="227" customWidth="1"/>
    <col min="70" max="71" width="8.7109375" style="227" customWidth="1"/>
    <col min="72" max="72" width="5.7109375" style="227" customWidth="1"/>
    <col min="73" max="74" width="8.7109375" style="227" customWidth="1"/>
    <col min="75" max="75" width="5.7109375" style="227" customWidth="1"/>
    <col min="76" max="77" width="8.7109375" style="227" customWidth="1"/>
    <col min="78" max="78" width="5.7109375" style="227" customWidth="1"/>
    <col min="79" max="80" width="8.7109375" style="227" customWidth="1"/>
    <col min="81" max="81" width="5.7109375" style="227" customWidth="1"/>
    <col min="82" max="83" width="8.7109375" style="227" customWidth="1"/>
    <col min="84" max="84" width="5.7109375" style="227" customWidth="1"/>
    <col min="85" max="86" width="8.7109375" style="227" customWidth="1"/>
    <col min="87" max="87" width="5.7109375" style="227" customWidth="1"/>
    <col min="88" max="89" width="8.7109375" style="227" customWidth="1"/>
    <col min="90" max="90" width="5.7109375" style="227" customWidth="1"/>
    <col min="91" max="92" width="8.7109375" style="227" customWidth="1"/>
    <col min="93" max="93" width="5.7109375" style="227" customWidth="1"/>
    <col min="94" max="95" width="8.7109375" style="227" customWidth="1"/>
    <col min="96" max="96" width="5.7109375" style="227" customWidth="1"/>
    <col min="97" max="98" width="8.7109375" style="227" customWidth="1"/>
    <col min="99" max="99" width="5.7109375" style="227" customWidth="1"/>
    <col min="100" max="101" width="8.7109375" style="227" customWidth="1"/>
    <col min="102" max="102" width="5.7109375" style="227" customWidth="1"/>
    <col min="103" max="104" width="8.7109375" style="227" customWidth="1"/>
    <col min="105" max="105" width="5.7109375" style="227" customWidth="1"/>
    <col min="106" max="107" width="8.7109375" style="227" customWidth="1"/>
    <col min="108" max="108" width="8.7109375" style="227" hidden="1" customWidth="1"/>
    <col min="109" max="109" width="15.85546875" style="227" customWidth="1"/>
    <col min="110" max="146" width="0" style="237" hidden="1" customWidth="1"/>
    <col min="147" max="16384" width="11.42578125" style="237" hidden="1"/>
  </cols>
  <sheetData>
    <row r="1" spans="1:111" ht="39.950000000000003" customHeight="1" outlineLevel="1" x14ac:dyDescent="0.25">
      <c r="U1" s="424" t="s">
        <v>686</v>
      </c>
      <c r="V1" s="425"/>
      <c r="W1" s="425"/>
      <c r="X1" s="425"/>
      <c r="Y1" s="425"/>
      <c r="Z1" s="425"/>
      <c r="AA1" s="425"/>
      <c r="AB1" s="425"/>
      <c r="AC1" s="425"/>
      <c r="AD1" s="425"/>
      <c r="AE1" s="425"/>
      <c r="AF1" s="425"/>
      <c r="AG1" s="425"/>
      <c r="AH1" s="426"/>
      <c r="AI1" s="427"/>
      <c r="AJ1" s="427"/>
      <c r="AK1" s="427"/>
      <c r="AL1" s="428"/>
      <c r="AM1" s="228"/>
      <c r="AN1" s="229"/>
      <c r="AO1" s="230"/>
      <c r="AP1" s="231"/>
      <c r="AQ1" s="231"/>
      <c r="AR1" s="428"/>
      <c r="AS1" s="232"/>
      <c r="AT1" s="233"/>
      <c r="AU1" s="234"/>
      <c r="AV1" s="430"/>
      <c r="AW1" s="430"/>
      <c r="AX1" s="430"/>
      <c r="AY1" s="430"/>
      <c r="AZ1" s="235"/>
      <c r="BA1" s="431"/>
      <c r="BB1" s="431"/>
      <c r="BC1" s="431"/>
      <c r="BD1" s="431"/>
      <c r="BE1" s="431"/>
      <c r="BF1" s="431"/>
      <c r="BG1" s="431"/>
      <c r="BH1" s="431"/>
      <c r="BI1" s="431"/>
      <c r="BJ1" s="431"/>
      <c r="BK1" s="431"/>
      <c r="BL1" s="431"/>
      <c r="BM1" s="431"/>
      <c r="BN1" s="431"/>
      <c r="BO1" s="431"/>
      <c r="BP1" s="431"/>
      <c r="BQ1" s="431"/>
      <c r="BR1" s="431"/>
      <c r="BS1" s="431"/>
      <c r="BT1" s="431"/>
      <c r="BU1" s="431"/>
      <c r="BV1" s="431"/>
      <c r="BW1" s="431"/>
      <c r="BX1" s="431"/>
      <c r="BY1" s="431"/>
      <c r="BZ1" s="431"/>
      <c r="CA1" s="431"/>
      <c r="CB1" s="431"/>
      <c r="CC1" s="431"/>
      <c r="CD1" s="431"/>
      <c r="CE1" s="431"/>
      <c r="CF1" s="431"/>
      <c r="CG1" s="431"/>
      <c r="CH1" s="431"/>
      <c r="CI1" s="431"/>
      <c r="CJ1" s="431"/>
      <c r="CK1" s="431"/>
      <c r="CL1" s="431"/>
      <c r="CM1" s="431"/>
      <c r="CN1" s="431"/>
      <c r="CO1" s="213"/>
      <c r="CP1" s="213"/>
      <c r="CQ1" s="213"/>
      <c r="CR1" s="213"/>
      <c r="CS1" s="213"/>
      <c r="CT1" s="213"/>
      <c r="CU1" s="213"/>
      <c r="CV1" s="213"/>
      <c r="CW1" s="213"/>
      <c r="CX1" s="213"/>
      <c r="CY1" s="213"/>
      <c r="CZ1" s="213"/>
      <c r="DA1" s="213"/>
      <c r="DB1" s="213"/>
      <c r="DC1" s="213"/>
      <c r="DD1" s="213"/>
      <c r="DE1" s="236"/>
    </row>
    <row r="2" spans="1:111" ht="20.100000000000001" customHeight="1" outlineLevel="1" x14ac:dyDescent="0.25">
      <c r="U2" s="380" t="s">
        <v>0</v>
      </c>
      <c r="V2" s="380"/>
      <c r="W2" s="238" t="s">
        <v>687</v>
      </c>
      <c r="X2" s="432">
        <f>[1]COMMANDE!E2</f>
        <v>45</v>
      </c>
      <c r="Y2" s="433"/>
      <c r="Z2" s="433"/>
      <c r="AA2" s="433"/>
      <c r="AB2" s="433"/>
      <c r="AC2" s="433"/>
      <c r="AD2" s="433"/>
      <c r="AE2" s="433"/>
      <c r="AF2" s="433"/>
      <c r="AG2" s="433"/>
      <c r="AH2" s="434"/>
      <c r="AI2" s="435" t="s">
        <v>688</v>
      </c>
      <c r="AJ2" s="436"/>
      <c r="AK2" s="436"/>
      <c r="AL2" s="429"/>
      <c r="AM2" s="228"/>
      <c r="AN2" s="229"/>
      <c r="AO2" s="230"/>
      <c r="AP2" s="231"/>
      <c r="AQ2" s="231"/>
      <c r="AR2" s="429"/>
      <c r="AS2" s="232"/>
      <c r="AT2" s="233"/>
      <c r="AU2" s="234"/>
      <c r="AV2" s="239"/>
      <c r="AW2" s="240"/>
      <c r="AX2" s="241"/>
      <c r="AY2" s="242"/>
      <c r="AZ2" s="235"/>
      <c r="BA2" s="213"/>
      <c r="BB2" s="213"/>
      <c r="BC2" s="213"/>
      <c r="BD2" s="213"/>
      <c r="BE2" s="213"/>
      <c r="BF2" s="213"/>
      <c r="BG2" s="213"/>
      <c r="BH2" s="213"/>
      <c r="BI2" s="213"/>
      <c r="BJ2" s="213"/>
      <c r="BK2" s="213"/>
      <c r="BL2" s="213"/>
      <c r="BM2" s="213"/>
      <c r="BN2" s="213"/>
      <c r="BO2" s="213"/>
      <c r="BP2" s="213"/>
      <c r="BQ2" s="213"/>
      <c r="BR2" s="213"/>
      <c r="BS2" s="213"/>
      <c r="BT2" s="213"/>
      <c r="BU2" s="213"/>
      <c r="BV2" s="213"/>
      <c r="BW2" s="213"/>
      <c r="BX2" s="213"/>
      <c r="BY2" s="213"/>
      <c r="BZ2" s="213"/>
      <c r="CA2" s="213"/>
      <c r="CB2" s="213"/>
      <c r="CC2" s="213"/>
      <c r="CD2" s="213"/>
      <c r="CE2" s="213"/>
      <c r="CF2" s="213"/>
      <c r="CG2" s="213"/>
      <c r="CH2" s="213"/>
      <c r="CI2" s="213"/>
      <c r="CJ2" s="213"/>
      <c r="CK2" s="213"/>
      <c r="CL2" s="213"/>
      <c r="CM2" s="213"/>
      <c r="CN2" s="213"/>
      <c r="CO2" s="213"/>
      <c r="CP2" s="213"/>
      <c r="CQ2" s="213"/>
      <c r="CR2" s="213"/>
      <c r="CS2" s="213"/>
      <c r="CT2" s="213"/>
      <c r="CU2" s="213"/>
      <c r="CV2" s="213"/>
      <c r="CW2" s="213"/>
      <c r="CX2" s="213"/>
      <c r="CY2" s="213"/>
      <c r="CZ2" s="213"/>
      <c r="DA2" s="213"/>
      <c r="DB2" s="213"/>
      <c r="DC2" s="213"/>
      <c r="DD2" s="213"/>
      <c r="DE2" s="236"/>
    </row>
    <row r="3" spans="1:111" ht="20.100000000000001" customHeight="1" outlineLevel="1" x14ac:dyDescent="0.25">
      <c r="U3" s="380"/>
      <c r="V3" s="380"/>
      <c r="W3" s="238" t="s">
        <v>689</v>
      </c>
      <c r="X3" s="409" t="str">
        <f>[1]COMMANDE!E3</f>
        <v>Lilian GITTON</v>
      </c>
      <c r="Y3" s="410"/>
      <c r="Z3" s="410"/>
      <c r="AA3" s="410"/>
      <c r="AB3" s="410"/>
      <c r="AC3" s="410"/>
      <c r="AD3" s="410"/>
      <c r="AE3" s="410"/>
      <c r="AF3" s="410"/>
      <c r="AG3" s="410"/>
      <c r="AH3" s="411"/>
      <c r="AI3" s="437"/>
      <c r="AJ3" s="438"/>
      <c r="AK3" s="438"/>
      <c r="AL3" s="429"/>
      <c r="AM3" s="228"/>
      <c r="AN3" s="229"/>
      <c r="AO3" s="230"/>
      <c r="AP3" s="231"/>
      <c r="AQ3" s="231"/>
      <c r="AR3" s="429"/>
      <c r="AS3" s="232"/>
      <c r="AT3" s="233"/>
      <c r="AU3" s="243"/>
      <c r="AV3" s="406" t="s">
        <v>3</v>
      </c>
      <c r="AW3" s="407"/>
      <c r="AX3" s="408"/>
      <c r="AY3" s="244"/>
      <c r="AZ3" s="244"/>
      <c r="BA3" s="244"/>
      <c r="BB3" s="244"/>
      <c r="BC3" s="244"/>
      <c r="BD3" s="244"/>
      <c r="BE3" s="244"/>
      <c r="BF3" s="244"/>
      <c r="BG3" s="244"/>
      <c r="BH3" s="244"/>
      <c r="BI3" s="244"/>
      <c r="BJ3" s="244"/>
      <c r="BK3" s="244"/>
      <c r="BL3" s="244"/>
      <c r="BM3" s="244"/>
      <c r="BN3" s="244"/>
      <c r="BO3" s="244"/>
      <c r="BP3" s="244"/>
      <c r="BQ3" s="244"/>
      <c r="BR3" s="244"/>
      <c r="BS3" s="244"/>
      <c r="BT3" s="244"/>
      <c r="BU3" s="244"/>
      <c r="BV3" s="244"/>
      <c r="BW3" s="244"/>
      <c r="BX3" s="244"/>
      <c r="BY3" s="244"/>
      <c r="BZ3" s="244"/>
      <c r="CA3" s="244"/>
      <c r="CB3" s="244"/>
      <c r="CC3" s="244"/>
      <c r="CD3" s="244"/>
      <c r="CE3" s="244"/>
      <c r="CF3" s="244"/>
      <c r="CG3" s="244"/>
      <c r="CH3" s="244"/>
      <c r="CI3" s="244"/>
      <c r="CJ3" s="244"/>
      <c r="CK3" s="244"/>
      <c r="CL3" s="244"/>
      <c r="CM3" s="244"/>
      <c r="CN3" s="244"/>
      <c r="CO3" s="244"/>
      <c r="CP3" s="244"/>
      <c r="CQ3" s="244"/>
      <c r="CR3" s="244"/>
      <c r="CS3" s="244"/>
      <c r="CT3" s="244"/>
      <c r="CU3" s="244"/>
      <c r="CV3" s="244"/>
      <c r="CW3" s="244"/>
      <c r="CX3" s="244"/>
      <c r="CY3" s="244"/>
      <c r="CZ3" s="244"/>
      <c r="DA3" s="244"/>
      <c r="DB3" s="244"/>
      <c r="DC3" s="244"/>
      <c r="DD3" s="244"/>
      <c r="DE3" s="236"/>
    </row>
    <row r="4" spans="1:111" ht="20.100000000000001" customHeight="1" outlineLevel="1" x14ac:dyDescent="0.25">
      <c r="U4" s="380"/>
      <c r="V4" s="380"/>
      <c r="W4" s="238" t="s">
        <v>690</v>
      </c>
      <c r="X4" s="409" t="str">
        <f>[1]COMMANDE!E4</f>
        <v>24 rue du clos Rozé</v>
      </c>
      <c r="Y4" s="410"/>
      <c r="Z4" s="410"/>
      <c r="AA4" s="410"/>
      <c r="AB4" s="410"/>
      <c r="AC4" s="410"/>
      <c r="AD4" s="410"/>
      <c r="AE4" s="410"/>
      <c r="AF4" s="410"/>
      <c r="AG4" s="410"/>
      <c r="AH4" s="411"/>
      <c r="AI4" s="412" t="s">
        <v>691</v>
      </c>
      <c r="AJ4" s="413"/>
      <c r="AK4" s="414"/>
      <c r="AL4" s="429"/>
      <c r="AM4" s="228"/>
      <c r="AN4" s="229"/>
      <c r="AO4" s="230"/>
      <c r="AP4" s="231"/>
      <c r="AQ4" s="231"/>
      <c r="AR4" s="429"/>
      <c r="AS4" s="232"/>
      <c r="AT4" s="233"/>
      <c r="AU4" s="243"/>
      <c r="AV4" s="406"/>
      <c r="AW4" s="407"/>
      <c r="AX4" s="408"/>
      <c r="AY4" s="220"/>
      <c r="AZ4" s="221"/>
      <c r="BA4" s="222"/>
      <c r="BB4" s="220"/>
      <c r="BC4" s="221"/>
      <c r="BD4" s="222"/>
      <c r="BE4" s="220"/>
      <c r="BF4" s="221"/>
      <c r="BG4" s="222"/>
      <c r="BH4" s="220"/>
      <c r="BI4" s="221"/>
      <c r="BJ4" s="222"/>
      <c r="BK4" s="220"/>
      <c r="BL4" s="221"/>
      <c r="BM4" s="222"/>
      <c r="BN4" s="220"/>
      <c r="BO4" s="221"/>
      <c r="BP4" s="222"/>
      <c r="BQ4" s="220"/>
      <c r="BR4" s="221"/>
      <c r="BS4" s="222"/>
      <c r="BT4" s="220"/>
      <c r="BU4" s="221"/>
      <c r="BV4" s="222"/>
      <c r="BW4" s="220"/>
      <c r="BX4" s="221"/>
      <c r="BY4" s="222"/>
      <c r="BZ4" s="220"/>
      <c r="CA4" s="221"/>
      <c r="CB4" s="222"/>
      <c r="CC4" s="220"/>
      <c r="CD4" s="221"/>
      <c r="CE4" s="222"/>
      <c r="CF4" s="220"/>
      <c r="CG4" s="221"/>
      <c r="CH4" s="222"/>
      <c r="CI4" s="220"/>
      <c r="CJ4" s="221"/>
      <c r="CK4" s="222"/>
      <c r="CL4" s="220"/>
      <c r="CM4" s="221"/>
      <c r="CN4" s="222"/>
      <c r="CO4" s="220"/>
      <c r="CP4" s="221"/>
      <c r="CQ4" s="222"/>
      <c r="CR4" s="220"/>
      <c r="CS4" s="221"/>
      <c r="CT4" s="222"/>
      <c r="CU4" s="220"/>
      <c r="CV4" s="221"/>
      <c r="CW4" s="222"/>
      <c r="CX4" s="220"/>
      <c r="CY4" s="244"/>
      <c r="CZ4" s="244"/>
      <c r="DA4" s="220"/>
      <c r="DB4" s="244"/>
      <c r="DC4" s="244"/>
      <c r="DD4" s="244"/>
      <c r="DE4" s="236"/>
    </row>
    <row r="5" spans="1:111" ht="20.100000000000001" customHeight="1" outlineLevel="1" x14ac:dyDescent="0.25">
      <c r="U5" s="380"/>
      <c r="V5" s="380"/>
      <c r="W5" s="238" t="s">
        <v>692</v>
      </c>
      <c r="X5" s="409" t="str">
        <f>[1]COMMANDE!E5</f>
        <v>45100</v>
      </c>
      <c r="Y5" s="410"/>
      <c r="Z5" s="410"/>
      <c r="AA5" s="410"/>
      <c r="AB5" s="410"/>
      <c r="AC5" s="410"/>
      <c r="AD5" s="410"/>
      <c r="AE5" s="410"/>
      <c r="AF5" s="410"/>
      <c r="AG5" s="410"/>
      <c r="AH5" s="411"/>
      <c r="AI5" s="415"/>
      <c r="AJ5" s="416"/>
      <c r="AK5" s="417"/>
      <c r="AL5" s="429"/>
      <c r="AM5" s="228"/>
      <c r="AN5" s="229"/>
      <c r="AO5" s="230"/>
      <c r="AP5" s="231"/>
      <c r="AQ5" s="231"/>
      <c r="AR5" s="429"/>
      <c r="AS5" s="232"/>
      <c r="AT5" s="233"/>
      <c r="AU5" s="243"/>
      <c r="AV5" s="421">
        <v>1</v>
      </c>
      <c r="AW5" s="402"/>
      <c r="AX5" s="403"/>
      <c r="AY5" s="398">
        <v>2</v>
      </c>
      <c r="AZ5" s="399"/>
      <c r="BA5" s="400"/>
      <c r="BB5" s="398">
        <v>3</v>
      </c>
      <c r="BC5" s="399"/>
      <c r="BD5" s="400"/>
      <c r="BE5" s="398">
        <v>4</v>
      </c>
      <c r="BF5" s="399"/>
      <c r="BG5" s="400"/>
      <c r="BH5" s="398">
        <v>5</v>
      </c>
      <c r="BI5" s="399"/>
      <c r="BJ5" s="400"/>
      <c r="BK5" s="398">
        <v>6</v>
      </c>
      <c r="BL5" s="399"/>
      <c r="BM5" s="400"/>
      <c r="BN5" s="398">
        <v>7</v>
      </c>
      <c r="BO5" s="399"/>
      <c r="BP5" s="400"/>
      <c r="BQ5" s="398">
        <v>8</v>
      </c>
      <c r="BR5" s="399"/>
      <c r="BS5" s="400"/>
      <c r="BT5" s="398">
        <v>9</v>
      </c>
      <c r="BU5" s="399"/>
      <c r="BV5" s="400"/>
      <c r="BW5" s="398">
        <v>10</v>
      </c>
      <c r="BX5" s="399"/>
      <c r="BY5" s="400"/>
      <c r="BZ5" s="398">
        <v>11</v>
      </c>
      <c r="CA5" s="399"/>
      <c r="CB5" s="400"/>
      <c r="CC5" s="398">
        <v>12</v>
      </c>
      <c r="CD5" s="399"/>
      <c r="CE5" s="400"/>
      <c r="CF5" s="398">
        <v>13</v>
      </c>
      <c r="CG5" s="399"/>
      <c r="CH5" s="400"/>
      <c r="CI5" s="398">
        <v>14</v>
      </c>
      <c r="CJ5" s="399"/>
      <c r="CK5" s="400"/>
      <c r="CL5" s="398">
        <v>15</v>
      </c>
      <c r="CM5" s="399"/>
      <c r="CN5" s="400"/>
      <c r="CO5" s="398">
        <v>16</v>
      </c>
      <c r="CP5" s="399"/>
      <c r="CQ5" s="400"/>
      <c r="CR5" s="398">
        <v>17</v>
      </c>
      <c r="CS5" s="399"/>
      <c r="CT5" s="400"/>
      <c r="CU5" s="398">
        <v>18</v>
      </c>
      <c r="CV5" s="399"/>
      <c r="CW5" s="400"/>
      <c r="CX5" s="401">
        <v>19</v>
      </c>
      <c r="CY5" s="402"/>
      <c r="CZ5" s="403"/>
      <c r="DA5" s="401">
        <v>20</v>
      </c>
      <c r="DB5" s="402"/>
      <c r="DC5" s="404"/>
      <c r="DD5" s="223"/>
      <c r="DE5" s="236"/>
    </row>
    <row r="6" spans="1:111" ht="20.100000000000001" customHeight="1" outlineLevel="1" x14ac:dyDescent="0.25">
      <c r="U6" s="380"/>
      <c r="V6" s="380"/>
      <c r="W6" s="238" t="s">
        <v>693</v>
      </c>
      <c r="X6" s="409" t="str">
        <f>[1]COMMANDE!E6</f>
        <v>Orléans</v>
      </c>
      <c r="Y6" s="410"/>
      <c r="Z6" s="410"/>
      <c r="AA6" s="410"/>
      <c r="AB6" s="410"/>
      <c r="AC6" s="410"/>
      <c r="AD6" s="410"/>
      <c r="AE6" s="410"/>
      <c r="AF6" s="410"/>
      <c r="AG6" s="410"/>
      <c r="AH6" s="411"/>
      <c r="AI6" s="418"/>
      <c r="AJ6" s="419"/>
      <c r="AK6" s="420"/>
      <c r="AL6" s="429"/>
      <c r="AM6" s="245"/>
      <c r="AN6" s="246"/>
      <c r="AO6" s="247"/>
      <c r="AP6" s="248"/>
      <c r="AQ6" s="248"/>
      <c r="AR6" s="429"/>
      <c r="AS6" s="232"/>
      <c r="AT6" s="233"/>
      <c r="AU6" s="243"/>
      <c r="AV6" s="422"/>
      <c r="AW6" s="399"/>
      <c r="AX6" s="423"/>
      <c r="AY6" s="398"/>
      <c r="AZ6" s="399"/>
      <c r="BA6" s="400"/>
      <c r="BB6" s="398"/>
      <c r="BC6" s="399"/>
      <c r="BD6" s="400"/>
      <c r="BE6" s="398"/>
      <c r="BF6" s="399"/>
      <c r="BG6" s="400"/>
      <c r="BH6" s="398"/>
      <c r="BI6" s="399"/>
      <c r="BJ6" s="400"/>
      <c r="BK6" s="398"/>
      <c r="BL6" s="399"/>
      <c r="BM6" s="400"/>
      <c r="BN6" s="398"/>
      <c r="BO6" s="399"/>
      <c r="BP6" s="400"/>
      <c r="BQ6" s="398"/>
      <c r="BR6" s="399"/>
      <c r="BS6" s="400"/>
      <c r="BT6" s="398"/>
      <c r="BU6" s="399"/>
      <c r="BV6" s="400"/>
      <c r="BW6" s="398"/>
      <c r="BX6" s="399"/>
      <c r="BY6" s="400"/>
      <c r="BZ6" s="398"/>
      <c r="CA6" s="399"/>
      <c r="CB6" s="400"/>
      <c r="CC6" s="398"/>
      <c r="CD6" s="399"/>
      <c r="CE6" s="400"/>
      <c r="CF6" s="398"/>
      <c r="CG6" s="399"/>
      <c r="CH6" s="400"/>
      <c r="CI6" s="398"/>
      <c r="CJ6" s="399"/>
      <c r="CK6" s="400"/>
      <c r="CL6" s="398"/>
      <c r="CM6" s="399"/>
      <c r="CN6" s="400"/>
      <c r="CO6" s="398"/>
      <c r="CP6" s="399"/>
      <c r="CQ6" s="400"/>
      <c r="CR6" s="398"/>
      <c r="CS6" s="399"/>
      <c r="CT6" s="400"/>
      <c r="CU6" s="398"/>
      <c r="CV6" s="399"/>
      <c r="CW6" s="400"/>
      <c r="CX6" s="398"/>
      <c r="CY6" s="399"/>
      <c r="CZ6" s="400"/>
      <c r="DA6" s="398"/>
      <c r="DB6" s="399"/>
      <c r="DC6" s="405"/>
      <c r="DD6" s="224"/>
      <c r="DE6" s="236"/>
    </row>
    <row r="7" spans="1:111" ht="20.100000000000001" customHeight="1" outlineLevel="1" x14ac:dyDescent="0.25">
      <c r="U7" s="380"/>
      <c r="V7" s="380"/>
      <c r="W7" s="249" t="s">
        <v>694</v>
      </c>
      <c r="X7" s="381" t="str">
        <f>[1]COMMANDE!E7</f>
        <v>0687035649</v>
      </c>
      <c r="Y7" s="382"/>
      <c r="Z7" s="389" t="s">
        <v>695</v>
      </c>
      <c r="AA7" s="390"/>
      <c r="AB7" s="390"/>
      <c r="AC7" s="391"/>
      <c r="AD7" s="381" t="str">
        <f>[1]COMMANDE!E8</f>
        <v>À REMPLIR</v>
      </c>
      <c r="AE7" s="382"/>
      <c r="AF7" s="382"/>
      <c r="AG7" s="382"/>
      <c r="AH7" s="382"/>
      <c r="AI7" s="392" t="s">
        <v>696</v>
      </c>
      <c r="AJ7" s="393"/>
      <c r="AK7" s="250">
        <f>FDP_CMD_KG</f>
        <v>0.87325799607999999</v>
      </c>
      <c r="AL7" s="429"/>
      <c r="AM7" s="394" t="s">
        <v>12</v>
      </c>
      <c r="AN7" s="395"/>
      <c r="AO7" s="251">
        <f>FDP_FACT_KG</f>
        <v>0.86605243978102198</v>
      </c>
      <c r="AP7" s="396" t="s">
        <v>697</v>
      </c>
      <c r="AQ7" s="375" t="s">
        <v>698</v>
      </c>
      <c r="AR7" s="429"/>
      <c r="AS7" s="232"/>
      <c r="AT7" s="233"/>
      <c r="AU7" s="243"/>
      <c r="AV7" s="378" t="s">
        <v>699</v>
      </c>
      <c r="AW7" s="379"/>
      <c r="AX7" s="252">
        <f>IF(SUM(AY9,BB9,BE9,BH9,BK9,BN9,BQ9,BT9,BW9,BZ9,CC9,CI9,CL9)=0,AX9,AX9*0.9)</f>
        <v>237.00372300000006</v>
      </c>
      <c r="AY7" s="253"/>
      <c r="AZ7" s="254"/>
      <c r="BA7" s="254"/>
      <c r="BB7" s="254"/>
      <c r="BC7" s="254"/>
      <c r="BD7" s="254"/>
      <c r="BE7" s="254"/>
      <c r="BF7" s="254"/>
      <c r="BG7" s="254"/>
      <c r="BH7" s="254"/>
      <c r="BI7" s="254"/>
      <c r="BJ7" s="254"/>
      <c r="BK7" s="254"/>
      <c r="BL7" s="254"/>
      <c r="BM7" s="254"/>
      <c r="BN7" s="254"/>
      <c r="BO7" s="254"/>
      <c r="BP7" s="254"/>
      <c r="BQ7" s="254"/>
      <c r="BR7" s="254"/>
      <c r="BS7" s="254"/>
      <c r="BT7" s="254"/>
      <c r="BU7" s="254"/>
      <c r="BV7" s="254"/>
      <c r="BW7" s="254"/>
      <c r="BX7" s="254"/>
      <c r="BY7" s="254"/>
      <c r="BZ7" s="254"/>
      <c r="CA7" s="254"/>
      <c r="CB7" s="254"/>
      <c r="CC7" s="254"/>
      <c r="CD7" s="254"/>
      <c r="CE7" s="254"/>
      <c r="CF7" s="254"/>
      <c r="CG7" s="254"/>
      <c r="CH7" s="254"/>
      <c r="CI7" s="254"/>
      <c r="CJ7" s="254"/>
      <c r="CK7" s="254"/>
      <c r="CL7" s="254"/>
      <c r="CM7" s="254"/>
      <c r="CN7" s="255"/>
      <c r="CO7" s="254"/>
      <c r="CP7" s="254"/>
      <c r="CQ7" s="254"/>
      <c r="CR7" s="254"/>
      <c r="CS7" s="254"/>
      <c r="CT7" s="254"/>
      <c r="CU7" s="254"/>
      <c r="CV7" s="254"/>
      <c r="CW7" s="254"/>
      <c r="CX7" s="254"/>
      <c r="CY7" s="254"/>
      <c r="CZ7" s="254"/>
      <c r="DA7" s="254"/>
      <c r="DB7" s="254"/>
      <c r="DC7" s="255"/>
      <c r="DD7" s="256"/>
      <c r="DE7" s="257"/>
    </row>
    <row r="8" spans="1:111" ht="24.95" customHeight="1" outlineLevel="1" x14ac:dyDescent="0.25">
      <c r="U8" s="380" t="s">
        <v>3</v>
      </c>
      <c r="V8" s="380"/>
      <c r="W8" s="238" t="s">
        <v>689</v>
      </c>
      <c r="X8" s="381" t="str">
        <f>[1]COMMANDE!K4</f>
        <v>Lilian GITTON</v>
      </c>
      <c r="Y8" s="382"/>
      <c r="Z8" s="382"/>
      <c r="AA8" s="382"/>
      <c r="AB8" s="382"/>
      <c r="AC8" s="382"/>
      <c r="AD8" s="382"/>
      <c r="AE8" s="382"/>
      <c r="AF8" s="382"/>
      <c r="AG8" s="382"/>
      <c r="AH8" s="382"/>
      <c r="AI8" s="258" t="s">
        <v>10</v>
      </c>
      <c r="AJ8" s="259" t="s">
        <v>13</v>
      </c>
      <c r="AK8" s="260" t="s">
        <v>4</v>
      </c>
      <c r="AL8" s="429"/>
      <c r="AM8" s="259" t="s">
        <v>10</v>
      </c>
      <c r="AN8" s="259" t="s">
        <v>700</v>
      </c>
      <c r="AO8" s="260" t="s">
        <v>4</v>
      </c>
      <c r="AP8" s="376"/>
      <c r="AQ8" s="376"/>
      <c r="AR8" s="429"/>
      <c r="AS8" s="259" t="s">
        <v>10</v>
      </c>
      <c r="AT8" s="383" t="s">
        <v>4</v>
      </c>
      <c r="AU8" s="384"/>
      <c r="AV8" s="259" t="s">
        <v>701</v>
      </c>
      <c r="AW8" s="261" t="s">
        <v>702</v>
      </c>
      <c r="AX8" s="262" t="s">
        <v>14</v>
      </c>
      <c r="AY8" s="263" t="s">
        <v>701</v>
      </c>
      <c r="AZ8" s="263" t="s">
        <v>702</v>
      </c>
      <c r="BA8" s="263" t="s">
        <v>14</v>
      </c>
      <c r="BB8" s="263" t="s">
        <v>701</v>
      </c>
      <c r="BC8" s="263" t="s">
        <v>702</v>
      </c>
      <c r="BD8" s="263" t="s">
        <v>14</v>
      </c>
      <c r="BE8" s="263" t="s">
        <v>701</v>
      </c>
      <c r="BF8" s="263" t="s">
        <v>702</v>
      </c>
      <c r="BG8" s="263" t="s">
        <v>14</v>
      </c>
      <c r="BH8" s="263" t="s">
        <v>701</v>
      </c>
      <c r="BI8" s="263" t="s">
        <v>702</v>
      </c>
      <c r="BJ8" s="263" t="s">
        <v>14</v>
      </c>
      <c r="BK8" s="263" t="s">
        <v>701</v>
      </c>
      <c r="BL8" s="263" t="s">
        <v>702</v>
      </c>
      <c r="BM8" s="263" t="s">
        <v>14</v>
      </c>
      <c r="BN8" s="263" t="s">
        <v>701</v>
      </c>
      <c r="BO8" s="263" t="s">
        <v>702</v>
      </c>
      <c r="BP8" s="263" t="s">
        <v>14</v>
      </c>
      <c r="BQ8" s="263" t="s">
        <v>701</v>
      </c>
      <c r="BR8" s="263" t="s">
        <v>702</v>
      </c>
      <c r="BS8" s="263" t="s">
        <v>14</v>
      </c>
      <c r="BT8" s="263" t="s">
        <v>701</v>
      </c>
      <c r="BU8" s="263" t="s">
        <v>702</v>
      </c>
      <c r="BV8" s="263" t="s">
        <v>14</v>
      </c>
      <c r="BW8" s="263" t="s">
        <v>701</v>
      </c>
      <c r="BX8" s="263" t="s">
        <v>702</v>
      </c>
      <c r="BY8" s="263" t="s">
        <v>14</v>
      </c>
      <c r="BZ8" s="263" t="s">
        <v>701</v>
      </c>
      <c r="CA8" s="263" t="s">
        <v>702</v>
      </c>
      <c r="CB8" s="263" t="s">
        <v>14</v>
      </c>
      <c r="CC8" s="263" t="s">
        <v>701</v>
      </c>
      <c r="CD8" s="263" t="s">
        <v>702</v>
      </c>
      <c r="CE8" s="263" t="s">
        <v>14</v>
      </c>
      <c r="CF8" s="263" t="s">
        <v>701</v>
      </c>
      <c r="CG8" s="263" t="s">
        <v>702</v>
      </c>
      <c r="CH8" s="263" t="s">
        <v>14</v>
      </c>
      <c r="CI8" s="263" t="s">
        <v>701</v>
      </c>
      <c r="CJ8" s="263" t="s">
        <v>702</v>
      </c>
      <c r="CK8" s="263" t="s">
        <v>14</v>
      </c>
      <c r="CL8" s="263" t="s">
        <v>701</v>
      </c>
      <c r="CM8" s="263" t="s">
        <v>702</v>
      </c>
      <c r="CN8" s="264" t="s">
        <v>14</v>
      </c>
      <c r="CO8" s="263" t="s">
        <v>701</v>
      </c>
      <c r="CP8" s="263" t="s">
        <v>702</v>
      </c>
      <c r="CQ8" s="263" t="s">
        <v>14</v>
      </c>
      <c r="CR8" s="263" t="s">
        <v>701</v>
      </c>
      <c r="CS8" s="263" t="s">
        <v>702</v>
      </c>
      <c r="CT8" s="263" t="s">
        <v>14</v>
      </c>
      <c r="CU8" s="263" t="s">
        <v>701</v>
      </c>
      <c r="CV8" s="263" t="s">
        <v>702</v>
      </c>
      <c r="CW8" s="263" t="s">
        <v>14</v>
      </c>
      <c r="CX8" s="263" t="s">
        <v>701</v>
      </c>
      <c r="CY8" s="263" t="s">
        <v>702</v>
      </c>
      <c r="CZ8" s="263" t="s">
        <v>14</v>
      </c>
      <c r="DA8" s="263" t="s">
        <v>701</v>
      </c>
      <c r="DB8" s="263" t="s">
        <v>702</v>
      </c>
      <c r="DC8" s="264" t="s">
        <v>14</v>
      </c>
      <c r="DD8" s="265"/>
      <c r="DE8" s="266"/>
    </row>
    <row r="9" spans="1:111" ht="20.100000000000001" customHeight="1" outlineLevel="1" x14ac:dyDescent="0.25">
      <c r="U9" s="380"/>
      <c r="V9" s="380"/>
      <c r="W9" s="238" t="s">
        <v>703</v>
      </c>
      <c r="X9" s="381" t="str">
        <f>[1]COMMANDE!K5</f>
        <v>0687035649</v>
      </c>
      <c r="Y9" s="382"/>
      <c r="Z9" s="382"/>
      <c r="AA9" s="382"/>
      <c r="AB9" s="382"/>
      <c r="AC9" s="382"/>
      <c r="AD9" s="382"/>
      <c r="AE9" s="382"/>
      <c r="AF9" s="382"/>
      <c r="AG9" s="382"/>
      <c r="AH9" s="382"/>
      <c r="AI9" s="267">
        <f>SUM(AI12:AI263)</f>
        <v>125</v>
      </c>
      <c r="AJ9" s="250">
        <f>FDP_CMD</f>
        <v>109.15724951</v>
      </c>
      <c r="AK9" s="250">
        <f>SUM(AK12:AK263)</f>
        <v>380.35</v>
      </c>
      <c r="AL9" s="429"/>
      <c r="AM9" s="268">
        <f>SUM(AM12:AM263)</f>
        <v>126.03999999999999</v>
      </c>
      <c r="AN9" s="251">
        <f>IF(FDP_FACT_MAN&gt;0, FDP_FACT_MAN, FDP_FACT_AUT)</f>
        <v>109.15724951</v>
      </c>
      <c r="AO9" s="251">
        <f>SUM(AO12:AO263)</f>
        <v>489.0166999999999</v>
      </c>
      <c r="AP9" s="397"/>
      <c r="AQ9" s="376"/>
      <c r="AR9" s="429"/>
      <c r="AS9" s="269">
        <f>SUM(AS12:AS263)</f>
        <v>126.03999999999999</v>
      </c>
      <c r="AT9" s="385">
        <f>SUM(AU12:AU263)</f>
        <v>489.0166999999999</v>
      </c>
      <c r="AU9" s="385"/>
      <c r="AV9" s="270">
        <f t="shared" ref="AV9:DC9" si="0">SUM(AV$12:AV$263)</f>
        <v>71</v>
      </c>
      <c r="AW9" s="271">
        <f t="shared" si="0"/>
        <v>71.671666666666667</v>
      </c>
      <c r="AX9" s="272">
        <f t="shared" si="0"/>
        <v>263.33747000000005</v>
      </c>
      <c r="AY9" s="273">
        <f t="shared" si="0"/>
        <v>18</v>
      </c>
      <c r="AZ9" s="274">
        <f t="shared" si="0"/>
        <v>17.802</v>
      </c>
      <c r="BA9" s="272">
        <f t="shared" si="0"/>
        <v>71.663480000000007</v>
      </c>
      <c r="BB9" s="273">
        <f t="shared" si="0"/>
        <v>14</v>
      </c>
      <c r="BC9" s="274">
        <f t="shared" si="0"/>
        <v>14.188999999999998</v>
      </c>
      <c r="BD9" s="272">
        <f t="shared" si="0"/>
        <v>58.773070000000004</v>
      </c>
      <c r="BE9" s="273">
        <f t="shared" si="0"/>
        <v>22</v>
      </c>
      <c r="BF9" s="274">
        <f t="shared" si="0"/>
        <v>22.377333333333333</v>
      </c>
      <c r="BG9" s="272">
        <f t="shared" si="0"/>
        <v>95.242680000000007</v>
      </c>
      <c r="BH9" s="273">
        <f t="shared" si="0"/>
        <v>0</v>
      </c>
      <c r="BI9" s="274">
        <f t="shared" si="0"/>
        <v>0</v>
      </c>
      <c r="BJ9" s="272">
        <f t="shared" si="0"/>
        <v>0</v>
      </c>
      <c r="BK9" s="273">
        <f t="shared" si="0"/>
        <v>0</v>
      </c>
      <c r="BL9" s="274">
        <f t="shared" si="0"/>
        <v>0</v>
      </c>
      <c r="BM9" s="272">
        <f t="shared" si="0"/>
        <v>0</v>
      </c>
      <c r="BN9" s="273">
        <f t="shared" si="0"/>
        <v>0</v>
      </c>
      <c r="BO9" s="274">
        <f t="shared" si="0"/>
        <v>0</v>
      </c>
      <c r="BP9" s="272">
        <f t="shared" si="0"/>
        <v>0</v>
      </c>
      <c r="BQ9" s="273">
        <f t="shared" si="0"/>
        <v>0</v>
      </c>
      <c r="BR9" s="274">
        <f t="shared" si="0"/>
        <v>0</v>
      </c>
      <c r="BS9" s="272">
        <f t="shared" si="0"/>
        <v>0</v>
      </c>
      <c r="BT9" s="273">
        <f t="shared" si="0"/>
        <v>0</v>
      </c>
      <c r="BU9" s="274">
        <f t="shared" si="0"/>
        <v>0</v>
      </c>
      <c r="BV9" s="272">
        <f t="shared" si="0"/>
        <v>0</v>
      </c>
      <c r="BW9" s="273">
        <f t="shared" si="0"/>
        <v>0</v>
      </c>
      <c r="BX9" s="274">
        <f t="shared" si="0"/>
        <v>0</v>
      </c>
      <c r="BY9" s="272">
        <f t="shared" si="0"/>
        <v>0</v>
      </c>
      <c r="BZ9" s="273">
        <f t="shared" si="0"/>
        <v>0</v>
      </c>
      <c r="CA9" s="274">
        <f t="shared" si="0"/>
        <v>0</v>
      </c>
      <c r="CB9" s="272">
        <f t="shared" si="0"/>
        <v>0</v>
      </c>
      <c r="CC9" s="273">
        <f t="shared" si="0"/>
        <v>0</v>
      </c>
      <c r="CD9" s="274">
        <f t="shared" si="0"/>
        <v>0</v>
      </c>
      <c r="CE9" s="272">
        <f t="shared" si="0"/>
        <v>0</v>
      </c>
      <c r="CF9" s="273">
        <f t="shared" si="0"/>
        <v>0</v>
      </c>
      <c r="CG9" s="274">
        <f t="shared" si="0"/>
        <v>0</v>
      </c>
      <c r="CH9" s="272">
        <f t="shared" si="0"/>
        <v>0</v>
      </c>
      <c r="CI9" s="273">
        <f t="shared" si="0"/>
        <v>0</v>
      </c>
      <c r="CJ9" s="274">
        <f t="shared" si="0"/>
        <v>0</v>
      </c>
      <c r="CK9" s="272">
        <f t="shared" si="0"/>
        <v>0</v>
      </c>
      <c r="CL9" s="273">
        <f t="shared" si="0"/>
        <v>0</v>
      </c>
      <c r="CM9" s="274">
        <f t="shared" si="0"/>
        <v>0</v>
      </c>
      <c r="CN9" s="272">
        <f t="shared" si="0"/>
        <v>0</v>
      </c>
      <c r="CO9" s="273">
        <f t="shared" si="0"/>
        <v>0</v>
      </c>
      <c r="CP9" s="274">
        <f t="shared" si="0"/>
        <v>0</v>
      </c>
      <c r="CQ9" s="272">
        <f t="shared" si="0"/>
        <v>0</v>
      </c>
      <c r="CR9" s="273">
        <f t="shared" si="0"/>
        <v>0</v>
      </c>
      <c r="CS9" s="274">
        <f t="shared" si="0"/>
        <v>0</v>
      </c>
      <c r="CT9" s="272">
        <f t="shared" si="0"/>
        <v>0</v>
      </c>
      <c r="CU9" s="273">
        <f t="shared" si="0"/>
        <v>0</v>
      </c>
      <c r="CV9" s="274">
        <f t="shared" si="0"/>
        <v>0</v>
      </c>
      <c r="CW9" s="272">
        <f t="shared" si="0"/>
        <v>0</v>
      </c>
      <c r="CX9" s="273">
        <f t="shared" si="0"/>
        <v>0</v>
      </c>
      <c r="CY9" s="274">
        <f t="shared" si="0"/>
        <v>0</v>
      </c>
      <c r="CZ9" s="272">
        <f t="shared" si="0"/>
        <v>0</v>
      </c>
      <c r="DA9" s="273">
        <f t="shared" si="0"/>
        <v>0</v>
      </c>
      <c r="DB9" s="274">
        <f t="shared" si="0"/>
        <v>0</v>
      </c>
      <c r="DC9" s="272">
        <f t="shared" si="0"/>
        <v>0</v>
      </c>
      <c r="DD9" s="275"/>
      <c r="DE9" s="266"/>
    </row>
    <row r="10" spans="1:111" ht="20.100000000000001" customHeight="1" x14ac:dyDescent="0.25">
      <c r="U10" s="380"/>
      <c r="V10" s="380"/>
      <c r="W10" s="249" t="s">
        <v>704</v>
      </c>
      <c r="X10" s="381" t="str">
        <f>[1]COMMANDE!K6</f>
        <v>liliangitton@yahoo.fr</v>
      </c>
      <c r="Y10" s="382"/>
      <c r="Z10" s="382"/>
      <c r="AA10" s="382"/>
      <c r="AB10" s="382"/>
      <c r="AC10" s="382"/>
      <c r="AD10" s="382"/>
      <c r="AE10" s="382"/>
      <c r="AF10" s="382"/>
      <c r="AG10" s="382"/>
      <c r="AH10" s="382"/>
      <c r="AI10" s="386" t="s">
        <v>705</v>
      </c>
      <c r="AJ10" s="387"/>
      <c r="AK10" s="387"/>
      <c r="AL10" s="429"/>
      <c r="AM10" s="388" t="s">
        <v>706</v>
      </c>
      <c r="AN10" s="388"/>
      <c r="AO10" s="388"/>
      <c r="AP10" s="376"/>
      <c r="AQ10" s="376"/>
      <c r="AR10" s="429"/>
      <c r="AS10" s="372" t="s">
        <v>707</v>
      </c>
      <c r="AT10" s="372"/>
      <c r="AU10" s="372"/>
      <c r="AV10" s="373" t="str">
        <f>[1]COMMANDE!K4</f>
        <v>Lilian GITTON</v>
      </c>
      <c r="AW10" s="374"/>
      <c r="AX10" s="374"/>
      <c r="AY10" s="366" t="str">
        <f>[1]COMMANDE!Q5</f>
        <v>Victoria WETLEY</v>
      </c>
      <c r="AZ10" s="366"/>
      <c r="BA10" s="366"/>
      <c r="BB10" s="366" t="str">
        <f>[1]COMMANDE!S5</f>
        <v>Jasmine MACIA</v>
      </c>
      <c r="BC10" s="366"/>
      <c r="BD10" s="366"/>
      <c r="BE10" s="366" t="str">
        <f>[1]COMMANDE!U5</f>
        <v>Valérie DA SILVA</v>
      </c>
      <c r="BF10" s="366"/>
      <c r="BG10" s="366"/>
      <c r="BH10" s="366" t="str">
        <f>[1]COMMANDE!W5</f>
        <v>Prénom NOM</v>
      </c>
      <c r="BI10" s="366"/>
      <c r="BJ10" s="366"/>
      <c r="BK10" s="366" t="str">
        <f>[1]COMMANDE!Y5</f>
        <v>Prénom NOM</v>
      </c>
      <c r="BL10" s="366"/>
      <c r="BM10" s="366"/>
      <c r="BN10" s="366" t="str">
        <f>[1]COMMANDE!AA5</f>
        <v>Prénom NOM</v>
      </c>
      <c r="BO10" s="366"/>
      <c r="BP10" s="366"/>
      <c r="BQ10" s="366" t="str">
        <f>[1]COMMANDE!AC5</f>
        <v>Prénom NOM</v>
      </c>
      <c r="BR10" s="366"/>
      <c r="BS10" s="366"/>
      <c r="BT10" s="366" t="str">
        <f>[1]COMMANDE!AE5</f>
        <v>Prénom NOM</v>
      </c>
      <c r="BU10" s="366"/>
      <c r="BV10" s="366"/>
      <c r="BW10" s="366" t="str">
        <f>[1]COMMANDE!AG5</f>
        <v>Prénom NOM</v>
      </c>
      <c r="BX10" s="366"/>
      <c r="BY10" s="366"/>
      <c r="BZ10" s="366" t="str">
        <f>[1]COMMANDE!AI5</f>
        <v>Prénom NOM</v>
      </c>
      <c r="CA10" s="366"/>
      <c r="CB10" s="366"/>
      <c r="CC10" s="366" t="str">
        <f>[1]COMMANDE!AK5</f>
        <v>Prénom NOM</v>
      </c>
      <c r="CD10" s="366"/>
      <c r="CE10" s="366"/>
      <c r="CF10" s="366" t="str">
        <f>[1]COMMANDE!AM5</f>
        <v>Prénom NOM</v>
      </c>
      <c r="CG10" s="366"/>
      <c r="CH10" s="366"/>
      <c r="CI10" s="366" t="str">
        <f>[1]COMMANDE!AO5</f>
        <v>Prénom NOM</v>
      </c>
      <c r="CJ10" s="366"/>
      <c r="CK10" s="366"/>
      <c r="CL10" s="366" t="str">
        <f>[1]COMMANDE!AQ5</f>
        <v>Prénom NOM</v>
      </c>
      <c r="CM10" s="366"/>
      <c r="CN10" s="366"/>
      <c r="CO10" s="366" t="str">
        <f>[1]COMMANDE!AS5</f>
        <v>Prénom NOM</v>
      </c>
      <c r="CP10" s="366"/>
      <c r="CQ10" s="366"/>
      <c r="CR10" s="366" t="str">
        <f>[1]COMMANDE!AU5</f>
        <v>Prénom NOM</v>
      </c>
      <c r="CS10" s="366"/>
      <c r="CT10" s="366"/>
      <c r="CU10" s="366" t="str">
        <f>[1]COMMANDE!AW5</f>
        <v>Prénom NOM</v>
      </c>
      <c r="CV10" s="366"/>
      <c r="CW10" s="366"/>
      <c r="CX10" s="366" t="str">
        <f>[1]COMMANDE!AY5</f>
        <v>Prénom NOM</v>
      </c>
      <c r="CY10" s="366"/>
      <c r="CZ10" s="366"/>
      <c r="DA10" s="366" t="str">
        <f>[1]COMMANDE!BA5</f>
        <v>Prénom NOM</v>
      </c>
      <c r="DB10" s="366"/>
      <c r="DC10" s="367"/>
      <c r="DD10" s="276"/>
      <c r="DE10" s="368" t="s">
        <v>708</v>
      </c>
      <c r="DF10" s="369"/>
      <c r="DG10" s="370"/>
    </row>
    <row r="11" spans="1:111" s="283" customFormat="1" ht="46.5" customHeight="1" x14ac:dyDescent="0.25">
      <c r="A11" s="277">
        <v>1</v>
      </c>
      <c r="B11" s="277">
        <v>2</v>
      </c>
      <c r="C11" s="277">
        <v>3</v>
      </c>
      <c r="D11" s="277">
        <v>4</v>
      </c>
      <c r="E11" s="277">
        <v>5</v>
      </c>
      <c r="F11" s="277">
        <v>6</v>
      </c>
      <c r="G11" s="277">
        <v>7</v>
      </c>
      <c r="H11" s="277">
        <v>8</v>
      </c>
      <c r="I11" s="277">
        <v>9</v>
      </c>
      <c r="J11" s="277">
        <v>10</v>
      </c>
      <c r="K11" s="277">
        <v>11</v>
      </c>
      <c r="L11" s="277">
        <v>12</v>
      </c>
      <c r="M11" s="277">
        <v>13</v>
      </c>
      <c r="N11" s="277">
        <v>14</v>
      </c>
      <c r="O11" s="277">
        <v>15</v>
      </c>
      <c r="P11" s="277">
        <v>16</v>
      </c>
      <c r="Q11" s="277">
        <v>17</v>
      </c>
      <c r="R11" s="277">
        <v>18</v>
      </c>
      <c r="S11" s="277">
        <v>19</v>
      </c>
      <c r="T11" s="277">
        <v>20</v>
      </c>
      <c r="U11" s="259" t="s">
        <v>15</v>
      </c>
      <c r="V11" s="259" t="s">
        <v>5</v>
      </c>
      <c r="W11" s="259" t="s">
        <v>709</v>
      </c>
      <c r="X11" s="278" t="s">
        <v>6</v>
      </c>
      <c r="Y11" s="279" t="s">
        <v>710</v>
      </c>
      <c r="Z11" s="260" t="s">
        <v>711</v>
      </c>
      <c r="AA11" s="278" t="s">
        <v>44</v>
      </c>
      <c r="AB11" s="280" t="s">
        <v>712</v>
      </c>
      <c r="AC11" s="280" t="s">
        <v>713</v>
      </c>
      <c r="AD11" s="280" t="s">
        <v>714</v>
      </c>
      <c r="AE11" s="280" t="s">
        <v>715</v>
      </c>
      <c r="AF11" s="280" t="s">
        <v>716</v>
      </c>
      <c r="AG11" s="280" t="s">
        <v>717</v>
      </c>
      <c r="AH11" s="260" t="s">
        <v>8</v>
      </c>
      <c r="AI11" s="259" t="s">
        <v>10</v>
      </c>
      <c r="AJ11" s="259" t="s">
        <v>16</v>
      </c>
      <c r="AK11" s="259" t="s">
        <v>11</v>
      </c>
      <c r="AL11" s="429"/>
      <c r="AM11" s="259" t="s">
        <v>10</v>
      </c>
      <c r="AN11" s="259" t="s">
        <v>16</v>
      </c>
      <c r="AO11" s="259" t="s">
        <v>11</v>
      </c>
      <c r="AP11" s="377"/>
      <c r="AQ11" s="377"/>
      <c r="AR11" s="429"/>
      <c r="AS11" s="259" t="s">
        <v>10</v>
      </c>
      <c r="AT11" s="259" t="s">
        <v>16</v>
      </c>
      <c r="AU11" s="259" t="s">
        <v>11</v>
      </c>
      <c r="AV11" s="371" t="str">
        <f>[1]COMMANDE!K6</f>
        <v>liliangitton@yahoo.fr</v>
      </c>
      <c r="AW11" s="364"/>
      <c r="AX11" s="364"/>
      <c r="AY11" s="364" t="str">
        <f>[1]COMMANDE!Q6</f>
        <v>victoria.wetley@gmail.com</v>
      </c>
      <c r="AZ11" s="364"/>
      <c r="BA11" s="364"/>
      <c r="BB11" s="364" t="str">
        <f>[1]COMMANDE!S6</f>
        <v>jasmine.macia@hotmail.com</v>
      </c>
      <c r="BC11" s="364"/>
      <c r="BD11" s="364"/>
      <c r="BE11" s="364" t="str">
        <f>[1]COMMANDE!U6</f>
        <v>valerie.dslva@lilo.org</v>
      </c>
      <c r="BF11" s="364"/>
      <c r="BG11" s="364"/>
      <c r="BH11" s="364" t="str">
        <f>[1]COMMANDE!W6</f>
        <v>Email</v>
      </c>
      <c r="BI11" s="364"/>
      <c r="BJ11" s="364"/>
      <c r="BK11" s="364" t="str">
        <f>[1]COMMANDE!Y6</f>
        <v>Email</v>
      </c>
      <c r="BL11" s="364"/>
      <c r="BM11" s="364"/>
      <c r="BN11" s="364" t="str">
        <f>[1]COMMANDE!AA6</f>
        <v>Email</v>
      </c>
      <c r="BO11" s="364"/>
      <c r="BP11" s="364"/>
      <c r="BQ11" s="364" t="str">
        <f>[1]COMMANDE!AC6</f>
        <v>Email</v>
      </c>
      <c r="BR11" s="364"/>
      <c r="BS11" s="364"/>
      <c r="BT11" s="364" t="str">
        <f>[1]COMMANDE!AE6</f>
        <v>Email</v>
      </c>
      <c r="BU11" s="364"/>
      <c r="BV11" s="364"/>
      <c r="BW11" s="364" t="str">
        <f>[1]COMMANDE!AG6</f>
        <v>Email</v>
      </c>
      <c r="BX11" s="364"/>
      <c r="BY11" s="364"/>
      <c r="BZ11" s="364" t="str">
        <f>[1]COMMANDE!AI6</f>
        <v>Email</v>
      </c>
      <c r="CA11" s="364"/>
      <c r="CB11" s="364"/>
      <c r="CC11" s="364" t="str">
        <f>[1]COMMANDE!AK6</f>
        <v>Email</v>
      </c>
      <c r="CD11" s="364"/>
      <c r="CE11" s="364"/>
      <c r="CF11" s="364" t="str">
        <f>[1]COMMANDE!AM6</f>
        <v>Email</v>
      </c>
      <c r="CG11" s="364"/>
      <c r="CH11" s="364"/>
      <c r="CI11" s="364" t="str">
        <f>[1]COMMANDE!AO6</f>
        <v>Email</v>
      </c>
      <c r="CJ11" s="364"/>
      <c r="CK11" s="364"/>
      <c r="CL11" s="364" t="str">
        <f>[1]COMMANDE!AQ6</f>
        <v>Email</v>
      </c>
      <c r="CM11" s="364"/>
      <c r="CN11" s="364"/>
      <c r="CO11" s="364" t="str">
        <f>[1]COMMANDE!AS6</f>
        <v>Email</v>
      </c>
      <c r="CP11" s="364"/>
      <c r="CQ11" s="364"/>
      <c r="CR11" s="364" t="str">
        <f>[1]COMMANDE!AU6</f>
        <v>Email</v>
      </c>
      <c r="CS11" s="364"/>
      <c r="CT11" s="364"/>
      <c r="CU11" s="364" t="str">
        <f>[1]COMMANDE!AW6</f>
        <v>Email</v>
      </c>
      <c r="CV11" s="364"/>
      <c r="CW11" s="364"/>
      <c r="CX11" s="364" t="str">
        <f>[1]COMMANDE!AY6</f>
        <v>Email</v>
      </c>
      <c r="CY11" s="364"/>
      <c r="CZ11" s="364"/>
      <c r="DA11" s="364" t="str">
        <f>[1]COMMANDE!BA6</f>
        <v>Email</v>
      </c>
      <c r="DB11" s="364"/>
      <c r="DC11" s="365"/>
      <c r="DD11" s="281"/>
      <c r="DE11" s="282"/>
    </row>
    <row r="12" spans="1:111" ht="39.950000000000003" customHeight="1" x14ac:dyDescent="0.25">
      <c r="A12" s="284">
        <f>IF(OR($AV12&gt;0, $AX12&gt;0), 1, 0)</f>
        <v>0</v>
      </c>
      <c r="B12" s="284">
        <f>IF(OR($AY12&gt;0, $BA12&gt;0), 1, 0)</f>
        <v>0</v>
      </c>
      <c r="C12" s="284">
        <f>IF(OR($BB12&gt;0, $BD12&gt;0), 1, 0)</f>
        <v>0</v>
      </c>
      <c r="D12" s="284">
        <f>IF(OR($BE12&gt;0, $BG12&gt;0), 1, 0)</f>
        <v>0</v>
      </c>
      <c r="E12" s="284">
        <f>IF(OR($BH12&gt;0, $BJ12&gt;0), 1, 0)</f>
        <v>0</v>
      </c>
      <c r="F12" s="284">
        <f>IF(OR($BK12&gt;0, $BM12&gt;0), 1, 0)</f>
        <v>0</v>
      </c>
      <c r="G12" s="284">
        <f>IF(OR($BN12&gt;0, $BP12&gt;0), 1, 0)</f>
        <v>0</v>
      </c>
      <c r="H12" s="284">
        <f>IF(OR($BQ12&gt;0, $BS12&gt;0), 1, 0)</f>
        <v>0</v>
      </c>
      <c r="I12" s="284">
        <f>IF(OR($BT12&gt;0, $BV12&gt;0), 1, 0)</f>
        <v>0</v>
      </c>
      <c r="J12" s="284">
        <f>IF(OR($BW12&gt;0, $BY12&gt;0), 1, 0)</f>
        <v>0</v>
      </c>
      <c r="K12" s="284">
        <f>IF(OR($BZ12&gt;0, $CB12&gt;0), 1, 0)</f>
        <v>0</v>
      </c>
      <c r="L12" s="284">
        <f>IF(OR($CC12&gt;0, $CE12&gt;0), 1, 0)</f>
        <v>0</v>
      </c>
      <c r="M12" s="284">
        <f>IF(OR($CF12&gt;0, $CH12&gt;0), 1, 0)</f>
        <v>0</v>
      </c>
      <c r="N12" s="284">
        <f>IF(OR($CI12&gt;0, $CK12&gt;0), 1, 0)</f>
        <v>0</v>
      </c>
      <c r="O12" s="284">
        <f>IF(OR($CL12&gt;0, $CN12&gt;0), 1, 0)</f>
        <v>0</v>
      </c>
      <c r="P12" s="284">
        <f>IF(OR($CO12&gt;0, $CQ12&gt;0), 1, 0)</f>
        <v>0</v>
      </c>
      <c r="Q12" s="284">
        <f>IF(OR($CR12&gt;0, $CT12&gt;0), 1, 0)</f>
        <v>0</v>
      </c>
      <c r="R12" s="284">
        <f>IF(OR($CU12&gt;0, $CW12&gt;0), 1, 0)</f>
        <v>0</v>
      </c>
      <c r="S12" s="284">
        <f>IF(OR($CX12&gt;0, $CZ12&gt;0), 1, 0)</f>
        <v>0</v>
      </c>
      <c r="T12" s="284">
        <f>IF(OR($DA12&gt;0, $DC12&gt;0), 1, 0)</f>
        <v>0</v>
      </c>
      <c r="U12" s="285">
        <f>IF(OR($AI12&gt;0,$AM12&gt;0,$AS12&gt;0), 1, 0)</f>
        <v>0</v>
      </c>
      <c r="V12" s="286">
        <f>[1]BDD!A2</f>
        <v>6096</v>
      </c>
      <c r="W12" s="287" t="str">
        <f>[1]BDD!B2</f>
        <v>Açaï en poudre iofilisée BIO (env. 250g)</v>
      </c>
      <c r="X12" s="288" t="str">
        <f>IF([1]BDD!F2=0, "", [1]BDD!F2)</f>
        <v>❤️</v>
      </c>
      <c r="Y12" s="214">
        <f>ROUND([1]BDD!G2+FDP_CMD_KG, 2)</f>
        <v>30.98</v>
      </c>
      <c r="Z12" s="214">
        <f>ROUND([1]BDD!G2+FDP_FACT_KG, 2)</f>
        <v>30.98</v>
      </c>
      <c r="AA12" s="215" t="str">
        <f>[1]BDD!H2</f>
        <v>Pièce</v>
      </c>
      <c r="AB12" s="225" t="str">
        <f>IF(NOT(ISBLANK([1]BDD!I2)), ROUND(SUM(([1]BDD!G2*reduc1),FDP_CMD_KG), 2), "")</f>
        <v/>
      </c>
      <c r="AC12" s="225" t="str">
        <f>IF(NOT(ISBLANK([1]BDD!J2)), ROUND(SUM(([1]BDD!G2*reduc2),FDP_CMD_KG), 2), "")</f>
        <v/>
      </c>
      <c r="AD12" s="225" t="str">
        <f>IF(NOT(ISBLANK([1]BDD!K2)), ROUND(SUM(([1]BDD!G2*reduc3),FDP_CMD_KG), 2), "")</f>
        <v/>
      </c>
      <c r="AE12" s="225" t="str">
        <f>IF(NOT(ISBLANK([1]BDD!I2)), ROUND(SUM(([1]BDD!G2*reduc1),FDP_FACT_KG), 2), "")</f>
        <v/>
      </c>
      <c r="AF12" s="225" t="str">
        <f>IF(NOT(ISBLANK([1]BDD!J2)), ROUND(SUM(([1]BDD!G2*reduc2),FDP_FACT_KG), 2), "")</f>
        <v/>
      </c>
      <c r="AG12" s="225" t="str">
        <f>IF(NOT(ISBLANK([1]BDD!K2)), ROUND(SUM(([1]BDD!G2*reduc3),FDP_FACT_KG), 2), "")</f>
        <v/>
      </c>
      <c r="AH12" s="289" t="str">
        <f>[1]BDD!C2</f>
        <v>Brésil</v>
      </c>
      <c r="AI12" s="290">
        <f>SUM(AV12,AY12,BB12,BE12,BH12,BK12,BN12,BQ12,BT12,BW12,BZ12,CC12,CF12,CI12,CL12,CO12,CR12,CU12,CX12,DA12)</f>
        <v>0</v>
      </c>
      <c r="AJ12" s="216">
        <f>_xlfn.IFS($AD12&lt;&gt;"", $AD12,    $AC12&lt;&gt;"", $AC12,    $AB12&lt;&gt;"", $AB12,    TRUE, $Y12)</f>
        <v>30.98</v>
      </c>
      <c r="AK12" s="291">
        <f>$AI12*$AJ12</f>
        <v>0</v>
      </c>
      <c r="AL12" s="429"/>
      <c r="AM12" s="292"/>
      <c r="AN12" s="216">
        <f>_xlfn.IFS(AND(AM12&gt;=60,$AG12&lt;&gt;""), $AG12,    AND(AM12&gt;=30,$AF12&lt;&gt;""), $AF12,    AND(AM12&gt;=10,$AE12&lt;&gt;""), $AE12,    TRUE, $Z12)</f>
        <v>30.98</v>
      </c>
      <c r="AO12" s="293">
        <f>AM12*AN12</f>
        <v>0</v>
      </c>
      <c r="AP12" s="294"/>
      <c r="AQ12" s="294"/>
      <c r="AR12" s="429"/>
      <c r="AS12" s="295">
        <f>SUM(AW12,AZ12,BC12,BF12,BI12,BL12,BO12,BR12,BU12,BX12,CA12,CD12,CG12,CJ12,CM12,CP12,CS12,CV12,CY12,DB12)</f>
        <v>0</v>
      </c>
      <c r="AT12" s="216">
        <f>_xlfn.IFS(AND(AS12&gt;=60,$AG12&lt;&gt;""), $AG12,    AND(AS12&gt;=30,$AF12&lt;&gt;""), $AF12,    AND(AS12&gt;=10,$AE12&lt;&gt;""), $AE12,    TRUE, $Z12)</f>
        <v>30.98</v>
      </c>
      <c r="AU12" s="291">
        <f t="shared" ref="AU12:AU75" si="1">$AS12*$AT12</f>
        <v>0</v>
      </c>
      <c r="AV12" s="296">
        <f>[1]COMMANDE!O10</f>
        <v>0</v>
      </c>
      <c r="AW12" s="297" t="str">
        <f>_xlfn.IFS(AND($AI12=$AM12,$AI12&gt;0,$AM12&gt;0,AV12&gt;0), AV12,     AND(NOT($AI12=$AM12),$AI12&gt;0,$AM12&gt;0,AV12&gt;0), ($AM12*AV12)/$AI12,     AND($AI12=0,$AM12&gt;0,$AQ12&gt;0), IF(INDEX(AV$12:AV$263,MATCH($AQ12,$AP$12:$AP$263,0))&gt;0,($AM12*INDEX(AV$12:AV$263,MATCH($AQ12,$AP$12:$AP$263,0)))/INDEX($AI$12:$AI$263,MATCH($AQ12,$AP$12:$AP$263,0)), "-"),     TRUE, "0")</f>
        <v>0</v>
      </c>
      <c r="AX12" s="298">
        <f>IF(AW$9&gt;0, IF(OR(AW12="",AW12="-"), 0, AW12*$AT12), AV12*$AJ12)</f>
        <v>0</v>
      </c>
      <c r="AY12" s="299">
        <f>[1]COMMANDE!Q10</f>
        <v>0</v>
      </c>
      <c r="AZ12" s="297" t="str">
        <f>_xlfn.IFS(AND($AI12=$AM12,$AI12&gt;0,$AM12&gt;0,AY12&gt;0), AY12,     AND(NOT($AI12=$AM12),$AI12&gt;0,$AM12&gt;0,AY12&gt;0), ($AM12*AY12)/$AI12,     AND($AI12=0,$AM12&gt;0,$AQ12&gt;0), IF(INDEX(AY$12:AY$263,MATCH($AQ12,$AP$12:$AP$263,0))&gt;0,($AM12*INDEX(AY$12:AY$263,MATCH($AQ12,$AP$12:$AP$263,0)))/INDEX($AI$12:$AI$263,MATCH($AQ12,$AP$12:$AP$263,0)), "-"),     TRUE, "0")</f>
        <v>0</v>
      </c>
      <c r="BA12" s="300">
        <f>IF(AZ$9&gt;0, IF(OR(AZ12="",AZ12="-"), 0, AZ12*$AT12), AY12*$AJ12)</f>
        <v>0</v>
      </c>
      <c r="BB12" s="301">
        <f>[1]COMMANDE!S10</f>
        <v>0</v>
      </c>
      <c r="BC12" s="297" t="str">
        <f>_xlfn.IFS(AND($AI12=$AM12,$AI12&gt;0,$AM12&gt;0,BB12&gt;0), BB12,     AND(NOT($AI12=$AM12),$AI12&gt;0,$AM12&gt;0,BB12&gt;0), ($AM12*BB12)/$AI12,     AND($AI12=0,$AM12&gt;0,$AQ12&gt;0), IF(INDEX(BB$12:BB$263,MATCH($AQ12,$AP$12:$AP$263,0))&gt;0,($AM12*INDEX(BB$12:BB$263,MATCH($AQ12,$AP$12:$AP$263,0)))/INDEX($AI$12:$AI$263,MATCH($AQ12,$AP$12:$AP$263,0)), "-"),     TRUE, "0")</f>
        <v>0</v>
      </c>
      <c r="BD12" s="298">
        <f>IF(BC$9&gt;0, IF(OR(BC12="",BC12="-"), 0, BC12*$AT12), BB12*$AJ12)</f>
        <v>0</v>
      </c>
      <c r="BE12" s="299">
        <f>[1]COMMANDE!U10</f>
        <v>0</v>
      </c>
      <c r="BF12" s="297" t="str">
        <f>_xlfn.IFS(AND($AI12=$AM12,$AI12&gt;0,$AM12&gt;0,BE12&gt;0), BE12,     AND(NOT($AI12=$AM12),$AI12&gt;0,$AM12&gt;0,BE12&gt;0), ($AM12*BE12)/$AI12,     AND($AI12=0,$AM12&gt;0,$AQ12&gt;0), IF(INDEX(BE$12:BE$263,MATCH($AQ12,$AP$12:$AP$263,0))&gt;0,($AM12*INDEX(BE$12:BE$263,MATCH($AQ12,$AP$12:$AP$263,0)))/INDEX($AI$12:$AI$263,MATCH($AQ12,$AP$12:$AP$263,0)), "-"),     TRUE, "0")</f>
        <v>0</v>
      </c>
      <c r="BG12" s="300">
        <f>IF(BF$9&gt;0, IF(OR(BF12="",BF12="-"), 0, BF12*$AT12), BE12*$AJ12)</f>
        <v>0</v>
      </c>
      <c r="BH12" s="301">
        <f>[1]COMMANDE!W10</f>
        <v>0</v>
      </c>
      <c r="BI12" s="297" t="str">
        <f>_xlfn.IFS(AND($AI12=$AM12,$AI12&gt;0,$AM12&gt;0,BH12&gt;0), BH12,     AND(NOT($AI12=$AM12),$AI12&gt;0,$AM12&gt;0,BH12&gt;0), ($AM12*BH12)/$AI12,     AND($AI12=0,$AM12&gt;0,$AQ12&gt;0), IF(INDEX(BH$12:BH$263,MATCH($AQ12,$AP$12:$AP$263,0))&gt;0,($AM12*INDEX(BH$12:BH$263,MATCH($AQ12,$AP$12:$AP$263,0)))/INDEX($AI$12:$AI$263,MATCH($AQ12,$AP$12:$AP$263,0)), "-"),     TRUE, "0")</f>
        <v>0</v>
      </c>
      <c r="BJ12" s="298">
        <f>IF(BI$9&gt;0, IF(OR(BI12="",BI12="-"), 0, BI12*$AT12), BH12*$AJ12)</f>
        <v>0</v>
      </c>
      <c r="BK12" s="299">
        <f>[1]COMMANDE!Y10</f>
        <v>0</v>
      </c>
      <c r="BL12" s="297" t="str">
        <f>_xlfn.IFS(AND($AI12=$AM12,$AI12&gt;0,$AM12&gt;0,BK12&gt;0), BK12,     AND(NOT($AI12=$AM12),$AI12&gt;0,$AM12&gt;0,BK12&gt;0), ($AM12*BK12)/$AI12,     AND($AI12=0,$AM12&gt;0,$AQ12&gt;0), IF(INDEX(BK$12:BK$263,MATCH($AQ12,$AP$12:$AP$263,0))&gt;0,($AM12*INDEX(BK$12:BK$263,MATCH($AQ12,$AP$12:$AP$263,0)))/INDEX($AI$12:$AI$263,MATCH($AQ12,$AP$12:$AP$263,0)), "-"),     TRUE, "0")</f>
        <v>0</v>
      </c>
      <c r="BM12" s="300">
        <f>IF(BL$9&gt;0, IF(OR(BL12="",BL12="-"), 0, BL12*$AT12), BK12*$AJ12)</f>
        <v>0</v>
      </c>
      <c r="BN12" s="301">
        <f>[1]COMMANDE!AA10</f>
        <v>0</v>
      </c>
      <c r="BO12" s="297" t="str">
        <f>_xlfn.IFS(AND($AI12=$AM12,$AI12&gt;0,$AM12&gt;0,BN12&gt;0), BN12,     AND(NOT($AI12=$AM12),$AI12&gt;0,$AM12&gt;0,BN12&gt;0), ($AM12*BN12)/$AI12,     AND($AI12=0,$AM12&gt;0,$AQ12&gt;0), IF(INDEX(BN$12:BN$263,MATCH($AQ12,$AP$12:$AP$263,0))&gt;0,($AM12*INDEX(BN$12:BN$263,MATCH($AQ12,$AP$12:$AP$263,0)))/INDEX($AI$12:$AI$263,MATCH($AQ12,$AP$12:$AP$263,0)), "-"),     TRUE, "0")</f>
        <v>0</v>
      </c>
      <c r="BP12" s="298">
        <f>IF(BO$9&gt;0, IF(OR(BO12="",BO12="-"), 0, BO12*$AT12), BN12*$AJ12)</f>
        <v>0</v>
      </c>
      <c r="BQ12" s="299">
        <f>[1]COMMANDE!AC10</f>
        <v>0</v>
      </c>
      <c r="BR12" s="297" t="str">
        <f>_xlfn.IFS(AND($AI12=$AM12,$AI12&gt;0,$AM12&gt;0,BQ12&gt;0), BQ12,     AND(NOT($AI12=$AM12),$AI12&gt;0,$AM12&gt;0,BQ12&gt;0), ($AM12*BQ12)/$AI12,     AND($AI12=0,$AM12&gt;0,$AQ12&gt;0), IF(INDEX(BQ$12:BQ$263,MATCH($AQ12,$AP$12:$AP$263,0))&gt;0,($AM12*INDEX(BQ$12:BQ$263,MATCH($AQ12,$AP$12:$AP$263,0)))/INDEX($AI$12:$AI$263,MATCH($AQ12,$AP$12:$AP$263,0)), "-"),     TRUE, "0")</f>
        <v>0</v>
      </c>
      <c r="BS12" s="300">
        <f>IF(BR$9&gt;0, IF(OR(BR12="",BR12="-"), 0, BR12*$AT12), BQ12*$AJ12)</f>
        <v>0</v>
      </c>
      <c r="BT12" s="301">
        <f>[1]COMMANDE!AE10</f>
        <v>0</v>
      </c>
      <c r="BU12" s="297" t="str">
        <f>_xlfn.IFS(AND($AI12=$AM12,$AI12&gt;0,$AM12&gt;0,BT12&gt;0), BT12,     AND(NOT($AI12=$AM12),$AI12&gt;0,$AM12&gt;0,BT12&gt;0), ($AM12*BT12)/$AI12,     AND($AI12=0,$AM12&gt;0,$AQ12&gt;0), IF(INDEX(BT$12:BT$263,MATCH($AQ12,$AP$12:$AP$263,0))&gt;0,($AM12*INDEX(BT$12:BT$263,MATCH($AQ12,$AP$12:$AP$263,0)))/INDEX($AI$12:$AI$263,MATCH($AQ12,$AP$12:$AP$263,0)), "-"),     TRUE, "0")</f>
        <v>0</v>
      </c>
      <c r="BV12" s="298">
        <f>IF(BU$9&gt;0, IF(OR(BU12="",BU12="-"), 0, BU12*$AT12), BT12*$AJ12)</f>
        <v>0</v>
      </c>
      <c r="BW12" s="299">
        <f>[1]COMMANDE!AG10</f>
        <v>0</v>
      </c>
      <c r="BX12" s="297" t="str">
        <f>_xlfn.IFS(AND($AI12=$AM12,$AI12&gt;0,$AM12&gt;0,BW12&gt;0), BW12,     AND(NOT($AI12=$AM12),$AI12&gt;0,$AM12&gt;0,BW12&gt;0), ($AM12*BW12)/$AI12,     AND($AI12=0,$AM12&gt;0,$AQ12&gt;0), IF(INDEX(BW$12:BW$263,MATCH($AQ12,$AP$12:$AP$263,0))&gt;0,($AM12*INDEX(BW$12:BW$263,MATCH($AQ12,$AP$12:$AP$263,0)))/INDEX($AI$12:$AI$263,MATCH($AQ12,$AP$12:$AP$263,0)), "-"),     TRUE, "0")</f>
        <v>0</v>
      </c>
      <c r="BY12" s="300">
        <f>IF(BX$9&gt;0, IF(OR(BX12="",BX12="-"), 0, BX12*$AT12), BW12*$AJ12)</f>
        <v>0</v>
      </c>
      <c r="BZ12" s="301">
        <f>[1]COMMANDE!AI10</f>
        <v>0</v>
      </c>
      <c r="CA12" s="297" t="str">
        <f>_xlfn.IFS(AND($AI12=$AM12,$AI12&gt;0,$AM12&gt;0,BZ12&gt;0), BZ12,     AND(NOT($AI12=$AM12),$AI12&gt;0,$AM12&gt;0,BZ12&gt;0), ($AM12*BZ12)/$AI12,     AND($AI12=0,$AM12&gt;0,$AQ12&gt;0), IF(INDEX(BZ$12:BZ$263,MATCH($AQ12,$AP$12:$AP$263,0))&gt;0,($AM12*INDEX(BZ$12:BZ$263,MATCH($AQ12,$AP$12:$AP$263,0)))/INDEX($AI$12:$AI$263,MATCH($AQ12,$AP$12:$AP$263,0)), "-"),     TRUE, "0")</f>
        <v>0</v>
      </c>
      <c r="CB12" s="298">
        <f>IF(CA$9&gt;0, IF(OR(CA12="",CA12="-"), 0, CA12*$AT12), BZ12*$AJ12)</f>
        <v>0</v>
      </c>
      <c r="CC12" s="299">
        <f>[1]COMMANDE!AK10</f>
        <v>0</v>
      </c>
      <c r="CD12" s="297" t="str">
        <f>_xlfn.IFS(AND($AI12=$AM12,$AI12&gt;0,$AM12&gt;0,CC12&gt;0), CC12,     AND(NOT($AI12=$AM12),$AI12&gt;0,$AM12&gt;0,CC12&gt;0), ($AM12*CC12)/$AI12,     AND($AI12=0,$AM12&gt;0,$AQ12&gt;0), IF(INDEX(CC$12:CC$263,MATCH($AQ12,$AP$12:$AP$263,0))&gt;0,($AM12*INDEX(CC$12:CC$263,MATCH($AQ12,$AP$12:$AP$263,0)))/INDEX($AI$12:$AI$263,MATCH($AQ12,$AP$12:$AP$263,0)), "-"),     TRUE, "0")</f>
        <v>0</v>
      </c>
      <c r="CE12" s="300">
        <f>IF(CD$9&gt;0, IF(OR(CD12="",CD12="-"), 0, CD12*$AT12), CC12*$AJ12)</f>
        <v>0</v>
      </c>
      <c r="CF12" s="301">
        <f>[1]COMMANDE!AM10</f>
        <v>0</v>
      </c>
      <c r="CG12" s="297" t="str">
        <f>_xlfn.IFS(AND($AI12=$AM12,$AI12&gt;0,$AM12&gt;0,CF12&gt;0), CF12,     AND(NOT($AI12=$AM12),$AI12&gt;0,$AM12&gt;0,CF12&gt;0), ($AM12*CF12)/$AI12,     AND($AI12=0,$AM12&gt;0,$AQ12&gt;0), IF(INDEX(CF$12:CF$263,MATCH($AQ12,$AP$12:$AP$263,0))&gt;0,($AM12*INDEX(CF$12:CF$263,MATCH($AQ12,$AP$12:$AP$263,0)))/INDEX($AI$12:$AI$263,MATCH($AQ12,$AP$12:$AP$263,0)), "-"),     TRUE, "0")</f>
        <v>0</v>
      </c>
      <c r="CH12" s="298">
        <f>IF(CG$9&gt;0, IF(OR(CG12="",CG12="-"), 0, CG12*$AT12), CF12*$AJ12)</f>
        <v>0</v>
      </c>
      <c r="CI12" s="299">
        <f>[1]COMMANDE!AO10</f>
        <v>0</v>
      </c>
      <c r="CJ12" s="297" t="str">
        <f>_xlfn.IFS(AND($AI12=$AM12,$AI12&gt;0,$AM12&gt;0,CI12&gt;0), CI12,     AND(NOT($AI12=$AM12),$AI12&gt;0,$AM12&gt;0,CI12&gt;0), ($AM12*CI12)/$AI12,     AND($AI12=0,$AM12&gt;0,$AQ12&gt;0), IF(INDEX(CI$12:CI$263,MATCH($AQ12,$AP$12:$AP$263,0))&gt;0,($AM12*INDEX(CI$12:CI$263,MATCH($AQ12,$AP$12:$AP$263,0)))/INDEX($AI$12:$AI$263,MATCH($AQ12,$AP$12:$AP$263,0)), "-"),     TRUE, "0")</f>
        <v>0</v>
      </c>
      <c r="CK12" s="300">
        <f>IF(CJ$9&gt;0, IF(OR(CJ12="",CJ12="-"), 0, CJ12*$AT12), CI12*$AJ12)</f>
        <v>0</v>
      </c>
      <c r="CL12" s="301">
        <f>[1]COMMANDE!AQ10</f>
        <v>0</v>
      </c>
      <c r="CM12" s="297" t="str">
        <f>_xlfn.IFS(AND($AI12=$AM12,$AI12&gt;0,$AM12&gt;0,CL12&gt;0), CL12,     AND(NOT($AI12=$AM12),$AI12&gt;0,$AM12&gt;0,CL12&gt;0), ($AM12*CL12)/$AI12,     AND($AI12=0,$AM12&gt;0,$AQ12&gt;0), IF(INDEX(CL$12:CL$263,MATCH($AQ12,$AP$12:$AP$263,0))&gt;0,($AM12*INDEX(CL$12:CL$263,MATCH($AQ12,$AP$12:$AP$263,0)))/INDEX($AI$12:$AI$263,MATCH($AQ12,$AP$12:$AP$263,0)), "-"),     TRUE, "0")</f>
        <v>0</v>
      </c>
      <c r="CN12" s="298">
        <f>IF(CM$9&gt;0, IF(OR(CM12="",CM12="-"), 0, CM12*$AT12), CL12*$AJ12)</f>
        <v>0</v>
      </c>
      <c r="CO12" s="299">
        <f>[1]COMMANDE!AS10</f>
        <v>0</v>
      </c>
      <c r="CP12" s="297" t="str">
        <f>_xlfn.IFS(AND($AI12=$AM12,$AI12&gt;0,$AM12&gt;0,CO12&gt;0), CO12,     AND(NOT($AI12=$AM12),$AI12&gt;0,$AM12&gt;0,CO12&gt;0), ($AM12*CO12)/$AI12,     AND($AI12=0,$AM12&gt;0,$AQ12&gt;0), IF(INDEX(CO$12:CO$263,MATCH($AQ12,$AP$12:$AP$263,0))&gt;0,($AM12*INDEX(CO$12:CO$263,MATCH($AQ12,$AP$12:$AP$263,0)))/INDEX($AI$12:$AI$263,MATCH($AQ12,$AP$12:$AP$263,0)), "-"),     TRUE, "0")</f>
        <v>0</v>
      </c>
      <c r="CQ12" s="300">
        <f>IF(CP$9&gt;0, IF(OR(CP12="",CP12="-"), 0, CP12*$AT12), CO12*$AJ12)</f>
        <v>0</v>
      </c>
      <c r="CR12" s="301">
        <f>[1]COMMANDE!AU10</f>
        <v>0</v>
      </c>
      <c r="CS12" s="297" t="str">
        <f>_xlfn.IFS(AND($AI12=$AM12,$AI12&gt;0,$AM12&gt;0,CR12&gt;0), CR12,     AND(NOT($AI12=$AM12),$AI12&gt;0,$AM12&gt;0,CR12&gt;0), ($AM12*CR12)/$AI12,     AND($AI12=0,$AM12&gt;0,$AQ12&gt;0), IF(INDEX(CR$12:CR$263,MATCH($AQ12,$AP$12:$AP$263,0))&gt;0,($AM12*INDEX(CR$12:CR$263,MATCH($AQ12,$AP$12:$AP$263,0)))/INDEX($AI$12:$AI$263,MATCH($AQ12,$AP$12:$AP$263,0)), "-"),     TRUE, "0")</f>
        <v>0</v>
      </c>
      <c r="CT12" s="298">
        <f>IF(CS$9&gt;0, IF(OR(CS12="",CS12="-"), 0, CS12*$AT12), CR12*$AJ12)</f>
        <v>0</v>
      </c>
      <c r="CU12" s="299">
        <f>[1]COMMANDE!AW10</f>
        <v>0</v>
      </c>
      <c r="CV12" s="297" t="str">
        <f>_xlfn.IFS(AND($AI12=$AM12,$AI12&gt;0,$AM12&gt;0,CU12&gt;0), CU12,     AND(NOT($AI12=$AM12),$AI12&gt;0,$AM12&gt;0,CU12&gt;0), ($AM12*CU12)/$AI12,     AND($AI12=0,$AM12&gt;0,$AQ12&gt;0), IF(INDEX(CU$12:CU$263,MATCH($AQ12,$AP$12:$AP$263,0))&gt;0,($AM12*INDEX(CU$12:CU$263,MATCH($AQ12,$AP$12:$AP$263,0)))/INDEX($AI$12:$AI$263,MATCH($AQ12,$AP$12:$AP$263,0)), "-"),     TRUE, "0")</f>
        <v>0</v>
      </c>
      <c r="CW12" s="300">
        <f>IF(CV$9&gt;0, IF(OR(CV12="",CV12="-"), 0, CV12*$AT12), CU12*$AJ12)</f>
        <v>0</v>
      </c>
      <c r="CX12" s="301">
        <f>[1]COMMANDE!AY10</f>
        <v>0</v>
      </c>
      <c r="CY12" s="297" t="str">
        <f>_xlfn.IFS(AND($AI12=$AM12,$AI12&gt;0,$AM12&gt;0,CX12&gt;0), CX12,     AND(NOT($AI12=$AM12),$AI12&gt;0,$AM12&gt;0,CX12&gt;0), ($AM12*CX12)/$AI12,     AND($AI12=0,$AM12&gt;0,$AQ12&gt;0), IF(INDEX(CX$12:CX$263,MATCH($AQ12,$AP$12:$AP$263,0))&gt;0,($AM12*INDEX(CX$12:CX$263,MATCH($AQ12,$AP$12:$AP$263,0)))/INDEX($AI$12:$AI$263,MATCH($AQ12,$AP$12:$AP$263,0)), "-"),     TRUE, "0")</f>
        <v>0</v>
      </c>
      <c r="CZ12" s="298">
        <f>IF(CY$9&gt;0, IF(OR(CY12="",CY12="-"), 0, CY12*$AT12), CX12*$AJ12)</f>
        <v>0</v>
      </c>
      <c r="DA12" s="299">
        <f>[1]COMMANDE!BA10</f>
        <v>0</v>
      </c>
      <c r="DB12" s="297" t="str">
        <f>_xlfn.IFS(AND($AI12=$AM12,$AI12&gt;0,$AM12&gt;0,DA12&gt;0), DA12,     AND(NOT($AI12=$AM12),$AI12&gt;0,$AM12&gt;0,DA12&gt;0), ($AM12*DA12)/$AI12,     AND($AI12=0,$AM12&gt;0,$AQ12&gt;0), IF(INDEX(DA$12:DA$263,MATCH($AQ12,$AP$12:$AP$263,0))&gt;0,($AM12*INDEX(DA$12:DA$263,MATCH($AQ12,$AP$12:$AP$263,0)))/INDEX($AI$12:$AI$263,MATCH($AQ12,$AP$12:$AP$263,0)), "-"),     TRUE, "0")</f>
        <v>0</v>
      </c>
      <c r="DC12" s="302">
        <f>IF(DB$9&gt;0, IF(OR(DB12="",DB12="-"), 0, DB12*$AT12), DA12*$AJ12)</f>
        <v>0</v>
      </c>
      <c r="DD12" s="303"/>
      <c r="DE12" s="304"/>
    </row>
    <row r="13" spans="1:111" ht="39.950000000000003" customHeight="1" x14ac:dyDescent="0.25">
      <c r="A13" s="284">
        <f t="shared" ref="A13:A76" si="2">IF(OR($AV13&gt;0, $AX13&gt;0), 1, 0)</f>
        <v>0</v>
      </c>
      <c r="B13" s="284">
        <f t="shared" ref="B13:B76" si="3">IF(OR($AY13&gt;0, $BA13&gt;0), 1, 0)</f>
        <v>0</v>
      </c>
      <c r="C13" s="284">
        <f t="shared" ref="C13:C76" si="4">IF(OR($BB13&gt;0, $BD13&gt;0), 1, 0)</f>
        <v>0</v>
      </c>
      <c r="D13" s="284">
        <f t="shared" ref="D13:D76" si="5">IF(OR($BE13&gt;0, $BG13&gt;0), 1, 0)</f>
        <v>0</v>
      </c>
      <c r="E13" s="284">
        <f t="shared" ref="E13:E76" si="6">IF(OR($BH13&gt;0, $BJ13&gt;0), 1, 0)</f>
        <v>0</v>
      </c>
      <c r="F13" s="284">
        <f t="shared" ref="F13:F76" si="7">IF(OR($BK13&gt;0, $BM13&gt;0), 1, 0)</f>
        <v>0</v>
      </c>
      <c r="G13" s="284">
        <f t="shared" ref="G13:G76" si="8">IF(OR($BN13&gt;0, $BP13&gt;0), 1, 0)</f>
        <v>0</v>
      </c>
      <c r="H13" s="284">
        <f t="shared" ref="H13:H76" si="9">IF(OR($BQ13&gt;0, $BS13&gt;0), 1, 0)</f>
        <v>0</v>
      </c>
      <c r="I13" s="284">
        <f t="shared" ref="I13:I76" si="10">IF(OR($BT13&gt;0, $BV13&gt;0), 1, 0)</f>
        <v>0</v>
      </c>
      <c r="J13" s="284">
        <f t="shared" ref="J13:J76" si="11">IF(OR($BW13&gt;0, $BY13&gt;0), 1, 0)</f>
        <v>0</v>
      </c>
      <c r="K13" s="284">
        <f t="shared" ref="K13:K76" si="12">IF(OR($BZ13&gt;0, $CB13&gt;0), 1, 0)</f>
        <v>0</v>
      </c>
      <c r="L13" s="284">
        <f t="shared" ref="L13:L76" si="13">IF(OR($CC13&gt;0, $CE13&gt;0), 1, 0)</f>
        <v>0</v>
      </c>
      <c r="M13" s="284">
        <f t="shared" ref="M13:M76" si="14">IF(OR($CF13&gt;0, $CH13&gt;0), 1, 0)</f>
        <v>0</v>
      </c>
      <c r="N13" s="284">
        <f t="shared" ref="N13:N76" si="15">IF(OR($CI13&gt;0, $CK13&gt;0), 1, 0)</f>
        <v>0</v>
      </c>
      <c r="O13" s="284">
        <f t="shared" ref="O13:O76" si="16">IF(OR($CL13&gt;0, $CN13&gt;0), 1, 0)</f>
        <v>0</v>
      </c>
      <c r="P13" s="284">
        <f t="shared" ref="P13:P76" si="17">IF(OR($CO13&gt;0, $CQ13&gt;0), 1, 0)</f>
        <v>0</v>
      </c>
      <c r="Q13" s="284">
        <f t="shared" ref="Q13:Q76" si="18">IF(OR($CR13&gt;0, $CT13&gt;0), 1, 0)</f>
        <v>0</v>
      </c>
      <c r="R13" s="284">
        <f t="shared" ref="R13:R76" si="19">IF(OR($CU13&gt;0, $CW13&gt;0), 1, 0)</f>
        <v>0</v>
      </c>
      <c r="S13" s="284">
        <f t="shared" ref="S13:S76" si="20">IF(OR($CX13&gt;0, $CZ13&gt;0), 1, 0)</f>
        <v>0</v>
      </c>
      <c r="T13" s="284">
        <f t="shared" ref="T13:T76" si="21">IF(OR($DA13&gt;0, $DC13&gt;0), 1, 0)</f>
        <v>0</v>
      </c>
      <c r="U13" s="285">
        <f t="shared" ref="U13:U76" si="22">IF(OR($AI13&gt;0,$AM13&gt;0,$AS13&gt;0), 1, 0)</f>
        <v>0</v>
      </c>
      <c r="V13" s="286" t="str">
        <f>[1]BDD!A3</f>
        <v>1100-1312</v>
      </c>
      <c r="W13" s="287" t="str">
        <f>[1]BDD!B3</f>
        <v>Ail blanc ou violet BIO</v>
      </c>
      <c r="X13" s="288" t="str">
        <f>IF([1]BDD!F3=0, "", [1]BDD!F3)</f>
        <v xml:space="preserve"> </v>
      </c>
      <c r="Y13" s="214">
        <f>ROUND([1]BDD!G3+FDP_CMD_KG, 2)</f>
        <v>9.35</v>
      </c>
      <c r="Z13" s="214">
        <f>ROUND([1]BDD!G3+FDP_FACT_KG, 2)</f>
        <v>9.35</v>
      </c>
      <c r="AA13" s="215" t="str">
        <f>[1]BDD!H3</f>
        <v>kg</v>
      </c>
      <c r="AB13" s="225">
        <f>IF(NOT(ISBLANK([1]BDD!I3)), ROUND(SUM(([1]BDD!G3*reduc1),FDP_CMD_KG), 2), "")</f>
        <v>8.51</v>
      </c>
      <c r="AC13" s="225" t="str">
        <f>IF(NOT(ISBLANK([1]BDD!J3)), ROUND(SUM(([1]BDD!G3*reduc2),FDP_CMD_KG), 2), "")</f>
        <v/>
      </c>
      <c r="AD13" s="225" t="str">
        <f>IF(NOT(ISBLANK([1]BDD!K3)), ROUND(SUM(([1]BDD!G3*reduc3),FDP_CMD_KG), 2), "")</f>
        <v/>
      </c>
      <c r="AE13" s="225">
        <f>IF(NOT(ISBLANK([1]BDD!I3)), ROUND(SUM(([1]BDD!G3*reduc1),FDP_FACT_KG), 2), "")</f>
        <v>8.5</v>
      </c>
      <c r="AF13" s="225" t="str">
        <f>IF(NOT(ISBLANK([1]BDD!J3)), ROUND(SUM(([1]BDD!G3*reduc2),FDP_FACT_KG), 2), "")</f>
        <v/>
      </c>
      <c r="AG13" s="225" t="str">
        <f>IF(NOT(ISBLANK([1]BDD!K3)), ROUND(SUM(([1]BDD!G3*reduc3),FDP_FACT_KG), 2), "")</f>
        <v/>
      </c>
      <c r="AH13" s="289" t="str">
        <f>[1]BDD!C3</f>
        <v>Malaga</v>
      </c>
      <c r="AI13" s="290">
        <f t="shared" ref="AI13:AI76" si="23">SUM(AV13,AY13,BB13,BE13,BH13,BK13,BN13,BQ13,BT13,BW13,BZ13,CC13,CF13,CI13,CL13,CO13,CR13,CU13,CX13,DA13)</f>
        <v>0</v>
      </c>
      <c r="AJ13" s="216">
        <f t="shared" ref="AJ13:AJ76" si="24">_xlfn.IFS($AD13&lt;&gt;"", $AD13,    $AC13&lt;&gt;"", $AC13,    $AB13&lt;&gt;"", $AB13,    TRUE, $Y13)</f>
        <v>8.51</v>
      </c>
      <c r="AK13" s="291">
        <f t="shared" ref="AK13:AK76" si="25">$AI13*$AJ13</f>
        <v>0</v>
      </c>
      <c r="AL13" s="429"/>
      <c r="AM13" s="292"/>
      <c r="AN13" s="216">
        <f t="shared" ref="AN13:AN76" si="26">_xlfn.IFS(AND(AM13&gt;=60,$AG13&lt;&gt;""), $AG13,    AND(AM13&gt;=30,$AF13&lt;&gt;""), $AF13,    AND(AM13&gt;=10,$AE13&lt;&gt;""), $AE13,    TRUE, $Z13)</f>
        <v>9.35</v>
      </c>
      <c r="AO13" s="293">
        <f t="shared" ref="AO13:AO76" si="27">AM13*AN13</f>
        <v>0</v>
      </c>
      <c r="AP13" s="294"/>
      <c r="AQ13" s="294"/>
      <c r="AR13" s="429"/>
      <c r="AS13" s="295">
        <f t="shared" ref="AS13:AS76" si="28">SUM(AW13,AZ13,BC13,BF13,BI13,BL13,BO13,BR13,BU13,BX13,CA13,CD13,CG13,CJ13,CM13,CP13,CS13,CV13,CY13,DB13)</f>
        <v>0</v>
      </c>
      <c r="AT13" s="216">
        <f t="shared" ref="AT13:AT76" si="29">_xlfn.IFS(AND(AS13&gt;=60,$AG13&lt;&gt;""), $AG13,    AND(AS13&gt;=30,$AF13&lt;&gt;""), $AF13,    AND(AS13&gt;=10,$AE13&lt;&gt;""), $AE13,    TRUE, $Z13)</f>
        <v>9.35</v>
      </c>
      <c r="AU13" s="291">
        <f t="shared" si="1"/>
        <v>0</v>
      </c>
      <c r="AV13" s="296">
        <f>[1]COMMANDE!O11</f>
        <v>0</v>
      </c>
      <c r="AW13" s="297" t="str">
        <f t="shared" ref="AW13:AW76" si="30">_xlfn.IFS(AND($AI13=$AM13,$AI13&gt;0,$AM13&gt;0,AV13&gt;0), AV13,     AND(NOT($AI13=$AM13),$AI13&gt;0,$AM13&gt;0,AV13&gt;0), ($AM13*AV13)/$AI13,     AND($AI13=0,$AM13&gt;0,$AQ13&gt;0), IF(INDEX(AV$12:AV$263,MATCH($AQ13,$AP$12:$AP$263,0))&gt;0,($AM13*INDEX(AV$12:AV$263,MATCH($AQ13,$AP$12:$AP$263,0)))/INDEX($AI$12:$AI$263,MATCH($AQ13,$AP$12:$AP$263,0)), "-"),     TRUE, "0")</f>
        <v>0</v>
      </c>
      <c r="AX13" s="298">
        <f t="shared" ref="AX13:AX76" si="31">IF(AW$9&gt;0, IF(OR(AW13="",AW13="-"), 0, AW13*$AT13), AV13*$AJ13)</f>
        <v>0</v>
      </c>
      <c r="AY13" s="299">
        <f>[1]COMMANDE!Q11</f>
        <v>0</v>
      </c>
      <c r="AZ13" s="297" t="str">
        <f t="shared" ref="AZ13:AZ76" si="32">_xlfn.IFS(AND($AI13=$AM13,$AI13&gt;0,$AM13&gt;0,AY13&gt;0), AY13,     AND(NOT($AI13=$AM13),$AI13&gt;0,$AM13&gt;0,AY13&gt;0), ($AM13*AY13)/$AI13,     AND($AI13=0,$AM13&gt;0,$AQ13&gt;0), IF(INDEX(AY$12:AY$263,MATCH($AQ13,$AP$12:$AP$263,0))&gt;0,($AM13*INDEX(AY$12:AY$263,MATCH($AQ13,$AP$12:$AP$263,0)))/INDEX($AI$12:$AI$263,MATCH($AQ13,$AP$12:$AP$263,0)), "-"),     TRUE, "0")</f>
        <v>0</v>
      </c>
      <c r="BA13" s="300">
        <f t="shared" ref="BA13:BA76" si="33">IF(AZ$9&gt;0, IF(OR(AZ13="",AZ13="-"), 0, AZ13*$AT13), AY13*$AJ13)</f>
        <v>0</v>
      </c>
      <c r="BB13" s="301">
        <f>[1]COMMANDE!S11</f>
        <v>0</v>
      </c>
      <c r="BC13" s="297" t="str">
        <f t="shared" ref="BC13:BC76" si="34">_xlfn.IFS(AND($AI13=$AM13,$AI13&gt;0,$AM13&gt;0,BB13&gt;0), BB13,     AND(NOT($AI13=$AM13),$AI13&gt;0,$AM13&gt;0,BB13&gt;0), ($AM13*BB13)/$AI13,     AND($AI13=0,$AM13&gt;0,$AQ13&gt;0), IF(INDEX(BB$12:BB$263,MATCH($AQ13,$AP$12:$AP$263,0))&gt;0,($AM13*INDEX(BB$12:BB$263,MATCH($AQ13,$AP$12:$AP$263,0)))/INDEX($AI$12:$AI$263,MATCH($AQ13,$AP$12:$AP$263,0)), "-"),     TRUE, "0")</f>
        <v>0</v>
      </c>
      <c r="BD13" s="298">
        <f t="shared" ref="BD13:BD76" si="35">IF(BC$9&gt;0, IF(OR(BC13="",BC13="-"), 0, BC13*$AT13), BB13*$AJ13)</f>
        <v>0</v>
      </c>
      <c r="BE13" s="299">
        <f>[1]COMMANDE!U11</f>
        <v>0</v>
      </c>
      <c r="BF13" s="297" t="str">
        <f t="shared" ref="BF13:BF76" si="36">_xlfn.IFS(AND($AI13=$AM13,$AI13&gt;0,$AM13&gt;0,BE13&gt;0), BE13,     AND(NOT($AI13=$AM13),$AI13&gt;0,$AM13&gt;0,BE13&gt;0), ($AM13*BE13)/$AI13,     AND($AI13=0,$AM13&gt;0,$AQ13&gt;0), IF(INDEX(BE$12:BE$263,MATCH($AQ13,$AP$12:$AP$263,0))&gt;0,($AM13*INDEX(BE$12:BE$263,MATCH($AQ13,$AP$12:$AP$263,0)))/INDEX($AI$12:$AI$263,MATCH($AQ13,$AP$12:$AP$263,0)), "-"),     TRUE, "0")</f>
        <v>0</v>
      </c>
      <c r="BG13" s="300">
        <f t="shared" ref="BG13:BG76" si="37">IF(BF$9&gt;0, IF(OR(BF13="",BF13="-"), 0, BF13*$AT13), BE13*$AJ13)</f>
        <v>0</v>
      </c>
      <c r="BH13" s="301">
        <f>[1]COMMANDE!W11</f>
        <v>0</v>
      </c>
      <c r="BI13" s="297" t="str">
        <f t="shared" ref="BI13:BI76" si="38">_xlfn.IFS(AND($AI13=$AM13,$AI13&gt;0,$AM13&gt;0,BH13&gt;0), BH13,     AND(NOT($AI13=$AM13),$AI13&gt;0,$AM13&gt;0,BH13&gt;0), ($AM13*BH13)/$AI13,     AND($AI13=0,$AM13&gt;0,$AQ13&gt;0), IF(INDEX(BH$12:BH$263,MATCH($AQ13,$AP$12:$AP$263,0))&gt;0,($AM13*INDEX(BH$12:BH$263,MATCH($AQ13,$AP$12:$AP$263,0)))/INDEX($AI$12:$AI$263,MATCH($AQ13,$AP$12:$AP$263,0)), "-"),     TRUE, "0")</f>
        <v>0</v>
      </c>
      <c r="BJ13" s="298">
        <f t="shared" ref="BJ13:BJ76" si="39">IF(BI$9&gt;0, IF(OR(BI13="",BI13="-"), 0, BI13*$AT13), BH13*$AJ13)</f>
        <v>0</v>
      </c>
      <c r="BK13" s="299">
        <f>[1]COMMANDE!Y11</f>
        <v>0</v>
      </c>
      <c r="BL13" s="297" t="str">
        <f t="shared" ref="BL13:BL76" si="40">_xlfn.IFS(AND($AI13=$AM13,$AI13&gt;0,$AM13&gt;0,BK13&gt;0), BK13,     AND(NOT($AI13=$AM13),$AI13&gt;0,$AM13&gt;0,BK13&gt;0), ($AM13*BK13)/$AI13,     AND($AI13=0,$AM13&gt;0,$AQ13&gt;0), IF(INDEX(BK$12:BK$263,MATCH($AQ13,$AP$12:$AP$263,0))&gt;0,($AM13*INDEX(BK$12:BK$263,MATCH($AQ13,$AP$12:$AP$263,0)))/INDEX($AI$12:$AI$263,MATCH($AQ13,$AP$12:$AP$263,0)), "-"),     TRUE, "0")</f>
        <v>0</v>
      </c>
      <c r="BM13" s="300">
        <f t="shared" ref="BM13:BM76" si="41">IF(BL$9&gt;0, IF(OR(BL13="",BL13="-"), 0, BL13*$AT13), BK13*$AJ13)</f>
        <v>0</v>
      </c>
      <c r="BN13" s="301">
        <f>[1]COMMANDE!AA11</f>
        <v>0</v>
      </c>
      <c r="BO13" s="297" t="str">
        <f t="shared" ref="BO13:BO76" si="42">_xlfn.IFS(AND($AI13=$AM13,$AI13&gt;0,$AM13&gt;0,BN13&gt;0), BN13,     AND(NOT($AI13=$AM13),$AI13&gt;0,$AM13&gt;0,BN13&gt;0), ($AM13*BN13)/$AI13,     AND($AI13=0,$AM13&gt;0,$AQ13&gt;0), IF(INDEX(BN$12:BN$263,MATCH($AQ13,$AP$12:$AP$263,0))&gt;0,($AM13*INDEX(BN$12:BN$263,MATCH($AQ13,$AP$12:$AP$263,0)))/INDEX($AI$12:$AI$263,MATCH($AQ13,$AP$12:$AP$263,0)), "-"),     TRUE, "0")</f>
        <v>0</v>
      </c>
      <c r="BP13" s="298">
        <f t="shared" ref="BP13:BP76" si="43">IF(BO$9&gt;0, IF(OR(BO13="",BO13="-"), 0, BO13*$AT13), BN13*$AJ13)</f>
        <v>0</v>
      </c>
      <c r="BQ13" s="299">
        <f>[1]COMMANDE!AC11</f>
        <v>0</v>
      </c>
      <c r="BR13" s="297" t="str">
        <f t="shared" ref="BR13:BR76" si="44">_xlfn.IFS(AND($AI13=$AM13,$AI13&gt;0,$AM13&gt;0,BQ13&gt;0), BQ13,     AND(NOT($AI13=$AM13),$AI13&gt;0,$AM13&gt;0,BQ13&gt;0), ($AM13*BQ13)/$AI13,     AND($AI13=0,$AM13&gt;0,$AQ13&gt;0), IF(INDEX(BQ$12:BQ$263,MATCH($AQ13,$AP$12:$AP$263,0))&gt;0,($AM13*INDEX(BQ$12:BQ$263,MATCH($AQ13,$AP$12:$AP$263,0)))/INDEX($AI$12:$AI$263,MATCH($AQ13,$AP$12:$AP$263,0)), "-"),     TRUE, "0")</f>
        <v>0</v>
      </c>
      <c r="BS13" s="300">
        <f t="shared" ref="BS13:BS76" si="45">IF(BR$9&gt;0, IF(OR(BR13="",BR13="-"), 0, BR13*$AT13), BQ13*$AJ13)</f>
        <v>0</v>
      </c>
      <c r="BT13" s="301">
        <f>[1]COMMANDE!AE11</f>
        <v>0</v>
      </c>
      <c r="BU13" s="297" t="str">
        <f t="shared" ref="BU13:BU76" si="46">_xlfn.IFS(AND($AI13=$AM13,$AI13&gt;0,$AM13&gt;0,BT13&gt;0), BT13,     AND(NOT($AI13=$AM13),$AI13&gt;0,$AM13&gt;0,BT13&gt;0), ($AM13*BT13)/$AI13,     AND($AI13=0,$AM13&gt;0,$AQ13&gt;0), IF(INDEX(BT$12:BT$263,MATCH($AQ13,$AP$12:$AP$263,0))&gt;0,($AM13*INDEX(BT$12:BT$263,MATCH($AQ13,$AP$12:$AP$263,0)))/INDEX($AI$12:$AI$263,MATCH($AQ13,$AP$12:$AP$263,0)), "-"),     TRUE, "0")</f>
        <v>0</v>
      </c>
      <c r="BV13" s="298">
        <f t="shared" ref="BV13:BV76" si="47">IF(BU$9&gt;0, IF(OR(BU13="",BU13="-"), 0, BU13*$AT13), BT13*$AJ13)</f>
        <v>0</v>
      </c>
      <c r="BW13" s="299">
        <f>[1]COMMANDE!AG11</f>
        <v>0</v>
      </c>
      <c r="BX13" s="297" t="str">
        <f t="shared" ref="BX13:BX76" si="48">_xlfn.IFS(AND($AI13=$AM13,$AI13&gt;0,$AM13&gt;0,BW13&gt;0), BW13,     AND(NOT($AI13=$AM13),$AI13&gt;0,$AM13&gt;0,BW13&gt;0), ($AM13*BW13)/$AI13,     AND($AI13=0,$AM13&gt;0,$AQ13&gt;0), IF(INDEX(BW$12:BW$263,MATCH($AQ13,$AP$12:$AP$263,0))&gt;0,($AM13*INDEX(BW$12:BW$263,MATCH($AQ13,$AP$12:$AP$263,0)))/INDEX($AI$12:$AI$263,MATCH($AQ13,$AP$12:$AP$263,0)), "-"),     TRUE, "0")</f>
        <v>0</v>
      </c>
      <c r="BY13" s="300">
        <f t="shared" ref="BY13:BY76" si="49">IF(BX$9&gt;0, IF(OR(BX13="",BX13="-"), 0, BX13*$AT13), BW13*$AJ13)</f>
        <v>0</v>
      </c>
      <c r="BZ13" s="301">
        <f>[1]COMMANDE!AI11</f>
        <v>0</v>
      </c>
      <c r="CA13" s="297" t="str">
        <f t="shared" ref="CA13:CA76" si="50">_xlfn.IFS(AND($AI13=$AM13,$AI13&gt;0,$AM13&gt;0,BZ13&gt;0), BZ13,     AND(NOT($AI13=$AM13),$AI13&gt;0,$AM13&gt;0,BZ13&gt;0), ($AM13*BZ13)/$AI13,     AND($AI13=0,$AM13&gt;0,$AQ13&gt;0), IF(INDEX(BZ$12:BZ$263,MATCH($AQ13,$AP$12:$AP$263,0))&gt;0,($AM13*INDEX(BZ$12:BZ$263,MATCH($AQ13,$AP$12:$AP$263,0)))/INDEX($AI$12:$AI$263,MATCH($AQ13,$AP$12:$AP$263,0)), "-"),     TRUE, "0")</f>
        <v>0</v>
      </c>
      <c r="CB13" s="298">
        <f t="shared" ref="CB13:CB76" si="51">IF(CA$9&gt;0, IF(OR(CA13="",CA13="-"), 0, CA13*$AT13), BZ13*$AJ13)</f>
        <v>0</v>
      </c>
      <c r="CC13" s="299">
        <f>[1]COMMANDE!AK11</f>
        <v>0</v>
      </c>
      <c r="CD13" s="297" t="str">
        <f t="shared" ref="CD13:CD76" si="52">_xlfn.IFS(AND($AI13=$AM13,$AI13&gt;0,$AM13&gt;0,CC13&gt;0), CC13,     AND(NOT($AI13=$AM13),$AI13&gt;0,$AM13&gt;0,CC13&gt;0), ($AM13*CC13)/$AI13,     AND($AI13=0,$AM13&gt;0,$AQ13&gt;0), IF(INDEX(CC$12:CC$263,MATCH($AQ13,$AP$12:$AP$263,0))&gt;0,($AM13*INDEX(CC$12:CC$263,MATCH($AQ13,$AP$12:$AP$263,0)))/INDEX($AI$12:$AI$263,MATCH($AQ13,$AP$12:$AP$263,0)), "-"),     TRUE, "0")</f>
        <v>0</v>
      </c>
      <c r="CE13" s="300">
        <f t="shared" ref="CE13:CE76" si="53">IF(CD$9&gt;0, IF(OR(CD13="",CD13="-"), 0, CD13*$AT13), CC13*$AJ13)</f>
        <v>0</v>
      </c>
      <c r="CF13" s="301">
        <f>[1]COMMANDE!AM11</f>
        <v>0</v>
      </c>
      <c r="CG13" s="297" t="str">
        <f t="shared" ref="CG13:CG76" si="54">_xlfn.IFS(AND($AI13=$AM13,$AI13&gt;0,$AM13&gt;0,CF13&gt;0), CF13,     AND(NOT($AI13=$AM13),$AI13&gt;0,$AM13&gt;0,CF13&gt;0), ($AM13*CF13)/$AI13,     AND($AI13=0,$AM13&gt;0,$AQ13&gt;0), IF(INDEX(CF$12:CF$263,MATCH($AQ13,$AP$12:$AP$263,0))&gt;0,($AM13*INDEX(CF$12:CF$263,MATCH($AQ13,$AP$12:$AP$263,0)))/INDEX($AI$12:$AI$263,MATCH($AQ13,$AP$12:$AP$263,0)), "-"),     TRUE, "0")</f>
        <v>0</v>
      </c>
      <c r="CH13" s="298">
        <f t="shared" ref="CH13:CH76" si="55">IF(CG$9&gt;0, IF(OR(CG13="",CG13="-"), 0, CG13*$AT13), CF13*$AJ13)</f>
        <v>0</v>
      </c>
      <c r="CI13" s="299">
        <f>[1]COMMANDE!AO11</f>
        <v>0</v>
      </c>
      <c r="CJ13" s="297" t="str">
        <f t="shared" ref="CJ13:CJ76" si="56">_xlfn.IFS(AND($AI13=$AM13,$AI13&gt;0,$AM13&gt;0,CI13&gt;0), CI13,     AND(NOT($AI13=$AM13),$AI13&gt;0,$AM13&gt;0,CI13&gt;0), ($AM13*CI13)/$AI13,     AND($AI13=0,$AM13&gt;0,$AQ13&gt;0), IF(INDEX(CI$12:CI$263,MATCH($AQ13,$AP$12:$AP$263,0))&gt;0,($AM13*INDEX(CI$12:CI$263,MATCH($AQ13,$AP$12:$AP$263,0)))/INDEX($AI$12:$AI$263,MATCH($AQ13,$AP$12:$AP$263,0)), "-"),     TRUE, "0")</f>
        <v>0</v>
      </c>
      <c r="CK13" s="300">
        <f t="shared" ref="CK13:CK76" si="57">IF(CJ$9&gt;0, IF(OR(CJ13="",CJ13="-"), 0, CJ13*$AT13), CI13*$AJ13)</f>
        <v>0</v>
      </c>
      <c r="CL13" s="301">
        <f>[1]COMMANDE!AQ11</f>
        <v>0</v>
      </c>
      <c r="CM13" s="297" t="str">
        <f t="shared" ref="CM13:CM76" si="58">_xlfn.IFS(AND($AI13=$AM13,$AI13&gt;0,$AM13&gt;0,CL13&gt;0), CL13,     AND(NOT($AI13=$AM13),$AI13&gt;0,$AM13&gt;0,CL13&gt;0), ($AM13*CL13)/$AI13,     AND($AI13=0,$AM13&gt;0,$AQ13&gt;0), IF(INDEX(CL$12:CL$263,MATCH($AQ13,$AP$12:$AP$263,0))&gt;0,($AM13*INDEX(CL$12:CL$263,MATCH($AQ13,$AP$12:$AP$263,0)))/INDEX($AI$12:$AI$263,MATCH($AQ13,$AP$12:$AP$263,0)), "-"),     TRUE, "0")</f>
        <v>0</v>
      </c>
      <c r="CN13" s="298">
        <f t="shared" ref="CN13:CN76" si="59">IF(CM$9&gt;0, IF(OR(CM13="",CM13="-"), 0, CM13*$AT13), CL13*$AJ13)</f>
        <v>0</v>
      </c>
      <c r="CO13" s="299">
        <f>[1]COMMANDE!AS11</f>
        <v>0</v>
      </c>
      <c r="CP13" s="297" t="str">
        <f t="shared" ref="CP13:CP76" si="60">_xlfn.IFS(AND($AI13=$AM13,$AI13&gt;0,$AM13&gt;0,CO13&gt;0), CO13,     AND(NOT($AI13=$AM13),$AI13&gt;0,$AM13&gt;0,CO13&gt;0), ($AM13*CO13)/$AI13,     AND($AI13=0,$AM13&gt;0,$AQ13&gt;0), IF(INDEX(CO$12:CO$263,MATCH($AQ13,$AP$12:$AP$263,0))&gt;0,($AM13*INDEX(CO$12:CO$263,MATCH($AQ13,$AP$12:$AP$263,0)))/INDEX($AI$12:$AI$263,MATCH($AQ13,$AP$12:$AP$263,0)), "-"),     TRUE, "0")</f>
        <v>0</v>
      </c>
      <c r="CQ13" s="300">
        <f t="shared" ref="CQ13:CQ76" si="61">IF(CP$9&gt;0, IF(OR(CP13="",CP13="-"), 0, CP13*$AT13), CO13*$AJ13)</f>
        <v>0</v>
      </c>
      <c r="CR13" s="301">
        <f>[1]COMMANDE!AU11</f>
        <v>0</v>
      </c>
      <c r="CS13" s="297" t="str">
        <f t="shared" ref="CS13:CS76" si="62">_xlfn.IFS(AND($AI13=$AM13,$AI13&gt;0,$AM13&gt;0,CR13&gt;0), CR13,     AND(NOT($AI13=$AM13),$AI13&gt;0,$AM13&gt;0,CR13&gt;0), ($AM13*CR13)/$AI13,     AND($AI13=0,$AM13&gt;0,$AQ13&gt;0), IF(INDEX(CR$12:CR$263,MATCH($AQ13,$AP$12:$AP$263,0))&gt;0,($AM13*INDEX(CR$12:CR$263,MATCH($AQ13,$AP$12:$AP$263,0)))/INDEX($AI$12:$AI$263,MATCH($AQ13,$AP$12:$AP$263,0)), "-"),     TRUE, "0")</f>
        <v>0</v>
      </c>
      <c r="CT13" s="298">
        <f t="shared" ref="CT13:CT76" si="63">IF(CS$9&gt;0, IF(OR(CS13="",CS13="-"), 0, CS13*$AT13), CR13*$AJ13)</f>
        <v>0</v>
      </c>
      <c r="CU13" s="299">
        <f>[1]COMMANDE!AW11</f>
        <v>0</v>
      </c>
      <c r="CV13" s="297" t="str">
        <f t="shared" ref="CV13:CV76" si="64">_xlfn.IFS(AND($AI13=$AM13,$AI13&gt;0,$AM13&gt;0,CU13&gt;0), CU13,     AND(NOT($AI13=$AM13),$AI13&gt;0,$AM13&gt;0,CU13&gt;0), ($AM13*CU13)/$AI13,     AND($AI13=0,$AM13&gt;0,$AQ13&gt;0), IF(INDEX(CU$12:CU$263,MATCH($AQ13,$AP$12:$AP$263,0))&gt;0,($AM13*INDEX(CU$12:CU$263,MATCH($AQ13,$AP$12:$AP$263,0)))/INDEX($AI$12:$AI$263,MATCH($AQ13,$AP$12:$AP$263,0)), "-"),     TRUE, "0")</f>
        <v>0</v>
      </c>
      <c r="CW13" s="300">
        <f t="shared" ref="CW13:CW76" si="65">IF(CV$9&gt;0, IF(OR(CV13="",CV13="-"), 0, CV13*$AT13), CU13*$AJ13)</f>
        <v>0</v>
      </c>
      <c r="CX13" s="301">
        <f>[1]COMMANDE!AY11</f>
        <v>0</v>
      </c>
      <c r="CY13" s="297" t="str">
        <f t="shared" ref="CY13:CY76" si="66">_xlfn.IFS(AND($AI13=$AM13,$AI13&gt;0,$AM13&gt;0,CX13&gt;0), CX13,     AND(NOT($AI13=$AM13),$AI13&gt;0,$AM13&gt;0,CX13&gt;0), ($AM13*CX13)/$AI13,     AND($AI13=0,$AM13&gt;0,$AQ13&gt;0), IF(INDEX(CX$12:CX$263,MATCH($AQ13,$AP$12:$AP$263,0))&gt;0,($AM13*INDEX(CX$12:CX$263,MATCH($AQ13,$AP$12:$AP$263,0)))/INDEX($AI$12:$AI$263,MATCH($AQ13,$AP$12:$AP$263,0)), "-"),     TRUE, "0")</f>
        <v>0</v>
      </c>
      <c r="CZ13" s="298">
        <f t="shared" ref="CZ13:CZ76" si="67">IF(CY$9&gt;0, IF(OR(CY13="",CY13="-"), 0, CY13*$AT13), CX13*$AJ13)</f>
        <v>0</v>
      </c>
      <c r="DA13" s="299">
        <f>[1]COMMANDE!BA11</f>
        <v>0</v>
      </c>
      <c r="DB13" s="297" t="str">
        <f t="shared" ref="DB13:DB76" si="68">_xlfn.IFS(AND($AI13=$AM13,$AI13&gt;0,$AM13&gt;0,DA13&gt;0), DA13,     AND(NOT($AI13=$AM13),$AI13&gt;0,$AM13&gt;0,DA13&gt;0), ($AM13*DA13)/$AI13,     AND($AI13=0,$AM13&gt;0,$AQ13&gt;0), IF(INDEX(DA$12:DA$263,MATCH($AQ13,$AP$12:$AP$263,0))&gt;0,($AM13*INDEX(DA$12:DA$263,MATCH($AQ13,$AP$12:$AP$263,0)))/INDEX($AI$12:$AI$263,MATCH($AQ13,$AP$12:$AP$263,0)), "-"),     TRUE, "0")</f>
        <v>0</v>
      </c>
      <c r="DC13" s="302">
        <f t="shared" ref="DC13:DC76" si="69">IF(DB$9&gt;0, IF(OR(DB13="",DB13="-"), 0, DB13*$AT13), DA13*$AJ13)</f>
        <v>0</v>
      </c>
      <c r="DD13" s="303"/>
      <c r="DE13" s="304"/>
    </row>
    <row r="14" spans="1:111" ht="39.950000000000003" customHeight="1" x14ac:dyDescent="0.25">
      <c r="A14" s="284">
        <f t="shared" si="2"/>
        <v>0</v>
      </c>
      <c r="B14" s="284">
        <f t="shared" si="3"/>
        <v>0</v>
      </c>
      <c r="C14" s="284">
        <f t="shared" si="4"/>
        <v>0</v>
      </c>
      <c r="D14" s="284">
        <f t="shared" si="5"/>
        <v>0</v>
      </c>
      <c r="E14" s="284">
        <f t="shared" si="6"/>
        <v>0</v>
      </c>
      <c r="F14" s="284">
        <f t="shared" si="7"/>
        <v>0</v>
      </c>
      <c r="G14" s="284">
        <f t="shared" si="8"/>
        <v>0</v>
      </c>
      <c r="H14" s="284">
        <f t="shared" si="9"/>
        <v>0</v>
      </c>
      <c r="I14" s="284">
        <f t="shared" si="10"/>
        <v>0</v>
      </c>
      <c r="J14" s="284">
        <f t="shared" si="11"/>
        <v>0</v>
      </c>
      <c r="K14" s="284">
        <f t="shared" si="12"/>
        <v>0</v>
      </c>
      <c r="L14" s="284">
        <f t="shared" si="13"/>
        <v>0</v>
      </c>
      <c r="M14" s="284">
        <f t="shared" si="14"/>
        <v>0</v>
      </c>
      <c r="N14" s="284">
        <f t="shared" si="15"/>
        <v>0</v>
      </c>
      <c r="O14" s="284">
        <f t="shared" si="16"/>
        <v>0</v>
      </c>
      <c r="P14" s="284">
        <f t="shared" si="17"/>
        <v>0</v>
      </c>
      <c r="Q14" s="284">
        <f t="shared" si="18"/>
        <v>0</v>
      </c>
      <c r="R14" s="284">
        <f t="shared" si="19"/>
        <v>0</v>
      </c>
      <c r="S14" s="284">
        <f t="shared" si="20"/>
        <v>0</v>
      </c>
      <c r="T14" s="284">
        <f t="shared" si="21"/>
        <v>0</v>
      </c>
      <c r="U14" s="285">
        <f t="shared" si="22"/>
        <v>0</v>
      </c>
      <c r="V14" s="286">
        <f>[1]BDD!A4</f>
        <v>1497</v>
      </c>
      <c r="W14" s="287" t="str">
        <f>[1]BDD!B4</f>
        <v>Algue Chlorella en poudre BIO (env. 1kg)</v>
      </c>
      <c r="X14" s="288" t="str">
        <f>IF([1]BDD!F4=0, "", [1]BDD!F4)</f>
        <v xml:space="preserve">OFFRE </v>
      </c>
      <c r="Y14" s="214">
        <f>ROUND([1]BDD!G4+FDP_CMD_KG, 2)</f>
        <v>51.53</v>
      </c>
      <c r="Z14" s="214">
        <f>ROUND([1]BDD!G4+FDP_FACT_KG, 2)</f>
        <v>51.53</v>
      </c>
      <c r="AA14" s="215" t="str">
        <f>[1]BDD!H4</f>
        <v>Pièce</v>
      </c>
      <c r="AB14" s="225" t="str">
        <f>IF(NOT(ISBLANK([1]BDD!I4)), ROUND(SUM(([1]BDD!G4*reduc1),FDP_CMD_KG), 2), "")</f>
        <v/>
      </c>
      <c r="AC14" s="225" t="str">
        <f>IF(NOT(ISBLANK([1]BDD!J4)), ROUND(SUM(([1]BDD!G4*reduc2),FDP_CMD_KG), 2), "")</f>
        <v/>
      </c>
      <c r="AD14" s="225" t="str">
        <f>IF(NOT(ISBLANK([1]BDD!K4)), ROUND(SUM(([1]BDD!G4*reduc3),FDP_CMD_KG), 2), "")</f>
        <v/>
      </c>
      <c r="AE14" s="225" t="str">
        <f>IF(NOT(ISBLANK([1]BDD!I4)), ROUND(SUM(([1]BDD!G4*reduc1),FDP_FACT_KG), 2), "")</f>
        <v/>
      </c>
      <c r="AF14" s="225" t="str">
        <f>IF(NOT(ISBLANK([1]BDD!J4)), ROUND(SUM(([1]BDD!G4*reduc2),FDP_FACT_KG), 2), "")</f>
        <v/>
      </c>
      <c r="AG14" s="225" t="str">
        <f>IF(NOT(ISBLANK([1]BDD!K4)), ROUND(SUM(([1]BDD!G4*reduc3),FDP_FACT_KG), 2), "")</f>
        <v/>
      </c>
      <c r="AH14" s="289" t="str">
        <f>[1]BDD!C4</f>
        <v>Inde</v>
      </c>
      <c r="AI14" s="290">
        <f t="shared" si="23"/>
        <v>0</v>
      </c>
      <c r="AJ14" s="216">
        <f t="shared" si="24"/>
        <v>51.53</v>
      </c>
      <c r="AK14" s="291">
        <f t="shared" si="25"/>
        <v>0</v>
      </c>
      <c r="AL14" s="429"/>
      <c r="AM14" s="292"/>
      <c r="AN14" s="216">
        <f t="shared" si="26"/>
        <v>51.53</v>
      </c>
      <c r="AO14" s="293">
        <f t="shared" si="27"/>
        <v>0</v>
      </c>
      <c r="AP14" s="294"/>
      <c r="AQ14" s="294"/>
      <c r="AR14" s="429"/>
      <c r="AS14" s="295">
        <f t="shared" si="28"/>
        <v>0</v>
      </c>
      <c r="AT14" s="216">
        <f t="shared" si="29"/>
        <v>51.53</v>
      </c>
      <c r="AU14" s="291">
        <f t="shared" si="1"/>
        <v>0</v>
      </c>
      <c r="AV14" s="296">
        <f>[1]COMMANDE!O12</f>
        <v>0</v>
      </c>
      <c r="AW14" s="297" t="str">
        <f t="shared" si="30"/>
        <v>0</v>
      </c>
      <c r="AX14" s="298">
        <f t="shared" si="31"/>
        <v>0</v>
      </c>
      <c r="AY14" s="299">
        <f>[1]COMMANDE!Q12</f>
        <v>0</v>
      </c>
      <c r="AZ14" s="297" t="str">
        <f t="shared" si="32"/>
        <v>0</v>
      </c>
      <c r="BA14" s="300">
        <f t="shared" si="33"/>
        <v>0</v>
      </c>
      <c r="BB14" s="301">
        <f>[1]COMMANDE!S12</f>
        <v>0</v>
      </c>
      <c r="BC14" s="297" t="str">
        <f t="shared" si="34"/>
        <v>0</v>
      </c>
      <c r="BD14" s="298">
        <f t="shared" si="35"/>
        <v>0</v>
      </c>
      <c r="BE14" s="299">
        <f>[1]COMMANDE!U12</f>
        <v>0</v>
      </c>
      <c r="BF14" s="297" t="str">
        <f t="shared" si="36"/>
        <v>0</v>
      </c>
      <c r="BG14" s="300">
        <f t="shared" si="37"/>
        <v>0</v>
      </c>
      <c r="BH14" s="301">
        <f>[1]COMMANDE!W12</f>
        <v>0</v>
      </c>
      <c r="BI14" s="297" t="str">
        <f t="shared" si="38"/>
        <v>0</v>
      </c>
      <c r="BJ14" s="298">
        <f t="shared" si="39"/>
        <v>0</v>
      </c>
      <c r="BK14" s="299">
        <f>[1]COMMANDE!Y12</f>
        <v>0</v>
      </c>
      <c r="BL14" s="297" t="str">
        <f t="shared" si="40"/>
        <v>0</v>
      </c>
      <c r="BM14" s="300">
        <f t="shared" si="41"/>
        <v>0</v>
      </c>
      <c r="BN14" s="301">
        <f>[1]COMMANDE!AA12</f>
        <v>0</v>
      </c>
      <c r="BO14" s="297" t="str">
        <f t="shared" si="42"/>
        <v>0</v>
      </c>
      <c r="BP14" s="298">
        <f t="shared" si="43"/>
        <v>0</v>
      </c>
      <c r="BQ14" s="299">
        <f>[1]COMMANDE!AC12</f>
        <v>0</v>
      </c>
      <c r="BR14" s="297" t="str">
        <f t="shared" si="44"/>
        <v>0</v>
      </c>
      <c r="BS14" s="300">
        <f t="shared" si="45"/>
        <v>0</v>
      </c>
      <c r="BT14" s="301">
        <f>[1]COMMANDE!AE12</f>
        <v>0</v>
      </c>
      <c r="BU14" s="297" t="str">
        <f t="shared" si="46"/>
        <v>0</v>
      </c>
      <c r="BV14" s="298">
        <f t="shared" si="47"/>
        <v>0</v>
      </c>
      <c r="BW14" s="299">
        <f>[1]COMMANDE!AG12</f>
        <v>0</v>
      </c>
      <c r="BX14" s="297" t="str">
        <f t="shared" si="48"/>
        <v>0</v>
      </c>
      <c r="BY14" s="300">
        <f t="shared" si="49"/>
        <v>0</v>
      </c>
      <c r="BZ14" s="301">
        <f>[1]COMMANDE!AI12</f>
        <v>0</v>
      </c>
      <c r="CA14" s="297" t="str">
        <f t="shared" si="50"/>
        <v>0</v>
      </c>
      <c r="CB14" s="298">
        <f t="shared" si="51"/>
        <v>0</v>
      </c>
      <c r="CC14" s="299">
        <f>[1]COMMANDE!AK12</f>
        <v>0</v>
      </c>
      <c r="CD14" s="297" t="str">
        <f t="shared" si="52"/>
        <v>0</v>
      </c>
      <c r="CE14" s="300">
        <f t="shared" si="53"/>
        <v>0</v>
      </c>
      <c r="CF14" s="301">
        <f>[1]COMMANDE!AM12</f>
        <v>0</v>
      </c>
      <c r="CG14" s="297" t="str">
        <f t="shared" si="54"/>
        <v>0</v>
      </c>
      <c r="CH14" s="298">
        <f t="shared" si="55"/>
        <v>0</v>
      </c>
      <c r="CI14" s="299">
        <f>[1]COMMANDE!AO12</f>
        <v>0</v>
      </c>
      <c r="CJ14" s="297" t="str">
        <f t="shared" si="56"/>
        <v>0</v>
      </c>
      <c r="CK14" s="300">
        <f t="shared" si="57"/>
        <v>0</v>
      </c>
      <c r="CL14" s="301">
        <f>[1]COMMANDE!AQ12</f>
        <v>0</v>
      </c>
      <c r="CM14" s="297" t="str">
        <f t="shared" si="58"/>
        <v>0</v>
      </c>
      <c r="CN14" s="298">
        <f t="shared" si="59"/>
        <v>0</v>
      </c>
      <c r="CO14" s="299">
        <f>[1]COMMANDE!AS12</f>
        <v>0</v>
      </c>
      <c r="CP14" s="297" t="str">
        <f t="shared" si="60"/>
        <v>0</v>
      </c>
      <c r="CQ14" s="300">
        <f t="shared" si="61"/>
        <v>0</v>
      </c>
      <c r="CR14" s="301">
        <f>[1]COMMANDE!AU12</f>
        <v>0</v>
      </c>
      <c r="CS14" s="297" t="str">
        <f t="shared" si="62"/>
        <v>0</v>
      </c>
      <c r="CT14" s="298">
        <f t="shared" si="63"/>
        <v>0</v>
      </c>
      <c r="CU14" s="299">
        <f>[1]COMMANDE!AW12</f>
        <v>0</v>
      </c>
      <c r="CV14" s="297" t="str">
        <f t="shared" si="64"/>
        <v>0</v>
      </c>
      <c r="CW14" s="300">
        <f t="shared" si="65"/>
        <v>0</v>
      </c>
      <c r="CX14" s="301">
        <f>[1]COMMANDE!AY12</f>
        <v>0</v>
      </c>
      <c r="CY14" s="297" t="str">
        <f t="shared" si="66"/>
        <v>0</v>
      </c>
      <c r="CZ14" s="298">
        <f t="shared" si="67"/>
        <v>0</v>
      </c>
      <c r="DA14" s="299">
        <f>[1]COMMANDE!BA12</f>
        <v>0</v>
      </c>
      <c r="DB14" s="297" t="str">
        <f t="shared" si="68"/>
        <v>0</v>
      </c>
      <c r="DC14" s="302">
        <f t="shared" si="69"/>
        <v>0</v>
      </c>
      <c r="DD14" s="303"/>
      <c r="DE14" s="304"/>
    </row>
    <row r="15" spans="1:111" ht="39.950000000000003" customHeight="1" x14ac:dyDescent="0.25">
      <c r="A15" s="284">
        <f t="shared" si="2"/>
        <v>0</v>
      </c>
      <c r="B15" s="284">
        <f t="shared" si="3"/>
        <v>0</v>
      </c>
      <c r="C15" s="284">
        <f t="shared" si="4"/>
        <v>0</v>
      </c>
      <c r="D15" s="284">
        <f t="shared" si="5"/>
        <v>0</v>
      </c>
      <c r="E15" s="284">
        <f t="shared" si="6"/>
        <v>0</v>
      </c>
      <c r="F15" s="284">
        <f t="shared" si="7"/>
        <v>0</v>
      </c>
      <c r="G15" s="284">
        <f t="shared" si="8"/>
        <v>0</v>
      </c>
      <c r="H15" s="284">
        <f t="shared" si="9"/>
        <v>0</v>
      </c>
      <c r="I15" s="284">
        <f t="shared" si="10"/>
        <v>0</v>
      </c>
      <c r="J15" s="284">
        <f t="shared" si="11"/>
        <v>0</v>
      </c>
      <c r="K15" s="284">
        <f t="shared" si="12"/>
        <v>0</v>
      </c>
      <c r="L15" s="284">
        <f t="shared" si="13"/>
        <v>0</v>
      </c>
      <c r="M15" s="284">
        <f t="shared" si="14"/>
        <v>0</v>
      </c>
      <c r="N15" s="284">
        <f t="shared" si="15"/>
        <v>0</v>
      </c>
      <c r="O15" s="284">
        <f t="shared" si="16"/>
        <v>0</v>
      </c>
      <c r="P15" s="284">
        <f t="shared" si="17"/>
        <v>0</v>
      </c>
      <c r="Q15" s="284">
        <f t="shared" si="18"/>
        <v>0</v>
      </c>
      <c r="R15" s="284">
        <f t="shared" si="19"/>
        <v>0</v>
      </c>
      <c r="S15" s="284">
        <f t="shared" si="20"/>
        <v>0</v>
      </c>
      <c r="T15" s="284">
        <f t="shared" si="21"/>
        <v>0</v>
      </c>
      <c r="U15" s="285">
        <f t="shared" si="22"/>
        <v>0</v>
      </c>
      <c r="V15" s="286">
        <f>[1]BDD!A5</f>
        <v>1497</v>
      </c>
      <c r="W15" s="287" t="str">
        <f>[1]BDD!B5</f>
        <v>Algue Chlorella en poudre BIO (env. 500g)</v>
      </c>
      <c r="X15" s="288" t="str">
        <f>IF([1]BDD!F5=0, "", [1]BDD!F5)</f>
        <v>❤️ OFFRE</v>
      </c>
      <c r="Y15" s="214">
        <f>ROUND([1]BDD!G5+FDP_CMD_KG, 2)</f>
        <v>26.75</v>
      </c>
      <c r="Z15" s="214">
        <f>ROUND([1]BDD!G5+FDP_FACT_KG, 2)</f>
        <v>26.75</v>
      </c>
      <c r="AA15" s="215" t="str">
        <f>[1]BDD!H5</f>
        <v>Pièce</v>
      </c>
      <c r="AB15" s="225" t="str">
        <f>IF(NOT(ISBLANK([1]BDD!I5)), ROUND(SUM(([1]BDD!G5*reduc1),FDP_CMD_KG), 2), "")</f>
        <v/>
      </c>
      <c r="AC15" s="225" t="str">
        <f>IF(NOT(ISBLANK([1]BDD!J5)), ROUND(SUM(([1]BDD!G5*reduc2),FDP_CMD_KG), 2), "")</f>
        <v/>
      </c>
      <c r="AD15" s="225" t="str">
        <f>IF(NOT(ISBLANK([1]BDD!K5)), ROUND(SUM(([1]BDD!G5*reduc3),FDP_CMD_KG), 2), "")</f>
        <v/>
      </c>
      <c r="AE15" s="225" t="str">
        <f>IF(NOT(ISBLANK([1]BDD!I5)), ROUND(SUM(([1]BDD!G5*reduc1),FDP_FACT_KG), 2), "")</f>
        <v/>
      </c>
      <c r="AF15" s="225" t="str">
        <f>IF(NOT(ISBLANK([1]BDD!J5)), ROUND(SUM(([1]BDD!G5*reduc2),FDP_FACT_KG), 2), "")</f>
        <v/>
      </c>
      <c r="AG15" s="225" t="str">
        <f>IF(NOT(ISBLANK([1]BDD!K5)), ROUND(SUM(([1]BDD!G5*reduc3),FDP_FACT_KG), 2), "")</f>
        <v/>
      </c>
      <c r="AH15" s="289" t="str">
        <f>[1]BDD!C5</f>
        <v>Inde</v>
      </c>
      <c r="AI15" s="290">
        <f t="shared" si="23"/>
        <v>0</v>
      </c>
      <c r="AJ15" s="216">
        <f t="shared" si="24"/>
        <v>26.75</v>
      </c>
      <c r="AK15" s="291">
        <f t="shared" si="25"/>
        <v>0</v>
      </c>
      <c r="AL15" s="429"/>
      <c r="AM15" s="292"/>
      <c r="AN15" s="216">
        <f t="shared" si="26"/>
        <v>26.75</v>
      </c>
      <c r="AO15" s="293">
        <f t="shared" si="27"/>
        <v>0</v>
      </c>
      <c r="AP15" s="294"/>
      <c r="AQ15" s="294"/>
      <c r="AR15" s="429"/>
      <c r="AS15" s="295">
        <f t="shared" si="28"/>
        <v>0</v>
      </c>
      <c r="AT15" s="216">
        <f t="shared" si="29"/>
        <v>26.75</v>
      </c>
      <c r="AU15" s="291">
        <f t="shared" si="1"/>
        <v>0</v>
      </c>
      <c r="AV15" s="296">
        <f>[1]COMMANDE!O13</f>
        <v>0</v>
      </c>
      <c r="AW15" s="297" t="str">
        <f t="shared" si="30"/>
        <v>0</v>
      </c>
      <c r="AX15" s="298">
        <f t="shared" si="31"/>
        <v>0</v>
      </c>
      <c r="AY15" s="299">
        <f>[1]COMMANDE!Q13</f>
        <v>0</v>
      </c>
      <c r="AZ15" s="297" t="str">
        <f t="shared" si="32"/>
        <v>0</v>
      </c>
      <c r="BA15" s="300">
        <f t="shared" si="33"/>
        <v>0</v>
      </c>
      <c r="BB15" s="301">
        <f>[1]COMMANDE!S13</f>
        <v>0</v>
      </c>
      <c r="BC15" s="297" t="str">
        <f t="shared" si="34"/>
        <v>0</v>
      </c>
      <c r="BD15" s="298">
        <f t="shared" si="35"/>
        <v>0</v>
      </c>
      <c r="BE15" s="299">
        <f>[1]COMMANDE!U13</f>
        <v>0</v>
      </c>
      <c r="BF15" s="297" t="str">
        <f t="shared" si="36"/>
        <v>0</v>
      </c>
      <c r="BG15" s="300">
        <f t="shared" si="37"/>
        <v>0</v>
      </c>
      <c r="BH15" s="301">
        <f>[1]COMMANDE!W13</f>
        <v>0</v>
      </c>
      <c r="BI15" s="297" t="str">
        <f t="shared" si="38"/>
        <v>0</v>
      </c>
      <c r="BJ15" s="298">
        <f t="shared" si="39"/>
        <v>0</v>
      </c>
      <c r="BK15" s="299">
        <f>[1]COMMANDE!Y13</f>
        <v>0</v>
      </c>
      <c r="BL15" s="297" t="str">
        <f t="shared" si="40"/>
        <v>0</v>
      </c>
      <c r="BM15" s="300">
        <f t="shared" si="41"/>
        <v>0</v>
      </c>
      <c r="BN15" s="301">
        <f>[1]COMMANDE!AA13</f>
        <v>0</v>
      </c>
      <c r="BO15" s="297" t="str">
        <f t="shared" si="42"/>
        <v>0</v>
      </c>
      <c r="BP15" s="298">
        <f t="shared" si="43"/>
        <v>0</v>
      </c>
      <c r="BQ15" s="299">
        <f>[1]COMMANDE!AC13</f>
        <v>0</v>
      </c>
      <c r="BR15" s="297" t="str">
        <f t="shared" si="44"/>
        <v>0</v>
      </c>
      <c r="BS15" s="300">
        <f t="shared" si="45"/>
        <v>0</v>
      </c>
      <c r="BT15" s="301">
        <f>[1]COMMANDE!AE13</f>
        <v>0</v>
      </c>
      <c r="BU15" s="297" t="str">
        <f t="shared" si="46"/>
        <v>0</v>
      </c>
      <c r="BV15" s="298">
        <f t="shared" si="47"/>
        <v>0</v>
      </c>
      <c r="BW15" s="299">
        <f>[1]COMMANDE!AG13</f>
        <v>0</v>
      </c>
      <c r="BX15" s="297" t="str">
        <f t="shared" si="48"/>
        <v>0</v>
      </c>
      <c r="BY15" s="300">
        <f t="shared" si="49"/>
        <v>0</v>
      </c>
      <c r="BZ15" s="301">
        <f>[1]COMMANDE!AI13</f>
        <v>0</v>
      </c>
      <c r="CA15" s="297" t="str">
        <f t="shared" si="50"/>
        <v>0</v>
      </c>
      <c r="CB15" s="298">
        <f t="shared" si="51"/>
        <v>0</v>
      </c>
      <c r="CC15" s="299">
        <f>[1]COMMANDE!AK13</f>
        <v>0</v>
      </c>
      <c r="CD15" s="297" t="str">
        <f t="shared" si="52"/>
        <v>0</v>
      </c>
      <c r="CE15" s="300">
        <f t="shared" si="53"/>
        <v>0</v>
      </c>
      <c r="CF15" s="301">
        <f>[1]COMMANDE!AM13</f>
        <v>0</v>
      </c>
      <c r="CG15" s="297" t="str">
        <f t="shared" si="54"/>
        <v>0</v>
      </c>
      <c r="CH15" s="298">
        <f t="shared" si="55"/>
        <v>0</v>
      </c>
      <c r="CI15" s="299">
        <f>[1]COMMANDE!AO13</f>
        <v>0</v>
      </c>
      <c r="CJ15" s="297" t="str">
        <f t="shared" si="56"/>
        <v>0</v>
      </c>
      <c r="CK15" s="300">
        <f t="shared" si="57"/>
        <v>0</v>
      </c>
      <c r="CL15" s="301">
        <f>[1]COMMANDE!AQ13</f>
        <v>0</v>
      </c>
      <c r="CM15" s="297" t="str">
        <f t="shared" si="58"/>
        <v>0</v>
      </c>
      <c r="CN15" s="298">
        <f t="shared" si="59"/>
        <v>0</v>
      </c>
      <c r="CO15" s="299">
        <f>[1]COMMANDE!AS13</f>
        <v>0</v>
      </c>
      <c r="CP15" s="297" t="str">
        <f t="shared" si="60"/>
        <v>0</v>
      </c>
      <c r="CQ15" s="300">
        <f t="shared" si="61"/>
        <v>0</v>
      </c>
      <c r="CR15" s="301">
        <f>[1]COMMANDE!AU13</f>
        <v>0</v>
      </c>
      <c r="CS15" s="297" t="str">
        <f t="shared" si="62"/>
        <v>0</v>
      </c>
      <c r="CT15" s="298">
        <f t="shared" si="63"/>
        <v>0</v>
      </c>
      <c r="CU15" s="299">
        <f>[1]COMMANDE!AW13</f>
        <v>0</v>
      </c>
      <c r="CV15" s="297" t="str">
        <f t="shared" si="64"/>
        <v>0</v>
      </c>
      <c r="CW15" s="300">
        <f t="shared" si="65"/>
        <v>0</v>
      </c>
      <c r="CX15" s="301">
        <f>[1]COMMANDE!AY13</f>
        <v>0</v>
      </c>
      <c r="CY15" s="297" t="str">
        <f t="shared" si="66"/>
        <v>0</v>
      </c>
      <c r="CZ15" s="298">
        <f t="shared" si="67"/>
        <v>0</v>
      </c>
      <c r="DA15" s="299">
        <f>[1]COMMANDE!BA13</f>
        <v>0</v>
      </c>
      <c r="DB15" s="297" t="str">
        <f t="shared" si="68"/>
        <v>0</v>
      </c>
      <c r="DC15" s="302">
        <f t="shared" si="69"/>
        <v>0</v>
      </c>
      <c r="DD15" s="303"/>
      <c r="DE15" s="304"/>
    </row>
    <row r="16" spans="1:111" ht="39.950000000000003" customHeight="1" x14ac:dyDescent="0.25">
      <c r="A16" s="284">
        <f t="shared" si="2"/>
        <v>0</v>
      </c>
      <c r="B16" s="284">
        <f t="shared" si="3"/>
        <v>0</v>
      </c>
      <c r="C16" s="284">
        <f t="shared" si="4"/>
        <v>0</v>
      </c>
      <c r="D16" s="284">
        <f t="shared" si="5"/>
        <v>0</v>
      </c>
      <c r="E16" s="284">
        <f t="shared" si="6"/>
        <v>0</v>
      </c>
      <c r="F16" s="284">
        <f t="shared" si="7"/>
        <v>0</v>
      </c>
      <c r="G16" s="284">
        <f t="shared" si="8"/>
        <v>0</v>
      </c>
      <c r="H16" s="284">
        <f t="shared" si="9"/>
        <v>0</v>
      </c>
      <c r="I16" s="284">
        <f t="shared" si="10"/>
        <v>0</v>
      </c>
      <c r="J16" s="284">
        <f t="shared" si="11"/>
        <v>0</v>
      </c>
      <c r="K16" s="284">
        <f t="shared" si="12"/>
        <v>0</v>
      </c>
      <c r="L16" s="284">
        <f t="shared" si="13"/>
        <v>0</v>
      </c>
      <c r="M16" s="284">
        <f t="shared" si="14"/>
        <v>0</v>
      </c>
      <c r="N16" s="284">
        <f t="shared" si="15"/>
        <v>0</v>
      </c>
      <c r="O16" s="284">
        <f t="shared" si="16"/>
        <v>0</v>
      </c>
      <c r="P16" s="284">
        <f t="shared" si="17"/>
        <v>0</v>
      </c>
      <c r="Q16" s="284">
        <f t="shared" si="18"/>
        <v>0</v>
      </c>
      <c r="R16" s="284">
        <f t="shared" si="19"/>
        <v>0</v>
      </c>
      <c r="S16" s="284">
        <f t="shared" si="20"/>
        <v>0</v>
      </c>
      <c r="T16" s="284">
        <f t="shared" si="21"/>
        <v>0</v>
      </c>
      <c r="U16" s="285">
        <f t="shared" si="22"/>
        <v>0</v>
      </c>
      <c r="V16" s="286">
        <f>[1]BDD!A6</f>
        <v>1189</v>
      </c>
      <c r="W16" s="287" t="str">
        <f>[1]BDD!B6</f>
        <v>Algue Dulse déshydratée BIO (env. 1kg)</v>
      </c>
      <c r="X16" s="288" t="str">
        <f>IF([1]BDD!F6=0, "", [1]BDD!F6)</f>
        <v>❤️</v>
      </c>
      <c r="Y16" s="214">
        <f>ROUND([1]BDD!G6+FDP_CMD_KG, 2)</f>
        <v>83.04</v>
      </c>
      <c r="Z16" s="214">
        <f>ROUND([1]BDD!G6+FDP_FACT_KG, 2)</f>
        <v>83.04</v>
      </c>
      <c r="AA16" s="215" t="str">
        <f>[1]BDD!H6</f>
        <v>Pièce</v>
      </c>
      <c r="AB16" s="225" t="str">
        <f>IF(NOT(ISBLANK([1]BDD!I6)), ROUND(SUM(([1]BDD!G6*reduc1),FDP_CMD_KG), 2), "")</f>
        <v/>
      </c>
      <c r="AC16" s="225" t="str">
        <f>IF(NOT(ISBLANK([1]BDD!J6)), ROUND(SUM(([1]BDD!G6*reduc2),FDP_CMD_KG), 2), "")</f>
        <v/>
      </c>
      <c r="AD16" s="225" t="str">
        <f>IF(NOT(ISBLANK([1]BDD!K6)), ROUND(SUM(([1]BDD!G6*reduc3),FDP_CMD_KG), 2), "")</f>
        <v/>
      </c>
      <c r="AE16" s="225" t="str">
        <f>IF(NOT(ISBLANK([1]BDD!I6)), ROUND(SUM(([1]BDD!G6*reduc1),FDP_FACT_KG), 2), "")</f>
        <v/>
      </c>
      <c r="AF16" s="225" t="str">
        <f>IF(NOT(ISBLANK([1]BDD!J6)), ROUND(SUM(([1]BDD!G6*reduc2),FDP_FACT_KG), 2), "")</f>
        <v/>
      </c>
      <c r="AG16" s="225" t="str">
        <f>IF(NOT(ISBLANK([1]BDD!K6)), ROUND(SUM(([1]BDD!G6*reduc3),FDP_FACT_KG), 2), "")</f>
        <v/>
      </c>
      <c r="AH16" s="289" t="str">
        <f>[1]BDD!C6</f>
        <v>Irlande</v>
      </c>
      <c r="AI16" s="290">
        <f t="shared" si="23"/>
        <v>0</v>
      </c>
      <c r="AJ16" s="216">
        <f t="shared" si="24"/>
        <v>83.04</v>
      </c>
      <c r="AK16" s="291">
        <f t="shared" si="25"/>
        <v>0</v>
      </c>
      <c r="AL16" s="429"/>
      <c r="AM16" s="292"/>
      <c r="AN16" s="216">
        <f t="shared" si="26"/>
        <v>83.04</v>
      </c>
      <c r="AO16" s="293">
        <f t="shared" si="27"/>
        <v>0</v>
      </c>
      <c r="AP16" s="294"/>
      <c r="AQ16" s="294"/>
      <c r="AR16" s="429"/>
      <c r="AS16" s="295">
        <f t="shared" si="28"/>
        <v>0</v>
      </c>
      <c r="AT16" s="216">
        <f t="shared" si="29"/>
        <v>83.04</v>
      </c>
      <c r="AU16" s="291">
        <f t="shared" si="1"/>
        <v>0</v>
      </c>
      <c r="AV16" s="296">
        <f>[1]COMMANDE!O14</f>
        <v>0</v>
      </c>
      <c r="AW16" s="297" t="str">
        <f t="shared" si="30"/>
        <v>0</v>
      </c>
      <c r="AX16" s="298">
        <f t="shared" si="31"/>
        <v>0</v>
      </c>
      <c r="AY16" s="299">
        <f>[1]COMMANDE!Q14</f>
        <v>0</v>
      </c>
      <c r="AZ16" s="297" t="str">
        <f t="shared" si="32"/>
        <v>0</v>
      </c>
      <c r="BA16" s="300">
        <f t="shared" si="33"/>
        <v>0</v>
      </c>
      <c r="BB16" s="301">
        <f>[1]COMMANDE!S14</f>
        <v>0</v>
      </c>
      <c r="BC16" s="297" t="str">
        <f t="shared" si="34"/>
        <v>0</v>
      </c>
      <c r="BD16" s="298">
        <f t="shared" si="35"/>
        <v>0</v>
      </c>
      <c r="BE16" s="299">
        <f>[1]COMMANDE!U14</f>
        <v>0</v>
      </c>
      <c r="BF16" s="297" t="str">
        <f t="shared" si="36"/>
        <v>0</v>
      </c>
      <c r="BG16" s="300">
        <f t="shared" si="37"/>
        <v>0</v>
      </c>
      <c r="BH16" s="301">
        <f>[1]COMMANDE!W14</f>
        <v>0</v>
      </c>
      <c r="BI16" s="297" t="str">
        <f t="shared" si="38"/>
        <v>0</v>
      </c>
      <c r="BJ16" s="298">
        <f t="shared" si="39"/>
        <v>0</v>
      </c>
      <c r="BK16" s="299">
        <f>[1]COMMANDE!Y14</f>
        <v>0</v>
      </c>
      <c r="BL16" s="297" t="str">
        <f t="shared" si="40"/>
        <v>0</v>
      </c>
      <c r="BM16" s="300">
        <f t="shared" si="41"/>
        <v>0</v>
      </c>
      <c r="BN16" s="301">
        <f>[1]COMMANDE!AA14</f>
        <v>0</v>
      </c>
      <c r="BO16" s="297" t="str">
        <f t="shared" si="42"/>
        <v>0</v>
      </c>
      <c r="BP16" s="298">
        <f t="shared" si="43"/>
        <v>0</v>
      </c>
      <c r="BQ16" s="299">
        <f>[1]COMMANDE!AC14</f>
        <v>0</v>
      </c>
      <c r="BR16" s="297" t="str">
        <f t="shared" si="44"/>
        <v>0</v>
      </c>
      <c r="BS16" s="300">
        <f t="shared" si="45"/>
        <v>0</v>
      </c>
      <c r="BT16" s="301">
        <f>[1]COMMANDE!AE14</f>
        <v>0</v>
      </c>
      <c r="BU16" s="297" t="str">
        <f t="shared" si="46"/>
        <v>0</v>
      </c>
      <c r="BV16" s="298">
        <f t="shared" si="47"/>
        <v>0</v>
      </c>
      <c r="BW16" s="299">
        <f>[1]COMMANDE!AG14</f>
        <v>0</v>
      </c>
      <c r="BX16" s="297" t="str">
        <f t="shared" si="48"/>
        <v>0</v>
      </c>
      <c r="BY16" s="300">
        <f t="shared" si="49"/>
        <v>0</v>
      </c>
      <c r="BZ16" s="301">
        <f>[1]COMMANDE!AI14</f>
        <v>0</v>
      </c>
      <c r="CA16" s="297" t="str">
        <f t="shared" si="50"/>
        <v>0</v>
      </c>
      <c r="CB16" s="298">
        <f t="shared" si="51"/>
        <v>0</v>
      </c>
      <c r="CC16" s="299">
        <f>[1]COMMANDE!AK14</f>
        <v>0</v>
      </c>
      <c r="CD16" s="297" t="str">
        <f t="shared" si="52"/>
        <v>0</v>
      </c>
      <c r="CE16" s="300">
        <f t="shared" si="53"/>
        <v>0</v>
      </c>
      <c r="CF16" s="301">
        <f>[1]COMMANDE!AM14</f>
        <v>0</v>
      </c>
      <c r="CG16" s="297" t="str">
        <f t="shared" si="54"/>
        <v>0</v>
      </c>
      <c r="CH16" s="298">
        <f t="shared" si="55"/>
        <v>0</v>
      </c>
      <c r="CI16" s="299">
        <f>[1]COMMANDE!AO14</f>
        <v>0</v>
      </c>
      <c r="CJ16" s="297" t="str">
        <f t="shared" si="56"/>
        <v>0</v>
      </c>
      <c r="CK16" s="300">
        <f t="shared" si="57"/>
        <v>0</v>
      </c>
      <c r="CL16" s="301">
        <f>[1]COMMANDE!AQ14</f>
        <v>0</v>
      </c>
      <c r="CM16" s="297" t="str">
        <f t="shared" si="58"/>
        <v>0</v>
      </c>
      <c r="CN16" s="298">
        <f t="shared" si="59"/>
        <v>0</v>
      </c>
      <c r="CO16" s="299">
        <f>[1]COMMANDE!AS14</f>
        <v>0</v>
      </c>
      <c r="CP16" s="297" t="str">
        <f t="shared" si="60"/>
        <v>0</v>
      </c>
      <c r="CQ16" s="300">
        <f t="shared" si="61"/>
        <v>0</v>
      </c>
      <c r="CR16" s="301">
        <f>[1]COMMANDE!AU14</f>
        <v>0</v>
      </c>
      <c r="CS16" s="297" t="str">
        <f t="shared" si="62"/>
        <v>0</v>
      </c>
      <c r="CT16" s="298">
        <f t="shared" si="63"/>
        <v>0</v>
      </c>
      <c r="CU16" s="299">
        <f>[1]COMMANDE!AW14</f>
        <v>0</v>
      </c>
      <c r="CV16" s="297" t="str">
        <f t="shared" si="64"/>
        <v>0</v>
      </c>
      <c r="CW16" s="300">
        <f t="shared" si="65"/>
        <v>0</v>
      </c>
      <c r="CX16" s="301">
        <f>[1]COMMANDE!AY14</f>
        <v>0</v>
      </c>
      <c r="CY16" s="297" t="str">
        <f t="shared" si="66"/>
        <v>0</v>
      </c>
      <c r="CZ16" s="298">
        <f t="shared" si="67"/>
        <v>0</v>
      </c>
      <c r="DA16" s="299">
        <f>[1]COMMANDE!BA14</f>
        <v>0</v>
      </c>
      <c r="DB16" s="297" t="str">
        <f t="shared" si="68"/>
        <v>0</v>
      </c>
      <c r="DC16" s="302">
        <f t="shared" si="69"/>
        <v>0</v>
      </c>
      <c r="DD16" s="303"/>
      <c r="DE16" s="304"/>
    </row>
    <row r="17" spans="1:109" ht="39.950000000000003" customHeight="1" x14ac:dyDescent="0.25">
      <c r="A17" s="284">
        <f t="shared" si="2"/>
        <v>0</v>
      </c>
      <c r="B17" s="284">
        <f t="shared" si="3"/>
        <v>0</v>
      </c>
      <c r="C17" s="284">
        <f t="shared" si="4"/>
        <v>0</v>
      </c>
      <c r="D17" s="284">
        <f t="shared" si="5"/>
        <v>0</v>
      </c>
      <c r="E17" s="284">
        <f t="shared" si="6"/>
        <v>0</v>
      </c>
      <c r="F17" s="284">
        <f t="shared" si="7"/>
        <v>0</v>
      </c>
      <c r="G17" s="284">
        <f t="shared" si="8"/>
        <v>0</v>
      </c>
      <c r="H17" s="284">
        <f t="shared" si="9"/>
        <v>0</v>
      </c>
      <c r="I17" s="284">
        <f t="shared" si="10"/>
        <v>0</v>
      </c>
      <c r="J17" s="284">
        <f t="shared" si="11"/>
        <v>0</v>
      </c>
      <c r="K17" s="284">
        <f t="shared" si="12"/>
        <v>0</v>
      </c>
      <c r="L17" s="284">
        <f t="shared" si="13"/>
        <v>0</v>
      </c>
      <c r="M17" s="284">
        <f t="shared" si="14"/>
        <v>0</v>
      </c>
      <c r="N17" s="284">
        <f t="shared" si="15"/>
        <v>0</v>
      </c>
      <c r="O17" s="284">
        <f t="shared" si="16"/>
        <v>0</v>
      </c>
      <c r="P17" s="284">
        <f t="shared" si="17"/>
        <v>0</v>
      </c>
      <c r="Q17" s="284">
        <f t="shared" si="18"/>
        <v>0</v>
      </c>
      <c r="R17" s="284">
        <f t="shared" si="19"/>
        <v>0</v>
      </c>
      <c r="S17" s="284">
        <f t="shared" si="20"/>
        <v>0</v>
      </c>
      <c r="T17" s="284">
        <f t="shared" si="21"/>
        <v>0</v>
      </c>
      <c r="U17" s="285">
        <f t="shared" si="22"/>
        <v>0</v>
      </c>
      <c r="V17" s="286">
        <f>[1]BDD!A7</f>
        <v>1189</v>
      </c>
      <c r="W17" s="287" t="str">
        <f>[1]BDD!B7</f>
        <v>Algue Dulse déshydratée BIO (env. 500g)</v>
      </c>
      <c r="X17" s="288" t="str">
        <f>IF([1]BDD!F7=0, "", [1]BDD!F7)</f>
        <v>❤️</v>
      </c>
      <c r="Y17" s="214">
        <f>ROUND([1]BDD!G7+FDP_CMD_KG, 2)</f>
        <v>42.64</v>
      </c>
      <c r="Z17" s="214">
        <f>ROUND([1]BDD!G7+FDP_FACT_KG, 2)</f>
        <v>42.64</v>
      </c>
      <c r="AA17" s="215" t="str">
        <f>[1]BDD!H7</f>
        <v>Pièce</v>
      </c>
      <c r="AB17" s="225" t="str">
        <f>IF(NOT(ISBLANK([1]BDD!I7)), ROUND(SUM(([1]BDD!G7*reduc1),FDP_CMD_KG), 2), "")</f>
        <v/>
      </c>
      <c r="AC17" s="225" t="str">
        <f>IF(NOT(ISBLANK([1]BDD!J7)), ROUND(SUM(([1]BDD!G7*reduc2),FDP_CMD_KG), 2), "")</f>
        <v/>
      </c>
      <c r="AD17" s="225" t="str">
        <f>IF(NOT(ISBLANK([1]BDD!K7)), ROUND(SUM(([1]BDD!G7*reduc3),FDP_CMD_KG), 2), "")</f>
        <v/>
      </c>
      <c r="AE17" s="225" t="str">
        <f>IF(NOT(ISBLANK([1]BDD!I7)), ROUND(SUM(([1]BDD!G7*reduc1),FDP_FACT_KG), 2), "")</f>
        <v/>
      </c>
      <c r="AF17" s="225" t="str">
        <f>IF(NOT(ISBLANK([1]BDD!J7)), ROUND(SUM(([1]BDD!G7*reduc2),FDP_FACT_KG), 2), "")</f>
        <v/>
      </c>
      <c r="AG17" s="225" t="str">
        <f>IF(NOT(ISBLANK([1]BDD!K7)), ROUND(SUM(([1]BDD!G7*reduc3),FDP_FACT_KG), 2), "")</f>
        <v/>
      </c>
      <c r="AH17" s="289" t="str">
        <f>[1]BDD!C7</f>
        <v>Irlande</v>
      </c>
      <c r="AI17" s="290">
        <f t="shared" si="23"/>
        <v>0</v>
      </c>
      <c r="AJ17" s="216">
        <f t="shared" si="24"/>
        <v>42.64</v>
      </c>
      <c r="AK17" s="291">
        <f t="shared" si="25"/>
        <v>0</v>
      </c>
      <c r="AL17" s="429"/>
      <c r="AM17" s="292"/>
      <c r="AN17" s="216">
        <f t="shared" si="26"/>
        <v>42.64</v>
      </c>
      <c r="AO17" s="293">
        <f t="shared" si="27"/>
        <v>0</v>
      </c>
      <c r="AP17" s="294"/>
      <c r="AQ17" s="294"/>
      <c r="AR17" s="429"/>
      <c r="AS17" s="295">
        <f t="shared" si="28"/>
        <v>0</v>
      </c>
      <c r="AT17" s="216">
        <f t="shared" si="29"/>
        <v>42.64</v>
      </c>
      <c r="AU17" s="291">
        <f t="shared" si="1"/>
        <v>0</v>
      </c>
      <c r="AV17" s="296">
        <f>[1]COMMANDE!O15</f>
        <v>0</v>
      </c>
      <c r="AW17" s="297" t="str">
        <f t="shared" si="30"/>
        <v>0</v>
      </c>
      <c r="AX17" s="298">
        <f t="shared" si="31"/>
        <v>0</v>
      </c>
      <c r="AY17" s="299">
        <f>[1]COMMANDE!Q15</f>
        <v>0</v>
      </c>
      <c r="AZ17" s="297" t="str">
        <f t="shared" si="32"/>
        <v>0</v>
      </c>
      <c r="BA17" s="300">
        <f t="shared" si="33"/>
        <v>0</v>
      </c>
      <c r="BB17" s="301">
        <f>[1]COMMANDE!S15</f>
        <v>0</v>
      </c>
      <c r="BC17" s="297" t="str">
        <f t="shared" si="34"/>
        <v>0</v>
      </c>
      <c r="BD17" s="298">
        <f t="shared" si="35"/>
        <v>0</v>
      </c>
      <c r="BE17" s="299">
        <f>[1]COMMANDE!U15</f>
        <v>0</v>
      </c>
      <c r="BF17" s="297" t="str">
        <f t="shared" si="36"/>
        <v>0</v>
      </c>
      <c r="BG17" s="300">
        <f t="shared" si="37"/>
        <v>0</v>
      </c>
      <c r="BH17" s="301">
        <f>[1]COMMANDE!W15</f>
        <v>0</v>
      </c>
      <c r="BI17" s="297" t="str">
        <f t="shared" si="38"/>
        <v>0</v>
      </c>
      <c r="BJ17" s="298">
        <f t="shared" si="39"/>
        <v>0</v>
      </c>
      <c r="BK17" s="299">
        <f>[1]COMMANDE!Y15</f>
        <v>0</v>
      </c>
      <c r="BL17" s="297" t="str">
        <f t="shared" si="40"/>
        <v>0</v>
      </c>
      <c r="BM17" s="300">
        <f t="shared" si="41"/>
        <v>0</v>
      </c>
      <c r="BN17" s="301">
        <f>[1]COMMANDE!AA15</f>
        <v>0</v>
      </c>
      <c r="BO17" s="297" t="str">
        <f t="shared" si="42"/>
        <v>0</v>
      </c>
      <c r="BP17" s="298">
        <f t="shared" si="43"/>
        <v>0</v>
      </c>
      <c r="BQ17" s="299">
        <f>[1]COMMANDE!AC15</f>
        <v>0</v>
      </c>
      <c r="BR17" s="297" t="str">
        <f t="shared" si="44"/>
        <v>0</v>
      </c>
      <c r="BS17" s="300">
        <f t="shared" si="45"/>
        <v>0</v>
      </c>
      <c r="BT17" s="301">
        <f>[1]COMMANDE!AE15</f>
        <v>0</v>
      </c>
      <c r="BU17" s="297" t="str">
        <f t="shared" si="46"/>
        <v>0</v>
      </c>
      <c r="BV17" s="298">
        <f t="shared" si="47"/>
        <v>0</v>
      </c>
      <c r="BW17" s="299">
        <f>[1]COMMANDE!AG15</f>
        <v>0</v>
      </c>
      <c r="BX17" s="297" t="str">
        <f t="shared" si="48"/>
        <v>0</v>
      </c>
      <c r="BY17" s="300">
        <f t="shared" si="49"/>
        <v>0</v>
      </c>
      <c r="BZ17" s="301">
        <f>[1]COMMANDE!AI15</f>
        <v>0</v>
      </c>
      <c r="CA17" s="297" t="str">
        <f t="shared" si="50"/>
        <v>0</v>
      </c>
      <c r="CB17" s="298">
        <f t="shared" si="51"/>
        <v>0</v>
      </c>
      <c r="CC17" s="299">
        <f>[1]COMMANDE!AK15</f>
        <v>0</v>
      </c>
      <c r="CD17" s="297" t="str">
        <f t="shared" si="52"/>
        <v>0</v>
      </c>
      <c r="CE17" s="300">
        <f t="shared" si="53"/>
        <v>0</v>
      </c>
      <c r="CF17" s="301">
        <f>[1]COMMANDE!AM15</f>
        <v>0</v>
      </c>
      <c r="CG17" s="297" t="str">
        <f t="shared" si="54"/>
        <v>0</v>
      </c>
      <c r="CH17" s="298">
        <f t="shared" si="55"/>
        <v>0</v>
      </c>
      <c r="CI17" s="299">
        <f>[1]COMMANDE!AO15</f>
        <v>0</v>
      </c>
      <c r="CJ17" s="297" t="str">
        <f t="shared" si="56"/>
        <v>0</v>
      </c>
      <c r="CK17" s="300">
        <f t="shared" si="57"/>
        <v>0</v>
      </c>
      <c r="CL17" s="301">
        <f>[1]COMMANDE!AQ15</f>
        <v>0</v>
      </c>
      <c r="CM17" s="297" t="str">
        <f t="shared" si="58"/>
        <v>0</v>
      </c>
      <c r="CN17" s="298">
        <f t="shared" si="59"/>
        <v>0</v>
      </c>
      <c r="CO17" s="299">
        <f>[1]COMMANDE!AS15</f>
        <v>0</v>
      </c>
      <c r="CP17" s="297" t="str">
        <f t="shared" si="60"/>
        <v>0</v>
      </c>
      <c r="CQ17" s="300">
        <f t="shared" si="61"/>
        <v>0</v>
      </c>
      <c r="CR17" s="301">
        <f>[1]COMMANDE!AU15</f>
        <v>0</v>
      </c>
      <c r="CS17" s="297" t="str">
        <f t="shared" si="62"/>
        <v>0</v>
      </c>
      <c r="CT17" s="298">
        <f t="shared" si="63"/>
        <v>0</v>
      </c>
      <c r="CU17" s="299">
        <f>[1]COMMANDE!AW15</f>
        <v>0</v>
      </c>
      <c r="CV17" s="297" t="str">
        <f t="shared" si="64"/>
        <v>0</v>
      </c>
      <c r="CW17" s="300">
        <f t="shared" si="65"/>
        <v>0</v>
      </c>
      <c r="CX17" s="301">
        <f>[1]COMMANDE!AY15</f>
        <v>0</v>
      </c>
      <c r="CY17" s="297" t="str">
        <f t="shared" si="66"/>
        <v>0</v>
      </c>
      <c r="CZ17" s="298">
        <f t="shared" si="67"/>
        <v>0</v>
      </c>
      <c r="DA17" s="299">
        <f>[1]COMMANDE!BA15</f>
        <v>0</v>
      </c>
      <c r="DB17" s="297" t="str">
        <f t="shared" si="68"/>
        <v>0</v>
      </c>
      <c r="DC17" s="302">
        <f t="shared" si="69"/>
        <v>0</v>
      </c>
      <c r="DD17" s="303"/>
      <c r="DE17" s="304"/>
    </row>
    <row r="18" spans="1:109" ht="39.950000000000003" customHeight="1" x14ac:dyDescent="0.25">
      <c r="A18" s="284">
        <f t="shared" si="2"/>
        <v>0</v>
      </c>
      <c r="B18" s="284">
        <f t="shared" si="3"/>
        <v>0</v>
      </c>
      <c r="C18" s="284">
        <f t="shared" si="4"/>
        <v>0</v>
      </c>
      <c r="D18" s="284">
        <f t="shared" si="5"/>
        <v>0</v>
      </c>
      <c r="E18" s="284">
        <f t="shared" si="6"/>
        <v>0</v>
      </c>
      <c r="F18" s="284">
        <f t="shared" si="7"/>
        <v>0</v>
      </c>
      <c r="G18" s="284">
        <f t="shared" si="8"/>
        <v>0</v>
      </c>
      <c r="H18" s="284">
        <f t="shared" si="9"/>
        <v>0</v>
      </c>
      <c r="I18" s="284">
        <f t="shared" si="10"/>
        <v>0</v>
      </c>
      <c r="J18" s="284">
        <f t="shared" si="11"/>
        <v>0</v>
      </c>
      <c r="K18" s="284">
        <f t="shared" si="12"/>
        <v>0</v>
      </c>
      <c r="L18" s="284">
        <f t="shared" si="13"/>
        <v>0</v>
      </c>
      <c r="M18" s="284">
        <f t="shared" si="14"/>
        <v>0</v>
      </c>
      <c r="N18" s="284">
        <f t="shared" si="15"/>
        <v>0</v>
      </c>
      <c r="O18" s="284">
        <f t="shared" si="16"/>
        <v>0</v>
      </c>
      <c r="P18" s="284">
        <f t="shared" si="17"/>
        <v>0</v>
      </c>
      <c r="Q18" s="284">
        <f t="shared" si="18"/>
        <v>0</v>
      </c>
      <c r="R18" s="284">
        <f t="shared" si="19"/>
        <v>0</v>
      </c>
      <c r="S18" s="284">
        <f t="shared" si="20"/>
        <v>0</v>
      </c>
      <c r="T18" s="284">
        <f t="shared" si="21"/>
        <v>0</v>
      </c>
      <c r="U18" s="285">
        <f t="shared" si="22"/>
        <v>0</v>
      </c>
      <c r="V18" s="286">
        <f>[1]BDD!A8</f>
        <v>5247</v>
      </c>
      <c r="W18" s="287" t="str">
        <f>[1]BDD!B8</f>
        <v>Algue Gracilasa charnue fraiche (env. 100g).</v>
      </c>
      <c r="X18" s="288" t="str">
        <f>IF([1]BDD!F8=0, "", [1]BDD!F8)</f>
        <v/>
      </c>
      <c r="Y18" s="214">
        <f>ROUND([1]BDD!G8+FDP_CMD_KG, 2)</f>
        <v>4.1399999999999997</v>
      </c>
      <c r="Z18" s="214">
        <f>ROUND([1]BDD!G8+FDP_FACT_KG, 2)</f>
        <v>4.1399999999999997</v>
      </c>
      <c r="AA18" s="215" t="str">
        <f>[1]BDD!H8</f>
        <v>Pièce</v>
      </c>
      <c r="AB18" s="225" t="str">
        <f>IF(NOT(ISBLANK([1]BDD!I8)), ROUND(SUM(([1]BDD!G8*reduc1),FDP_CMD_KG), 2), "")</f>
        <v/>
      </c>
      <c r="AC18" s="225" t="str">
        <f>IF(NOT(ISBLANK([1]BDD!J8)), ROUND(SUM(([1]BDD!G8*reduc2),FDP_CMD_KG), 2), "")</f>
        <v/>
      </c>
      <c r="AD18" s="225" t="str">
        <f>IF(NOT(ISBLANK([1]BDD!K8)), ROUND(SUM(([1]BDD!G8*reduc3),FDP_CMD_KG), 2), "")</f>
        <v/>
      </c>
      <c r="AE18" s="225" t="str">
        <f>IF(NOT(ISBLANK([1]BDD!I8)), ROUND(SUM(([1]BDD!G8*reduc1),FDP_FACT_KG), 2), "")</f>
        <v/>
      </c>
      <c r="AF18" s="225" t="str">
        <f>IF(NOT(ISBLANK([1]BDD!J8)), ROUND(SUM(([1]BDD!G8*reduc2),FDP_FACT_KG), 2), "")</f>
        <v/>
      </c>
      <c r="AG18" s="225" t="str">
        <f>IF(NOT(ISBLANK([1]BDD!K8)), ROUND(SUM(([1]BDD!G8*reduc3),FDP_FACT_KG), 2), "")</f>
        <v/>
      </c>
      <c r="AH18" s="289" t="str">
        <f>[1]BDD!C8</f>
        <v>Galice</v>
      </c>
      <c r="AI18" s="290">
        <f t="shared" si="23"/>
        <v>0</v>
      </c>
      <c r="AJ18" s="216">
        <f t="shared" si="24"/>
        <v>4.1399999999999997</v>
      </c>
      <c r="AK18" s="291">
        <f t="shared" si="25"/>
        <v>0</v>
      </c>
      <c r="AL18" s="429"/>
      <c r="AM18" s="292"/>
      <c r="AN18" s="216">
        <f t="shared" si="26"/>
        <v>4.1399999999999997</v>
      </c>
      <c r="AO18" s="293">
        <f t="shared" si="27"/>
        <v>0</v>
      </c>
      <c r="AP18" s="294"/>
      <c r="AQ18" s="294"/>
      <c r="AR18" s="429"/>
      <c r="AS18" s="295">
        <f t="shared" si="28"/>
        <v>0</v>
      </c>
      <c r="AT18" s="216">
        <f t="shared" si="29"/>
        <v>4.1399999999999997</v>
      </c>
      <c r="AU18" s="291">
        <f t="shared" si="1"/>
        <v>0</v>
      </c>
      <c r="AV18" s="296">
        <f>[1]COMMANDE!O16</f>
        <v>0</v>
      </c>
      <c r="AW18" s="297" t="str">
        <f t="shared" si="30"/>
        <v>0</v>
      </c>
      <c r="AX18" s="298">
        <f t="shared" si="31"/>
        <v>0</v>
      </c>
      <c r="AY18" s="299">
        <f>[1]COMMANDE!Q16</f>
        <v>0</v>
      </c>
      <c r="AZ18" s="297" t="str">
        <f t="shared" si="32"/>
        <v>0</v>
      </c>
      <c r="BA18" s="300">
        <f t="shared" si="33"/>
        <v>0</v>
      </c>
      <c r="BB18" s="301">
        <f>[1]COMMANDE!S16</f>
        <v>0</v>
      </c>
      <c r="BC18" s="297" t="str">
        <f t="shared" si="34"/>
        <v>0</v>
      </c>
      <c r="BD18" s="298">
        <f t="shared" si="35"/>
        <v>0</v>
      </c>
      <c r="BE18" s="299">
        <f>[1]COMMANDE!U16</f>
        <v>0</v>
      </c>
      <c r="BF18" s="297" t="str">
        <f t="shared" si="36"/>
        <v>0</v>
      </c>
      <c r="BG18" s="300">
        <f t="shared" si="37"/>
        <v>0</v>
      </c>
      <c r="BH18" s="301">
        <f>[1]COMMANDE!W16</f>
        <v>0</v>
      </c>
      <c r="BI18" s="297" t="str">
        <f t="shared" si="38"/>
        <v>0</v>
      </c>
      <c r="BJ18" s="298">
        <f t="shared" si="39"/>
        <v>0</v>
      </c>
      <c r="BK18" s="299">
        <f>[1]COMMANDE!Y16</f>
        <v>0</v>
      </c>
      <c r="BL18" s="297" t="str">
        <f t="shared" si="40"/>
        <v>0</v>
      </c>
      <c r="BM18" s="300">
        <f t="shared" si="41"/>
        <v>0</v>
      </c>
      <c r="BN18" s="301">
        <f>[1]COMMANDE!AA16</f>
        <v>0</v>
      </c>
      <c r="BO18" s="297" t="str">
        <f t="shared" si="42"/>
        <v>0</v>
      </c>
      <c r="BP18" s="298">
        <f t="shared" si="43"/>
        <v>0</v>
      </c>
      <c r="BQ18" s="299">
        <f>[1]COMMANDE!AC16</f>
        <v>0</v>
      </c>
      <c r="BR18" s="297" t="str">
        <f t="shared" si="44"/>
        <v>0</v>
      </c>
      <c r="BS18" s="300">
        <f t="shared" si="45"/>
        <v>0</v>
      </c>
      <c r="BT18" s="301">
        <f>[1]COMMANDE!AE16</f>
        <v>0</v>
      </c>
      <c r="BU18" s="297" t="str">
        <f t="shared" si="46"/>
        <v>0</v>
      </c>
      <c r="BV18" s="298">
        <f t="shared" si="47"/>
        <v>0</v>
      </c>
      <c r="BW18" s="299">
        <f>[1]COMMANDE!AG16</f>
        <v>0</v>
      </c>
      <c r="BX18" s="297" t="str">
        <f t="shared" si="48"/>
        <v>0</v>
      </c>
      <c r="BY18" s="300">
        <f t="shared" si="49"/>
        <v>0</v>
      </c>
      <c r="BZ18" s="301">
        <f>[1]COMMANDE!AI16</f>
        <v>0</v>
      </c>
      <c r="CA18" s="297" t="str">
        <f t="shared" si="50"/>
        <v>0</v>
      </c>
      <c r="CB18" s="298">
        <f t="shared" si="51"/>
        <v>0</v>
      </c>
      <c r="CC18" s="299">
        <f>[1]COMMANDE!AK16</f>
        <v>0</v>
      </c>
      <c r="CD18" s="297" t="str">
        <f t="shared" si="52"/>
        <v>0</v>
      </c>
      <c r="CE18" s="300">
        <f t="shared" si="53"/>
        <v>0</v>
      </c>
      <c r="CF18" s="301">
        <f>[1]COMMANDE!AM16</f>
        <v>0</v>
      </c>
      <c r="CG18" s="297" t="str">
        <f t="shared" si="54"/>
        <v>0</v>
      </c>
      <c r="CH18" s="298">
        <f t="shared" si="55"/>
        <v>0</v>
      </c>
      <c r="CI18" s="299">
        <f>[1]COMMANDE!AO16</f>
        <v>0</v>
      </c>
      <c r="CJ18" s="297" t="str">
        <f t="shared" si="56"/>
        <v>0</v>
      </c>
      <c r="CK18" s="300">
        <f t="shared" si="57"/>
        <v>0</v>
      </c>
      <c r="CL18" s="301">
        <f>[1]COMMANDE!AQ16</f>
        <v>0</v>
      </c>
      <c r="CM18" s="297" t="str">
        <f t="shared" si="58"/>
        <v>0</v>
      </c>
      <c r="CN18" s="298">
        <f t="shared" si="59"/>
        <v>0</v>
      </c>
      <c r="CO18" s="299">
        <f>[1]COMMANDE!AS16</f>
        <v>0</v>
      </c>
      <c r="CP18" s="297" t="str">
        <f t="shared" si="60"/>
        <v>0</v>
      </c>
      <c r="CQ18" s="300">
        <f t="shared" si="61"/>
        <v>0</v>
      </c>
      <c r="CR18" s="301">
        <f>[1]COMMANDE!AU16</f>
        <v>0</v>
      </c>
      <c r="CS18" s="297" t="str">
        <f t="shared" si="62"/>
        <v>0</v>
      </c>
      <c r="CT18" s="298">
        <f t="shared" si="63"/>
        <v>0</v>
      </c>
      <c r="CU18" s="299">
        <f>[1]COMMANDE!AW16</f>
        <v>0</v>
      </c>
      <c r="CV18" s="297" t="str">
        <f t="shared" si="64"/>
        <v>0</v>
      </c>
      <c r="CW18" s="300">
        <f t="shared" si="65"/>
        <v>0</v>
      </c>
      <c r="CX18" s="301">
        <f>[1]COMMANDE!AY16</f>
        <v>0</v>
      </c>
      <c r="CY18" s="297" t="str">
        <f t="shared" si="66"/>
        <v>0</v>
      </c>
      <c r="CZ18" s="298">
        <f t="shared" si="67"/>
        <v>0</v>
      </c>
      <c r="DA18" s="299">
        <f>[1]COMMANDE!BA16</f>
        <v>0</v>
      </c>
      <c r="DB18" s="297" t="str">
        <f t="shared" si="68"/>
        <v>0</v>
      </c>
      <c r="DC18" s="302">
        <f t="shared" si="69"/>
        <v>0</v>
      </c>
      <c r="DD18" s="303"/>
      <c r="DE18" s="304"/>
    </row>
    <row r="19" spans="1:109" ht="39.950000000000003" customHeight="1" x14ac:dyDescent="0.25">
      <c r="A19" s="284">
        <f t="shared" si="2"/>
        <v>0</v>
      </c>
      <c r="B19" s="284">
        <f t="shared" si="3"/>
        <v>0</v>
      </c>
      <c r="C19" s="284">
        <f t="shared" si="4"/>
        <v>0</v>
      </c>
      <c r="D19" s="284">
        <f t="shared" si="5"/>
        <v>0</v>
      </c>
      <c r="E19" s="284">
        <f t="shared" si="6"/>
        <v>0</v>
      </c>
      <c r="F19" s="284">
        <f t="shared" si="7"/>
        <v>0</v>
      </c>
      <c r="G19" s="284">
        <f t="shared" si="8"/>
        <v>0</v>
      </c>
      <c r="H19" s="284">
        <f t="shared" si="9"/>
        <v>0</v>
      </c>
      <c r="I19" s="284">
        <f t="shared" si="10"/>
        <v>0</v>
      </c>
      <c r="J19" s="284">
        <f t="shared" si="11"/>
        <v>0</v>
      </c>
      <c r="K19" s="284">
        <f t="shared" si="12"/>
        <v>0</v>
      </c>
      <c r="L19" s="284">
        <f t="shared" si="13"/>
        <v>0</v>
      </c>
      <c r="M19" s="284">
        <f t="shared" si="14"/>
        <v>0</v>
      </c>
      <c r="N19" s="284">
        <f t="shared" si="15"/>
        <v>0</v>
      </c>
      <c r="O19" s="284">
        <f t="shared" si="16"/>
        <v>0</v>
      </c>
      <c r="P19" s="284">
        <f t="shared" si="17"/>
        <v>0</v>
      </c>
      <c r="Q19" s="284">
        <f t="shared" si="18"/>
        <v>0</v>
      </c>
      <c r="R19" s="284">
        <f t="shared" si="19"/>
        <v>0</v>
      </c>
      <c r="S19" s="284">
        <f t="shared" si="20"/>
        <v>0</v>
      </c>
      <c r="T19" s="284">
        <f t="shared" si="21"/>
        <v>0</v>
      </c>
      <c r="U19" s="285">
        <f t="shared" si="22"/>
        <v>0</v>
      </c>
      <c r="V19" s="286">
        <f>[1]BDD!A9</f>
        <v>6073</v>
      </c>
      <c r="W19" s="287" t="str">
        <f>[1]BDD!B9</f>
        <v>Algue Kombu déshydratées BIO (env. 1kg)</v>
      </c>
      <c r="X19" s="288" t="str">
        <f>IF([1]BDD!F9=0, "", [1]BDD!F9)</f>
        <v>❤️</v>
      </c>
      <c r="Y19" s="214">
        <f>ROUND([1]BDD!G9+FDP_CMD_KG, 2)</f>
        <v>38.53</v>
      </c>
      <c r="Z19" s="214">
        <f>ROUND([1]BDD!G9+FDP_FACT_KG, 2)</f>
        <v>38.53</v>
      </c>
      <c r="AA19" s="215" t="str">
        <f>[1]BDD!H9</f>
        <v>Pièce</v>
      </c>
      <c r="AB19" s="225" t="str">
        <f>IF(NOT(ISBLANK([1]BDD!I9)), ROUND(SUM(([1]BDD!G9*reduc1),FDP_CMD_KG), 2), "")</f>
        <v/>
      </c>
      <c r="AC19" s="225" t="str">
        <f>IF(NOT(ISBLANK([1]BDD!J9)), ROUND(SUM(([1]BDD!G9*reduc2),FDP_CMD_KG), 2), "")</f>
        <v/>
      </c>
      <c r="AD19" s="225" t="str">
        <f>IF(NOT(ISBLANK([1]BDD!K9)), ROUND(SUM(([1]BDD!G9*reduc3),FDP_CMD_KG), 2), "")</f>
        <v/>
      </c>
      <c r="AE19" s="225" t="str">
        <f>IF(NOT(ISBLANK([1]BDD!I9)), ROUND(SUM(([1]BDD!G9*reduc1),FDP_FACT_KG), 2), "")</f>
        <v/>
      </c>
      <c r="AF19" s="225" t="str">
        <f>IF(NOT(ISBLANK([1]BDD!J9)), ROUND(SUM(([1]BDD!G9*reduc2),FDP_FACT_KG), 2), "")</f>
        <v/>
      </c>
      <c r="AG19" s="225" t="str">
        <f>IF(NOT(ISBLANK([1]BDD!K9)), ROUND(SUM(([1]BDD!G9*reduc3),FDP_FACT_KG), 2), "")</f>
        <v/>
      </c>
      <c r="AH19" s="289" t="str">
        <f>[1]BDD!C9</f>
        <v>Galice</v>
      </c>
      <c r="AI19" s="290">
        <f t="shared" si="23"/>
        <v>0</v>
      </c>
      <c r="AJ19" s="216">
        <f t="shared" si="24"/>
        <v>38.53</v>
      </c>
      <c r="AK19" s="291">
        <f t="shared" si="25"/>
        <v>0</v>
      </c>
      <c r="AL19" s="429"/>
      <c r="AM19" s="292"/>
      <c r="AN19" s="216">
        <f t="shared" si="26"/>
        <v>38.53</v>
      </c>
      <c r="AO19" s="293">
        <f t="shared" si="27"/>
        <v>0</v>
      </c>
      <c r="AP19" s="294"/>
      <c r="AQ19" s="294"/>
      <c r="AR19" s="429"/>
      <c r="AS19" s="295">
        <f t="shared" si="28"/>
        <v>0</v>
      </c>
      <c r="AT19" s="216">
        <f t="shared" si="29"/>
        <v>38.53</v>
      </c>
      <c r="AU19" s="291">
        <f t="shared" si="1"/>
        <v>0</v>
      </c>
      <c r="AV19" s="296">
        <f>[1]COMMANDE!O17</f>
        <v>0</v>
      </c>
      <c r="AW19" s="297" t="str">
        <f t="shared" si="30"/>
        <v>0</v>
      </c>
      <c r="AX19" s="298">
        <f t="shared" si="31"/>
        <v>0</v>
      </c>
      <c r="AY19" s="299">
        <f>[1]COMMANDE!Q17</f>
        <v>0</v>
      </c>
      <c r="AZ19" s="297" t="str">
        <f t="shared" si="32"/>
        <v>0</v>
      </c>
      <c r="BA19" s="300">
        <f t="shared" si="33"/>
        <v>0</v>
      </c>
      <c r="BB19" s="301">
        <f>[1]COMMANDE!S17</f>
        <v>0</v>
      </c>
      <c r="BC19" s="297" t="str">
        <f t="shared" si="34"/>
        <v>0</v>
      </c>
      <c r="BD19" s="298">
        <f t="shared" si="35"/>
        <v>0</v>
      </c>
      <c r="BE19" s="299">
        <f>[1]COMMANDE!U17</f>
        <v>0</v>
      </c>
      <c r="BF19" s="297" t="str">
        <f t="shared" si="36"/>
        <v>0</v>
      </c>
      <c r="BG19" s="300">
        <f t="shared" si="37"/>
        <v>0</v>
      </c>
      <c r="BH19" s="301">
        <f>[1]COMMANDE!W17</f>
        <v>0</v>
      </c>
      <c r="BI19" s="297" t="str">
        <f t="shared" si="38"/>
        <v>0</v>
      </c>
      <c r="BJ19" s="298">
        <f t="shared" si="39"/>
        <v>0</v>
      </c>
      <c r="BK19" s="299">
        <f>[1]COMMANDE!Y17</f>
        <v>0</v>
      </c>
      <c r="BL19" s="297" t="str">
        <f t="shared" si="40"/>
        <v>0</v>
      </c>
      <c r="BM19" s="300">
        <f t="shared" si="41"/>
        <v>0</v>
      </c>
      <c r="BN19" s="301">
        <f>[1]COMMANDE!AA17</f>
        <v>0</v>
      </c>
      <c r="BO19" s="297" t="str">
        <f t="shared" si="42"/>
        <v>0</v>
      </c>
      <c r="BP19" s="298">
        <f t="shared" si="43"/>
        <v>0</v>
      </c>
      <c r="BQ19" s="299">
        <f>[1]COMMANDE!AC17</f>
        <v>0</v>
      </c>
      <c r="BR19" s="297" t="str">
        <f t="shared" si="44"/>
        <v>0</v>
      </c>
      <c r="BS19" s="300">
        <f t="shared" si="45"/>
        <v>0</v>
      </c>
      <c r="BT19" s="301">
        <f>[1]COMMANDE!AE17</f>
        <v>0</v>
      </c>
      <c r="BU19" s="297" t="str">
        <f t="shared" si="46"/>
        <v>0</v>
      </c>
      <c r="BV19" s="298">
        <f t="shared" si="47"/>
        <v>0</v>
      </c>
      <c r="BW19" s="299">
        <f>[1]COMMANDE!AG17</f>
        <v>0</v>
      </c>
      <c r="BX19" s="297" t="str">
        <f t="shared" si="48"/>
        <v>0</v>
      </c>
      <c r="BY19" s="300">
        <f t="shared" si="49"/>
        <v>0</v>
      </c>
      <c r="BZ19" s="301">
        <f>[1]COMMANDE!AI17</f>
        <v>0</v>
      </c>
      <c r="CA19" s="297" t="str">
        <f t="shared" si="50"/>
        <v>0</v>
      </c>
      <c r="CB19" s="298">
        <f t="shared" si="51"/>
        <v>0</v>
      </c>
      <c r="CC19" s="299">
        <f>[1]COMMANDE!AK17</f>
        <v>0</v>
      </c>
      <c r="CD19" s="297" t="str">
        <f t="shared" si="52"/>
        <v>0</v>
      </c>
      <c r="CE19" s="300">
        <f t="shared" si="53"/>
        <v>0</v>
      </c>
      <c r="CF19" s="301">
        <f>[1]COMMANDE!AM17</f>
        <v>0</v>
      </c>
      <c r="CG19" s="297" t="str">
        <f t="shared" si="54"/>
        <v>0</v>
      </c>
      <c r="CH19" s="298">
        <f t="shared" si="55"/>
        <v>0</v>
      </c>
      <c r="CI19" s="299">
        <f>[1]COMMANDE!AO17</f>
        <v>0</v>
      </c>
      <c r="CJ19" s="297" t="str">
        <f t="shared" si="56"/>
        <v>0</v>
      </c>
      <c r="CK19" s="300">
        <f t="shared" si="57"/>
        <v>0</v>
      </c>
      <c r="CL19" s="301">
        <f>[1]COMMANDE!AQ17</f>
        <v>0</v>
      </c>
      <c r="CM19" s="297" t="str">
        <f t="shared" si="58"/>
        <v>0</v>
      </c>
      <c r="CN19" s="298">
        <f t="shared" si="59"/>
        <v>0</v>
      </c>
      <c r="CO19" s="299">
        <f>[1]COMMANDE!AS17</f>
        <v>0</v>
      </c>
      <c r="CP19" s="297" t="str">
        <f t="shared" si="60"/>
        <v>0</v>
      </c>
      <c r="CQ19" s="300">
        <f t="shared" si="61"/>
        <v>0</v>
      </c>
      <c r="CR19" s="301">
        <f>[1]COMMANDE!AU17</f>
        <v>0</v>
      </c>
      <c r="CS19" s="297" t="str">
        <f t="shared" si="62"/>
        <v>0</v>
      </c>
      <c r="CT19" s="298">
        <f t="shared" si="63"/>
        <v>0</v>
      </c>
      <c r="CU19" s="299">
        <f>[1]COMMANDE!AW17</f>
        <v>0</v>
      </c>
      <c r="CV19" s="297" t="str">
        <f t="shared" si="64"/>
        <v>0</v>
      </c>
      <c r="CW19" s="300">
        <f t="shared" si="65"/>
        <v>0</v>
      </c>
      <c r="CX19" s="301">
        <f>[1]COMMANDE!AY17</f>
        <v>0</v>
      </c>
      <c r="CY19" s="297" t="str">
        <f t="shared" si="66"/>
        <v>0</v>
      </c>
      <c r="CZ19" s="298">
        <f t="shared" si="67"/>
        <v>0</v>
      </c>
      <c r="DA19" s="299">
        <f>[1]COMMANDE!BA17</f>
        <v>0</v>
      </c>
      <c r="DB19" s="297" t="str">
        <f t="shared" si="68"/>
        <v>0</v>
      </c>
      <c r="DC19" s="302">
        <f t="shared" si="69"/>
        <v>0</v>
      </c>
      <c r="DD19" s="303"/>
      <c r="DE19" s="304"/>
    </row>
    <row r="20" spans="1:109" ht="39.950000000000003" customHeight="1" x14ac:dyDescent="0.25">
      <c r="A20" s="284">
        <f t="shared" si="2"/>
        <v>0</v>
      </c>
      <c r="B20" s="284">
        <f t="shared" si="3"/>
        <v>0</v>
      </c>
      <c r="C20" s="284">
        <f t="shared" si="4"/>
        <v>0</v>
      </c>
      <c r="D20" s="284">
        <f t="shared" si="5"/>
        <v>0</v>
      </c>
      <c r="E20" s="284">
        <f t="shared" si="6"/>
        <v>0</v>
      </c>
      <c r="F20" s="284">
        <f t="shared" si="7"/>
        <v>0</v>
      </c>
      <c r="G20" s="284">
        <f t="shared" si="8"/>
        <v>0</v>
      </c>
      <c r="H20" s="284">
        <f t="shared" si="9"/>
        <v>0</v>
      </c>
      <c r="I20" s="284">
        <f t="shared" si="10"/>
        <v>0</v>
      </c>
      <c r="J20" s="284">
        <f t="shared" si="11"/>
        <v>0</v>
      </c>
      <c r="K20" s="284">
        <f t="shared" si="12"/>
        <v>0</v>
      </c>
      <c r="L20" s="284">
        <f t="shared" si="13"/>
        <v>0</v>
      </c>
      <c r="M20" s="284">
        <f t="shared" si="14"/>
        <v>0</v>
      </c>
      <c r="N20" s="284">
        <f t="shared" si="15"/>
        <v>0</v>
      </c>
      <c r="O20" s="284">
        <f t="shared" si="16"/>
        <v>0</v>
      </c>
      <c r="P20" s="284">
        <f t="shared" si="17"/>
        <v>0</v>
      </c>
      <c r="Q20" s="284">
        <f t="shared" si="18"/>
        <v>0</v>
      </c>
      <c r="R20" s="284">
        <f t="shared" si="19"/>
        <v>0</v>
      </c>
      <c r="S20" s="284">
        <f t="shared" si="20"/>
        <v>0</v>
      </c>
      <c r="T20" s="284">
        <f t="shared" si="21"/>
        <v>0</v>
      </c>
      <c r="U20" s="285">
        <f t="shared" si="22"/>
        <v>0</v>
      </c>
      <c r="V20" s="286">
        <f>[1]BDD!A10</f>
        <v>6073</v>
      </c>
      <c r="W20" s="287" t="str">
        <f>[1]BDD!B10</f>
        <v>Algue Kombu déshydratées BIO (env. 500g)</v>
      </c>
      <c r="X20" s="288" t="str">
        <f>IF([1]BDD!F10=0, "", [1]BDD!F10)</f>
        <v>❤️</v>
      </c>
      <c r="Y20" s="214">
        <f>ROUND([1]BDD!G10+FDP_CMD_KG, 2)</f>
        <v>20.45</v>
      </c>
      <c r="Z20" s="214">
        <f>ROUND([1]BDD!G10+FDP_FACT_KG, 2)</f>
        <v>20.45</v>
      </c>
      <c r="AA20" s="215" t="str">
        <f>[1]BDD!H10</f>
        <v>Pièce</v>
      </c>
      <c r="AB20" s="225" t="str">
        <f>IF(NOT(ISBLANK([1]BDD!I10)), ROUND(SUM(([1]BDD!G10*reduc1),FDP_CMD_KG), 2), "")</f>
        <v/>
      </c>
      <c r="AC20" s="225" t="str">
        <f>IF(NOT(ISBLANK([1]BDD!J10)), ROUND(SUM(([1]BDD!G10*reduc2),FDP_CMD_KG), 2), "")</f>
        <v/>
      </c>
      <c r="AD20" s="225" t="str">
        <f>IF(NOT(ISBLANK([1]BDD!K10)), ROUND(SUM(([1]BDD!G10*reduc3),FDP_CMD_KG), 2), "")</f>
        <v/>
      </c>
      <c r="AE20" s="225" t="str">
        <f>IF(NOT(ISBLANK([1]BDD!I10)), ROUND(SUM(([1]BDD!G10*reduc1),FDP_FACT_KG), 2), "")</f>
        <v/>
      </c>
      <c r="AF20" s="225" t="str">
        <f>IF(NOT(ISBLANK([1]BDD!J10)), ROUND(SUM(([1]BDD!G10*reduc2),FDP_FACT_KG), 2), "")</f>
        <v/>
      </c>
      <c r="AG20" s="225" t="str">
        <f>IF(NOT(ISBLANK([1]BDD!K10)), ROUND(SUM(([1]BDD!G10*reduc3),FDP_FACT_KG), 2), "")</f>
        <v/>
      </c>
      <c r="AH20" s="289" t="str">
        <f>[1]BDD!C10</f>
        <v>Galice</v>
      </c>
      <c r="AI20" s="290">
        <f t="shared" si="23"/>
        <v>0</v>
      </c>
      <c r="AJ20" s="216">
        <f t="shared" si="24"/>
        <v>20.45</v>
      </c>
      <c r="AK20" s="291">
        <f t="shared" si="25"/>
        <v>0</v>
      </c>
      <c r="AL20" s="429"/>
      <c r="AM20" s="292"/>
      <c r="AN20" s="216">
        <f t="shared" si="26"/>
        <v>20.45</v>
      </c>
      <c r="AO20" s="293">
        <f t="shared" si="27"/>
        <v>0</v>
      </c>
      <c r="AP20" s="294"/>
      <c r="AQ20" s="294"/>
      <c r="AR20" s="429"/>
      <c r="AS20" s="295">
        <f t="shared" si="28"/>
        <v>0</v>
      </c>
      <c r="AT20" s="216">
        <f t="shared" si="29"/>
        <v>20.45</v>
      </c>
      <c r="AU20" s="291">
        <f t="shared" si="1"/>
        <v>0</v>
      </c>
      <c r="AV20" s="296">
        <f>[1]COMMANDE!O18</f>
        <v>0</v>
      </c>
      <c r="AW20" s="297" t="str">
        <f t="shared" si="30"/>
        <v>0</v>
      </c>
      <c r="AX20" s="298">
        <f t="shared" si="31"/>
        <v>0</v>
      </c>
      <c r="AY20" s="299">
        <f>[1]COMMANDE!Q18</f>
        <v>0</v>
      </c>
      <c r="AZ20" s="297" t="str">
        <f t="shared" si="32"/>
        <v>0</v>
      </c>
      <c r="BA20" s="300">
        <f t="shared" si="33"/>
        <v>0</v>
      </c>
      <c r="BB20" s="301">
        <f>[1]COMMANDE!S18</f>
        <v>0</v>
      </c>
      <c r="BC20" s="297" t="str">
        <f t="shared" si="34"/>
        <v>0</v>
      </c>
      <c r="BD20" s="298">
        <f t="shared" si="35"/>
        <v>0</v>
      </c>
      <c r="BE20" s="299">
        <f>[1]COMMANDE!U18</f>
        <v>0</v>
      </c>
      <c r="BF20" s="297" t="str">
        <f t="shared" si="36"/>
        <v>0</v>
      </c>
      <c r="BG20" s="300">
        <f t="shared" si="37"/>
        <v>0</v>
      </c>
      <c r="BH20" s="301">
        <f>[1]COMMANDE!W18</f>
        <v>0</v>
      </c>
      <c r="BI20" s="297" t="str">
        <f t="shared" si="38"/>
        <v>0</v>
      </c>
      <c r="BJ20" s="298">
        <f t="shared" si="39"/>
        <v>0</v>
      </c>
      <c r="BK20" s="299">
        <f>[1]COMMANDE!Y18</f>
        <v>0</v>
      </c>
      <c r="BL20" s="297" t="str">
        <f t="shared" si="40"/>
        <v>0</v>
      </c>
      <c r="BM20" s="300">
        <f t="shared" si="41"/>
        <v>0</v>
      </c>
      <c r="BN20" s="301">
        <f>[1]COMMANDE!AA18</f>
        <v>0</v>
      </c>
      <c r="BO20" s="297" t="str">
        <f t="shared" si="42"/>
        <v>0</v>
      </c>
      <c r="BP20" s="298">
        <f t="shared" si="43"/>
        <v>0</v>
      </c>
      <c r="BQ20" s="299">
        <f>[1]COMMANDE!AC18</f>
        <v>0</v>
      </c>
      <c r="BR20" s="297" t="str">
        <f t="shared" si="44"/>
        <v>0</v>
      </c>
      <c r="BS20" s="300">
        <f t="shared" si="45"/>
        <v>0</v>
      </c>
      <c r="BT20" s="301">
        <f>[1]COMMANDE!AE18</f>
        <v>0</v>
      </c>
      <c r="BU20" s="297" t="str">
        <f t="shared" si="46"/>
        <v>0</v>
      </c>
      <c r="BV20" s="298">
        <f t="shared" si="47"/>
        <v>0</v>
      </c>
      <c r="BW20" s="299">
        <f>[1]COMMANDE!AG18</f>
        <v>0</v>
      </c>
      <c r="BX20" s="297" t="str">
        <f t="shared" si="48"/>
        <v>0</v>
      </c>
      <c r="BY20" s="300">
        <f t="shared" si="49"/>
        <v>0</v>
      </c>
      <c r="BZ20" s="301">
        <f>[1]COMMANDE!AI18</f>
        <v>0</v>
      </c>
      <c r="CA20" s="297" t="str">
        <f t="shared" si="50"/>
        <v>0</v>
      </c>
      <c r="CB20" s="298">
        <f t="shared" si="51"/>
        <v>0</v>
      </c>
      <c r="CC20" s="299">
        <f>[1]COMMANDE!AK18</f>
        <v>0</v>
      </c>
      <c r="CD20" s="297" t="str">
        <f t="shared" si="52"/>
        <v>0</v>
      </c>
      <c r="CE20" s="300">
        <f t="shared" si="53"/>
        <v>0</v>
      </c>
      <c r="CF20" s="301">
        <f>[1]COMMANDE!AM18</f>
        <v>0</v>
      </c>
      <c r="CG20" s="297" t="str">
        <f t="shared" si="54"/>
        <v>0</v>
      </c>
      <c r="CH20" s="298">
        <f t="shared" si="55"/>
        <v>0</v>
      </c>
      <c r="CI20" s="299">
        <f>[1]COMMANDE!AO18</f>
        <v>0</v>
      </c>
      <c r="CJ20" s="297" t="str">
        <f t="shared" si="56"/>
        <v>0</v>
      </c>
      <c r="CK20" s="300">
        <f t="shared" si="57"/>
        <v>0</v>
      </c>
      <c r="CL20" s="301">
        <f>[1]COMMANDE!AQ18</f>
        <v>0</v>
      </c>
      <c r="CM20" s="297" t="str">
        <f t="shared" si="58"/>
        <v>0</v>
      </c>
      <c r="CN20" s="298">
        <f t="shared" si="59"/>
        <v>0</v>
      </c>
      <c r="CO20" s="299">
        <f>[1]COMMANDE!AS18</f>
        <v>0</v>
      </c>
      <c r="CP20" s="297" t="str">
        <f t="shared" si="60"/>
        <v>0</v>
      </c>
      <c r="CQ20" s="300">
        <f t="shared" si="61"/>
        <v>0</v>
      </c>
      <c r="CR20" s="301">
        <f>[1]COMMANDE!AU18</f>
        <v>0</v>
      </c>
      <c r="CS20" s="297" t="str">
        <f t="shared" si="62"/>
        <v>0</v>
      </c>
      <c r="CT20" s="298">
        <f t="shared" si="63"/>
        <v>0</v>
      </c>
      <c r="CU20" s="299">
        <f>[1]COMMANDE!AW18</f>
        <v>0</v>
      </c>
      <c r="CV20" s="297" t="str">
        <f t="shared" si="64"/>
        <v>0</v>
      </c>
      <c r="CW20" s="300">
        <f t="shared" si="65"/>
        <v>0</v>
      </c>
      <c r="CX20" s="301">
        <f>[1]COMMANDE!AY18</f>
        <v>0</v>
      </c>
      <c r="CY20" s="297" t="str">
        <f t="shared" si="66"/>
        <v>0</v>
      </c>
      <c r="CZ20" s="298">
        <f t="shared" si="67"/>
        <v>0</v>
      </c>
      <c r="DA20" s="299">
        <f>[1]COMMANDE!BA18</f>
        <v>0</v>
      </c>
      <c r="DB20" s="297" t="str">
        <f t="shared" si="68"/>
        <v>0</v>
      </c>
      <c r="DC20" s="302">
        <f t="shared" si="69"/>
        <v>0</v>
      </c>
      <c r="DD20" s="303"/>
      <c r="DE20" s="304"/>
    </row>
    <row r="21" spans="1:109" ht="39.950000000000003" customHeight="1" x14ac:dyDescent="0.25">
      <c r="A21" s="284">
        <f t="shared" si="2"/>
        <v>0</v>
      </c>
      <c r="B21" s="284">
        <f t="shared" si="3"/>
        <v>0</v>
      </c>
      <c r="C21" s="284">
        <f t="shared" si="4"/>
        <v>0</v>
      </c>
      <c r="D21" s="284">
        <f t="shared" si="5"/>
        <v>0</v>
      </c>
      <c r="E21" s="284">
        <f t="shared" si="6"/>
        <v>0</v>
      </c>
      <c r="F21" s="284">
        <f t="shared" si="7"/>
        <v>0</v>
      </c>
      <c r="G21" s="284">
        <f t="shared" si="8"/>
        <v>0</v>
      </c>
      <c r="H21" s="284">
        <f t="shared" si="9"/>
        <v>0</v>
      </c>
      <c r="I21" s="284">
        <f t="shared" si="10"/>
        <v>0</v>
      </c>
      <c r="J21" s="284">
        <f t="shared" si="11"/>
        <v>0</v>
      </c>
      <c r="K21" s="284">
        <f t="shared" si="12"/>
        <v>0</v>
      </c>
      <c r="L21" s="284">
        <f t="shared" si="13"/>
        <v>0</v>
      </c>
      <c r="M21" s="284">
        <f t="shared" si="14"/>
        <v>0</v>
      </c>
      <c r="N21" s="284">
        <f t="shared" si="15"/>
        <v>0</v>
      </c>
      <c r="O21" s="284">
        <f t="shared" si="16"/>
        <v>0</v>
      </c>
      <c r="P21" s="284">
        <f t="shared" si="17"/>
        <v>0</v>
      </c>
      <c r="Q21" s="284">
        <f t="shared" si="18"/>
        <v>0</v>
      </c>
      <c r="R21" s="284">
        <f t="shared" si="19"/>
        <v>0</v>
      </c>
      <c r="S21" s="284">
        <f t="shared" si="20"/>
        <v>0</v>
      </c>
      <c r="T21" s="284">
        <f t="shared" si="21"/>
        <v>0</v>
      </c>
      <c r="U21" s="285">
        <f t="shared" si="22"/>
        <v>0</v>
      </c>
      <c r="V21" s="286">
        <f>[1]BDD!A11</f>
        <v>1096</v>
      </c>
      <c r="W21" s="287" t="str">
        <f>[1]BDD!B11</f>
        <v>Algue Nori entière déshydratées BIO (env. 1kg)</v>
      </c>
      <c r="X21" s="288" t="str">
        <f>IF([1]BDD!F11=0, "", [1]BDD!F11)</f>
        <v>❤️</v>
      </c>
      <c r="Y21" s="214">
        <f>ROUND([1]BDD!G11+FDP_CMD_KG, 2)</f>
        <v>54.27</v>
      </c>
      <c r="Z21" s="214">
        <f>ROUND([1]BDD!G11+FDP_FACT_KG, 2)</f>
        <v>54.27</v>
      </c>
      <c r="AA21" s="215" t="str">
        <f>[1]BDD!H11</f>
        <v>Pièce</v>
      </c>
      <c r="AB21" s="225" t="str">
        <f>IF(NOT(ISBLANK([1]BDD!I11)), ROUND(SUM(([1]BDD!G11*reduc1),FDP_CMD_KG), 2), "")</f>
        <v/>
      </c>
      <c r="AC21" s="225" t="str">
        <f>IF(NOT(ISBLANK([1]BDD!J11)), ROUND(SUM(([1]BDD!G11*reduc2),FDP_CMD_KG), 2), "")</f>
        <v/>
      </c>
      <c r="AD21" s="225" t="str">
        <f>IF(NOT(ISBLANK([1]BDD!K11)), ROUND(SUM(([1]BDD!G11*reduc3),FDP_CMD_KG), 2), "")</f>
        <v/>
      </c>
      <c r="AE21" s="225" t="str">
        <f>IF(NOT(ISBLANK([1]BDD!I11)), ROUND(SUM(([1]BDD!G11*reduc1),FDP_FACT_KG), 2), "")</f>
        <v/>
      </c>
      <c r="AF21" s="225" t="str">
        <f>IF(NOT(ISBLANK([1]BDD!J11)), ROUND(SUM(([1]BDD!G11*reduc2),FDP_FACT_KG), 2), "")</f>
        <v/>
      </c>
      <c r="AG21" s="225" t="str">
        <f>IF(NOT(ISBLANK([1]BDD!K11)), ROUND(SUM(([1]BDD!G11*reduc3),FDP_FACT_KG), 2), "")</f>
        <v/>
      </c>
      <c r="AH21" s="289" t="str">
        <f>[1]BDD!C11</f>
        <v>Galice</v>
      </c>
      <c r="AI21" s="290">
        <f t="shared" si="23"/>
        <v>0</v>
      </c>
      <c r="AJ21" s="216">
        <f t="shared" si="24"/>
        <v>54.27</v>
      </c>
      <c r="AK21" s="291">
        <f t="shared" si="25"/>
        <v>0</v>
      </c>
      <c r="AL21" s="429"/>
      <c r="AM21" s="292"/>
      <c r="AN21" s="216">
        <f t="shared" si="26"/>
        <v>54.27</v>
      </c>
      <c r="AO21" s="293">
        <f t="shared" si="27"/>
        <v>0</v>
      </c>
      <c r="AP21" s="294"/>
      <c r="AQ21" s="294"/>
      <c r="AR21" s="429"/>
      <c r="AS21" s="295">
        <f t="shared" si="28"/>
        <v>0</v>
      </c>
      <c r="AT21" s="216">
        <f t="shared" si="29"/>
        <v>54.27</v>
      </c>
      <c r="AU21" s="291">
        <f t="shared" si="1"/>
        <v>0</v>
      </c>
      <c r="AV21" s="296">
        <f>[1]COMMANDE!O19</f>
        <v>0</v>
      </c>
      <c r="AW21" s="297" t="str">
        <f t="shared" si="30"/>
        <v>0</v>
      </c>
      <c r="AX21" s="298">
        <f t="shared" si="31"/>
        <v>0</v>
      </c>
      <c r="AY21" s="299">
        <f>[1]COMMANDE!Q19</f>
        <v>0</v>
      </c>
      <c r="AZ21" s="297" t="str">
        <f t="shared" si="32"/>
        <v>0</v>
      </c>
      <c r="BA21" s="300">
        <f t="shared" si="33"/>
        <v>0</v>
      </c>
      <c r="BB21" s="301">
        <f>[1]COMMANDE!S19</f>
        <v>0</v>
      </c>
      <c r="BC21" s="297" t="str">
        <f t="shared" si="34"/>
        <v>0</v>
      </c>
      <c r="BD21" s="298">
        <f t="shared" si="35"/>
        <v>0</v>
      </c>
      <c r="BE21" s="299">
        <f>[1]COMMANDE!U19</f>
        <v>0</v>
      </c>
      <c r="BF21" s="297" t="str">
        <f t="shared" si="36"/>
        <v>0</v>
      </c>
      <c r="BG21" s="300">
        <f t="shared" si="37"/>
        <v>0</v>
      </c>
      <c r="BH21" s="301">
        <f>[1]COMMANDE!W19</f>
        <v>0</v>
      </c>
      <c r="BI21" s="297" t="str">
        <f t="shared" si="38"/>
        <v>0</v>
      </c>
      <c r="BJ21" s="298">
        <f t="shared" si="39"/>
        <v>0</v>
      </c>
      <c r="BK21" s="299">
        <f>[1]COMMANDE!Y19</f>
        <v>0</v>
      </c>
      <c r="BL21" s="297" t="str">
        <f t="shared" si="40"/>
        <v>0</v>
      </c>
      <c r="BM21" s="300">
        <f t="shared" si="41"/>
        <v>0</v>
      </c>
      <c r="BN21" s="301">
        <f>[1]COMMANDE!AA19</f>
        <v>0</v>
      </c>
      <c r="BO21" s="297" t="str">
        <f t="shared" si="42"/>
        <v>0</v>
      </c>
      <c r="BP21" s="298">
        <f t="shared" si="43"/>
        <v>0</v>
      </c>
      <c r="BQ21" s="299">
        <f>[1]COMMANDE!AC19</f>
        <v>0</v>
      </c>
      <c r="BR21" s="297" t="str">
        <f t="shared" si="44"/>
        <v>0</v>
      </c>
      <c r="BS21" s="300">
        <f t="shared" si="45"/>
        <v>0</v>
      </c>
      <c r="BT21" s="301">
        <f>[1]COMMANDE!AE19</f>
        <v>0</v>
      </c>
      <c r="BU21" s="297" t="str">
        <f t="shared" si="46"/>
        <v>0</v>
      </c>
      <c r="BV21" s="298">
        <f t="shared" si="47"/>
        <v>0</v>
      </c>
      <c r="BW21" s="299">
        <f>[1]COMMANDE!AG19</f>
        <v>0</v>
      </c>
      <c r="BX21" s="297" t="str">
        <f t="shared" si="48"/>
        <v>0</v>
      </c>
      <c r="BY21" s="300">
        <f t="shared" si="49"/>
        <v>0</v>
      </c>
      <c r="BZ21" s="301">
        <f>[1]COMMANDE!AI19</f>
        <v>0</v>
      </c>
      <c r="CA21" s="297" t="str">
        <f t="shared" si="50"/>
        <v>0</v>
      </c>
      <c r="CB21" s="298">
        <f t="shared" si="51"/>
        <v>0</v>
      </c>
      <c r="CC21" s="299">
        <f>[1]COMMANDE!AK19</f>
        <v>0</v>
      </c>
      <c r="CD21" s="297" t="str">
        <f t="shared" si="52"/>
        <v>0</v>
      </c>
      <c r="CE21" s="300">
        <f t="shared" si="53"/>
        <v>0</v>
      </c>
      <c r="CF21" s="301">
        <f>[1]COMMANDE!AM19</f>
        <v>0</v>
      </c>
      <c r="CG21" s="297" t="str">
        <f t="shared" si="54"/>
        <v>0</v>
      </c>
      <c r="CH21" s="298">
        <f t="shared" si="55"/>
        <v>0</v>
      </c>
      <c r="CI21" s="299">
        <f>[1]COMMANDE!AO19</f>
        <v>0</v>
      </c>
      <c r="CJ21" s="297" t="str">
        <f t="shared" si="56"/>
        <v>0</v>
      </c>
      <c r="CK21" s="300">
        <f t="shared" si="57"/>
        <v>0</v>
      </c>
      <c r="CL21" s="301">
        <f>[1]COMMANDE!AQ19</f>
        <v>0</v>
      </c>
      <c r="CM21" s="297" t="str">
        <f t="shared" si="58"/>
        <v>0</v>
      </c>
      <c r="CN21" s="298">
        <f t="shared" si="59"/>
        <v>0</v>
      </c>
      <c r="CO21" s="299">
        <f>[1]COMMANDE!AS19</f>
        <v>0</v>
      </c>
      <c r="CP21" s="297" t="str">
        <f t="shared" si="60"/>
        <v>0</v>
      </c>
      <c r="CQ21" s="300">
        <f t="shared" si="61"/>
        <v>0</v>
      </c>
      <c r="CR21" s="301">
        <f>[1]COMMANDE!AU19</f>
        <v>0</v>
      </c>
      <c r="CS21" s="297" t="str">
        <f t="shared" si="62"/>
        <v>0</v>
      </c>
      <c r="CT21" s="298">
        <f t="shared" si="63"/>
        <v>0</v>
      </c>
      <c r="CU21" s="299">
        <f>[1]COMMANDE!AW19</f>
        <v>0</v>
      </c>
      <c r="CV21" s="297" t="str">
        <f t="shared" si="64"/>
        <v>0</v>
      </c>
      <c r="CW21" s="300">
        <f t="shared" si="65"/>
        <v>0</v>
      </c>
      <c r="CX21" s="301">
        <f>[1]COMMANDE!AY19</f>
        <v>0</v>
      </c>
      <c r="CY21" s="297" t="str">
        <f t="shared" si="66"/>
        <v>0</v>
      </c>
      <c r="CZ21" s="298">
        <f t="shared" si="67"/>
        <v>0</v>
      </c>
      <c r="DA21" s="299">
        <f>[1]COMMANDE!BA19</f>
        <v>0</v>
      </c>
      <c r="DB21" s="297" t="str">
        <f t="shared" si="68"/>
        <v>0</v>
      </c>
      <c r="DC21" s="302">
        <f t="shared" si="69"/>
        <v>0</v>
      </c>
      <c r="DD21" s="303"/>
      <c r="DE21" s="304"/>
    </row>
    <row r="22" spans="1:109" ht="39.950000000000003" customHeight="1" x14ac:dyDescent="0.25">
      <c r="A22" s="284">
        <f t="shared" si="2"/>
        <v>0</v>
      </c>
      <c r="B22" s="284">
        <f t="shared" si="3"/>
        <v>0</v>
      </c>
      <c r="C22" s="284">
        <f t="shared" si="4"/>
        <v>0</v>
      </c>
      <c r="D22" s="284">
        <f t="shared" si="5"/>
        <v>0</v>
      </c>
      <c r="E22" s="284">
        <f t="shared" si="6"/>
        <v>0</v>
      </c>
      <c r="F22" s="284">
        <f t="shared" si="7"/>
        <v>0</v>
      </c>
      <c r="G22" s="284">
        <f t="shared" si="8"/>
        <v>0</v>
      </c>
      <c r="H22" s="284">
        <f t="shared" si="9"/>
        <v>0</v>
      </c>
      <c r="I22" s="284">
        <f t="shared" si="10"/>
        <v>0</v>
      </c>
      <c r="J22" s="284">
        <f t="shared" si="11"/>
        <v>0</v>
      </c>
      <c r="K22" s="284">
        <f t="shared" si="12"/>
        <v>0</v>
      </c>
      <c r="L22" s="284">
        <f t="shared" si="13"/>
        <v>0</v>
      </c>
      <c r="M22" s="284">
        <f t="shared" si="14"/>
        <v>0</v>
      </c>
      <c r="N22" s="284">
        <f t="shared" si="15"/>
        <v>0</v>
      </c>
      <c r="O22" s="284">
        <f t="shared" si="16"/>
        <v>0</v>
      </c>
      <c r="P22" s="284">
        <f t="shared" si="17"/>
        <v>0</v>
      </c>
      <c r="Q22" s="284">
        <f t="shared" si="18"/>
        <v>0</v>
      </c>
      <c r="R22" s="284">
        <f t="shared" si="19"/>
        <v>0</v>
      </c>
      <c r="S22" s="284">
        <f t="shared" si="20"/>
        <v>0</v>
      </c>
      <c r="T22" s="284">
        <f t="shared" si="21"/>
        <v>0</v>
      </c>
      <c r="U22" s="285">
        <f t="shared" si="22"/>
        <v>0</v>
      </c>
      <c r="V22" s="286">
        <f>[1]BDD!A12</f>
        <v>1096</v>
      </c>
      <c r="W22" s="287" t="str">
        <f>[1]BDD!B12</f>
        <v>Algue Nori entière déshydratées BIO (env. 500g)</v>
      </c>
      <c r="X22" s="288" t="str">
        <f>IF([1]BDD!F12=0, "", [1]BDD!F12)</f>
        <v>❤️</v>
      </c>
      <c r="Y22" s="214">
        <f>ROUND([1]BDD!G12+FDP_CMD_KG, 2)</f>
        <v>28.24</v>
      </c>
      <c r="Z22" s="214">
        <f>ROUND([1]BDD!G12+FDP_FACT_KG, 2)</f>
        <v>28.24</v>
      </c>
      <c r="AA22" s="215" t="str">
        <f>[1]BDD!H12</f>
        <v>Pièce</v>
      </c>
      <c r="AB22" s="225" t="str">
        <f>IF(NOT(ISBLANK([1]BDD!I12)), ROUND(SUM(([1]BDD!G12*reduc1),FDP_CMD_KG), 2), "")</f>
        <v/>
      </c>
      <c r="AC22" s="225" t="str">
        <f>IF(NOT(ISBLANK([1]BDD!J12)), ROUND(SUM(([1]BDD!G12*reduc2),FDP_CMD_KG), 2), "")</f>
        <v/>
      </c>
      <c r="AD22" s="225" t="str">
        <f>IF(NOT(ISBLANK([1]BDD!K12)), ROUND(SUM(([1]BDD!G12*reduc3),FDP_CMD_KG), 2), "")</f>
        <v/>
      </c>
      <c r="AE22" s="225" t="str">
        <f>IF(NOT(ISBLANK([1]BDD!I12)), ROUND(SUM(([1]BDD!G12*reduc1),FDP_FACT_KG), 2), "")</f>
        <v/>
      </c>
      <c r="AF22" s="225" t="str">
        <f>IF(NOT(ISBLANK([1]BDD!J12)), ROUND(SUM(([1]BDD!G12*reduc2),FDP_FACT_KG), 2), "")</f>
        <v/>
      </c>
      <c r="AG22" s="225" t="str">
        <f>IF(NOT(ISBLANK([1]BDD!K12)), ROUND(SUM(([1]BDD!G12*reduc3),FDP_FACT_KG), 2), "")</f>
        <v/>
      </c>
      <c r="AH22" s="289" t="str">
        <f>[1]BDD!C12</f>
        <v>Galice</v>
      </c>
      <c r="AI22" s="290">
        <f t="shared" si="23"/>
        <v>0</v>
      </c>
      <c r="AJ22" s="216">
        <f t="shared" si="24"/>
        <v>28.24</v>
      </c>
      <c r="AK22" s="291">
        <f t="shared" si="25"/>
        <v>0</v>
      </c>
      <c r="AL22" s="429"/>
      <c r="AM22" s="292"/>
      <c r="AN22" s="216">
        <f t="shared" si="26"/>
        <v>28.24</v>
      </c>
      <c r="AO22" s="293">
        <f t="shared" si="27"/>
        <v>0</v>
      </c>
      <c r="AP22" s="294"/>
      <c r="AQ22" s="294"/>
      <c r="AR22" s="429"/>
      <c r="AS22" s="295">
        <f t="shared" si="28"/>
        <v>0</v>
      </c>
      <c r="AT22" s="216">
        <f t="shared" si="29"/>
        <v>28.24</v>
      </c>
      <c r="AU22" s="291">
        <f t="shared" si="1"/>
        <v>0</v>
      </c>
      <c r="AV22" s="296">
        <f>[1]COMMANDE!O20</f>
        <v>0</v>
      </c>
      <c r="AW22" s="297" t="str">
        <f t="shared" si="30"/>
        <v>0</v>
      </c>
      <c r="AX22" s="298">
        <f t="shared" si="31"/>
        <v>0</v>
      </c>
      <c r="AY22" s="299">
        <f>[1]COMMANDE!Q20</f>
        <v>0</v>
      </c>
      <c r="AZ22" s="297" t="str">
        <f t="shared" si="32"/>
        <v>0</v>
      </c>
      <c r="BA22" s="300">
        <f t="shared" si="33"/>
        <v>0</v>
      </c>
      <c r="BB22" s="301">
        <f>[1]COMMANDE!S20</f>
        <v>0</v>
      </c>
      <c r="BC22" s="297" t="str">
        <f t="shared" si="34"/>
        <v>0</v>
      </c>
      <c r="BD22" s="298">
        <f t="shared" si="35"/>
        <v>0</v>
      </c>
      <c r="BE22" s="299">
        <f>[1]COMMANDE!U20</f>
        <v>0</v>
      </c>
      <c r="BF22" s="297" t="str">
        <f t="shared" si="36"/>
        <v>0</v>
      </c>
      <c r="BG22" s="300">
        <f t="shared" si="37"/>
        <v>0</v>
      </c>
      <c r="BH22" s="301">
        <f>[1]COMMANDE!W20</f>
        <v>0</v>
      </c>
      <c r="BI22" s="297" t="str">
        <f t="shared" si="38"/>
        <v>0</v>
      </c>
      <c r="BJ22" s="298">
        <f t="shared" si="39"/>
        <v>0</v>
      </c>
      <c r="BK22" s="299">
        <f>[1]COMMANDE!Y20</f>
        <v>0</v>
      </c>
      <c r="BL22" s="297" t="str">
        <f t="shared" si="40"/>
        <v>0</v>
      </c>
      <c r="BM22" s="300">
        <f t="shared" si="41"/>
        <v>0</v>
      </c>
      <c r="BN22" s="301">
        <f>[1]COMMANDE!AA20</f>
        <v>0</v>
      </c>
      <c r="BO22" s="297" t="str">
        <f t="shared" si="42"/>
        <v>0</v>
      </c>
      <c r="BP22" s="298">
        <f t="shared" si="43"/>
        <v>0</v>
      </c>
      <c r="BQ22" s="299">
        <f>[1]COMMANDE!AC20</f>
        <v>0</v>
      </c>
      <c r="BR22" s="297" t="str">
        <f t="shared" si="44"/>
        <v>0</v>
      </c>
      <c r="BS22" s="300">
        <f t="shared" si="45"/>
        <v>0</v>
      </c>
      <c r="BT22" s="301">
        <f>[1]COMMANDE!AE20</f>
        <v>0</v>
      </c>
      <c r="BU22" s="297" t="str">
        <f t="shared" si="46"/>
        <v>0</v>
      </c>
      <c r="BV22" s="298">
        <f t="shared" si="47"/>
        <v>0</v>
      </c>
      <c r="BW22" s="299">
        <f>[1]COMMANDE!AG20</f>
        <v>0</v>
      </c>
      <c r="BX22" s="297" t="str">
        <f t="shared" si="48"/>
        <v>0</v>
      </c>
      <c r="BY22" s="300">
        <f t="shared" si="49"/>
        <v>0</v>
      </c>
      <c r="BZ22" s="301">
        <f>[1]COMMANDE!AI20</f>
        <v>0</v>
      </c>
      <c r="CA22" s="297" t="str">
        <f t="shared" si="50"/>
        <v>0</v>
      </c>
      <c r="CB22" s="298">
        <f t="shared" si="51"/>
        <v>0</v>
      </c>
      <c r="CC22" s="299">
        <f>[1]COMMANDE!AK20</f>
        <v>0</v>
      </c>
      <c r="CD22" s="297" t="str">
        <f t="shared" si="52"/>
        <v>0</v>
      </c>
      <c r="CE22" s="300">
        <f t="shared" si="53"/>
        <v>0</v>
      </c>
      <c r="CF22" s="301">
        <f>[1]COMMANDE!AM20</f>
        <v>0</v>
      </c>
      <c r="CG22" s="297" t="str">
        <f t="shared" si="54"/>
        <v>0</v>
      </c>
      <c r="CH22" s="298">
        <f t="shared" si="55"/>
        <v>0</v>
      </c>
      <c r="CI22" s="299">
        <f>[1]COMMANDE!AO20</f>
        <v>0</v>
      </c>
      <c r="CJ22" s="297" t="str">
        <f t="shared" si="56"/>
        <v>0</v>
      </c>
      <c r="CK22" s="300">
        <f t="shared" si="57"/>
        <v>0</v>
      </c>
      <c r="CL22" s="301">
        <f>[1]COMMANDE!AQ20</f>
        <v>0</v>
      </c>
      <c r="CM22" s="297" t="str">
        <f t="shared" si="58"/>
        <v>0</v>
      </c>
      <c r="CN22" s="298">
        <f t="shared" si="59"/>
        <v>0</v>
      </c>
      <c r="CO22" s="299">
        <f>[1]COMMANDE!AS20</f>
        <v>0</v>
      </c>
      <c r="CP22" s="297" t="str">
        <f t="shared" si="60"/>
        <v>0</v>
      </c>
      <c r="CQ22" s="300">
        <f t="shared" si="61"/>
        <v>0</v>
      </c>
      <c r="CR22" s="301">
        <f>[1]COMMANDE!AU20</f>
        <v>0</v>
      </c>
      <c r="CS22" s="297" t="str">
        <f t="shared" si="62"/>
        <v>0</v>
      </c>
      <c r="CT22" s="298">
        <f t="shared" si="63"/>
        <v>0</v>
      </c>
      <c r="CU22" s="299">
        <f>[1]COMMANDE!AW20</f>
        <v>0</v>
      </c>
      <c r="CV22" s="297" t="str">
        <f t="shared" si="64"/>
        <v>0</v>
      </c>
      <c r="CW22" s="300">
        <f t="shared" si="65"/>
        <v>0</v>
      </c>
      <c r="CX22" s="301">
        <f>[1]COMMANDE!AY20</f>
        <v>0</v>
      </c>
      <c r="CY22" s="297" t="str">
        <f t="shared" si="66"/>
        <v>0</v>
      </c>
      <c r="CZ22" s="298">
        <f t="shared" si="67"/>
        <v>0</v>
      </c>
      <c r="DA22" s="299">
        <f>[1]COMMANDE!BA20</f>
        <v>0</v>
      </c>
      <c r="DB22" s="297" t="str">
        <f t="shared" si="68"/>
        <v>0</v>
      </c>
      <c r="DC22" s="302">
        <f t="shared" si="69"/>
        <v>0</v>
      </c>
      <c r="DD22" s="303"/>
      <c r="DE22" s="304"/>
    </row>
    <row r="23" spans="1:109" ht="39.950000000000003" customHeight="1" x14ac:dyDescent="0.25">
      <c r="A23" s="284">
        <f t="shared" si="2"/>
        <v>0</v>
      </c>
      <c r="B23" s="284">
        <f t="shared" si="3"/>
        <v>0</v>
      </c>
      <c r="C23" s="284">
        <f t="shared" si="4"/>
        <v>0</v>
      </c>
      <c r="D23" s="284">
        <f t="shared" si="5"/>
        <v>0</v>
      </c>
      <c r="E23" s="284">
        <f t="shared" si="6"/>
        <v>0</v>
      </c>
      <c r="F23" s="284">
        <f t="shared" si="7"/>
        <v>0</v>
      </c>
      <c r="G23" s="284">
        <f t="shared" si="8"/>
        <v>0</v>
      </c>
      <c r="H23" s="284">
        <f t="shared" si="9"/>
        <v>0</v>
      </c>
      <c r="I23" s="284">
        <f t="shared" si="10"/>
        <v>0</v>
      </c>
      <c r="J23" s="284">
        <f t="shared" si="11"/>
        <v>0</v>
      </c>
      <c r="K23" s="284">
        <f t="shared" si="12"/>
        <v>0</v>
      </c>
      <c r="L23" s="284">
        <f t="shared" si="13"/>
        <v>0</v>
      </c>
      <c r="M23" s="284">
        <f t="shared" si="14"/>
        <v>0</v>
      </c>
      <c r="N23" s="284">
        <f t="shared" si="15"/>
        <v>0</v>
      </c>
      <c r="O23" s="284">
        <f t="shared" si="16"/>
        <v>0</v>
      </c>
      <c r="P23" s="284">
        <f t="shared" si="17"/>
        <v>0</v>
      </c>
      <c r="Q23" s="284">
        <f t="shared" si="18"/>
        <v>0</v>
      </c>
      <c r="R23" s="284">
        <f t="shared" si="19"/>
        <v>0</v>
      </c>
      <c r="S23" s="284">
        <f t="shared" si="20"/>
        <v>0</v>
      </c>
      <c r="T23" s="284">
        <f t="shared" si="21"/>
        <v>0</v>
      </c>
      <c r="U23" s="285">
        <f t="shared" si="22"/>
        <v>0</v>
      </c>
      <c r="V23" s="286">
        <f>[1]BDD!A13</f>
        <v>1102</v>
      </c>
      <c r="W23" s="287" t="str">
        <f>[1]BDD!B13</f>
        <v>Aloe Vera (feuille fraîche) BIO</v>
      </c>
      <c r="X23" s="288" t="str">
        <f>IF([1]BDD!F13=0, "", [1]BDD!F13)</f>
        <v>❤️</v>
      </c>
      <c r="Y23" s="214">
        <f>ROUND([1]BDD!G13+FDP_CMD_KG, 2)</f>
        <v>4.42</v>
      </c>
      <c r="Z23" s="214">
        <f>ROUND([1]BDD!G13+FDP_FACT_KG, 2)</f>
        <v>4.42</v>
      </c>
      <c r="AA23" s="215" t="str">
        <f>[1]BDD!H13</f>
        <v>Pièce</v>
      </c>
      <c r="AB23" s="225">
        <f>IF(NOT(ISBLANK([1]BDD!I13)), ROUND(SUM(([1]BDD!G13*reduc1),FDP_CMD_KG), 2), "")</f>
        <v>4.07</v>
      </c>
      <c r="AC23" s="225">
        <f>IF(NOT(ISBLANK([1]BDD!J13)), ROUND(SUM(([1]BDD!G13*reduc2),FDP_CMD_KG), 2), "")</f>
        <v>3.71</v>
      </c>
      <c r="AD23" s="225">
        <f>IF(NOT(ISBLANK([1]BDD!K13)), ROUND(SUM(([1]BDD!G13*reduc3),FDP_CMD_KG), 2), "")</f>
        <v>3.36</v>
      </c>
      <c r="AE23" s="225">
        <f>IF(NOT(ISBLANK([1]BDD!I13)), ROUND(SUM(([1]BDD!G13*reduc1),FDP_FACT_KG), 2), "")</f>
        <v>4.0599999999999996</v>
      </c>
      <c r="AF23" s="225">
        <f>IF(NOT(ISBLANK([1]BDD!J13)), ROUND(SUM(([1]BDD!G13*reduc2),FDP_FACT_KG), 2), "")</f>
        <v>3.71</v>
      </c>
      <c r="AG23" s="225">
        <f>IF(NOT(ISBLANK([1]BDD!K13)), ROUND(SUM(([1]BDD!G13*reduc3),FDP_FACT_KG), 2), "")</f>
        <v>3.35</v>
      </c>
      <c r="AH23" s="289" t="str">
        <f>[1]BDD!C13</f>
        <v>Malaga</v>
      </c>
      <c r="AI23" s="290">
        <f t="shared" si="23"/>
        <v>0</v>
      </c>
      <c r="AJ23" s="216">
        <f t="shared" si="24"/>
        <v>3.36</v>
      </c>
      <c r="AK23" s="291">
        <f t="shared" si="25"/>
        <v>0</v>
      </c>
      <c r="AL23" s="429"/>
      <c r="AM23" s="292"/>
      <c r="AN23" s="216">
        <f t="shared" si="26"/>
        <v>4.42</v>
      </c>
      <c r="AO23" s="293">
        <f t="shared" si="27"/>
        <v>0</v>
      </c>
      <c r="AP23" s="294"/>
      <c r="AQ23" s="294"/>
      <c r="AR23" s="429"/>
      <c r="AS23" s="295">
        <f t="shared" si="28"/>
        <v>0</v>
      </c>
      <c r="AT23" s="216">
        <f t="shared" si="29"/>
        <v>4.42</v>
      </c>
      <c r="AU23" s="291">
        <f t="shared" si="1"/>
        <v>0</v>
      </c>
      <c r="AV23" s="296">
        <f>[1]COMMANDE!O21</f>
        <v>0</v>
      </c>
      <c r="AW23" s="297" t="str">
        <f t="shared" si="30"/>
        <v>0</v>
      </c>
      <c r="AX23" s="298">
        <f t="shared" si="31"/>
        <v>0</v>
      </c>
      <c r="AY23" s="299">
        <f>[1]COMMANDE!Q21</f>
        <v>0</v>
      </c>
      <c r="AZ23" s="297" t="str">
        <f t="shared" si="32"/>
        <v>0</v>
      </c>
      <c r="BA23" s="300">
        <f t="shared" si="33"/>
        <v>0</v>
      </c>
      <c r="BB23" s="301">
        <f>[1]COMMANDE!S21</f>
        <v>0</v>
      </c>
      <c r="BC23" s="297" t="str">
        <f t="shared" si="34"/>
        <v>0</v>
      </c>
      <c r="BD23" s="298">
        <f t="shared" si="35"/>
        <v>0</v>
      </c>
      <c r="BE23" s="299">
        <f>[1]COMMANDE!U21</f>
        <v>0</v>
      </c>
      <c r="BF23" s="297" t="str">
        <f t="shared" si="36"/>
        <v>0</v>
      </c>
      <c r="BG23" s="300">
        <f t="shared" si="37"/>
        <v>0</v>
      </c>
      <c r="BH23" s="301">
        <f>[1]COMMANDE!W21</f>
        <v>0</v>
      </c>
      <c r="BI23" s="297" t="str">
        <f t="shared" si="38"/>
        <v>0</v>
      </c>
      <c r="BJ23" s="298">
        <f t="shared" si="39"/>
        <v>0</v>
      </c>
      <c r="BK23" s="299">
        <f>[1]COMMANDE!Y21</f>
        <v>0</v>
      </c>
      <c r="BL23" s="297" t="str">
        <f t="shared" si="40"/>
        <v>0</v>
      </c>
      <c r="BM23" s="300">
        <f t="shared" si="41"/>
        <v>0</v>
      </c>
      <c r="BN23" s="301">
        <f>[1]COMMANDE!AA21</f>
        <v>0</v>
      </c>
      <c r="BO23" s="297" t="str">
        <f t="shared" si="42"/>
        <v>0</v>
      </c>
      <c r="BP23" s="298">
        <f t="shared" si="43"/>
        <v>0</v>
      </c>
      <c r="BQ23" s="299">
        <f>[1]COMMANDE!AC21</f>
        <v>0</v>
      </c>
      <c r="BR23" s="297" t="str">
        <f t="shared" si="44"/>
        <v>0</v>
      </c>
      <c r="BS23" s="300">
        <f t="shared" si="45"/>
        <v>0</v>
      </c>
      <c r="BT23" s="301">
        <f>[1]COMMANDE!AE21</f>
        <v>0</v>
      </c>
      <c r="BU23" s="297" t="str">
        <f t="shared" si="46"/>
        <v>0</v>
      </c>
      <c r="BV23" s="298">
        <f t="shared" si="47"/>
        <v>0</v>
      </c>
      <c r="BW23" s="299">
        <f>[1]COMMANDE!AG21</f>
        <v>0</v>
      </c>
      <c r="BX23" s="297" t="str">
        <f t="shared" si="48"/>
        <v>0</v>
      </c>
      <c r="BY23" s="300">
        <f t="shared" si="49"/>
        <v>0</v>
      </c>
      <c r="BZ23" s="301">
        <f>[1]COMMANDE!AI21</f>
        <v>0</v>
      </c>
      <c r="CA23" s="297" t="str">
        <f t="shared" si="50"/>
        <v>0</v>
      </c>
      <c r="CB23" s="298">
        <f t="shared" si="51"/>
        <v>0</v>
      </c>
      <c r="CC23" s="299">
        <f>[1]COMMANDE!AK21</f>
        <v>0</v>
      </c>
      <c r="CD23" s="297" t="str">
        <f t="shared" si="52"/>
        <v>0</v>
      </c>
      <c r="CE23" s="300">
        <f t="shared" si="53"/>
        <v>0</v>
      </c>
      <c r="CF23" s="301">
        <f>[1]COMMANDE!AM21</f>
        <v>0</v>
      </c>
      <c r="CG23" s="297" t="str">
        <f t="shared" si="54"/>
        <v>0</v>
      </c>
      <c r="CH23" s="298">
        <f t="shared" si="55"/>
        <v>0</v>
      </c>
      <c r="CI23" s="299">
        <f>[1]COMMANDE!AO21</f>
        <v>0</v>
      </c>
      <c r="CJ23" s="297" t="str">
        <f t="shared" si="56"/>
        <v>0</v>
      </c>
      <c r="CK23" s="300">
        <f t="shared" si="57"/>
        <v>0</v>
      </c>
      <c r="CL23" s="301">
        <f>[1]COMMANDE!AQ21</f>
        <v>0</v>
      </c>
      <c r="CM23" s="297" t="str">
        <f t="shared" si="58"/>
        <v>0</v>
      </c>
      <c r="CN23" s="298">
        <f t="shared" si="59"/>
        <v>0</v>
      </c>
      <c r="CO23" s="299">
        <f>[1]COMMANDE!AS21</f>
        <v>0</v>
      </c>
      <c r="CP23" s="297" t="str">
        <f t="shared" si="60"/>
        <v>0</v>
      </c>
      <c r="CQ23" s="300">
        <f t="shared" si="61"/>
        <v>0</v>
      </c>
      <c r="CR23" s="301">
        <f>[1]COMMANDE!AU21</f>
        <v>0</v>
      </c>
      <c r="CS23" s="297" t="str">
        <f t="shared" si="62"/>
        <v>0</v>
      </c>
      <c r="CT23" s="298">
        <f t="shared" si="63"/>
        <v>0</v>
      </c>
      <c r="CU23" s="299">
        <f>[1]COMMANDE!AW21</f>
        <v>0</v>
      </c>
      <c r="CV23" s="297" t="str">
        <f t="shared" si="64"/>
        <v>0</v>
      </c>
      <c r="CW23" s="300">
        <f t="shared" si="65"/>
        <v>0</v>
      </c>
      <c r="CX23" s="301">
        <f>[1]COMMANDE!AY21</f>
        <v>0</v>
      </c>
      <c r="CY23" s="297" t="str">
        <f t="shared" si="66"/>
        <v>0</v>
      </c>
      <c r="CZ23" s="298">
        <f t="shared" si="67"/>
        <v>0</v>
      </c>
      <c r="DA23" s="299">
        <f>[1]COMMANDE!BA21</f>
        <v>0</v>
      </c>
      <c r="DB23" s="297" t="str">
        <f t="shared" si="68"/>
        <v>0</v>
      </c>
      <c r="DC23" s="302">
        <f t="shared" si="69"/>
        <v>0</v>
      </c>
      <c r="DD23" s="303"/>
      <c r="DE23" s="304"/>
    </row>
    <row r="24" spans="1:109" ht="39.950000000000003" customHeight="1" x14ac:dyDescent="0.25">
      <c r="A24" s="284">
        <f t="shared" si="2"/>
        <v>0</v>
      </c>
      <c r="B24" s="284">
        <f t="shared" si="3"/>
        <v>0</v>
      </c>
      <c r="C24" s="284">
        <f t="shared" si="4"/>
        <v>0</v>
      </c>
      <c r="D24" s="284">
        <f t="shared" si="5"/>
        <v>0</v>
      </c>
      <c r="E24" s="284">
        <f t="shared" si="6"/>
        <v>0</v>
      </c>
      <c r="F24" s="284">
        <f t="shared" si="7"/>
        <v>0</v>
      </c>
      <c r="G24" s="284">
        <f t="shared" si="8"/>
        <v>0</v>
      </c>
      <c r="H24" s="284">
        <f t="shared" si="9"/>
        <v>0</v>
      </c>
      <c r="I24" s="284">
        <f t="shared" si="10"/>
        <v>0</v>
      </c>
      <c r="J24" s="284">
        <f t="shared" si="11"/>
        <v>0</v>
      </c>
      <c r="K24" s="284">
        <f t="shared" si="12"/>
        <v>0</v>
      </c>
      <c r="L24" s="284">
        <f t="shared" si="13"/>
        <v>0</v>
      </c>
      <c r="M24" s="284">
        <f t="shared" si="14"/>
        <v>0</v>
      </c>
      <c r="N24" s="284">
        <f t="shared" si="15"/>
        <v>0</v>
      </c>
      <c r="O24" s="284">
        <f t="shared" si="16"/>
        <v>0</v>
      </c>
      <c r="P24" s="284">
        <f t="shared" si="17"/>
        <v>0</v>
      </c>
      <c r="Q24" s="284">
        <f t="shared" si="18"/>
        <v>0</v>
      </c>
      <c r="R24" s="284">
        <f t="shared" si="19"/>
        <v>0</v>
      </c>
      <c r="S24" s="284">
        <f t="shared" si="20"/>
        <v>0</v>
      </c>
      <c r="T24" s="284">
        <f t="shared" si="21"/>
        <v>0</v>
      </c>
      <c r="U24" s="285">
        <f t="shared" si="22"/>
        <v>0</v>
      </c>
      <c r="V24" s="286">
        <f>[1]BDD!A14</f>
        <v>5127</v>
      </c>
      <c r="W24" s="287" t="str">
        <f>[1]BDD!B14</f>
        <v>Amande Romera avec coque</v>
      </c>
      <c r="X24" s="288" t="str">
        <f>IF([1]BDD!F14=0, "", [1]BDD!F14)</f>
        <v/>
      </c>
      <c r="Y24" s="214">
        <f>ROUND([1]BDD!G14+FDP_CMD_KG, 2)</f>
        <v>4.5599999999999996</v>
      </c>
      <c r="Z24" s="214">
        <f>ROUND([1]BDD!G14+FDP_FACT_KG, 2)</f>
        <v>4.5599999999999996</v>
      </c>
      <c r="AA24" s="215" t="str">
        <f>[1]BDD!H14</f>
        <v>kg</v>
      </c>
      <c r="AB24" s="225">
        <f>IF(NOT(ISBLANK([1]BDD!I14)), ROUND(SUM(([1]BDD!G14*reduc1),FDP_CMD_KG), 2), "")</f>
        <v>4.1900000000000004</v>
      </c>
      <c r="AC24" s="225" t="str">
        <f>IF(NOT(ISBLANK([1]BDD!J14)), ROUND(SUM(([1]BDD!G14*reduc2),FDP_CMD_KG), 2), "")</f>
        <v/>
      </c>
      <c r="AD24" s="225" t="str">
        <f>IF(NOT(ISBLANK([1]BDD!K14)), ROUND(SUM(([1]BDD!G14*reduc3),FDP_CMD_KG), 2), "")</f>
        <v/>
      </c>
      <c r="AE24" s="225">
        <f>IF(NOT(ISBLANK([1]BDD!I14)), ROUND(SUM(([1]BDD!G14*reduc1),FDP_FACT_KG), 2), "")</f>
        <v>4.1900000000000004</v>
      </c>
      <c r="AF24" s="225" t="str">
        <f>IF(NOT(ISBLANK([1]BDD!J14)), ROUND(SUM(([1]BDD!G14*reduc2),FDP_FACT_KG), 2), "")</f>
        <v/>
      </c>
      <c r="AG24" s="225" t="str">
        <f>IF(NOT(ISBLANK([1]BDD!K14)), ROUND(SUM(([1]BDD!G14*reduc3),FDP_FACT_KG), 2), "")</f>
        <v/>
      </c>
      <c r="AH24" s="289" t="str">
        <f>[1]BDD!C14</f>
        <v>Malaga</v>
      </c>
      <c r="AI24" s="290">
        <f t="shared" si="23"/>
        <v>0</v>
      </c>
      <c r="AJ24" s="216">
        <f t="shared" si="24"/>
        <v>4.1900000000000004</v>
      </c>
      <c r="AK24" s="291">
        <f t="shared" si="25"/>
        <v>0</v>
      </c>
      <c r="AL24" s="429"/>
      <c r="AM24" s="292"/>
      <c r="AN24" s="216">
        <f t="shared" si="26"/>
        <v>4.5599999999999996</v>
      </c>
      <c r="AO24" s="293">
        <f t="shared" si="27"/>
        <v>0</v>
      </c>
      <c r="AP24" s="294"/>
      <c r="AQ24" s="294"/>
      <c r="AR24" s="429"/>
      <c r="AS24" s="295">
        <f t="shared" si="28"/>
        <v>0</v>
      </c>
      <c r="AT24" s="216">
        <f t="shared" si="29"/>
        <v>4.5599999999999996</v>
      </c>
      <c r="AU24" s="291">
        <f t="shared" si="1"/>
        <v>0</v>
      </c>
      <c r="AV24" s="296">
        <f>[1]COMMANDE!O22</f>
        <v>0</v>
      </c>
      <c r="AW24" s="297" t="str">
        <f t="shared" si="30"/>
        <v>0</v>
      </c>
      <c r="AX24" s="298">
        <f t="shared" si="31"/>
        <v>0</v>
      </c>
      <c r="AY24" s="299">
        <f>[1]COMMANDE!Q22</f>
        <v>0</v>
      </c>
      <c r="AZ24" s="297" t="str">
        <f t="shared" si="32"/>
        <v>0</v>
      </c>
      <c r="BA24" s="300">
        <f t="shared" si="33"/>
        <v>0</v>
      </c>
      <c r="BB24" s="301">
        <f>[1]COMMANDE!S22</f>
        <v>0</v>
      </c>
      <c r="BC24" s="297" t="str">
        <f t="shared" si="34"/>
        <v>0</v>
      </c>
      <c r="BD24" s="298">
        <f t="shared" si="35"/>
        <v>0</v>
      </c>
      <c r="BE24" s="299">
        <f>[1]COMMANDE!U22</f>
        <v>0</v>
      </c>
      <c r="BF24" s="297" t="str">
        <f t="shared" si="36"/>
        <v>0</v>
      </c>
      <c r="BG24" s="300">
        <f t="shared" si="37"/>
        <v>0</v>
      </c>
      <c r="BH24" s="301">
        <f>[1]COMMANDE!W22</f>
        <v>0</v>
      </c>
      <c r="BI24" s="297" t="str">
        <f t="shared" si="38"/>
        <v>0</v>
      </c>
      <c r="BJ24" s="298">
        <f t="shared" si="39"/>
        <v>0</v>
      </c>
      <c r="BK24" s="299">
        <f>[1]COMMANDE!Y22</f>
        <v>0</v>
      </c>
      <c r="BL24" s="297" t="str">
        <f t="shared" si="40"/>
        <v>0</v>
      </c>
      <c r="BM24" s="300">
        <f t="shared" si="41"/>
        <v>0</v>
      </c>
      <c r="BN24" s="301">
        <f>[1]COMMANDE!AA22</f>
        <v>0</v>
      </c>
      <c r="BO24" s="297" t="str">
        <f t="shared" si="42"/>
        <v>0</v>
      </c>
      <c r="BP24" s="298">
        <f t="shared" si="43"/>
        <v>0</v>
      </c>
      <c r="BQ24" s="299">
        <f>[1]COMMANDE!AC22</f>
        <v>0</v>
      </c>
      <c r="BR24" s="297" t="str">
        <f t="shared" si="44"/>
        <v>0</v>
      </c>
      <c r="BS24" s="300">
        <f t="shared" si="45"/>
        <v>0</v>
      </c>
      <c r="BT24" s="301">
        <f>[1]COMMANDE!AE22</f>
        <v>0</v>
      </c>
      <c r="BU24" s="297" t="str">
        <f t="shared" si="46"/>
        <v>0</v>
      </c>
      <c r="BV24" s="298">
        <f t="shared" si="47"/>
        <v>0</v>
      </c>
      <c r="BW24" s="299">
        <f>[1]COMMANDE!AG22</f>
        <v>0</v>
      </c>
      <c r="BX24" s="297" t="str">
        <f t="shared" si="48"/>
        <v>0</v>
      </c>
      <c r="BY24" s="300">
        <f t="shared" si="49"/>
        <v>0</v>
      </c>
      <c r="BZ24" s="301">
        <f>[1]COMMANDE!AI22</f>
        <v>0</v>
      </c>
      <c r="CA24" s="297" t="str">
        <f t="shared" si="50"/>
        <v>0</v>
      </c>
      <c r="CB24" s="298">
        <f t="shared" si="51"/>
        <v>0</v>
      </c>
      <c r="CC24" s="299">
        <f>[1]COMMANDE!AK22</f>
        <v>0</v>
      </c>
      <c r="CD24" s="297" t="str">
        <f t="shared" si="52"/>
        <v>0</v>
      </c>
      <c r="CE24" s="300">
        <f t="shared" si="53"/>
        <v>0</v>
      </c>
      <c r="CF24" s="301">
        <f>[1]COMMANDE!AM22</f>
        <v>0</v>
      </c>
      <c r="CG24" s="297" t="str">
        <f t="shared" si="54"/>
        <v>0</v>
      </c>
      <c r="CH24" s="298">
        <f t="shared" si="55"/>
        <v>0</v>
      </c>
      <c r="CI24" s="299">
        <f>[1]COMMANDE!AO22</f>
        <v>0</v>
      </c>
      <c r="CJ24" s="297" t="str">
        <f t="shared" si="56"/>
        <v>0</v>
      </c>
      <c r="CK24" s="300">
        <f t="shared" si="57"/>
        <v>0</v>
      </c>
      <c r="CL24" s="301">
        <f>[1]COMMANDE!AQ22</f>
        <v>0</v>
      </c>
      <c r="CM24" s="297" t="str">
        <f t="shared" si="58"/>
        <v>0</v>
      </c>
      <c r="CN24" s="298">
        <f t="shared" si="59"/>
        <v>0</v>
      </c>
      <c r="CO24" s="299">
        <f>[1]COMMANDE!AS22</f>
        <v>0</v>
      </c>
      <c r="CP24" s="297" t="str">
        <f t="shared" si="60"/>
        <v>0</v>
      </c>
      <c r="CQ24" s="300">
        <f t="shared" si="61"/>
        <v>0</v>
      </c>
      <c r="CR24" s="301">
        <f>[1]COMMANDE!AU22</f>
        <v>0</v>
      </c>
      <c r="CS24" s="297" t="str">
        <f t="shared" si="62"/>
        <v>0</v>
      </c>
      <c r="CT24" s="298">
        <f t="shared" si="63"/>
        <v>0</v>
      </c>
      <c r="CU24" s="299">
        <f>[1]COMMANDE!AW22</f>
        <v>0</v>
      </c>
      <c r="CV24" s="297" t="str">
        <f t="shared" si="64"/>
        <v>0</v>
      </c>
      <c r="CW24" s="300">
        <f t="shared" si="65"/>
        <v>0</v>
      </c>
      <c r="CX24" s="301">
        <f>[1]COMMANDE!AY22</f>
        <v>0</v>
      </c>
      <c r="CY24" s="297" t="str">
        <f t="shared" si="66"/>
        <v>0</v>
      </c>
      <c r="CZ24" s="298">
        <f t="shared" si="67"/>
        <v>0</v>
      </c>
      <c r="DA24" s="299">
        <f>[1]COMMANDE!BA22</f>
        <v>0</v>
      </c>
      <c r="DB24" s="297" t="str">
        <f t="shared" si="68"/>
        <v>0</v>
      </c>
      <c r="DC24" s="302">
        <f t="shared" si="69"/>
        <v>0</v>
      </c>
      <c r="DD24" s="303"/>
      <c r="DE24" s="304"/>
    </row>
    <row r="25" spans="1:109" ht="39.950000000000003" customHeight="1" x14ac:dyDescent="0.25">
      <c r="A25" s="284">
        <f t="shared" si="2"/>
        <v>0</v>
      </c>
      <c r="B25" s="284">
        <f t="shared" si="3"/>
        <v>0</v>
      </c>
      <c r="C25" s="284">
        <f t="shared" si="4"/>
        <v>0</v>
      </c>
      <c r="D25" s="284">
        <f t="shared" si="5"/>
        <v>0</v>
      </c>
      <c r="E25" s="284">
        <f t="shared" si="6"/>
        <v>0</v>
      </c>
      <c r="F25" s="284">
        <f t="shared" si="7"/>
        <v>0</v>
      </c>
      <c r="G25" s="284">
        <f t="shared" si="8"/>
        <v>0</v>
      </c>
      <c r="H25" s="284">
        <f t="shared" si="9"/>
        <v>0</v>
      </c>
      <c r="I25" s="284">
        <f t="shared" si="10"/>
        <v>0</v>
      </c>
      <c r="J25" s="284">
        <f t="shared" si="11"/>
        <v>0</v>
      </c>
      <c r="K25" s="284">
        <f t="shared" si="12"/>
        <v>0</v>
      </c>
      <c r="L25" s="284">
        <f t="shared" si="13"/>
        <v>0</v>
      </c>
      <c r="M25" s="284">
        <f t="shared" si="14"/>
        <v>0</v>
      </c>
      <c r="N25" s="284">
        <f t="shared" si="15"/>
        <v>0</v>
      </c>
      <c r="O25" s="284">
        <f t="shared" si="16"/>
        <v>0</v>
      </c>
      <c r="P25" s="284">
        <f t="shared" si="17"/>
        <v>0</v>
      </c>
      <c r="Q25" s="284">
        <f t="shared" si="18"/>
        <v>0</v>
      </c>
      <c r="R25" s="284">
        <f t="shared" si="19"/>
        <v>0</v>
      </c>
      <c r="S25" s="284">
        <f t="shared" si="20"/>
        <v>0</v>
      </c>
      <c r="T25" s="284">
        <f t="shared" si="21"/>
        <v>0</v>
      </c>
      <c r="U25" s="285">
        <f t="shared" si="22"/>
        <v>0</v>
      </c>
      <c r="V25" s="286">
        <f>[1]BDD!A15</f>
        <v>1197</v>
      </c>
      <c r="W25" s="287" t="str">
        <f>[1]BDD!B15</f>
        <v>Amande sans coque CRU BIO (env. 1kg)</v>
      </c>
      <c r="X25" s="288" t="str">
        <f>IF([1]BDD!F15=0, "", [1]BDD!F15)</f>
        <v>❤️</v>
      </c>
      <c r="Y25" s="214">
        <f>ROUND([1]BDD!G15+FDP_CMD_KG, 2)</f>
        <v>25.5</v>
      </c>
      <c r="Z25" s="214">
        <f>ROUND([1]BDD!G15+FDP_FACT_KG, 2)</f>
        <v>25.5</v>
      </c>
      <c r="AA25" s="215" t="str">
        <f>[1]BDD!H15</f>
        <v>Pièce</v>
      </c>
      <c r="AB25" s="225">
        <f>IF(NOT(ISBLANK([1]BDD!I15)), ROUND(SUM(([1]BDD!G15*reduc1),FDP_CMD_KG), 2), "")</f>
        <v>23.04</v>
      </c>
      <c r="AC25" s="225" t="str">
        <f>IF(NOT(ISBLANK([1]BDD!J15)), ROUND(SUM(([1]BDD!G15*reduc2),FDP_CMD_KG), 2), "")</f>
        <v/>
      </c>
      <c r="AD25" s="225" t="str">
        <f>IF(NOT(ISBLANK([1]BDD!K15)), ROUND(SUM(([1]BDD!G15*reduc3),FDP_CMD_KG), 2), "")</f>
        <v/>
      </c>
      <c r="AE25" s="225">
        <f>IF(NOT(ISBLANK([1]BDD!I15)), ROUND(SUM(([1]BDD!G15*reduc1),FDP_FACT_KG), 2), "")</f>
        <v>23.03</v>
      </c>
      <c r="AF25" s="225" t="str">
        <f>IF(NOT(ISBLANK([1]BDD!J15)), ROUND(SUM(([1]BDD!G15*reduc2),FDP_FACT_KG), 2), "")</f>
        <v/>
      </c>
      <c r="AG25" s="225" t="str">
        <f>IF(NOT(ISBLANK([1]BDD!K15)), ROUND(SUM(([1]BDD!G15*reduc3),FDP_FACT_KG), 2), "")</f>
        <v/>
      </c>
      <c r="AH25" s="289" t="str">
        <f>[1]BDD!C15</f>
        <v>Grenade</v>
      </c>
      <c r="AI25" s="290">
        <f t="shared" si="23"/>
        <v>0</v>
      </c>
      <c r="AJ25" s="216">
        <f t="shared" si="24"/>
        <v>23.04</v>
      </c>
      <c r="AK25" s="291">
        <f t="shared" si="25"/>
        <v>0</v>
      </c>
      <c r="AL25" s="429"/>
      <c r="AM25" s="292"/>
      <c r="AN25" s="216">
        <f t="shared" si="26"/>
        <v>25.5</v>
      </c>
      <c r="AO25" s="293">
        <f t="shared" si="27"/>
        <v>0</v>
      </c>
      <c r="AP25" s="294"/>
      <c r="AQ25" s="294"/>
      <c r="AR25" s="429"/>
      <c r="AS25" s="295">
        <f t="shared" si="28"/>
        <v>0</v>
      </c>
      <c r="AT25" s="216">
        <f t="shared" si="29"/>
        <v>25.5</v>
      </c>
      <c r="AU25" s="291">
        <f t="shared" si="1"/>
        <v>0</v>
      </c>
      <c r="AV25" s="296">
        <f>[1]COMMANDE!O23</f>
        <v>0</v>
      </c>
      <c r="AW25" s="297" t="str">
        <f t="shared" si="30"/>
        <v>0</v>
      </c>
      <c r="AX25" s="298">
        <f t="shared" si="31"/>
        <v>0</v>
      </c>
      <c r="AY25" s="299">
        <f>[1]COMMANDE!Q23</f>
        <v>0</v>
      </c>
      <c r="AZ25" s="297" t="str">
        <f t="shared" si="32"/>
        <v>0</v>
      </c>
      <c r="BA25" s="300">
        <f t="shared" si="33"/>
        <v>0</v>
      </c>
      <c r="BB25" s="301">
        <f>[1]COMMANDE!S23</f>
        <v>0</v>
      </c>
      <c r="BC25" s="297" t="str">
        <f t="shared" si="34"/>
        <v>0</v>
      </c>
      <c r="BD25" s="298">
        <f t="shared" si="35"/>
        <v>0</v>
      </c>
      <c r="BE25" s="299">
        <f>[1]COMMANDE!U23</f>
        <v>0</v>
      </c>
      <c r="BF25" s="297" t="str">
        <f t="shared" si="36"/>
        <v>0</v>
      </c>
      <c r="BG25" s="300">
        <f t="shared" si="37"/>
        <v>0</v>
      </c>
      <c r="BH25" s="301">
        <f>[1]COMMANDE!W23</f>
        <v>0</v>
      </c>
      <c r="BI25" s="297" t="str">
        <f t="shared" si="38"/>
        <v>0</v>
      </c>
      <c r="BJ25" s="298">
        <f t="shared" si="39"/>
        <v>0</v>
      </c>
      <c r="BK25" s="299">
        <f>[1]COMMANDE!Y23</f>
        <v>0</v>
      </c>
      <c r="BL25" s="297" t="str">
        <f t="shared" si="40"/>
        <v>0</v>
      </c>
      <c r="BM25" s="300">
        <f t="shared" si="41"/>
        <v>0</v>
      </c>
      <c r="BN25" s="301">
        <f>[1]COMMANDE!AA23</f>
        <v>0</v>
      </c>
      <c r="BO25" s="297" t="str">
        <f t="shared" si="42"/>
        <v>0</v>
      </c>
      <c r="BP25" s="298">
        <f t="shared" si="43"/>
        <v>0</v>
      </c>
      <c r="BQ25" s="299">
        <f>[1]COMMANDE!AC23</f>
        <v>0</v>
      </c>
      <c r="BR25" s="297" t="str">
        <f t="shared" si="44"/>
        <v>0</v>
      </c>
      <c r="BS25" s="300">
        <f t="shared" si="45"/>
        <v>0</v>
      </c>
      <c r="BT25" s="301">
        <f>[1]COMMANDE!AE23</f>
        <v>0</v>
      </c>
      <c r="BU25" s="297" t="str">
        <f t="shared" si="46"/>
        <v>0</v>
      </c>
      <c r="BV25" s="298">
        <f t="shared" si="47"/>
        <v>0</v>
      </c>
      <c r="BW25" s="299">
        <f>[1]COMMANDE!AG23</f>
        <v>0</v>
      </c>
      <c r="BX25" s="297" t="str">
        <f t="shared" si="48"/>
        <v>0</v>
      </c>
      <c r="BY25" s="300">
        <f t="shared" si="49"/>
        <v>0</v>
      </c>
      <c r="BZ25" s="301">
        <f>[1]COMMANDE!AI23</f>
        <v>0</v>
      </c>
      <c r="CA25" s="297" t="str">
        <f t="shared" si="50"/>
        <v>0</v>
      </c>
      <c r="CB25" s="298">
        <f t="shared" si="51"/>
        <v>0</v>
      </c>
      <c r="CC25" s="299">
        <f>[1]COMMANDE!AK23</f>
        <v>0</v>
      </c>
      <c r="CD25" s="297" t="str">
        <f t="shared" si="52"/>
        <v>0</v>
      </c>
      <c r="CE25" s="300">
        <f t="shared" si="53"/>
        <v>0</v>
      </c>
      <c r="CF25" s="301">
        <f>[1]COMMANDE!AM23</f>
        <v>0</v>
      </c>
      <c r="CG25" s="297" t="str">
        <f t="shared" si="54"/>
        <v>0</v>
      </c>
      <c r="CH25" s="298">
        <f t="shared" si="55"/>
        <v>0</v>
      </c>
      <c r="CI25" s="299">
        <f>[1]COMMANDE!AO23</f>
        <v>0</v>
      </c>
      <c r="CJ25" s="297" t="str">
        <f t="shared" si="56"/>
        <v>0</v>
      </c>
      <c r="CK25" s="300">
        <f t="shared" si="57"/>
        <v>0</v>
      </c>
      <c r="CL25" s="301">
        <f>[1]COMMANDE!AQ23</f>
        <v>0</v>
      </c>
      <c r="CM25" s="297" t="str">
        <f t="shared" si="58"/>
        <v>0</v>
      </c>
      <c r="CN25" s="298">
        <f t="shared" si="59"/>
        <v>0</v>
      </c>
      <c r="CO25" s="299">
        <f>[1]COMMANDE!AS23</f>
        <v>0</v>
      </c>
      <c r="CP25" s="297" t="str">
        <f t="shared" si="60"/>
        <v>0</v>
      </c>
      <c r="CQ25" s="300">
        <f t="shared" si="61"/>
        <v>0</v>
      </c>
      <c r="CR25" s="301">
        <f>[1]COMMANDE!AU23</f>
        <v>0</v>
      </c>
      <c r="CS25" s="297" t="str">
        <f t="shared" si="62"/>
        <v>0</v>
      </c>
      <c r="CT25" s="298">
        <f t="shared" si="63"/>
        <v>0</v>
      </c>
      <c r="CU25" s="299">
        <f>[1]COMMANDE!AW23</f>
        <v>0</v>
      </c>
      <c r="CV25" s="297" t="str">
        <f t="shared" si="64"/>
        <v>0</v>
      </c>
      <c r="CW25" s="300">
        <f t="shared" si="65"/>
        <v>0</v>
      </c>
      <c r="CX25" s="301">
        <f>[1]COMMANDE!AY23</f>
        <v>0</v>
      </c>
      <c r="CY25" s="297" t="str">
        <f t="shared" si="66"/>
        <v>0</v>
      </c>
      <c r="CZ25" s="298">
        <f t="shared" si="67"/>
        <v>0</v>
      </c>
      <c r="DA25" s="299">
        <f>[1]COMMANDE!BA23</f>
        <v>0</v>
      </c>
      <c r="DB25" s="297" t="str">
        <f t="shared" si="68"/>
        <v>0</v>
      </c>
      <c r="DC25" s="302">
        <f t="shared" si="69"/>
        <v>0</v>
      </c>
      <c r="DD25" s="303"/>
      <c r="DE25" s="304"/>
    </row>
    <row r="26" spans="1:109" ht="39.950000000000003" customHeight="1" x14ac:dyDescent="0.25">
      <c r="A26" s="284">
        <f t="shared" si="2"/>
        <v>0</v>
      </c>
      <c r="B26" s="284">
        <f t="shared" si="3"/>
        <v>0</v>
      </c>
      <c r="C26" s="284">
        <f t="shared" si="4"/>
        <v>0</v>
      </c>
      <c r="D26" s="284">
        <f t="shared" si="5"/>
        <v>0</v>
      </c>
      <c r="E26" s="284">
        <f t="shared" si="6"/>
        <v>0</v>
      </c>
      <c r="F26" s="284">
        <f t="shared" si="7"/>
        <v>0</v>
      </c>
      <c r="G26" s="284">
        <f t="shared" si="8"/>
        <v>0</v>
      </c>
      <c r="H26" s="284">
        <f t="shared" si="9"/>
        <v>0</v>
      </c>
      <c r="I26" s="284">
        <f t="shared" si="10"/>
        <v>0</v>
      </c>
      <c r="J26" s="284">
        <f t="shared" si="11"/>
        <v>0</v>
      </c>
      <c r="K26" s="284">
        <f t="shared" si="12"/>
        <v>0</v>
      </c>
      <c r="L26" s="284">
        <f t="shared" si="13"/>
        <v>0</v>
      </c>
      <c r="M26" s="284">
        <f t="shared" si="14"/>
        <v>0</v>
      </c>
      <c r="N26" s="284">
        <f t="shared" si="15"/>
        <v>0</v>
      </c>
      <c r="O26" s="284">
        <f t="shared" si="16"/>
        <v>0</v>
      </c>
      <c r="P26" s="284">
        <f t="shared" si="17"/>
        <v>0</v>
      </c>
      <c r="Q26" s="284">
        <f t="shared" si="18"/>
        <v>0</v>
      </c>
      <c r="R26" s="284">
        <f t="shared" si="19"/>
        <v>0</v>
      </c>
      <c r="S26" s="284">
        <f t="shared" si="20"/>
        <v>0</v>
      </c>
      <c r="T26" s="284">
        <f t="shared" si="21"/>
        <v>0</v>
      </c>
      <c r="U26" s="285">
        <f t="shared" si="22"/>
        <v>0</v>
      </c>
      <c r="V26" s="286">
        <f>[1]BDD!A16</f>
        <v>3020</v>
      </c>
      <c r="W26" s="287" t="str">
        <f>[1]BDD!B16</f>
        <v xml:space="preserve">Ananas (mûri sur plante, env. 2kg)
</v>
      </c>
      <c r="X26" s="288" t="str">
        <f>IF([1]BDD!F16=0, "", [1]BDD!F16)</f>
        <v>❤️</v>
      </c>
      <c r="Y26" s="214">
        <f>ROUND([1]BDD!G16+FDP_CMD_KG, 2)</f>
        <v>5.24</v>
      </c>
      <c r="Z26" s="214">
        <f>ROUND([1]BDD!G16+FDP_FACT_KG, 2)</f>
        <v>5.24</v>
      </c>
      <c r="AA26" s="215" t="str">
        <f>[1]BDD!H16</f>
        <v>kg</v>
      </c>
      <c r="AB26" s="225">
        <f>IF(NOT(ISBLANK([1]BDD!I16)), ROUND(SUM(([1]BDD!G16*reduc1),FDP_CMD_KG), 2), "")</f>
        <v>4.8099999999999996</v>
      </c>
      <c r="AC26" s="225">
        <f>IF(NOT(ISBLANK([1]BDD!J16)), ROUND(SUM(([1]BDD!G16*reduc2),FDP_CMD_KG), 2), "")</f>
        <v>4.37</v>
      </c>
      <c r="AD26" s="225" t="str">
        <f>IF(NOT(ISBLANK([1]BDD!K16)), ROUND(SUM(([1]BDD!G16*reduc3),FDP_CMD_KG), 2), "")</f>
        <v/>
      </c>
      <c r="AE26" s="225">
        <f>IF(NOT(ISBLANK([1]BDD!I16)), ROUND(SUM(([1]BDD!G16*reduc1),FDP_FACT_KG), 2), "")</f>
        <v>4.8</v>
      </c>
      <c r="AF26" s="225">
        <f>IF(NOT(ISBLANK([1]BDD!J16)), ROUND(SUM(([1]BDD!G16*reduc2),FDP_FACT_KG), 2), "")</f>
        <v>4.3600000000000003</v>
      </c>
      <c r="AG26" s="225" t="str">
        <f>IF(NOT(ISBLANK([1]BDD!K16)), ROUND(SUM(([1]BDD!G16*reduc3),FDP_FACT_KG), 2), "")</f>
        <v/>
      </c>
      <c r="AH26" s="289" t="str">
        <f>[1]BDD!C16</f>
        <v>Costa Rica</v>
      </c>
      <c r="AI26" s="290">
        <f t="shared" si="23"/>
        <v>0</v>
      </c>
      <c r="AJ26" s="216">
        <f t="shared" si="24"/>
        <v>4.37</v>
      </c>
      <c r="AK26" s="291">
        <f t="shared" si="25"/>
        <v>0</v>
      </c>
      <c r="AL26" s="429"/>
      <c r="AM26" s="292"/>
      <c r="AN26" s="216">
        <f t="shared" si="26"/>
        <v>5.24</v>
      </c>
      <c r="AO26" s="293">
        <f t="shared" si="27"/>
        <v>0</v>
      </c>
      <c r="AP26" s="294"/>
      <c r="AQ26" s="294"/>
      <c r="AR26" s="429"/>
      <c r="AS26" s="295">
        <f t="shared" si="28"/>
        <v>0</v>
      </c>
      <c r="AT26" s="216">
        <f t="shared" si="29"/>
        <v>5.24</v>
      </c>
      <c r="AU26" s="291">
        <f t="shared" si="1"/>
        <v>0</v>
      </c>
      <c r="AV26" s="296">
        <f>[1]COMMANDE!O24</f>
        <v>0</v>
      </c>
      <c r="AW26" s="297" t="str">
        <f t="shared" si="30"/>
        <v>0</v>
      </c>
      <c r="AX26" s="298">
        <f t="shared" si="31"/>
        <v>0</v>
      </c>
      <c r="AY26" s="299">
        <f>[1]COMMANDE!Q24</f>
        <v>0</v>
      </c>
      <c r="AZ26" s="297" t="str">
        <f t="shared" si="32"/>
        <v>0</v>
      </c>
      <c r="BA26" s="300">
        <f t="shared" si="33"/>
        <v>0</v>
      </c>
      <c r="BB26" s="301">
        <f>[1]COMMANDE!S24</f>
        <v>0</v>
      </c>
      <c r="BC26" s="297" t="str">
        <f t="shared" si="34"/>
        <v>0</v>
      </c>
      <c r="BD26" s="298">
        <f t="shared" si="35"/>
        <v>0</v>
      </c>
      <c r="BE26" s="299">
        <f>[1]COMMANDE!U24</f>
        <v>0</v>
      </c>
      <c r="BF26" s="297" t="str">
        <f t="shared" si="36"/>
        <v>0</v>
      </c>
      <c r="BG26" s="300">
        <f t="shared" si="37"/>
        <v>0</v>
      </c>
      <c r="BH26" s="301">
        <f>[1]COMMANDE!W24</f>
        <v>0</v>
      </c>
      <c r="BI26" s="297" t="str">
        <f t="shared" si="38"/>
        <v>0</v>
      </c>
      <c r="BJ26" s="298">
        <f t="shared" si="39"/>
        <v>0</v>
      </c>
      <c r="BK26" s="299">
        <f>[1]COMMANDE!Y24</f>
        <v>0</v>
      </c>
      <c r="BL26" s="297" t="str">
        <f t="shared" si="40"/>
        <v>0</v>
      </c>
      <c r="BM26" s="300">
        <f t="shared" si="41"/>
        <v>0</v>
      </c>
      <c r="BN26" s="301">
        <f>[1]COMMANDE!AA24</f>
        <v>0</v>
      </c>
      <c r="BO26" s="297" t="str">
        <f t="shared" si="42"/>
        <v>0</v>
      </c>
      <c r="BP26" s="298">
        <f t="shared" si="43"/>
        <v>0</v>
      </c>
      <c r="BQ26" s="299">
        <f>[1]COMMANDE!AC24</f>
        <v>0</v>
      </c>
      <c r="BR26" s="297" t="str">
        <f t="shared" si="44"/>
        <v>0</v>
      </c>
      <c r="BS26" s="300">
        <f t="shared" si="45"/>
        <v>0</v>
      </c>
      <c r="BT26" s="301">
        <f>[1]COMMANDE!AE24</f>
        <v>0</v>
      </c>
      <c r="BU26" s="297" t="str">
        <f t="shared" si="46"/>
        <v>0</v>
      </c>
      <c r="BV26" s="298">
        <f t="shared" si="47"/>
        <v>0</v>
      </c>
      <c r="BW26" s="299">
        <f>[1]COMMANDE!AG24</f>
        <v>0</v>
      </c>
      <c r="BX26" s="297" t="str">
        <f t="shared" si="48"/>
        <v>0</v>
      </c>
      <c r="BY26" s="300">
        <f t="shared" si="49"/>
        <v>0</v>
      </c>
      <c r="BZ26" s="301">
        <f>[1]COMMANDE!AI24</f>
        <v>0</v>
      </c>
      <c r="CA26" s="297" t="str">
        <f t="shared" si="50"/>
        <v>0</v>
      </c>
      <c r="CB26" s="298">
        <f t="shared" si="51"/>
        <v>0</v>
      </c>
      <c r="CC26" s="299">
        <f>[1]COMMANDE!AK24</f>
        <v>0</v>
      </c>
      <c r="CD26" s="297" t="str">
        <f t="shared" si="52"/>
        <v>0</v>
      </c>
      <c r="CE26" s="300">
        <f t="shared" si="53"/>
        <v>0</v>
      </c>
      <c r="CF26" s="301">
        <f>[1]COMMANDE!AM24</f>
        <v>0</v>
      </c>
      <c r="CG26" s="297" t="str">
        <f t="shared" si="54"/>
        <v>0</v>
      </c>
      <c r="CH26" s="298">
        <f t="shared" si="55"/>
        <v>0</v>
      </c>
      <c r="CI26" s="299">
        <f>[1]COMMANDE!AO24</f>
        <v>0</v>
      </c>
      <c r="CJ26" s="297" t="str">
        <f t="shared" si="56"/>
        <v>0</v>
      </c>
      <c r="CK26" s="300">
        <f t="shared" si="57"/>
        <v>0</v>
      </c>
      <c r="CL26" s="301">
        <f>[1]COMMANDE!AQ24</f>
        <v>0</v>
      </c>
      <c r="CM26" s="297" t="str">
        <f t="shared" si="58"/>
        <v>0</v>
      </c>
      <c r="CN26" s="298">
        <f t="shared" si="59"/>
        <v>0</v>
      </c>
      <c r="CO26" s="299">
        <f>[1]COMMANDE!AS24</f>
        <v>0</v>
      </c>
      <c r="CP26" s="297" t="str">
        <f t="shared" si="60"/>
        <v>0</v>
      </c>
      <c r="CQ26" s="300">
        <f t="shared" si="61"/>
        <v>0</v>
      </c>
      <c r="CR26" s="301">
        <f>[1]COMMANDE!AU24</f>
        <v>0</v>
      </c>
      <c r="CS26" s="297" t="str">
        <f t="shared" si="62"/>
        <v>0</v>
      </c>
      <c r="CT26" s="298">
        <f t="shared" si="63"/>
        <v>0</v>
      </c>
      <c r="CU26" s="299">
        <f>[1]COMMANDE!AW24</f>
        <v>0</v>
      </c>
      <c r="CV26" s="297" t="str">
        <f t="shared" si="64"/>
        <v>0</v>
      </c>
      <c r="CW26" s="300">
        <f t="shared" si="65"/>
        <v>0</v>
      </c>
      <c r="CX26" s="301">
        <f>[1]COMMANDE!AY24</f>
        <v>0</v>
      </c>
      <c r="CY26" s="297" t="str">
        <f t="shared" si="66"/>
        <v>0</v>
      </c>
      <c r="CZ26" s="298">
        <f t="shared" si="67"/>
        <v>0</v>
      </c>
      <c r="DA26" s="299">
        <f>[1]COMMANDE!BA24</f>
        <v>0</v>
      </c>
      <c r="DB26" s="297" t="str">
        <f t="shared" si="68"/>
        <v>0</v>
      </c>
      <c r="DC26" s="302">
        <f t="shared" si="69"/>
        <v>0</v>
      </c>
      <c r="DD26" s="303"/>
      <c r="DE26" s="304"/>
    </row>
    <row r="27" spans="1:109" ht="39.950000000000003" customHeight="1" x14ac:dyDescent="0.25">
      <c r="A27" s="284">
        <f t="shared" si="2"/>
        <v>0</v>
      </c>
      <c r="B27" s="284">
        <f t="shared" si="3"/>
        <v>0</v>
      </c>
      <c r="C27" s="284">
        <f t="shared" si="4"/>
        <v>0</v>
      </c>
      <c r="D27" s="284">
        <f t="shared" si="5"/>
        <v>0</v>
      </c>
      <c r="E27" s="284">
        <f t="shared" si="6"/>
        <v>0</v>
      </c>
      <c r="F27" s="284">
        <f t="shared" si="7"/>
        <v>0</v>
      </c>
      <c r="G27" s="284">
        <f t="shared" si="8"/>
        <v>0</v>
      </c>
      <c r="H27" s="284">
        <f t="shared" si="9"/>
        <v>0</v>
      </c>
      <c r="I27" s="284">
        <f t="shared" si="10"/>
        <v>0</v>
      </c>
      <c r="J27" s="284">
        <f t="shared" si="11"/>
        <v>0</v>
      </c>
      <c r="K27" s="284">
        <f t="shared" si="12"/>
        <v>0</v>
      </c>
      <c r="L27" s="284">
        <f t="shared" si="13"/>
        <v>0</v>
      </c>
      <c r="M27" s="284">
        <f t="shared" si="14"/>
        <v>0</v>
      </c>
      <c r="N27" s="284">
        <f t="shared" si="15"/>
        <v>0</v>
      </c>
      <c r="O27" s="284">
        <f t="shared" si="16"/>
        <v>0</v>
      </c>
      <c r="P27" s="284">
        <f t="shared" si="17"/>
        <v>0</v>
      </c>
      <c r="Q27" s="284">
        <f t="shared" si="18"/>
        <v>0</v>
      </c>
      <c r="R27" s="284">
        <f t="shared" si="19"/>
        <v>0</v>
      </c>
      <c r="S27" s="284">
        <f t="shared" si="20"/>
        <v>0</v>
      </c>
      <c r="T27" s="284">
        <f t="shared" si="21"/>
        <v>0</v>
      </c>
      <c r="U27" s="285">
        <f t="shared" si="22"/>
        <v>0</v>
      </c>
      <c r="V27" s="286">
        <f>[1]BDD!A17</f>
        <v>5131</v>
      </c>
      <c r="W27" s="287" t="str">
        <f>[1]BDD!B17</f>
        <v>Ananas deshydraté à basse température BIO  
    - (env. 500g, production Rufino)</v>
      </c>
      <c r="X27" s="288" t="str">
        <f>IF([1]BDD!F17=0, "", [1]BDD!F17)</f>
        <v/>
      </c>
      <c r="Y27" s="214">
        <f>ROUND([1]BDD!G17+FDP_CMD_KG, 2)</f>
        <v>14.54</v>
      </c>
      <c r="Z27" s="214">
        <f>ROUND([1]BDD!G17+FDP_FACT_KG, 2)</f>
        <v>14.54</v>
      </c>
      <c r="AA27" s="215" t="str">
        <f>[1]BDD!H17</f>
        <v>Pièce</v>
      </c>
      <c r="AB27" s="225" t="str">
        <f>IF(NOT(ISBLANK([1]BDD!I17)), ROUND(SUM(([1]BDD!G17*reduc1),FDP_CMD_KG), 2), "")</f>
        <v/>
      </c>
      <c r="AC27" s="225" t="str">
        <f>IF(NOT(ISBLANK([1]BDD!J17)), ROUND(SUM(([1]BDD!G17*reduc2),FDP_CMD_KG), 2), "")</f>
        <v/>
      </c>
      <c r="AD27" s="225" t="str">
        <f>IF(NOT(ISBLANK([1]BDD!K17)), ROUND(SUM(([1]BDD!G17*reduc3),FDP_CMD_KG), 2), "")</f>
        <v/>
      </c>
      <c r="AE27" s="225" t="str">
        <f>IF(NOT(ISBLANK([1]BDD!I17)), ROUND(SUM(([1]BDD!G17*reduc1),FDP_FACT_KG), 2), "")</f>
        <v/>
      </c>
      <c r="AF27" s="225" t="str">
        <f>IF(NOT(ISBLANK([1]BDD!J17)), ROUND(SUM(([1]BDD!G17*reduc2),FDP_FACT_KG), 2), "")</f>
        <v/>
      </c>
      <c r="AG27" s="225" t="str">
        <f>IF(NOT(ISBLANK([1]BDD!K17)), ROUND(SUM(([1]BDD!G17*reduc3),FDP_FACT_KG), 2), "")</f>
        <v/>
      </c>
      <c r="AH27" s="289" t="str">
        <f>[1]BDD!C17</f>
        <v>Grenade</v>
      </c>
      <c r="AI27" s="290">
        <f t="shared" si="23"/>
        <v>0</v>
      </c>
      <c r="AJ27" s="216">
        <f t="shared" si="24"/>
        <v>14.54</v>
      </c>
      <c r="AK27" s="291">
        <f t="shared" si="25"/>
        <v>0</v>
      </c>
      <c r="AL27" s="429"/>
      <c r="AM27" s="292"/>
      <c r="AN27" s="216">
        <f t="shared" si="26"/>
        <v>14.54</v>
      </c>
      <c r="AO27" s="293">
        <f t="shared" si="27"/>
        <v>0</v>
      </c>
      <c r="AP27" s="294"/>
      <c r="AQ27" s="294"/>
      <c r="AR27" s="429"/>
      <c r="AS27" s="295">
        <f t="shared" si="28"/>
        <v>0</v>
      </c>
      <c r="AT27" s="216">
        <f t="shared" si="29"/>
        <v>14.54</v>
      </c>
      <c r="AU27" s="291">
        <f t="shared" si="1"/>
        <v>0</v>
      </c>
      <c r="AV27" s="296">
        <f>[1]COMMANDE!O25</f>
        <v>0</v>
      </c>
      <c r="AW27" s="297" t="str">
        <f t="shared" si="30"/>
        <v>0</v>
      </c>
      <c r="AX27" s="298">
        <f t="shared" si="31"/>
        <v>0</v>
      </c>
      <c r="AY27" s="299">
        <f>[1]COMMANDE!Q25</f>
        <v>0</v>
      </c>
      <c r="AZ27" s="297" t="str">
        <f t="shared" si="32"/>
        <v>0</v>
      </c>
      <c r="BA27" s="300">
        <f t="shared" si="33"/>
        <v>0</v>
      </c>
      <c r="BB27" s="301">
        <f>[1]COMMANDE!S25</f>
        <v>0</v>
      </c>
      <c r="BC27" s="297" t="str">
        <f t="shared" si="34"/>
        <v>0</v>
      </c>
      <c r="BD27" s="298">
        <f t="shared" si="35"/>
        <v>0</v>
      </c>
      <c r="BE27" s="299">
        <f>[1]COMMANDE!U25</f>
        <v>0</v>
      </c>
      <c r="BF27" s="297" t="str">
        <f t="shared" si="36"/>
        <v>0</v>
      </c>
      <c r="BG27" s="300">
        <f t="shared" si="37"/>
        <v>0</v>
      </c>
      <c r="BH27" s="301">
        <f>[1]COMMANDE!W25</f>
        <v>0</v>
      </c>
      <c r="BI27" s="297" t="str">
        <f t="shared" si="38"/>
        <v>0</v>
      </c>
      <c r="BJ27" s="298">
        <f t="shared" si="39"/>
        <v>0</v>
      </c>
      <c r="BK27" s="299">
        <f>[1]COMMANDE!Y25</f>
        <v>0</v>
      </c>
      <c r="BL27" s="297" t="str">
        <f t="shared" si="40"/>
        <v>0</v>
      </c>
      <c r="BM27" s="300">
        <f t="shared" si="41"/>
        <v>0</v>
      </c>
      <c r="BN27" s="301">
        <f>[1]COMMANDE!AA25</f>
        <v>0</v>
      </c>
      <c r="BO27" s="297" t="str">
        <f t="shared" si="42"/>
        <v>0</v>
      </c>
      <c r="BP27" s="298">
        <f t="shared" si="43"/>
        <v>0</v>
      </c>
      <c r="BQ27" s="299">
        <f>[1]COMMANDE!AC25</f>
        <v>0</v>
      </c>
      <c r="BR27" s="297" t="str">
        <f t="shared" si="44"/>
        <v>0</v>
      </c>
      <c r="BS27" s="300">
        <f t="shared" si="45"/>
        <v>0</v>
      </c>
      <c r="BT27" s="301">
        <f>[1]COMMANDE!AE25</f>
        <v>0</v>
      </c>
      <c r="BU27" s="297" t="str">
        <f t="shared" si="46"/>
        <v>0</v>
      </c>
      <c r="BV27" s="298">
        <f t="shared" si="47"/>
        <v>0</v>
      </c>
      <c r="BW27" s="299">
        <f>[1]COMMANDE!AG25</f>
        <v>0</v>
      </c>
      <c r="BX27" s="297" t="str">
        <f t="shared" si="48"/>
        <v>0</v>
      </c>
      <c r="BY27" s="300">
        <f t="shared" si="49"/>
        <v>0</v>
      </c>
      <c r="BZ27" s="301">
        <f>[1]COMMANDE!AI25</f>
        <v>0</v>
      </c>
      <c r="CA27" s="297" t="str">
        <f t="shared" si="50"/>
        <v>0</v>
      </c>
      <c r="CB27" s="298">
        <f t="shared" si="51"/>
        <v>0</v>
      </c>
      <c r="CC27" s="299">
        <f>[1]COMMANDE!AK25</f>
        <v>0</v>
      </c>
      <c r="CD27" s="297" t="str">
        <f t="shared" si="52"/>
        <v>0</v>
      </c>
      <c r="CE27" s="300">
        <f t="shared" si="53"/>
        <v>0</v>
      </c>
      <c r="CF27" s="301">
        <f>[1]COMMANDE!AM25</f>
        <v>0</v>
      </c>
      <c r="CG27" s="297" t="str">
        <f t="shared" si="54"/>
        <v>0</v>
      </c>
      <c r="CH27" s="298">
        <f t="shared" si="55"/>
        <v>0</v>
      </c>
      <c r="CI27" s="299">
        <f>[1]COMMANDE!AO25</f>
        <v>0</v>
      </c>
      <c r="CJ27" s="297" t="str">
        <f t="shared" si="56"/>
        <v>0</v>
      </c>
      <c r="CK27" s="300">
        <f t="shared" si="57"/>
        <v>0</v>
      </c>
      <c r="CL27" s="301">
        <f>[1]COMMANDE!AQ25</f>
        <v>0</v>
      </c>
      <c r="CM27" s="297" t="str">
        <f t="shared" si="58"/>
        <v>0</v>
      </c>
      <c r="CN27" s="298">
        <f t="shared" si="59"/>
        <v>0</v>
      </c>
      <c r="CO27" s="299">
        <f>[1]COMMANDE!AS25</f>
        <v>0</v>
      </c>
      <c r="CP27" s="297" t="str">
        <f t="shared" si="60"/>
        <v>0</v>
      </c>
      <c r="CQ27" s="300">
        <f t="shared" si="61"/>
        <v>0</v>
      </c>
      <c r="CR27" s="301">
        <f>[1]COMMANDE!AU25</f>
        <v>0</v>
      </c>
      <c r="CS27" s="297" t="str">
        <f t="shared" si="62"/>
        <v>0</v>
      </c>
      <c r="CT27" s="298">
        <f t="shared" si="63"/>
        <v>0</v>
      </c>
      <c r="CU27" s="299">
        <f>[1]COMMANDE!AW25</f>
        <v>0</v>
      </c>
      <c r="CV27" s="297" t="str">
        <f t="shared" si="64"/>
        <v>0</v>
      </c>
      <c r="CW27" s="300">
        <f t="shared" si="65"/>
        <v>0</v>
      </c>
      <c r="CX27" s="301">
        <f>[1]COMMANDE!AY25</f>
        <v>0</v>
      </c>
      <c r="CY27" s="297" t="str">
        <f t="shared" si="66"/>
        <v>0</v>
      </c>
      <c r="CZ27" s="298">
        <f t="shared" si="67"/>
        <v>0</v>
      </c>
      <c r="DA27" s="299">
        <f>[1]COMMANDE!BA25</f>
        <v>0</v>
      </c>
      <c r="DB27" s="297" t="str">
        <f t="shared" si="68"/>
        <v>0</v>
      </c>
      <c r="DC27" s="302">
        <f t="shared" si="69"/>
        <v>0</v>
      </c>
      <c r="DD27" s="303"/>
      <c r="DE27" s="304"/>
    </row>
    <row r="28" spans="1:109" ht="39.950000000000003" customHeight="1" x14ac:dyDescent="0.25">
      <c r="A28" s="284">
        <f t="shared" si="2"/>
        <v>0</v>
      </c>
      <c r="B28" s="284">
        <f t="shared" si="3"/>
        <v>0</v>
      </c>
      <c r="C28" s="284">
        <f t="shared" si="4"/>
        <v>0</v>
      </c>
      <c r="D28" s="284">
        <f t="shared" si="5"/>
        <v>0</v>
      </c>
      <c r="E28" s="284">
        <f t="shared" si="6"/>
        <v>0</v>
      </c>
      <c r="F28" s="284">
        <f t="shared" si="7"/>
        <v>0</v>
      </c>
      <c r="G28" s="284">
        <f t="shared" si="8"/>
        <v>0</v>
      </c>
      <c r="H28" s="284">
        <f t="shared" si="9"/>
        <v>0</v>
      </c>
      <c r="I28" s="284">
        <f t="shared" si="10"/>
        <v>0</v>
      </c>
      <c r="J28" s="284">
        <f t="shared" si="11"/>
        <v>0</v>
      </c>
      <c r="K28" s="284">
        <f t="shared" si="12"/>
        <v>0</v>
      </c>
      <c r="L28" s="284">
        <f t="shared" si="13"/>
        <v>0</v>
      </c>
      <c r="M28" s="284">
        <f t="shared" si="14"/>
        <v>0</v>
      </c>
      <c r="N28" s="284">
        <f t="shared" si="15"/>
        <v>0</v>
      </c>
      <c r="O28" s="284">
        <f t="shared" si="16"/>
        <v>0</v>
      </c>
      <c r="P28" s="284">
        <f t="shared" si="17"/>
        <v>0</v>
      </c>
      <c r="Q28" s="284">
        <f t="shared" si="18"/>
        <v>0</v>
      </c>
      <c r="R28" s="284">
        <f t="shared" si="19"/>
        <v>0</v>
      </c>
      <c r="S28" s="284">
        <f t="shared" si="20"/>
        <v>0</v>
      </c>
      <c r="T28" s="284">
        <f t="shared" si="21"/>
        <v>0</v>
      </c>
      <c r="U28" s="285">
        <f t="shared" si="22"/>
        <v>0</v>
      </c>
      <c r="V28" s="286">
        <f>[1]BDD!A18</f>
        <v>3785</v>
      </c>
      <c r="W28" s="287" t="str">
        <f>[1]BDD!B18</f>
        <v>Arachides crues avec coque</v>
      </c>
      <c r="X28" s="288" t="str">
        <f>IF([1]BDD!F18=0, "", [1]BDD!F18)</f>
        <v>❤️</v>
      </c>
      <c r="Y28" s="214">
        <f>ROUND([1]BDD!G18+FDP_CMD_KG, 2)</f>
        <v>5.24</v>
      </c>
      <c r="Z28" s="214">
        <f>ROUND([1]BDD!G18+FDP_FACT_KG, 2)</f>
        <v>5.24</v>
      </c>
      <c r="AA28" s="215" t="str">
        <f>[1]BDD!H18</f>
        <v>kg</v>
      </c>
      <c r="AB28" s="225">
        <f>IF(NOT(ISBLANK([1]BDD!I18)), ROUND(SUM(([1]BDD!G18*reduc1),FDP_CMD_KG), 2), "")</f>
        <v>4.8099999999999996</v>
      </c>
      <c r="AC28" s="225">
        <f>IF(NOT(ISBLANK([1]BDD!J18)), ROUND(SUM(([1]BDD!G18*reduc2),FDP_CMD_KG), 2), "")</f>
        <v>4.37</v>
      </c>
      <c r="AD28" s="225" t="str">
        <f>IF(NOT(ISBLANK([1]BDD!K18)), ROUND(SUM(([1]BDD!G18*reduc3),FDP_CMD_KG), 2), "")</f>
        <v/>
      </c>
      <c r="AE28" s="225">
        <f>IF(NOT(ISBLANK([1]BDD!I18)), ROUND(SUM(([1]BDD!G18*reduc1),FDP_FACT_KG), 2), "")</f>
        <v>4.8</v>
      </c>
      <c r="AF28" s="225">
        <f>IF(NOT(ISBLANK([1]BDD!J18)), ROUND(SUM(([1]BDD!G18*reduc2),FDP_FACT_KG), 2), "")</f>
        <v>4.3600000000000003</v>
      </c>
      <c r="AG28" s="225" t="str">
        <f>IF(NOT(ISBLANK([1]BDD!K18)), ROUND(SUM(([1]BDD!G18*reduc3),FDP_FACT_KG), 2), "")</f>
        <v/>
      </c>
      <c r="AH28" s="289" t="str">
        <f>[1]BDD!C18</f>
        <v>Chine</v>
      </c>
      <c r="AI28" s="290">
        <f t="shared" si="23"/>
        <v>0</v>
      </c>
      <c r="AJ28" s="216">
        <f t="shared" si="24"/>
        <v>4.37</v>
      </c>
      <c r="AK28" s="291">
        <f t="shared" si="25"/>
        <v>0</v>
      </c>
      <c r="AL28" s="429"/>
      <c r="AM28" s="292"/>
      <c r="AN28" s="216">
        <f t="shared" si="26"/>
        <v>5.24</v>
      </c>
      <c r="AO28" s="293">
        <f t="shared" si="27"/>
        <v>0</v>
      </c>
      <c r="AP28" s="294"/>
      <c r="AQ28" s="294"/>
      <c r="AR28" s="429"/>
      <c r="AS28" s="295">
        <f t="shared" si="28"/>
        <v>0</v>
      </c>
      <c r="AT28" s="216">
        <f t="shared" si="29"/>
        <v>5.24</v>
      </c>
      <c r="AU28" s="291">
        <f t="shared" si="1"/>
        <v>0</v>
      </c>
      <c r="AV28" s="296">
        <f>[1]COMMANDE!O26</f>
        <v>0</v>
      </c>
      <c r="AW28" s="297" t="str">
        <f t="shared" si="30"/>
        <v>0</v>
      </c>
      <c r="AX28" s="298">
        <f t="shared" si="31"/>
        <v>0</v>
      </c>
      <c r="AY28" s="299">
        <f>[1]COMMANDE!Q26</f>
        <v>0</v>
      </c>
      <c r="AZ28" s="297" t="str">
        <f t="shared" si="32"/>
        <v>0</v>
      </c>
      <c r="BA28" s="300">
        <f t="shared" si="33"/>
        <v>0</v>
      </c>
      <c r="BB28" s="301">
        <f>[1]COMMANDE!S26</f>
        <v>0</v>
      </c>
      <c r="BC28" s="297" t="str">
        <f t="shared" si="34"/>
        <v>0</v>
      </c>
      <c r="BD28" s="298">
        <f t="shared" si="35"/>
        <v>0</v>
      </c>
      <c r="BE28" s="299">
        <f>[1]COMMANDE!U26</f>
        <v>0</v>
      </c>
      <c r="BF28" s="297" t="str">
        <f t="shared" si="36"/>
        <v>0</v>
      </c>
      <c r="BG28" s="300">
        <f t="shared" si="37"/>
        <v>0</v>
      </c>
      <c r="BH28" s="301">
        <f>[1]COMMANDE!W26</f>
        <v>0</v>
      </c>
      <c r="BI28" s="297" t="str">
        <f t="shared" si="38"/>
        <v>0</v>
      </c>
      <c r="BJ28" s="298">
        <f t="shared" si="39"/>
        <v>0</v>
      </c>
      <c r="BK28" s="299">
        <f>[1]COMMANDE!Y26</f>
        <v>0</v>
      </c>
      <c r="BL28" s="297" t="str">
        <f t="shared" si="40"/>
        <v>0</v>
      </c>
      <c r="BM28" s="300">
        <f t="shared" si="41"/>
        <v>0</v>
      </c>
      <c r="BN28" s="301">
        <f>[1]COMMANDE!AA26</f>
        <v>0</v>
      </c>
      <c r="BO28" s="297" t="str">
        <f t="shared" si="42"/>
        <v>0</v>
      </c>
      <c r="BP28" s="298">
        <f t="shared" si="43"/>
        <v>0</v>
      </c>
      <c r="BQ28" s="299">
        <f>[1]COMMANDE!AC26</f>
        <v>0</v>
      </c>
      <c r="BR28" s="297" t="str">
        <f t="shared" si="44"/>
        <v>0</v>
      </c>
      <c r="BS28" s="300">
        <f t="shared" si="45"/>
        <v>0</v>
      </c>
      <c r="BT28" s="301">
        <f>[1]COMMANDE!AE26</f>
        <v>0</v>
      </c>
      <c r="BU28" s="297" t="str">
        <f t="shared" si="46"/>
        <v>0</v>
      </c>
      <c r="BV28" s="298">
        <f t="shared" si="47"/>
        <v>0</v>
      </c>
      <c r="BW28" s="299">
        <f>[1]COMMANDE!AG26</f>
        <v>0</v>
      </c>
      <c r="BX28" s="297" t="str">
        <f t="shared" si="48"/>
        <v>0</v>
      </c>
      <c r="BY28" s="300">
        <f t="shared" si="49"/>
        <v>0</v>
      </c>
      <c r="BZ28" s="301">
        <f>[1]COMMANDE!AI26</f>
        <v>0</v>
      </c>
      <c r="CA28" s="297" t="str">
        <f t="shared" si="50"/>
        <v>0</v>
      </c>
      <c r="CB28" s="298">
        <f t="shared" si="51"/>
        <v>0</v>
      </c>
      <c r="CC28" s="299">
        <f>[1]COMMANDE!AK26</f>
        <v>0</v>
      </c>
      <c r="CD28" s="297" t="str">
        <f t="shared" si="52"/>
        <v>0</v>
      </c>
      <c r="CE28" s="300">
        <f t="shared" si="53"/>
        <v>0</v>
      </c>
      <c r="CF28" s="301">
        <f>[1]COMMANDE!AM26</f>
        <v>0</v>
      </c>
      <c r="CG28" s="297" t="str">
        <f t="shared" si="54"/>
        <v>0</v>
      </c>
      <c r="CH28" s="298">
        <f t="shared" si="55"/>
        <v>0</v>
      </c>
      <c r="CI28" s="299">
        <f>[1]COMMANDE!AO26</f>
        <v>0</v>
      </c>
      <c r="CJ28" s="297" t="str">
        <f t="shared" si="56"/>
        <v>0</v>
      </c>
      <c r="CK28" s="300">
        <f t="shared" si="57"/>
        <v>0</v>
      </c>
      <c r="CL28" s="301">
        <f>[1]COMMANDE!AQ26</f>
        <v>0</v>
      </c>
      <c r="CM28" s="297" t="str">
        <f t="shared" si="58"/>
        <v>0</v>
      </c>
      <c r="CN28" s="298">
        <f t="shared" si="59"/>
        <v>0</v>
      </c>
      <c r="CO28" s="299">
        <f>[1]COMMANDE!AS26</f>
        <v>0</v>
      </c>
      <c r="CP28" s="297" t="str">
        <f t="shared" si="60"/>
        <v>0</v>
      </c>
      <c r="CQ28" s="300">
        <f t="shared" si="61"/>
        <v>0</v>
      </c>
      <c r="CR28" s="301">
        <f>[1]COMMANDE!AU26</f>
        <v>0</v>
      </c>
      <c r="CS28" s="297" t="str">
        <f t="shared" si="62"/>
        <v>0</v>
      </c>
      <c r="CT28" s="298">
        <f t="shared" si="63"/>
        <v>0</v>
      </c>
      <c r="CU28" s="299">
        <f>[1]COMMANDE!AW26</f>
        <v>0</v>
      </c>
      <c r="CV28" s="297" t="str">
        <f t="shared" si="64"/>
        <v>0</v>
      </c>
      <c r="CW28" s="300">
        <f t="shared" si="65"/>
        <v>0</v>
      </c>
      <c r="CX28" s="301">
        <f>[1]COMMANDE!AY26</f>
        <v>0</v>
      </c>
      <c r="CY28" s="297" t="str">
        <f t="shared" si="66"/>
        <v>0</v>
      </c>
      <c r="CZ28" s="298">
        <f t="shared" si="67"/>
        <v>0</v>
      </c>
      <c r="DA28" s="299">
        <f>[1]COMMANDE!BA26</f>
        <v>0</v>
      </c>
      <c r="DB28" s="297" t="str">
        <f t="shared" si="68"/>
        <v>0</v>
      </c>
      <c r="DC28" s="302">
        <f t="shared" si="69"/>
        <v>0</v>
      </c>
      <c r="DD28" s="303"/>
      <c r="DE28" s="304"/>
    </row>
    <row r="29" spans="1:109" ht="39.950000000000003" customHeight="1" x14ac:dyDescent="0.25">
      <c r="A29" s="284">
        <f t="shared" si="2"/>
        <v>0</v>
      </c>
      <c r="B29" s="284">
        <f t="shared" si="3"/>
        <v>0</v>
      </c>
      <c r="C29" s="284">
        <f t="shared" si="4"/>
        <v>0</v>
      </c>
      <c r="D29" s="284">
        <f t="shared" si="5"/>
        <v>0</v>
      </c>
      <c r="E29" s="284">
        <f t="shared" si="6"/>
        <v>0</v>
      </c>
      <c r="F29" s="284">
        <f t="shared" si="7"/>
        <v>0</v>
      </c>
      <c r="G29" s="284">
        <f t="shared" si="8"/>
        <v>0</v>
      </c>
      <c r="H29" s="284">
        <f t="shared" si="9"/>
        <v>0</v>
      </c>
      <c r="I29" s="284">
        <f t="shared" si="10"/>
        <v>0</v>
      </c>
      <c r="J29" s="284">
        <f t="shared" si="11"/>
        <v>0</v>
      </c>
      <c r="K29" s="284">
        <f t="shared" si="12"/>
        <v>0</v>
      </c>
      <c r="L29" s="284">
        <f t="shared" si="13"/>
        <v>0</v>
      </c>
      <c r="M29" s="284">
        <f t="shared" si="14"/>
        <v>0</v>
      </c>
      <c r="N29" s="284">
        <f t="shared" si="15"/>
        <v>0</v>
      </c>
      <c r="O29" s="284">
        <f t="shared" si="16"/>
        <v>0</v>
      </c>
      <c r="P29" s="284">
        <f t="shared" si="17"/>
        <v>0</v>
      </c>
      <c r="Q29" s="284">
        <f t="shared" si="18"/>
        <v>0</v>
      </c>
      <c r="R29" s="284">
        <f t="shared" si="19"/>
        <v>0</v>
      </c>
      <c r="S29" s="284">
        <f t="shared" si="20"/>
        <v>0</v>
      </c>
      <c r="T29" s="284">
        <f t="shared" si="21"/>
        <v>0</v>
      </c>
      <c r="U29" s="285">
        <f t="shared" si="22"/>
        <v>0</v>
      </c>
      <c r="V29" s="286">
        <f>[1]BDD!A19</f>
        <v>1827</v>
      </c>
      <c r="W29" s="287" t="str">
        <f>[1]BDD!B19</f>
        <v>Arachides sans coque pelé CRU BIO</v>
      </c>
      <c r="X29" s="288" t="str">
        <f>IF([1]BDD!F19=0, "", [1]BDD!F19)</f>
        <v>❤️</v>
      </c>
      <c r="Y29" s="214">
        <f>ROUND([1]BDD!G19+FDP_CMD_KG, 2)</f>
        <v>7.69</v>
      </c>
      <c r="Z29" s="214">
        <f>ROUND([1]BDD!G19+FDP_FACT_KG, 2)</f>
        <v>7.69</v>
      </c>
      <c r="AA29" s="215" t="str">
        <f>[1]BDD!H19</f>
        <v>kg</v>
      </c>
      <c r="AB29" s="225">
        <f>IF(NOT(ISBLANK([1]BDD!I19)), ROUND(SUM(([1]BDD!G19*reduc1),FDP_CMD_KG), 2), "")</f>
        <v>7.01</v>
      </c>
      <c r="AC29" s="225" t="str">
        <f>IF(NOT(ISBLANK([1]BDD!J19)), ROUND(SUM(([1]BDD!G19*reduc2),FDP_CMD_KG), 2), "")</f>
        <v/>
      </c>
      <c r="AD29" s="225" t="str">
        <f>IF(NOT(ISBLANK([1]BDD!K19)), ROUND(SUM(([1]BDD!G19*reduc3),FDP_CMD_KG), 2), "")</f>
        <v/>
      </c>
      <c r="AE29" s="225">
        <f>IF(NOT(ISBLANK([1]BDD!I19)), ROUND(SUM(([1]BDD!G19*reduc1),FDP_FACT_KG), 2), "")</f>
        <v>7</v>
      </c>
      <c r="AF29" s="225" t="str">
        <f>IF(NOT(ISBLANK([1]BDD!J19)), ROUND(SUM(([1]BDD!G19*reduc2),FDP_FACT_KG), 2), "")</f>
        <v/>
      </c>
      <c r="AG29" s="225" t="str">
        <f>IF(NOT(ISBLANK([1]BDD!K19)), ROUND(SUM(([1]BDD!G19*reduc3),FDP_FACT_KG), 2), "")</f>
        <v/>
      </c>
      <c r="AH29" s="289" t="str">
        <f>[1]BDD!C19</f>
        <v>Chine</v>
      </c>
      <c r="AI29" s="290">
        <f t="shared" si="23"/>
        <v>0</v>
      </c>
      <c r="AJ29" s="216">
        <f t="shared" si="24"/>
        <v>7.01</v>
      </c>
      <c r="AK29" s="291">
        <f t="shared" si="25"/>
        <v>0</v>
      </c>
      <c r="AL29" s="429"/>
      <c r="AM29" s="292"/>
      <c r="AN29" s="216">
        <f t="shared" si="26"/>
        <v>7.69</v>
      </c>
      <c r="AO29" s="293">
        <f t="shared" si="27"/>
        <v>0</v>
      </c>
      <c r="AP29" s="294"/>
      <c r="AQ29" s="294"/>
      <c r="AR29" s="429"/>
      <c r="AS29" s="295">
        <f t="shared" si="28"/>
        <v>0</v>
      </c>
      <c r="AT29" s="216">
        <f t="shared" si="29"/>
        <v>7.69</v>
      </c>
      <c r="AU29" s="291">
        <f t="shared" si="1"/>
        <v>0</v>
      </c>
      <c r="AV29" s="296">
        <f>[1]COMMANDE!O27</f>
        <v>0</v>
      </c>
      <c r="AW29" s="297" t="str">
        <f t="shared" si="30"/>
        <v>0</v>
      </c>
      <c r="AX29" s="298">
        <f t="shared" si="31"/>
        <v>0</v>
      </c>
      <c r="AY29" s="299">
        <f>[1]COMMANDE!Q27</f>
        <v>0</v>
      </c>
      <c r="AZ29" s="297" t="str">
        <f t="shared" si="32"/>
        <v>0</v>
      </c>
      <c r="BA29" s="300">
        <f t="shared" si="33"/>
        <v>0</v>
      </c>
      <c r="BB29" s="301">
        <f>[1]COMMANDE!S27</f>
        <v>0</v>
      </c>
      <c r="BC29" s="297" t="str">
        <f t="shared" si="34"/>
        <v>0</v>
      </c>
      <c r="BD29" s="298">
        <f t="shared" si="35"/>
        <v>0</v>
      </c>
      <c r="BE29" s="299">
        <f>[1]COMMANDE!U27</f>
        <v>0</v>
      </c>
      <c r="BF29" s="297" t="str">
        <f t="shared" si="36"/>
        <v>0</v>
      </c>
      <c r="BG29" s="300">
        <f t="shared" si="37"/>
        <v>0</v>
      </c>
      <c r="BH29" s="301">
        <f>[1]COMMANDE!W27</f>
        <v>0</v>
      </c>
      <c r="BI29" s="297" t="str">
        <f t="shared" si="38"/>
        <v>0</v>
      </c>
      <c r="BJ29" s="298">
        <f t="shared" si="39"/>
        <v>0</v>
      </c>
      <c r="BK29" s="299">
        <f>[1]COMMANDE!Y27</f>
        <v>0</v>
      </c>
      <c r="BL29" s="297" t="str">
        <f t="shared" si="40"/>
        <v>0</v>
      </c>
      <c r="BM29" s="300">
        <f t="shared" si="41"/>
        <v>0</v>
      </c>
      <c r="BN29" s="301">
        <f>[1]COMMANDE!AA27</f>
        <v>0</v>
      </c>
      <c r="BO29" s="297" t="str">
        <f t="shared" si="42"/>
        <v>0</v>
      </c>
      <c r="BP29" s="298">
        <f t="shared" si="43"/>
        <v>0</v>
      </c>
      <c r="BQ29" s="299">
        <f>[1]COMMANDE!AC27</f>
        <v>0</v>
      </c>
      <c r="BR29" s="297" t="str">
        <f t="shared" si="44"/>
        <v>0</v>
      </c>
      <c r="BS29" s="300">
        <f t="shared" si="45"/>
        <v>0</v>
      </c>
      <c r="BT29" s="301">
        <f>[1]COMMANDE!AE27</f>
        <v>0</v>
      </c>
      <c r="BU29" s="297" t="str">
        <f t="shared" si="46"/>
        <v>0</v>
      </c>
      <c r="BV29" s="298">
        <f t="shared" si="47"/>
        <v>0</v>
      </c>
      <c r="BW29" s="299">
        <f>[1]COMMANDE!AG27</f>
        <v>0</v>
      </c>
      <c r="BX29" s="297" t="str">
        <f t="shared" si="48"/>
        <v>0</v>
      </c>
      <c r="BY29" s="300">
        <f t="shared" si="49"/>
        <v>0</v>
      </c>
      <c r="BZ29" s="301">
        <f>[1]COMMANDE!AI27</f>
        <v>0</v>
      </c>
      <c r="CA29" s="297" t="str">
        <f t="shared" si="50"/>
        <v>0</v>
      </c>
      <c r="CB29" s="298">
        <f t="shared" si="51"/>
        <v>0</v>
      </c>
      <c r="CC29" s="299">
        <f>[1]COMMANDE!AK27</f>
        <v>0</v>
      </c>
      <c r="CD29" s="297" t="str">
        <f t="shared" si="52"/>
        <v>0</v>
      </c>
      <c r="CE29" s="300">
        <f t="shared" si="53"/>
        <v>0</v>
      </c>
      <c r="CF29" s="301">
        <f>[1]COMMANDE!AM27</f>
        <v>0</v>
      </c>
      <c r="CG29" s="297" t="str">
        <f t="shared" si="54"/>
        <v>0</v>
      </c>
      <c r="CH29" s="298">
        <f t="shared" si="55"/>
        <v>0</v>
      </c>
      <c r="CI29" s="299">
        <f>[1]COMMANDE!AO27</f>
        <v>0</v>
      </c>
      <c r="CJ29" s="297" t="str">
        <f t="shared" si="56"/>
        <v>0</v>
      </c>
      <c r="CK29" s="300">
        <f t="shared" si="57"/>
        <v>0</v>
      </c>
      <c r="CL29" s="301">
        <f>[1]COMMANDE!AQ27</f>
        <v>0</v>
      </c>
      <c r="CM29" s="297" t="str">
        <f t="shared" si="58"/>
        <v>0</v>
      </c>
      <c r="CN29" s="298">
        <f t="shared" si="59"/>
        <v>0</v>
      </c>
      <c r="CO29" s="299">
        <f>[1]COMMANDE!AS27</f>
        <v>0</v>
      </c>
      <c r="CP29" s="297" t="str">
        <f t="shared" si="60"/>
        <v>0</v>
      </c>
      <c r="CQ29" s="300">
        <f t="shared" si="61"/>
        <v>0</v>
      </c>
      <c r="CR29" s="301">
        <f>[1]COMMANDE!AU27</f>
        <v>0</v>
      </c>
      <c r="CS29" s="297" t="str">
        <f t="shared" si="62"/>
        <v>0</v>
      </c>
      <c r="CT29" s="298">
        <f t="shared" si="63"/>
        <v>0</v>
      </c>
      <c r="CU29" s="299">
        <f>[1]COMMANDE!AW27</f>
        <v>0</v>
      </c>
      <c r="CV29" s="297" t="str">
        <f t="shared" si="64"/>
        <v>0</v>
      </c>
      <c r="CW29" s="300">
        <f t="shared" si="65"/>
        <v>0</v>
      </c>
      <c r="CX29" s="301">
        <f>[1]COMMANDE!AY27</f>
        <v>0</v>
      </c>
      <c r="CY29" s="297" t="str">
        <f t="shared" si="66"/>
        <v>0</v>
      </c>
      <c r="CZ29" s="298">
        <f t="shared" si="67"/>
        <v>0</v>
      </c>
      <c r="DA29" s="299">
        <f>[1]COMMANDE!BA27</f>
        <v>0</v>
      </c>
      <c r="DB29" s="297" t="str">
        <f t="shared" si="68"/>
        <v>0</v>
      </c>
      <c r="DC29" s="302">
        <f t="shared" si="69"/>
        <v>0</v>
      </c>
      <c r="DD29" s="303"/>
      <c r="DE29" s="304"/>
    </row>
    <row r="30" spans="1:109" ht="39.950000000000003" customHeight="1" x14ac:dyDescent="0.25">
      <c r="A30" s="284">
        <f t="shared" si="2"/>
        <v>0</v>
      </c>
      <c r="B30" s="284">
        <f t="shared" si="3"/>
        <v>0</v>
      </c>
      <c r="C30" s="284">
        <f t="shared" si="4"/>
        <v>0</v>
      </c>
      <c r="D30" s="284">
        <f t="shared" si="5"/>
        <v>0</v>
      </c>
      <c r="E30" s="284">
        <f t="shared" si="6"/>
        <v>0</v>
      </c>
      <c r="F30" s="284">
        <f t="shared" si="7"/>
        <v>0</v>
      </c>
      <c r="G30" s="284">
        <f t="shared" si="8"/>
        <v>0</v>
      </c>
      <c r="H30" s="284">
        <f t="shared" si="9"/>
        <v>0</v>
      </c>
      <c r="I30" s="284">
        <f t="shared" si="10"/>
        <v>0</v>
      </c>
      <c r="J30" s="284">
        <f t="shared" si="11"/>
        <v>0</v>
      </c>
      <c r="K30" s="284">
        <f t="shared" si="12"/>
        <v>0</v>
      </c>
      <c r="L30" s="284">
        <f t="shared" si="13"/>
        <v>0</v>
      </c>
      <c r="M30" s="284">
        <f t="shared" si="14"/>
        <v>0</v>
      </c>
      <c r="N30" s="284">
        <f t="shared" si="15"/>
        <v>0</v>
      </c>
      <c r="O30" s="284">
        <f t="shared" si="16"/>
        <v>0</v>
      </c>
      <c r="P30" s="284">
        <f t="shared" si="17"/>
        <v>0</v>
      </c>
      <c r="Q30" s="284">
        <f t="shared" si="18"/>
        <v>0</v>
      </c>
      <c r="R30" s="284">
        <f t="shared" si="19"/>
        <v>0</v>
      </c>
      <c r="S30" s="284">
        <f t="shared" si="20"/>
        <v>0</v>
      </c>
      <c r="T30" s="284">
        <f t="shared" si="21"/>
        <v>0</v>
      </c>
      <c r="U30" s="285">
        <f t="shared" si="22"/>
        <v>0</v>
      </c>
      <c r="V30" s="286">
        <f>[1]BDD!A20</f>
        <v>1008</v>
      </c>
      <c r="W30" s="287" t="str">
        <f>[1]BDD!B20</f>
        <v>Aubergine BIO</v>
      </c>
      <c r="X30" s="288" t="str">
        <f>IF([1]BDD!F20=0, "", [1]BDD!F20)</f>
        <v>OFFRE</v>
      </c>
      <c r="Y30" s="214">
        <f>ROUND([1]BDD!G20+FDP_CMD_KG, 2)</f>
        <v>3.46</v>
      </c>
      <c r="Z30" s="214">
        <f>ROUND([1]BDD!G20+FDP_FACT_KG, 2)</f>
        <v>3.46</v>
      </c>
      <c r="AA30" s="215" t="str">
        <f>[1]BDD!H20</f>
        <v>kg</v>
      </c>
      <c r="AB30" s="225">
        <f>IF(NOT(ISBLANK([1]BDD!I20)), ROUND(SUM(([1]BDD!G20*reduc1),FDP_CMD_KG), 2), "")</f>
        <v>3.2</v>
      </c>
      <c r="AC30" s="225" t="str">
        <f>IF(NOT(ISBLANK([1]BDD!J20)), ROUND(SUM(([1]BDD!G20*reduc2),FDP_CMD_KG), 2), "")</f>
        <v/>
      </c>
      <c r="AD30" s="225" t="str">
        <f>IF(NOT(ISBLANK([1]BDD!K20)), ROUND(SUM(([1]BDD!G20*reduc3),FDP_CMD_KG), 2), "")</f>
        <v/>
      </c>
      <c r="AE30" s="225">
        <f>IF(NOT(ISBLANK([1]BDD!I20)), ROUND(SUM(([1]BDD!G20*reduc1),FDP_FACT_KG), 2), "")</f>
        <v>3.2</v>
      </c>
      <c r="AF30" s="225" t="str">
        <f>IF(NOT(ISBLANK([1]BDD!J20)), ROUND(SUM(([1]BDD!G20*reduc2),FDP_FACT_KG), 2), "")</f>
        <v/>
      </c>
      <c r="AG30" s="225" t="str">
        <f>IF(NOT(ISBLANK([1]BDD!K20)), ROUND(SUM(([1]BDD!G20*reduc3),FDP_FACT_KG), 2), "")</f>
        <v/>
      </c>
      <c r="AH30" s="289" t="str">
        <f>[1]BDD!C20</f>
        <v>Malaga</v>
      </c>
      <c r="AI30" s="290">
        <f t="shared" si="23"/>
        <v>0</v>
      </c>
      <c r="AJ30" s="216">
        <f t="shared" si="24"/>
        <v>3.2</v>
      </c>
      <c r="AK30" s="291">
        <f t="shared" si="25"/>
        <v>0</v>
      </c>
      <c r="AL30" s="429"/>
      <c r="AM30" s="292"/>
      <c r="AN30" s="216">
        <f t="shared" si="26"/>
        <v>3.46</v>
      </c>
      <c r="AO30" s="293">
        <f t="shared" si="27"/>
        <v>0</v>
      </c>
      <c r="AP30" s="294"/>
      <c r="AQ30" s="294"/>
      <c r="AR30" s="429"/>
      <c r="AS30" s="295">
        <f t="shared" si="28"/>
        <v>0</v>
      </c>
      <c r="AT30" s="216">
        <f t="shared" si="29"/>
        <v>3.46</v>
      </c>
      <c r="AU30" s="291">
        <f t="shared" si="1"/>
        <v>0</v>
      </c>
      <c r="AV30" s="296">
        <f>[1]COMMANDE!O28</f>
        <v>0</v>
      </c>
      <c r="AW30" s="297" t="str">
        <f t="shared" si="30"/>
        <v>0</v>
      </c>
      <c r="AX30" s="298">
        <f t="shared" si="31"/>
        <v>0</v>
      </c>
      <c r="AY30" s="299">
        <f>[1]COMMANDE!Q28</f>
        <v>0</v>
      </c>
      <c r="AZ30" s="297" t="str">
        <f t="shared" si="32"/>
        <v>0</v>
      </c>
      <c r="BA30" s="300">
        <f t="shared" si="33"/>
        <v>0</v>
      </c>
      <c r="BB30" s="301">
        <f>[1]COMMANDE!S28</f>
        <v>0</v>
      </c>
      <c r="BC30" s="297" t="str">
        <f t="shared" si="34"/>
        <v>0</v>
      </c>
      <c r="BD30" s="298">
        <f t="shared" si="35"/>
        <v>0</v>
      </c>
      <c r="BE30" s="299">
        <f>[1]COMMANDE!U28</f>
        <v>0</v>
      </c>
      <c r="BF30" s="297" t="str">
        <f t="shared" si="36"/>
        <v>0</v>
      </c>
      <c r="BG30" s="300">
        <f t="shared" si="37"/>
        <v>0</v>
      </c>
      <c r="BH30" s="301">
        <f>[1]COMMANDE!W28</f>
        <v>0</v>
      </c>
      <c r="BI30" s="297" t="str">
        <f t="shared" si="38"/>
        <v>0</v>
      </c>
      <c r="BJ30" s="298">
        <f t="shared" si="39"/>
        <v>0</v>
      </c>
      <c r="BK30" s="299">
        <f>[1]COMMANDE!Y28</f>
        <v>0</v>
      </c>
      <c r="BL30" s="297" t="str">
        <f t="shared" si="40"/>
        <v>0</v>
      </c>
      <c r="BM30" s="300">
        <f t="shared" si="41"/>
        <v>0</v>
      </c>
      <c r="BN30" s="301">
        <f>[1]COMMANDE!AA28</f>
        <v>0</v>
      </c>
      <c r="BO30" s="297" t="str">
        <f t="shared" si="42"/>
        <v>0</v>
      </c>
      <c r="BP30" s="298">
        <f t="shared" si="43"/>
        <v>0</v>
      </c>
      <c r="BQ30" s="299">
        <f>[1]COMMANDE!AC28</f>
        <v>0</v>
      </c>
      <c r="BR30" s="297" t="str">
        <f t="shared" si="44"/>
        <v>0</v>
      </c>
      <c r="BS30" s="300">
        <f t="shared" si="45"/>
        <v>0</v>
      </c>
      <c r="BT30" s="301">
        <f>[1]COMMANDE!AE28</f>
        <v>0</v>
      </c>
      <c r="BU30" s="297" t="str">
        <f t="shared" si="46"/>
        <v>0</v>
      </c>
      <c r="BV30" s="298">
        <f t="shared" si="47"/>
        <v>0</v>
      </c>
      <c r="BW30" s="299">
        <f>[1]COMMANDE!AG28</f>
        <v>0</v>
      </c>
      <c r="BX30" s="297" t="str">
        <f t="shared" si="48"/>
        <v>0</v>
      </c>
      <c r="BY30" s="300">
        <f t="shared" si="49"/>
        <v>0</v>
      </c>
      <c r="BZ30" s="301">
        <f>[1]COMMANDE!AI28</f>
        <v>0</v>
      </c>
      <c r="CA30" s="297" t="str">
        <f t="shared" si="50"/>
        <v>0</v>
      </c>
      <c r="CB30" s="298">
        <f t="shared" si="51"/>
        <v>0</v>
      </c>
      <c r="CC30" s="299">
        <f>[1]COMMANDE!AK28</f>
        <v>0</v>
      </c>
      <c r="CD30" s="297" t="str">
        <f t="shared" si="52"/>
        <v>0</v>
      </c>
      <c r="CE30" s="300">
        <f t="shared" si="53"/>
        <v>0</v>
      </c>
      <c r="CF30" s="301">
        <f>[1]COMMANDE!AM28</f>
        <v>0</v>
      </c>
      <c r="CG30" s="297" t="str">
        <f t="shared" si="54"/>
        <v>0</v>
      </c>
      <c r="CH30" s="298">
        <f t="shared" si="55"/>
        <v>0</v>
      </c>
      <c r="CI30" s="299">
        <f>[1]COMMANDE!AO28</f>
        <v>0</v>
      </c>
      <c r="CJ30" s="297" t="str">
        <f t="shared" si="56"/>
        <v>0</v>
      </c>
      <c r="CK30" s="300">
        <f t="shared" si="57"/>
        <v>0</v>
      </c>
      <c r="CL30" s="301">
        <f>[1]COMMANDE!AQ28</f>
        <v>0</v>
      </c>
      <c r="CM30" s="297" t="str">
        <f t="shared" si="58"/>
        <v>0</v>
      </c>
      <c r="CN30" s="298">
        <f t="shared" si="59"/>
        <v>0</v>
      </c>
      <c r="CO30" s="299">
        <f>[1]COMMANDE!AS28</f>
        <v>0</v>
      </c>
      <c r="CP30" s="297" t="str">
        <f t="shared" si="60"/>
        <v>0</v>
      </c>
      <c r="CQ30" s="300">
        <f t="shared" si="61"/>
        <v>0</v>
      </c>
      <c r="CR30" s="301">
        <f>[1]COMMANDE!AU28</f>
        <v>0</v>
      </c>
      <c r="CS30" s="297" t="str">
        <f t="shared" si="62"/>
        <v>0</v>
      </c>
      <c r="CT30" s="298">
        <f t="shared" si="63"/>
        <v>0</v>
      </c>
      <c r="CU30" s="299">
        <f>[1]COMMANDE!AW28</f>
        <v>0</v>
      </c>
      <c r="CV30" s="297" t="str">
        <f t="shared" si="64"/>
        <v>0</v>
      </c>
      <c r="CW30" s="300">
        <f t="shared" si="65"/>
        <v>0</v>
      </c>
      <c r="CX30" s="301">
        <f>[1]COMMANDE!AY28</f>
        <v>0</v>
      </c>
      <c r="CY30" s="297" t="str">
        <f t="shared" si="66"/>
        <v>0</v>
      </c>
      <c r="CZ30" s="298">
        <f t="shared" si="67"/>
        <v>0</v>
      </c>
      <c r="DA30" s="299">
        <f>[1]COMMANDE!BA28</f>
        <v>0</v>
      </c>
      <c r="DB30" s="297" t="str">
        <f t="shared" si="68"/>
        <v>0</v>
      </c>
      <c r="DC30" s="302">
        <f t="shared" si="69"/>
        <v>0</v>
      </c>
      <c r="DD30" s="303"/>
      <c r="DE30" s="304"/>
    </row>
    <row r="31" spans="1:109" ht="39.950000000000003" customHeight="1" x14ac:dyDescent="0.25">
      <c r="A31" s="284">
        <f t="shared" si="2"/>
        <v>0</v>
      </c>
      <c r="B31" s="284">
        <f t="shared" si="3"/>
        <v>0</v>
      </c>
      <c r="C31" s="284">
        <f t="shared" si="4"/>
        <v>0</v>
      </c>
      <c r="D31" s="284">
        <f t="shared" si="5"/>
        <v>0</v>
      </c>
      <c r="E31" s="284">
        <f t="shared" si="6"/>
        <v>0</v>
      </c>
      <c r="F31" s="284">
        <f t="shared" si="7"/>
        <v>0</v>
      </c>
      <c r="G31" s="284">
        <f t="shared" si="8"/>
        <v>0</v>
      </c>
      <c r="H31" s="284">
        <f t="shared" si="9"/>
        <v>0</v>
      </c>
      <c r="I31" s="284">
        <f t="shared" si="10"/>
        <v>0</v>
      </c>
      <c r="J31" s="284">
        <f t="shared" si="11"/>
        <v>0</v>
      </c>
      <c r="K31" s="284">
        <f t="shared" si="12"/>
        <v>0</v>
      </c>
      <c r="L31" s="284">
        <f t="shared" si="13"/>
        <v>0</v>
      </c>
      <c r="M31" s="284">
        <f t="shared" si="14"/>
        <v>0</v>
      </c>
      <c r="N31" s="284">
        <f t="shared" si="15"/>
        <v>0</v>
      </c>
      <c r="O31" s="284">
        <f t="shared" si="16"/>
        <v>0</v>
      </c>
      <c r="P31" s="284">
        <f t="shared" si="17"/>
        <v>0</v>
      </c>
      <c r="Q31" s="284">
        <f t="shared" si="18"/>
        <v>0</v>
      </c>
      <c r="R31" s="284">
        <f t="shared" si="19"/>
        <v>0</v>
      </c>
      <c r="S31" s="284">
        <f t="shared" si="20"/>
        <v>0</v>
      </c>
      <c r="T31" s="284">
        <f t="shared" si="21"/>
        <v>0</v>
      </c>
      <c r="U31" s="285">
        <f t="shared" si="22"/>
        <v>0</v>
      </c>
      <c r="V31" s="286">
        <f>[1]BDD!A21</f>
        <v>3775</v>
      </c>
      <c r="W31" s="287" t="str">
        <f>[1]BDD!B21</f>
        <v>Aubergine déshydratée
    - (env. 150g, production Rufino)</v>
      </c>
      <c r="X31" s="288" t="str">
        <f>IF([1]BDD!F21=0, "", [1]BDD!F21)</f>
        <v/>
      </c>
      <c r="Y31" s="214">
        <f>ROUND([1]BDD!G21+FDP_CMD_KG, 2)</f>
        <v>2.91</v>
      </c>
      <c r="Z31" s="214">
        <f>ROUND([1]BDD!G21+FDP_FACT_KG, 2)</f>
        <v>2.91</v>
      </c>
      <c r="AA31" s="215" t="str">
        <f>[1]BDD!H21</f>
        <v>Pièce</v>
      </c>
      <c r="AB31" s="225" t="str">
        <f>IF(NOT(ISBLANK([1]BDD!I21)), ROUND(SUM(([1]BDD!G21*reduc1),FDP_CMD_KG), 2), "")</f>
        <v/>
      </c>
      <c r="AC31" s="225" t="str">
        <f>IF(NOT(ISBLANK([1]BDD!J21)), ROUND(SUM(([1]BDD!G21*reduc2),FDP_CMD_KG), 2), "")</f>
        <v/>
      </c>
      <c r="AD31" s="225" t="str">
        <f>IF(NOT(ISBLANK([1]BDD!K21)), ROUND(SUM(([1]BDD!G21*reduc3),FDP_CMD_KG), 2), "")</f>
        <v/>
      </c>
      <c r="AE31" s="225" t="str">
        <f>IF(NOT(ISBLANK([1]BDD!I21)), ROUND(SUM(([1]BDD!G21*reduc1),FDP_FACT_KG), 2), "")</f>
        <v/>
      </c>
      <c r="AF31" s="225" t="str">
        <f>IF(NOT(ISBLANK([1]BDD!J21)), ROUND(SUM(([1]BDD!G21*reduc2),FDP_FACT_KG), 2), "")</f>
        <v/>
      </c>
      <c r="AG31" s="225" t="str">
        <f>IF(NOT(ISBLANK([1]BDD!K21)), ROUND(SUM(([1]BDD!G21*reduc3),FDP_FACT_KG), 2), "")</f>
        <v/>
      </c>
      <c r="AH31" s="289" t="str">
        <f>[1]BDD!C21</f>
        <v>Grenade</v>
      </c>
      <c r="AI31" s="290">
        <f t="shared" si="23"/>
        <v>0</v>
      </c>
      <c r="AJ31" s="216">
        <f t="shared" si="24"/>
        <v>2.91</v>
      </c>
      <c r="AK31" s="291">
        <f t="shared" si="25"/>
        <v>0</v>
      </c>
      <c r="AL31" s="429"/>
      <c r="AM31" s="292"/>
      <c r="AN31" s="216">
        <f t="shared" si="26"/>
        <v>2.91</v>
      </c>
      <c r="AO31" s="293">
        <f t="shared" si="27"/>
        <v>0</v>
      </c>
      <c r="AP31" s="294"/>
      <c r="AQ31" s="294"/>
      <c r="AR31" s="429"/>
      <c r="AS31" s="295">
        <f t="shared" si="28"/>
        <v>0</v>
      </c>
      <c r="AT31" s="216">
        <f t="shared" si="29"/>
        <v>2.91</v>
      </c>
      <c r="AU31" s="291">
        <f t="shared" si="1"/>
        <v>0</v>
      </c>
      <c r="AV31" s="296">
        <f>[1]COMMANDE!O29</f>
        <v>0</v>
      </c>
      <c r="AW31" s="297" t="str">
        <f t="shared" si="30"/>
        <v>0</v>
      </c>
      <c r="AX31" s="298">
        <f t="shared" si="31"/>
        <v>0</v>
      </c>
      <c r="AY31" s="299">
        <f>[1]COMMANDE!Q29</f>
        <v>0</v>
      </c>
      <c r="AZ31" s="297" t="str">
        <f t="shared" si="32"/>
        <v>0</v>
      </c>
      <c r="BA31" s="300">
        <f t="shared" si="33"/>
        <v>0</v>
      </c>
      <c r="BB31" s="301">
        <f>[1]COMMANDE!S29</f>
        <v>0</v>
      </c>
      <c r="BC31" s="297" t="str">
        <f t="shared" si="34"/>
        <v>0</v>
      </c>
      <c r="BD31" s="298">
        <f t="shared" si="35"/>
        <v>0</v>
      </c>
      <c r="BE31" s="299">
        <f>[1]COMMANDE!U29</f>
        <v>0</v>
      </c>
      <c r="BF31" s="297" t="str">
        <f t="shared" si="36"/>
        <v>0</v>
      </c>
      <c r="BG31" s="300">
        <f t="shared" si="37"/>
        <v>0</v>
      </c>
      <c r="BH31" s="301">
        <f>[1]COMMANDE!W29</f>
        <v>0</v>
      </c>
      <c r="BI31" s="297" t="str">
        <f t="shared" si="38"/>
        <v>0</v>
      </c>
      <c r="BJ31" s="298">
        <f t="shared" si="39"/>
        <v>0</v>
      </c>
      <c r="BK31" s="299">
        <f>[1]COMMANDE!Y29</f>
        <v>0</v>
      </c>
      <c r="BL31" s="297" t="str">
        <f t="shared" si="40"/>
        <v>0</v>
      </c>
      <c r="BM31" s="300">
        <f t="shared" si="41"/>
        <v>0</v>
      </c>
      <c r="BN31" s="301">
        <f>[1]COMMANDE!AA29</f>
        <v>0</v>
      </c>
      <c r="BO31" s="297" t="str">
        <f t="shared" si="42"/>
        <v>0</v>
      </c>
      <c r="BP31" s="298">
        <f t="shared" si="43"/>
        <v>0</v>
      </c>
      <c r="BQ31" s="299">
        <f>[1]COMMANDE!AC29</f>
        <v>0</v>
      </c>
      <c r="BR31" s="297" t="str">
        <f t="shared" si="44"/>
        <v>0</v>
      </c>
      <c r="BS31" s="300">
        <f t="shared" si="45"/>
        <v>0</v>
      </c>
      <c r="BT31" s="301">
        <f>[1]COMMANDE!AE29</f>
        <v>0</v>
      </c>
      <c r="BU31" s="297" t="str">
        <f t="shared" si="46"/>
        <v>0</v>
      </c>
      <c r="BV31" s="298">
        <f t="shared" si="47"/>
        <v>0</v>
      </c>
      <c r="BW31" s="299">
        <f>[1]COMMANDE!AG29</f>
        <v>0</v>
      </c>
      <c r="BX31" s="297" t="str">
        <f t="shared" si="48"/>
        <v>0</v>
      </c>
      <c r="BY31" s="300">
        <f t="shared" si="49"/>
        <v>0</v>
      </c>
      <c r="BZ31" s="301">
        <f>[1]COMMANDE!AI29</f>
        <v>0</v>
      </c>
      <c r="CA31" s="297" t="str">
        <f t="shared" si="50"/>
        <v>0</v>
      </c>
      <c r="CB31" s="298">
        <f t="shared" si="51"/>
        <v>0</v>
      </c>
      <c r="CC31" s="299">
        <f>[1]COMMANDE!AK29</f>
        <v>0</v>
      </c>
      <c r="CD31" s="297" t="str">
        <f t="shared" si="52"/>
        <v>0</v>
      </c>
      <c r="CE31" s="300">
        <f t="shared" si="53"/>
        <v>0</v>
      </c>
      <c r="CF31" s="301">
        <f>[1]COMMANDE!AM29</f>
        <v>0</v>
      </c>
      <c r="CG31" s="297" t="str">
        <f t="shared" si="54"/>
        <v>0</v>
      </c>
      <c r="CH31" s="298">
        <f t="shared" si="55"/>
        <v>0</v>
      </c>
      <c r="CI31" s="299">
        <f>[1]COMMANDE!AO29</f>
        <v>0</v>
      </c>
      <c r="CJ31" s="297" t="str">
        <f t="shared" si="56"/>
        <v>0</v>
      </c>
      <c r="CK31" s="300">
        <f t="shared" si="57"/>
        <v>0</v>
      </c>
      <c r="CL31" s="301">
        <f>[1]COMMANDE!AQ29</f>
        <v>0</v>
      </c>
      <c r="CM31" s="297" t="str">
        <f t="shared" si="58"/>
        <v>0</v>
      </c>
      <c r="CN31" s="298">
        <f t="shared" si="59"/>
        <v>0</v>
      </c>
      <c r="CO31" s="299">
        <f>[1]COMMANDE!AS29</f>
        <v>0</v>
      </c>
      <c r="CP31" s="297" t="str">
        <f t="shared" si="60"/>
        <v>0</v>
      </c>
      <c r="CQ31" s="300">
        <f t="shared" si="61"/>
        <v>0</v>
      </c>
      <c r="CR31" s="301">
        <f>[1]COMMANDE!AU29</f>
        <v>0</v>
      </c>
      <c r="CS31" s="297" t="str">
        <f t="shared" si="62"/>
        <v>0</v>
      </c>
      <c r="CT31" s="298">
        <f t="shared" si="63"/>
        <v>0</v>
      </c>
      <c r="CU31" s="299">
        <f>[1]COMMANDE!AW29</f>
        <v>0</v>
      </c>
      <c r="CV31" s="297" t="str">
        <f t="shared" si="64"/>
        <v>0</v>
      </c>
      <c r="CW31" s="300">
        <f t="shared" si="65"/>
        <v>0</v>
      </c>
      <c r="CX31" s="301">
        <f>[1]COMMANDE!AY29</f>
        <v>0</v>
      </c>
      <c r="CY31" s="297" t="str">
        <f t="shared" si="66"/>
        <v>0</v>
      </c>
      <c r="CZ31" s="298">
        <f t="shared" si="67"/>
        <v>0</v>
      </c>
      <c r="DA31" s="299">
        <f>[1]COMMANDE!BA29</f>
        <v>0</v>
      </c>
      <c r="DB31" s="297" t="str">
        <f t="shared" si="68"/>
        <v>0</v>
      </c>
      <c r="DC31" s="302">
        <f t="shared" si="69"/>
        <v>0</v>
      </c>
      <c r="DD31" s="303"/>
      <c r="DE31" s="304"/>
    </row>
    <row r="32" spans="1:109" ht="39.950000000000003" customHeight="1" x14ac:dyDescent="0.25">
      <c r="A32" s="284">
        <f t="shared" si="2"/>
        <v>0</v>
      </c>
      <c r="B32" s="284">
        <f t="shared" si="3"/>
        <v>0</v>
      </c>
      <c r="C32" s="284">
        <f t="shared" si="4"/>
        <v>0</v>
      </c>
      <c r="D32" s="284">
        <f t="shared" si="5"/>
        <v>0</v>
      </c>
      <c r="E32" s="284">
        <f t="shared" si="6"/>
        <v>0</v>
      </c>
      <c r="F32" s="284">
        <f t="shared" si="7"/>
        <v>0</v>
      </c>
      <c r="G32" s="284">
        <f t="shared" si="8"/>
        <v>0</v>
      </c>
      <c r="H32" s="284">
        <f t="shared" si="9"/>
        <v>0</v>
      </c>
      <c r="I32" s="284">
        <f t="shared" si="10"/>
        <v>0</v>
      </c>
      <c r="J32" s="284">
        <f t="shared" si="11"/>
        <v>0</v>
      </c>
      <c r="K32" s="284">
        <f t="shared" si="12"/>
        <v>0</v>
      </c>
      <c r="L32" s="284">
        <f t="shared" si="13"/>
        <v>0</v>
      </c>
      <c r="M32" s="284">
        <f t="shared" si="14"/>
        <v>0</v>
      </c>
      <c r="N32" s="284">
        <f t="shared" si="15"/>
        <v>0</v>
      </c>
      <c r="O32" s="284">
        <f t="shared" si="16"/>
        <v>0</v>
      </c>
      <c r="P32" s="284">
        <f t="shared" si="17"/>
        <v>0</v>
      </c>
      <c r="Q32" s="284">
        <f t="shared" si="18"/>
        <v>0</v>
      </c>
      <c r="R32" s="284">
        <f t="shared" si="19"/>
        <v>0</v>
      </c>
      <c r="S32" s="284">
        <f t="shared" si="20"/>
        <v>0</v>
      </c>
      <c r="T32" s="284">
        <f t="shared" si="21"/>
        <v>0</v>
      </c>
      <c r="U32" s="285">
        <f t="shared" si="22"/>
        <v>0</v>
      </c>
      <c r="V32" s="286" t="str">
        <f>[1]BDD!A22</f>
        <v>3127-3702-3957</v>
      </c>
      <c r="W32" s="287" t="str">
        <f>[1]BDD!B22</f>
        <v xml:space="preserve">Aubergine noire/rayée/blanche </v>
      </c>
      <c r="X32" s="288" t="str">
        <f>IF([1]BDD!F22=0, "", [1]BDD!F22)</f>
        <v/>
      </c>
      <c r="Y32" s="214">
        <f>ROUND([1]BDD!G22+FDP_CMD_KG, 2)</f>
        <v>2.5</v>
      </c>
      <c r="Z32" s="214">
        <f>ROUND([1]BDD!G22+FDP_FACT_KG, 2)</f>
        <v>2.5</v>
      </c>
      <c r="AA32" s="215" t="str">
        <f>[1]BDD!H22</f>
        <v>kg</v>
      </c>
      <c r="AB32" s="225">
        <f>IF(NOT(ISBLANK([1]BDD!I22)), ROUND(SUM(([1]BDD!G22*reduc1),FDP_CMD_KG), 2), "")</f>
        <v>2.34</v>
      </c>
      <c r="AC32" s="225" t="str">
        <f>IF(NOT(ISBLANK([1]BDD!J22)), ROUND(SUM(([1]BDD!G22*reduc2),FDP_CMD_KG), 2), "")</f>
        <v/>
      </c>
      <c r="AD32" s="225" t="str">
        <f>IF(NOT(ISBLANK([1]BDD!K22)), ROUND(SUM(([1]BDD!G22*reduc3),FDP_CMD_KG), 2), "")</f>
        <v/>
      </c>
      <c r="AE32" s="225">
        <f>IF(NOT(ISBLANK([1]BDD!I22)), ROUND(SUM(([1]BDD!G22*reduc1),FDP_FACT_KG), 2), "")</f>
        <v>2.33</v>
      </c>
      <c r="AF32" s="225" t="str">
        <f>IF(NOT(ISBLANK([1]BDD!J22)), ROUND(SUM(([1]BDD!G22*reduc2),FDP_FACT_KG), 2), "")</f>
        <v/>
      </c>
      <c r="AG32" s="225" t="str">
        <f>IF(NOT(ISBLANK([1]BDD!K22)), ROUND(SUM(([1]BDD!G22*reduc3),FDP_FACT_KG), 2), "")</f>
        <v/>
      </c>
      <c r="AH32" s="289" t="str">
        <f>[1]BDD!C22</f>
        <v>Grenade</v>
      </c>
      <c r="AI32" s="290">
        <f t="shared" si="23"/>
        <v>0</v>
      </c>
      <c r="AJ32" s="216">
        <f t="shared" si="24"/>
        <v>2.34</v>
      </c>
      <c r="AK32" s="291">
        <f t="shared" si="25"/>
        <v>0</v>
      </c>
      <c r="AL32" s="429"/>
      <c r="AM32" s="292"/>
      <c r="AN32" s="216">
        <f t="shared" si="26"/>
        <v>2.5</v>
      </c>
      <c r="AO32" s="293">
        <f t="shared" si="27"/>
        <v>0</v>
      </c>
      <c r="AP32" s="294"/>
      <c r="AQ32" s="294"/>
      <c r="AR32" s="429"/>
      <c r="AS32" s="295">
        <f t="shared" si="28"/>
        <v>0</v>
      </c>
      <c r="AT32" s="216">
        <f t="shared" si="29"/>
        <v>2.5</v>
      </c>
      <c r="AU32" s="291">
        <f t="shared" si="1"/>
        <v>0</v>
      </c>
      <c r="AV32" s="296">
        <f>[1]COMMANDE!O30</f>
        <v>0</v>
      </c>
      <c r="AW32" s="297" t="str">
        <f t="shared" si="30"/>
        <v>0</v>
      </c>
      <c r="AX32" s="298">
        <f t="shared" si="31"/>
        <v>0</v>
      </c>
      <c r="AY32" s="299">
        <f>[1]COMMANDE!Q30</f>
        <v>0</v>
      </c>
      <c r="AZ32" s="297" t="str">
        <f t="shared" si="32"/>
        <v>0</v>
      </c>
      <c r="BA32" s="300">
        <f t="shared" si="33"/>
        <v>0</v>
      </c>
      <c r="BB32" s="301">
        <f>[1]COMMANDE!S30</f>
        <v>0</v>
      </c>
      <c r="BC32" s="297" t="str">
        <f t="shared" si="34"/>
        <v>0</v>
      </c>
      <c r="BD32" s="298">
        <f t="shared" si="35"/>
        <v>0</v>
      </c>
      <c r="BE32" s="299">
        <f>[1]COMMANDE!U30</f>
        <v>0</v>
      </c>
      <c r="BF32" s="297" t="str">
        <f t="shared" si="36"/>
        <v>0</v>
      </c>
      <c r="BG32" s="300">
        <f t="shared" si="37"/>
        <v>0</v>
      </c>
      <c r="BH32" s="301">
        <f>[1]COMMANDE!W30</f>
        <v>0</v>
      </c>
      <c r="BI32" s="297" t="str">
        <f t="shared" si="38"/>
        <v>0</v>
      </c>
      <c r="BJ32" s="298">
        <f t="shared" si="39"/>
        <v>0</v>
      </c>
      <c r="BK32" s="299">
        <f>[1]COMMANDE!Y30</f>
        <v>0</v>
      </c>
      <c r="BL32" s="297" t="str">
        <f t="shared" si="40"/>
        <v>0</v>
      </c>
      <c r="BM32" s="300">
        <f t="shared" si="41"/>
        <v>0</v>
      </c>
      <c r="BN32" s="301">
        <f>[1]COMMANDE!AA30</f>
        <v>0</v>
      </c>
      <c r="BO32" s="297" t="str">
        <f t="shared" si="42"/>
        <v>0</v>
      </c>
      <c r="BP32" s="298">
        <f t="shared" si="43"/>
        <v>0</v>
      </c>
      <c r="BQ32" s="299">
        <f>[1]COMMANDE!AC30</f>
        <v>0</v>
      </c>
      <c r="BR32" s="297" t="str">
        <f t="shared" si="44"/>
        <v>0</v>
      </c>
      <c r="BS32" s="300">
        <f t="shared" si="45"/>
        <v>0</v>
      </c>
      <c r="BT32" s="301">
        <f>[1]COMMANDE!AE30</f>
        <v>0</v>
      </c>
      <c r="BU32" s="297" t="str">
        <f t="shared" si="46"/>
        <v>0</v>
      </c>
      <c r="BV32" s="298">
        <f t="shared" si="47"/>
        <v>0</v>
      </c>
      <c r="BW32" s="299">
        <f>[1]COMMANDE!AG30</f>
        <v>0</v>
      </c>
      <c r="BX32" s="297" t="str">
        <f t="shared" si="48"/>
        <v>0</v>
      </c>
      <c r="BY32" s="300">
        <f t="shared" si="49"/>
        <v>0</v>
      </c>
      <c r="BZ32" s="301">
        <f>[1]COMMANDE!AI30</f>
        <v>0</v>
      </c>
      <c r="CA32" s="297" t="str">
        <f t="shared" si="50"/>
        <v>0</v>
      </c>
      <c r="CB32" s="298">
        <f t="shared" si="51"/>
        <v>0</v>
      </c>
      <c r="CC32" s="299">
        <f>[1]COMMANDE!AK30</f>
        <v>0</v>
      </c>
      <c r="CD32" s="297" t="str">
        <f t="shared" si="52"/>
        <v>0</v>
      </c>
      <c r="CE32" s="300">
        <f t="shared" si="53"/>
        <v>0</v>
      </c>
      <c r="CF32" s="301">
        <f>[1]COMMANDE!AM30</f>
        <v>0</v>
      </c>
      <c r="CG32" s="297" t="str">
        <f t="shared" si="54"/>
        <v>0</v>
      </c>
      <c r="CH32" s="298">
        <f t="shared" si="55"/>
        <v>0</v>
      </c>
      <c r="CI32" s="299">
        <f>[1]COMMANDE!AO30</f>
        <v>0</v>
      </c>
      <c r="CJ32" s="297" t="str">
        <f t="shared" si="56"/>
        <v>0</v>
      </c>
      <c r="CK32" s="300">
        <f t="shared" si="57"/>
        <v>0</v>
      </c>
      <c r="CL32" s="301">
        <f>[1]COMMANDE!AQ30</f>
        <v>0</v>
      </c>
      <c r="CM32" s="297" t="str">
        <f t="shared" si="58"/>
        <v>0</v>
      </c>
      <c r="CN32" s="298">
        <f t="shared" si="59"/>
        <v>0</v>
      </c>
      <c r="CO32" s="299">
        <f>[1]COMMANDE!AS30</f>
        <v>0</v>
      </c>
      <c r="CP32" s="297" t="str">
        <f t="shared" si="60"/>
        <v>0</v>
      </c>
      <c r="CQ32" s="300">
        <f t="shared" si="61"/>
        <v>0</v>
      </c>
      <c r="CR32" s="301">
        <f>[1]COMMANDE!AU30</f>
        <v>0</v>
      </c>
      <c r="CS32" s="297" t="str">
        <f t="shared" si="62"/>
        <v>0</v>
      </c>
      <c r="CT32" s="298">
        <f t="shared" si="63"/>
        <v>0</v>
      </c>
      <c r="CU32" s="299">
        <f>[1]COMMANDE!AW30</f>
        <v>0</v>
      </c>
      <c r="CV32" s="297" t="str">
        <f t="shared" si="64"/>
        <v>0</v>
      </c>
      <c r="CW32" s="300">
        <f t="shared" si="65"/>
        <v>0</v>
      </c>
      <c r="CX32" s="301">
        <f>[1]COMMANDE!AY30</f>
        <v>0</v>
      </c>
      <c r="CY32" s="297" t="str">
        <f t="shared" si="66"/>
        <v>0</v>
      </c>
      <c r="CZ32" s="298">
        <f t="shared" si="67"/>
        <v>0</v>
      </c>
      <c r="DA32" s="299">
        <f>[1]COMMANDE!BA30</f>
        <v>0</v>
      </c>
      <c r="DB32" s="297" t="str">
        <f t="shared" si="68"/>
        <v>0</v>
      </c>
      <c r="DC32" s="302">
        <f t="shared" si="69"/>
        <v>0</v>
      </c>
      <c r="DD32" s="303"/>
      <c r="DE32" s="304"/>
    </row>
    <row r="33" spans="1:109" ht="39.950000000000003" customHeight="1" x14ac:dyDescent="0.25">
      <c r="A33" s="284">
        <f t="shared" si="2"/>
        <v>0</v>
      </c>
      <c r="B33" s="284">
        <f t="shared" si="3"/>
        <v>0</v>
      </c>
      <c r="C33" s="284">
        <f t="shared" si="4"/>
        <v>0</v>
      </c>
      <c r="D33" s="284">
        <f t="shared" si="5"/>
        <v>0</v>
      </c>
      <c r="E33" s="284">
        <f t="shared" si="6"/>
        <v>0</v>
      </c>
      <c r="F33" s="284">
        <f t="shared" si="7"/>
        <v>0</v>
      </c>
      <c r="G33" s="284">
        <f t="shared" si="8"/>
        <v>0</v>
      </c>
      <c r="H33" s="284">
        <f t="shared" si="9"/>
        <v>0</v>
      </c>
      <c r="I33" s="284">
        <f t="shared" si="10"/>
        <v>0</v>
      </c>
      <c r="J33" s="284">
        <f t="shared" si="11"/>
        <v>0</v>
      </c>
      <c r="K33" s="284">
        <f t="shared" si="12"/>
        <v>0</v>
      </c>
      <c r="L33" s="284">
        <f t="shared" si="13"/>
        <v>0</v>
      </c>
      <c r="M33" s="284">
        <f t="shared" si="14"/>
        <v>0</v>
      </c>
      <c r="N33" s="284">
        <f t="shared" si="15"/>
        <v>0</v>
      </c>
      <c r="O33" s="284">
        <f t="shared" si="16"/>
        <v>0</v>
      </c>
      <c r="P33" s="284">
        <f t="shared" si="17"/>
        <v>0</v>
      </c>
      <c r="Q33" s="284">
        <f t="shared" si="18"/>
        <v>0</v>
      </c>
      <c r="R33" s="284">
        <f t="shared" si="19"/>
        <v>0</v>
      </c>
      <c r="S33" s="284">
        <f t="shared" si="20"/>
        <v>0</v>
      </c>
      <c r="T33" s="284">
        <f t="shared" si="21"/>
        <v>0</v>
      </c>
      <c r="U33" s="285">
        <f t="shared" si="22"/>
        <v>0</v>
      </c>
      <c r="V33" s="286">
        <f>[1]BDD!A23</f>
        <v>3001</v>
      </c>
      <c r="W33" s="287" t="str">
        <f>[1]BDD!B23</f>
        <v>Avocat Bacon (grand)</v>
      </c>
      <c r="X33" s="288" t="str">
        <f>IF([1]BDD!F23=0, "", [1]BDD!F23)</f>
        <v>❤️</v>
      </c>
      <c r="Y33" s="214">
        <f>ROUND([1]BDD!G23+FDP_CMD_KG, 2)</f>
        <v>6.06</v>
      </c>
      <c r="Z33" s="214">
        <f>ROUND([1]BDD!G23+FDP_FACT_KG, 2)</f>
        <v>6.06</v>
      </c>
      <c r="AA33" s="215" t="str">
        <f>[1]BDD!H23</f>
        <v>kg</v>
      </c>
      <c r="AB33" s="225">
        <f>IF(NOT(ISBLANK([1]BDD!I23)), ROUND(SUM(([1]BDD!G23*reduc1),FDP_CMD_KG), 2), "")</f>
        <v>5.54</v>
      </c>
      <c r="AC33" s="225">
        <f>IF(NOT(ISBLANK([1]BDD!J23)), ROUND(SUM(([1]BDD!G23*reduc2),FDP_CMD_KG), 2), "")</f>
        <v>5.03</v>
      </c>
      <c r="AD33" s="225">
        <f>IF(NOT(ISBLANK([1]BDD!K23)), ROUND(SUM(([1]BDD!G23*reduc3),FDP_CMD_KG), 2), "")</f>
        <v>4.51</v>
      </c>
      <c r="AE33" s="225">
        <f>IF(NOT(ISBLANK([1]BDD!I23)), ROUND(SUM(([1]BDD!G23*reduc1),FDP_FACT_KG), 2), "")</f>
        <v>5.54</v>
      </c>
      <c r="AF33" s="225">
        <f>IF(NOT(ISBLANK([1]BDD!J23)), ROUND(SUM(([1]BDD!G23*reduc2),FDP_FACT_KG), 2), "")</f>
        <v>5.0199999999999996</v>
      </c>
      <c r="AG33" s="225">
        <f>IF(NOT(ISBLANK([1]BDD!K23)), ROUND(SUM(([1]BDD!G23*reduc3),FDP_FACT_KG), 2), "")</f>
        <v>4.5</v>
      </c>
      <c r="AH33" s="289" t="str">
        <f>[1]BDD!C23</f>
        <v>Grenade</v>
      </c>
      <c r="AI33" s="290">
        <f t="shared" si="23"/>
        <v>0</v>
      </c>
      <c r="AJ33" s="216">
        <f t="shared" si="24"/>
        <v>4.51</v>
      </c>
      <c r="AK33" s="291">
        <f t="shared" si="25"/>
        <v>0</v>
      </c>
      <c r="AL33" s="429"/>
      <c r="AM33" s="292"/>
      <c r="AN33" s="216">
        <f t="shared" si="26"/>
        <v>6.06</v>
      </c>
      <c r="AO33" s="293">
        <f t="shared" si="27"/>
        <v>0</v>
      </c>
      <c r="AP33" s="294"/>
      <c r="AQ33" s="294"/>
      <c r="AR33" s="429"/>
      <c r="AS33" s="295">
        <f t="shared" si="28"/>
        <v>0</v>
      </c>
      <c r="AT33" s="216">
        <f t="shared" si="29"/>
        <v>6.06</v>
      </c>
      <c r="AU33" s="291">
        <f t="shared" si="1"/>
        <v>0</v>
      </c>
      <c r="AV33" s="296">
        <f>[1]COMMANDE!O31</f>
        <v>0</v>
      </c>
      <c r="AW33" s="297" t="str">
        <f t="shared" si="30"/>
        <v>0</v>
      </c>
      <c r="AX33" s="298">
        <f t="shared" si="31"/>
        <v>0</v>
      </c>
      <c r="AY33" s="299">
        <f>[1]COMMANDE!Q31</f>
        <v>0</v>
      </c>
      <c r="AZ33" s="297" t="str">
        <f t="shared" si="32"/>
        <v>0</v>
      </c>
      <c r="BA33" s="300">
        <f t="shared" si="33"/>
        <v>0</v>
      </c>
      <c r="BB33" s="301">
        <f>[1]COMMANDE!S31</f>
        <v>0</v>
      </c>
      <c r="BC33" s="297" t="str">
        <f t="shared" si="34"/>
        <v>0</v>
      </c>
      <c r="BD33" s="298">
        <f t="shared" si="35"/>
        <v>0</v>
      </c>
      <c r="BE33" s="299">
        <f>[1]COMMANDE!U31</f>
        <v>0</v>
      </c>
      <c r="BF33" s="297" t="str">
        <f t="shared" si="36"/>
        <v>0</v>
      </c>
      <c r="BG33" s="300">
        <f t="shared" si="37"/>
        <v>0</v>
      </c>
      <c r="BH33" s="301">
        <f>[1]COMMANDE!W31</f>
        <v>0</v>
      </c>
      <c r="BI33" s="297" t="str">
        <f t="shared" si="38"/>
        <v>0</v>
      </c>
      <c r="BJ33" s="298">
        <f t="shared" si="39"/>
        <v>0</v>
      </c>
      <c r="BK33" s="299">
        <f>[1]COMMANDE!Y31</f>
        <v>0</v>
      </c>
      <c r="BL33" s="297" t="str">
        <f t="shared" si="40"/>
        <v>0</v>
      </c>
      <c r="BM33" s="300">
        <f t="shared" si="41"/>
        <v>0</v>
      </c>
      <c r="BN33" s="301">
        <f>[1]COMMANDE!AA31</f>
        <v>0</v>
      </c>
      <c r="BO33" s="297" t="str">
        <f t="shared" si="42"/>
        <v>0</v>
      </c>
      <c r="BP33" s="298">
        <f t="shared" si="43"/>
        <v>0</v>
      </c>
      <c r="BQ33" s="299">
        <f>[1]COMMANDE!AC31</f>
        <v>0</v>
      </c>
      <c r="BR33" s="297" t="str">
        <f t="shared" si="44"/>
        <v>0</v>
      </c>
      <c r="BS33" s="300">
        <f t="shared" si="45"/>
        <v>0</v>
      </c>
      <c r="BT33" s="301">
        <f>[1]COMMANDE!AE31</f>
        <v>0</v>
      </c>
      <c r="BU33" s="297" t="str">
        <f t="shared" si="46"/>
        <v>0</v>
      </c>
      <c r="BV33" s="298">
        <f t="shared" si="47"/>
        <v>0</v>
      </c>
      <c r="BW33" s="299">
        <f>[1]COMMANDE!AG31</f>
        <v>0</v>
      </c>
      <c r="BX33" s="297" t="str">
        <f t="shared" si="48"/>
        <v>0</v>
      </c>
      <c r="BY33" s="300">
        <f t="shared" si="49"/>
        <v>0</v>
      </c>
      <c r="BZ33" s="301">
        <f>[1]COMMANDE!AI31</f>
        <v>0</v>
      </c>
      <c r="CA33" s="297" t="str">
        <f t="shared" si="50"/>
        <v>0</v>
      </c>
      <c r="CB33" s="298">
        <f t="shared" si="51"/>
        <v>0</v>
      </c>
      <c r="CC33" s="299">
        <f>[1]COMMANDE!AK31</f>
        <v>0</v>
      </c>
      <c r="CD33" s="297" t="str">
        <f t="shared" si="52"/>
        <v>0</v>
      </c>
      <c r="CE33" s="300">
        <f t="shared" si="53"/>
        <v>0</v>
      </c>
      <c r="CF33" s="301">
        <f>[1]COMMANDE!AM31</f>
        <v>0</v>
      </c>
      <c r="CG33" s="297" t="str">
        <f t="shared" si="54"/>
        <v>0</v>
      </c>
      <c r="CH33" s="298">
        <f t="shared" si="55"/>
        <v>0</v>
      </c>
      <c r="CI33" s="299">
        <f>[1]COMMANDE!AO31</f>
        <v>0</v>
      </c>
      <c r="CJ33" s="297" t="str">
        <f t="shared" si="56"/>
        <v>0</v>
      </c>
      <c r="CK33" s="300">
        <f t="shared" si="57"/>
        <v>0</v>
      </c>
      <c r="CL33" s="301">
        <f>[1]COMMANDE!AQ31</f>
        <v>0</v>
      </c>
      <c r="CM33" s="297" t="str">
        <f t="shared" si="58"/>
        <v>0</v>
      </c>
      <c r="CN33" s="298">
        <f t="shared" si="59"/>
        <v>0</v>
      </c>
      <c r="CO33" s="299">
        <f>[1]COMMANDE!AS31</f>
        <v>0</v>
      </c>
      <c r="CP33" s="297" t="str">
        <f t="shared" si="60"/>
        <v>0</v>
      </c>
      <c r="CQ33" s="300">
        <f t="shared" si="61"/>
        <v>0</v>
      </c>
      <c r="CR33" s="301">
        <f>[1]COMMANDE!AU31</f>
        <v>0</v>
      </c>
      <c r="CS33" s="297" t="str">
        <f t="shared" si="62"/>
        <v>0</v>
      </c>
      <c r="CT33" s="298">
        <f t="shared" si="63"/>
        <v>0</v>
      </c>
      <c r="CU33" s="299">
        <f>[1]COMMANDE!AW31</f>
        <v>0</v>
      </c>
      <c r="CV33" s="297" t="str">
        <f t="shared" si="64"/>
        <v>0</v>
      </c>
      <c r="CW33" s="300">
        <f t="shared" si="65"/>
        <v>0</v>
      </c>
      <c r="CX33" s="301">
        <f>[1]COMMANDE!AY31</f>
        <v>0</v>
      </c>
      <c r="CY33" s="297" t="str">
        <f t="shared" si="66"/>
        <v>0</v>
      </c>
      <c r="CZ33" s="298">
        <f t="shared" si="67"/>
        <v>0</v>
      </c>
      <c r="DA33" s="299">
        <f>[1]COMMANDE!BA31</f>
        <v>0</v>
      </c>
      <c r="DB33" s="297" t="str">
        <f t="shared" si="68"/>
        <v>0</v>
      </c>
      <c r="DC33" s="302">
        <f t="shared" si="69"/>
        <v>0</v>
      </c>
      <c r="DD33" s="303"/>
      <c r="DE33" s="304"/>
    </row>
    <row r="34" spans="1:109" ht="39.950000000000003" customHeight="1" x14ac:dyDescent="0.25">
      <c r="A34" s="284">
        <f t="shared" si="2"/>
        <v>0</v>
      </c>
      <c r="B34" s="284">
        <f t="shared" si="3"/>
        <v>0</v>
      </c>
      <c r="C34" s="284">
        <f t="shared" si="4"/>
        <v>0</v>
      </c>
      <c r="D34" s="284">
        <f t="shared" si="5"/>
        <v>0</v>
      </c>
      <c r="E34" s="284">
        <f t="shared" si="6"/>
        <v>0</v>
      </c>
      <c r="F34" s="284">
        <f t="shared" si="7"/>
        <v>0</v>
      </c>
      <c r="G34" s="284">
        <f t="shared" si="8"/>
        <v>0</v>
      </c>
      <c r="H34" s="284">
        <f t="shared" si="9"/>
        <v>0</v>
      </c>
      <c r="I34" s="284">
        <f t="shared" si="10"/>
        <v>0</v>
      </c>
      <c r="J34" s="284">
        <f t="shared" si="11"/>
        <v>0</v>
      </c>
      <c r="K34" s="284">
        <f t="shared" si="12"/>
        <v>0</v>
      </c>
      <c r="L34" s="284">
        <f t="shared" si="13"/>
        <v>0</v>
      </c>
      <c r="M34" s="284">
        <f t="shared" si="14"/>
        <v>0</v>
      </c>
      <c r="N34" s="284">
        <f t="shared" si="15"/>
        <v>0</v>
      </c>
      <c r="O34" s="284">
        <f t="shared" si="16"/>
        <v>0</v>
      </c>
      <c r="P34" s="284">
        <f t="shared" si="17"/>
        <v>0</v>
      </c>
      <c r="Q34" s="284">
        <f t="shared" si="18"/>
        <v>0</v>
      </c>
      <c r="R34" s="284">
        <f t="shared" si="19"/>
        <v>0</v>
      </c>
      <c r="S34" s="284">
        <f t="shared" si="20"/>
        <v>0</v>
      </c>
      <c r="T34" s="284">
        <f t="shared" si="21"/>
        <v>0</v>
      </c>
      <c r="U34" s="285">
        <f t="shared" si="22"/>
        <v>0</v>
      </c>
      <c r="V34" s="286">
        <f>[1]BDD!A24</f>
        <v>1001</v>
      </c>
      <c r="W34" s="287" t="str">
        <f>[1]BDD!B24</f>
        <v>Avocat Bacon BIO</v>
      </c>
      <c r="X34" s="288" t="str">
        <f>IF([1]BDD!F24=0, "", [1]BDD!F24)</f>
        <v/>
      </c>
      <c r="Y34" s="214">
        <f>ROUND([1]BDD!G24+FDP_CMD_KG, 2)</f>
        <v>6.32</v>
      </c>
      <c r="Z34" s="214">
        <f>ROUND([1]BDD!G24+FDP_FACT_KG, 2)</f>
        <v>6.32</v>
      </c>
      <c r="AA34" s="215" t="str">
        <f>[1]BDD!H24</f>
        <v>kg</v>
      </c>
      <c r="AB34" s="225">
        <f>IF(NOT(ISBLANK([1]BDD!I24)), ROUND(SUM(([1]BDD!G24*reduc1),FDP_CMD_KG), 2), "")</f>
        <v>5.78</v>
      </c>
      <c r="AC34" s="225">
        <f>IF(NOT(ISBLANK([1]BDD!J24)), ROUND(SUM(([1]BDD!G24*reduc2),FDP_CMD_KG), 2), "")</f>
        <v>5.23</v>
      </c>
      <c r="AD34" s="225">
        <f>IF(NOT(ISBLANK([1]BDD!K24)), ROUND(SUM(([1]BDD!G24*reduc3),FDP_CMD_KG), 2), "")</f>
        <v>4.6900000000000004</v>
      </c>
      <c r="AE34" s="225">
        <f>IF(NOT(ISBLANK([1]BDD!I24)), ROUND(SUM(([1]BDD!G24*reduc1),FDP_FACT_KG), 2), "")</f>
        <v>5.77</v>
      </c>
      <c r="AF34" s="225">
        <f>IF(NOT(ISBLANK([1]BDD!J24)), ROUND(SUM(([1]BDD!G24*reduc2),FDP_FACT_KG), 2), "")</f>
        <v>5.23</v>
      </c>
      <c r="AG34" s="225">
        <f>IF(NOT(ISBLANK([1]BDD!K24)), ROUND(SUM(([1]BDD!G24*reduc3),FDP_FACT_KG), 2), "")</f>
        <v>4.68</v>
      </c>
      <c r="AH34" s="289" t="str">
        <f>[1]BDD!C24</f>
        <v>Grenade</v>
      </c>
      <c r="AI34" s="290">
        <f t="shared" si="23"/>
        <v>0</v>
      </c>
      <c r="AJ34" s="216">
        <f t="shared" si="24"/>
        <v>4.6900000000000004</v>
      </c>
      <c r="AK34" s="291">
        <f t="shared" si="25"/>
        <v>0</v>
      </c>
      <c r="AL34" s="429"/>
      <c r="AM34" s="292"/>
      <c r="AN34" s="216">
        <f t="shared" si="26"/>
        <v>6.32</v>
      </c>
      <c r="AO34" s="293">
        <f t="shared" si="27"/>
        <v>0</v>
      </c>
      <c r="AP34" s="294"/>
      <c r="AQ34" s="294"/>
      <c r="AR34" s="429"/>
      <c r="AS34" s="295">
        <f t="shared" si="28"/>
        <v>0</v>
      </c>
      <c r="AT34" s="216">
        <f t="shared" si="29"/>
        <v>6.32</v>
      </c>
      <c r="AU34" s="291">
        <f t="shared" si="1"/>
        <v>0</v>
      </c>
      <c r="AV34" s="296">
        <f>[1]COMMANDE!O32</f>
        <v>0</v>
      </c>
      <c r="AW34" s="297" t="str">
        <f t="shared" si="30"/>
        <v>0</v>
      </c>
      <c r="AX34" s="298">
        <f t="shared" si="31"/>
        <v>0</v>
      </c>
      <c r="AY34" s="299">
        <f>[1]COMMANDE!Q32</f>
        <v>0</v>
      </c>
      <c r="AZ34" s="297" t="str">
        <f t="shared" si="32"/>
        <v>0</v>
      </c>
      <c r="BA34" s="300">
        <f t="shared" si="33"/>
        <v>0</v>
      </c>
      <c r="BB34" s="301">
        <f>[1]COMMANDE!S32</f>
        <v>0</v>
      </c>
      <c r="BC34" s="297" t="str">
        <f t="shared" si="34"/>
        <v>0</v>
      </c>
      <c r="BD34" s="298">
        <f t="shared" si="35"/>
        <v>0</v>
      </c>
      <c r="BE34" s="299">
        <f>[1]COMMANDE!U32</f>
        <v>0</v>
      </c>
      <c r="BF34" s="297" t="str">
        <f t="shared" si="36"/>
        <v>0</v>
      </c>
      <c r="BG34" s="300">
        <f t="shared" si="37"/>
        <v>0</v>
      </c>
      <c r="BH34" s="301">
        <f>[1]COMMANDE!W32</f>
        <v>0</v>
      </c>
      <c r="BI34" s="297" t="str">
        <f t="shared" si="38"/>
        <v>0</v>
      </c>
      <c r="BJ34" s="298">
        <f t="shared" si="39"/>
        <v>0</v>
      </c>
      <c r="BK34" s="299">
        <f>[1]COMMANDE!Y32</f>
        <v>0</v>
      </c>
      <c r="BL34" s="297" t="str">
        <f t="shared" si="40"/>
        <v>0</v>
      </c>
      <c r="BM34" s="300">
        <f t="shared" si="41"/>
        <v>0</v>
      </c>
      <c r="BN34" s="301">
        <f>[1]COMMANDE!AA32</f>
        <v>0</v>
      </c>
      <c r="BO34" s="297" t="str">
        <f t="shared" si="42"/>
        <v>0</v>
      </c>
      <c r="BP34" s="298">
        <f t="shared" si="43"/>
        <v>0</v>
      </c>
      <c r="BQ34" s="299">
        <f>[1]COMMANDE!AC32</f>
        <v>0</v>
      </c>
      <c r="BR34" s="297" t="str">
        <f t="shared" si="44"/>
        <v>0</v>
      </c>
      <c r="BS34" s="300">
        <f t="shared" si="45"/>
        <v>0</v>
      </c>
      <c r="BT34" s="301">
        <f>[1]COMMANDE!AE32</f>
        <v>0</v>
      </c>
      <c r="BU34" s="297" t="str">
        <f t="shared" si="46"/>
        <v>0</v>
      </c>
      <c r="BV34" s="298">
        <f t="shared" si="47"/>
        <v>0</v>
      </c>
      <c r="BW34" s="299">
        <f>[1]COMMANDE!AG32</f>
        <v>0</v>
      </c>
      <c r="BX34" s="297" t="str">
        <f t="shared" si="48"/>
        <v>0</v>
      </c>
      <c r="BY34" s="300">
        <f t="shared" si="49"/>
        <v>0</v>
      </c>
      <c r="BZ34" s="301">
        <f>[1]COMMANDE!AI32</f>
        <v>0</v>
      </c>
      <c r="CA34" s="297" t="str">
        <f t="shared" si="50"/>
        <v>0</v>
      </c>
      <c r="CB34" s="298">
        <f t="shared" si="51"/>
        <v>0</v>
      </c>
      <c r="CC34" s="299">
        <f>[1]COMMANDE!AK32</f>
        <v>0</v>
      </c>
      <c r="CD34" s="297" t="str">
        <f t="shared" si="52"/>
        <v>0</v>
      </c>
      <c r="CE34" s="300">
        <f t="shared" si="53"/>
        <v>0</v>
      </c>
      <c r="CF34" s="301">
        <f>[1]COMMANDE!AM32</f>
        <v>0</v>
      </c>
      <c r="CG34" s="297" t="str">
        <f t="shared" si="54"/>
        <v>0</v>
      </c>
      <c r="CH34" s="298">
        <f t="shared" si="55"/>
        <v>0</v>
      </c>
      <c r="CI34" s="299">
        <f>[1]COMMANDE!AO32</f>
        <v>0</v>
      </c>
      <c r="CJ34" s="297" t="str">
        <f t="shared" si="56"/>
        <v>0</v>
      </c>
      <c r="CK34" s="300">
        <f t="shared" si="57"/>
        <v>0</v>
      </c>
      <c r="CL34" s="301">
        <f>[1]COMMANDE!AQ32</f>
        <v>0</v>
      </c>
      <c r="CM34" s="297" t="str">
        <f t="shared" si="58"/>
        <v>0</v>
      </c>
      <c r="CN34" s="298">
        <f t="shared" si="59"/>
        <v>0</v>
      </c>
      <c r="CO34" s="299">
        <f>[1]COMMANDE!AS32</f>
        <v>0</v>
      </c>
      <c r="CP34" s="297" t="str">
        <f t="shared" si="60"/>
        <v>0</v>
      </c>
      <c r="CQ34" s="300">
        <f t="shared" si="61"/>
        <v>0</v>
      </c>
      <c r="CR34" s="301">
        <f>[1]COMMANDE!AU32</f>
        <v>0</v>
      </c>
      <c r="CS34" s="297" t="str">
        <f t="shared" si="62"/>
        <v>0</v>
      </c>
      <c r="CT34" s="298">
        <f t="shared" si="63"/>
        <v>0</v>
      </c>
      <c r="CU34" s="299">
        <f>[1]COMMANDE!AW32</f>
        <v>0</v>
      </c>
      <c r="CV34" s="297" t="str">
        <f t="shared" si="64"/>
        <v>0</v>
      </c>
      <c r="CW34" s="300">
        <f t="shared" si="65"/>
        <v>0</v>
      </c>
      <c r="CX34" s="301">
        <f>[1]COMMANDE!AY32</f>
        <v>0</v>
      </c>
      <c r="CY34" s="297" t="str">
        <f t="shared" si="66"/>
        <v>0</v>
      </c>
      <c r="CZ34" s="298">
        <f t="shared" si="67"/>
        <v>0</v>
      </c>
      <c r="DA34" s="299">
        <f>[1]COMMANDE!BA32</f>
        <v>0</v>
      </c>
      <c r="DB34" s="297" t="str">
        <f t="shared" si="68"/>
        <v>0</v>
      </c>
      <c r="DC34" s="302">
        <f t="shared" si="69"/>
        <v>0</v>
      </c>
      <c r="DD34" s="303"/>
      <c r="DE34" s="304"/>
    </row>
    <row r="35" spans="1:109" ht="39.950000000000003" customHeight="1" x14ac:dyDescent="0.25">
      <c r="A35" s="284">
        <f t="shared" si="2"/>
        <v>0</v>
      </c>
      <c r="B35" s="284">
        <f t="shared" si="3"/>
        <v>0</v>
      </c>
      <c r="C35" s="284">
        <f t="shared" si="4"/>
        <v>0</v>
      </c>
      <c r="D35" s="284">
        <f t="shared" si="5"/>
        <v>0</v>
      </c>
      <c r="E35" s="284">
        <f t="shared" si="6"/>
        <v>0</v>
      </c>
      <c r="F35" s="284">
        <f t="shared" si="7"/>
        <v>0</v>
      </c>
      <c r="G35" s="284">
        <f t="shared" si="8"/>
        <v>0</v>
      </c>
      <c r="H35" s="284">
        <f t="shared" si="9"/>
        <v>0</v>
      </c>
      <c r="I35" s="284">
        <f t="shared" si="10"/>
        <v>0</v>
      </c>
      <c r="J35" s="284">
        <f t="shared" si="11"/>
        <v>0</v>
      </c>
      <c r="K35" s="284">
        <f t="shared" si="12"/>
        <v>0</v>
      </c>
      <c r="L35" s="284">
        <f t="shared" si="13"/>
        <v>0</v>
      </c>
      <c r="M35" s="284">
        <f t="shared" si="14"/>
        <v>0</v>
      </c>
      <c r="N35" s="284">
        <f t="shared" si="15"/>
        <v>0</v>
      </c>
      <c r="O35" s="284">
        <f t="shared" si="16"/>
        <v>0</v>
      </c>
      <c r="P35" s="284">
        <f t="shared" si="17"/>
        <v>0</v>
      </c>
      <c r="Q35" s="284">
        <f t="shared" si="18"/>
        <v>0</v>
      </c>
      <c r="R35" s="284">
        <f t="shared" si="19"/>
        <v>0</v>
      </c>
      <c r="S35" s="284">
        <f t="shared" si="20"/>
        <v>0</v>
      </c>
      <c r="T35" s="284">
        <f t="shared" si="21"/>
        <v>0</v>
      </c>
      <c r="U35" s="285">
        <f t="shared" si="22"/>
        <v>0</v>
      </c>
      <c r="V35" s="286" t="str">
        <f>[1]BDD!A25</f>
        <v>3944-3267</v>
      </c>
      <c r="W35" s="287" t="str">
        <f>[1]BDD!B25</f>
        <v>Avocat Bacon/Fuerte cocktail (petit calibre)</v>
      </c>
      <c r="X35" s="288" t="str">
        <f>IF([1]BDD!F25=0, "", [1]BDD!F25)</f>
        <v/>
      </c>
      <c r="Y35" s="214">
        <f>ROUND([1]BDD!G25+FDP_CMD_KG, 2)</f>
        <v>7.69</v>
      </c>
      <c r="Z35" s="214">
        <f>ROUND([1]BDD!G25+FDP_FACT_KG, 2)</f>
        <v>7.69</v>
      </c>
      <c r="AA35" s="215" t="str">
        <f>[1]BDD!H25</f>
        <v>kg</v>
      </c>
      <c r="AB35" s="225">
        <f>IF(NOT(ISBLANK([1]BDD!I25)), ROUND(SUM(([1]BDD!G25*reduc1),FDP_CMD_KG), 2), "")</f>
        <v>7.01</v>
      </c>
      <c r="AC35" s="225" t="str">
        <f>IF(NOT(ISBLANK([1]BDD!J25)), ROUND(SUM(([1]BDD!G25*reduc2),FDP_CMD_KG), 2), "")</f>
        <v/>
      </c>
      <c r="AD35" s="225" t="str">
        <f>IF(NOT(ISBLANK([1]BDD!K25)), ROUND(SUM(([1]BDD!G25*reduc3),FDP_CMD_KG), 2), "")</f>
        <v/>
      </c>
      <c r="AE35" s="225">
        <f>IF(NOT(ISBLANK([1]BDD!I25)), ROUND(SUM(([1]BDD!G25*reduc1),FDP_FACT_KG), 2), "")</f>
        <v>7</v>
      </c>
      <c r="AF35" s="225" t="str">
        <f>IF(NOT(ISBLANK([1]BDD!J25)), ROUND(SUM(([1]BDD!G25*reduc2),FDP_FACT_KG), 2), "")</f>
        <v/>
      </c>
      <c r="AG35" s="225" t="str">
        <f>IF(NOT(ISBLANK([1]BDD!K25)), ROUND(SUM(([1]BDD!G25*reduc3),FDP_FACT_KG), 2), "")</f>
        <v/>
      </c>
      <c r="AH35" s="289" t="str">
        <f>[1]BDD!C25</f>
        <v>Grenade</v>
      </c>
      <c r="AI35" s="290">
        <f t="shared" si="23"/>
        <v>0</v>
      </c>
      <c r="AJ35" s="216">
        <f t="shared" si="24"/>
        <v>7.01</v>
      </c>
      <c r="AK35" s="291">
        <f t="shared" si="25"/>
        <v>0</v>
      </c>
      <c r="AL35" s="429"/>
      <c r="AM35" s="292"/>
      <c r="AN35" s="216">
        <f t="shared" si="26"/>
        <v>7.69</v>
      </c>
      <c r="AO35" s="293">
        <f t="shared" si="27"/>
        <v>0</v>
      </c>
      <c r="AP35" s="294"/>
      <c r="AQ35" s="294"/>
      <c r="AR35" s="429"/>
      <c r="AS35" s="295">
        <f t="shared" si="28"/>
        <v>0</v>
      </c>
      <c r="AT35" s="216">
        <f t="shared" si="29"/>
        <v>7.69</v>
      </c>
      <c r="AU35" s="291">
        <f t="shared" si="1"/>
        <v>0</v>
      </c>
      <c r="AV35" s="296">
        <f>[1]COMMANDE!O33</f>
        <v>0</v>
      </c>
      <c r="AW35" s="297" t="str">
        <f t="shared" si="30"/>
        <v>0</v>
      </c>
      <c r="AX35" s="298">
        <f t="shared" si="31"/>
        <v>0</v>
      </c>
      <c r="AY35" s="299">
        <f>[1]COMMANDE!Q33</f>
        <v>0</v>
      </c>
      <c r="AZ35" s="297" t="str">
        <f t="shared" si="32"/>
        <v>0</v>
      </c>
      <c r="BA35" s="300">
        <f t="shared" si="33"/>
        <v>0</v>
      </c>
      <c r="BB35" s="301">
        <f>[1]COMMANDE!S33</f>
        <v>0</v>
      </c>
      <c r="BC35" s="297" t="str">
        <f t="shared" si="34"/>
        <v>0</v>
      </c>
      <c r="BD35" s="298">
        <f t="shared" si="35"/>
        <v>0</v>
      </c>
      <c r="BE35" s="299">
        <f>[1]COMMANDE!U33</f>
        <v>0</v>
      </c>
      <c r="BF35" s="297" t="str">
        <f t="shared" si="36"/>
        <v>0</v>
      </c>
      <c r="BG35" s="300">
        <f t="shared" si="37"/>
        <v>0</v>
      </c>
      <c r="BH35" s="301">
        <f>[1]COMMANDE!W33</f>
        <v>0</v>
      </c>
      <c r="BI35" s="297" t="str">
        <f t="shared" si="38"/>
        <v>0</v>
      </c>
      <c r="BJ35" s="298">
        <f t="shared" si="39"/>
        <v>0</v>
      </c>
      <c r="BK35" s="299">
        <f>[1]COMMANDE!Y33</f>
        <v>0</v>
      </c>
      <c r="BL35" s="297" t="str">
        <f t="shared" si="40"/>
        <v>0</v>
      </c>
      <c r="BM35" s="300">
        <f t="shared" si="41"/>
        <v>0</v>
      </c>
      <c r="BN35" s="301">
        <f>[1]COMMANDE!AA33</f>
        <v>0</v>
      </c>
      <c r="BO35" s="297" t="str">
        <f t="shared" si="42"/>
        <v>0</v>
      </c>
      <c r="BP35" s="298">
        <f t="shared" si="43"/>
        <v>0</v>
      </c>
      <c r="BQ35" s="299">
        <f>[1]COMMANDE!AC33</f>
        <v>0</v>
      </c>
      <c r="BR35" s="297" t="str">
        <f t="shared" si="44"/>
        <v>0</v>
      </c>
      <c r="BS35" s="300">
        <f t="shared" si="45"/>
        <v>0</v>
      </c>
      <c r="BT35" s="301">
        <f>[1]COMMANDE!AE33</f>
        <v>0</v>
      </c>
      <c r="BU35" s="297" t="str">
        <f t="shared" si="46"/>
        <v>0</v>
      </c>
      <c r="BV35" s="298">
        <f t="shared" si="47"/>
        <v>0</v>
      </c>
      <c r="BW35" s="299">
        <f>[1]COMMANDE!AG33</f>
        <v>0</v>
      </c>
      <c r="BX35" s="297" t="str">
        <f t="shared" si="48"/>
        <v>0</v>
      </c>
      <c r="BY35" s="300">
        <f t="shared" si="49"/>
        <v>0</v>
      </c>
      <c r="BZ35" s="301">
        <f>[1]COMMANDE!AI33</f>
        <v>0</v>
      </c>
      <c r="CA35" s="297" t="str">
        <f t="shared" si="50"/>
        <v>0</v>
      </c>
      <c r="CB35" s="298">
        <f t="shared" si="51"/>
        <v>0</v>
      </c>
      <c r="CC35" s="299">
        <f>[1]COMMANDE!AK33</f>
        <v>0</v>
      </c>
      <c r="CD35" s="297" t="str">
        <f t="shared" si="52"/>
        <v>0</v>
      </c>
      <c r="CE35" s="300">
        <f t="shared" si="53"/>
        <v>0</v>
      </c>
      <c r="CF35" s="301">
        <f>[1]COMMANDE!AM33</f>
        <v>0</v>
      </c>
      <c r="CG35" s="297" t="str">
        <f t="shared" si="54"/>
        <v>0</v>
      </c>
      <c r="CH35" s="298">
        <f t="shared" si="55"/>
        <v>0</v>
      </c>
      <c r="CI35" s="299">
        <f>[1]COMMANDE!AO33</f>
        <v>0</v>
      </c>
      <c r="CJ35" s="297" t="str">
        <f t="shared" si="56"/>
        <v>0</v>
      </c>
      <c r="CK35" s="300">
        <f t="shared" si="57"/>
        <v>0</v>
      </c>
      <c r="CL35" s="301">
        <f>[1]COMMANDE!AQ33</f>
        <v>0</v>
      </c>
      <c r="CM35" s="297" t="str">
        <f t="shared" si="58"/>
        <v>0</v>
      </c>
      <c r="CN35" s="298">
        <f t="shared" si="59"/>
        <v>0</v>
      </c>
      <c r="CO35" s="299">
        <f>[1]COMMANDE!AS33</f>
        <v>0</v>
      </c>
      <c r="CP35" s="297" t="str">
        <f t="shared" si="60"/>
        <v>0</v>
      </c>
      <c r="CQ35" s="300">
        <f t="shared" si="61"/>
        <v>0</v>
      </c>
      <c r="CR35" s="301">
        <f>[1]COMMANDE!AU33</f>
        <v>0</v>
      </c>
      <c r="CS35" s="297" t="str">
        <f t="shared" si="62"/>
        <v>0</v>
      </c>
      <c r="CT35" s="298">
        <f t="shared" si="63"/>
        <v>0</v>
      </c>
      <c r="CU35" s="299">
        <f>[1]COMMANDE!AW33</f>
        <v>0</v>
      </c>
      <c r="CV35" s="297" t="str">
        <f t="shared" si="64"/>
        <v>0</v>
      </c>
      <c r="CW35" s="300">
        <f t="shared" si="65"/>
        <v>0</v>
      </c>
      <c r="CX35" s="301">
        <f>[1]COMMANDE!AY33</f>
        <v>0</v>
      </c>
      <c r="CY35" s="297" t="str">
        <f t="shared" si="66"/>
        <v>0</v>
      </c>
      <c r="CZ35" s="298">
        <f t="shared" si="67"/>
        <v>0</v>
      </c>
      <c r="DA35" s="299">
        <f>[1]COMMANDE!BA33</f>
        <v>0</v>
      </c>
      <c r="DB35" s="297" t="str">
        <f t="shared" si="68"/>
        <v>0</v>
      </c>
      <c r="DC35" s="302">
        <f t="shared" si="69"/>
        <v>0</v>
      </c>
      <c r="DD35" s="303"/>
      <c r="DE35" s="304"/>
    </row>
    <row r="36" spans="1:109" ht="39.950000000000003" customHeight="1" x14ac:dyDescent="0.25">
      <c r="A36" s="284">
        <f t="shared" si="2"/>
        <v>0</v>
      </c>
      <c r="B36" s="284">
        <f t="shared" si="3"/>
        <v>0</v>
      </c>
      <c r="C36" s="284">
        <f t="shared" si="4"/>
        <v>0</v>
      </c>
      <c r="D36" s="284">
        <f t="shared" si="5"/>
        <v>0</v>
      </c>
      <c r="E36" s="284">
        <f t="shared" si="6"/>
        <v>0</v>
      </c>
      <c r="F36" s="284">
        <f t="shared" si="7"/>
        <v>0</v>
      </c>
      <c r="G36" s="284">
        <f t="shared" si="8"/>
        <v>0</v>
      </c>
      <c r="H36" s="284">
        <f t="shared" si="9"/>
        <v>0</v>
      </c>
      <c r="I36" s="284">
        <f t="shared" si="10"/>
        <v>0</v>
      </c>
      <c r="J36" s="284">
        <f t="shared" si="11"/>
        <v>0</v>
      </c>
      <c r="K36" s="284">
        <f t="shared" si="12"/>
        <v>0</v>
      </c>
      <c r="L36" s="284">
        <f t="shared" si="13"/>
        <v>0</v>
      </c>
      <c r="M36" s="284">
        <f t="shared" si="14"/>
        <v>0</v>
      </c>
      <c r="N36" s="284">
        <f t="shared" si="15"/>
        <v>0</v>
      </c>
      <c r="O36" s="284">
        <f t="shared" si="16"/>
        <v>0</v>
      </c>
      <c r="P36" s="284">
        <f t="shared" si="17"/>
        <v>0</v>
      </c>
      <c r="Q36" s="284">
        <f t="shared" si="18"/>
        <v>0</v>
      </c>
      <c r="R36" s="284">
        <f t="shared" si="19"/>
        <v>0</v>
      </c>
      <c r="S36" s="284">
        <f t="shared" si="20"/>
        <v>0</v>
      </c>
      <c r="T36" s="284">
        <f t="shared" si="21"/>
        <v>0</v>
      </c>
      <c r="U36" s="285">
        <f t="shared" si="22"/>
        <v>0</v>
      </c>
      <c r="V36" s="286">
        <f>[1]BDD!A26</f>
        <v>3048</v>
      </c>
      <c r="W36" s="287" t="str">
        <f>[1]BDD!B26</f>
        <v>Avocat Fuerte</v>
      </c>
      <c r="X36" s="288" t="str">
        <f>IF([1]BDD!F26=0, "", [1]BDD!F26)</f>
        <v>❤️</v>
      </c>
      <c r="Y36" s="214">
        <f>ROUND([1]BDD!G26+FDP_CMD_KG, 2)</f>
        <v>6.32</v>
      </c>
      <c r="Z36" s="214">
        <f>ROUND([1]BDD!G26+FDP_FACT_KG, 2)</f>
        <v>6.32</v>
      </c>
      <c r="AA36" s="215" t="str">
        <f>[1]BDD!H26</f>
        <v>kg</v>
      </c>
      <c r="AB36" s="225">
        <f>IF(NOT(ISBLANK([1]BDD!I26)), ROUND(SUM(([1]BDD!G26*reduc1),FDP_CMD_KG), 2), "")</f>
        <v>5.78</v>
      </c>
      <c r="AC36" s="225">
        <f>IF(NOT(ISBLANK([1]BDD!J26)), ROUND(SUM(([1]BDD!G26*reduc2),FDP_CMD_KG), 2), "")</f>
        <v>5.23</v>
      </c>
      <c r="AD36" s="225" t="str">
        <f>IF(NOT(ISBLANK([1]BDD!K26)), ROUND(SUM(([1]BDD!G26*reduc3),FDP_CMD_KG), 2), "")</f>
        <v/>
      </c>
      <c r="AE36" s="225">
        <f>IF(NOT(ISBLANK([1]BDD!I26)), ROUND(SUM(([1]BDD!G26*reduc1),FDP_FACT_KG), 2), "")</f>
        <v>5.77</v>
      </c>
      <c r="AF36" s="225">
        <f>IF(NOT(ISBLANK([1]BDD!J26)), ROUND(SUM(([1]BDD!G26*reduc2),FDP_FACT_KG), 2), "")</f>
        <v>5.23</v>
      </c>
      <c r="AG36" s="225" t="str">
        <f>IF(NOT(ISBLANK([1]BDD!K26)), ROUND(SUM(([1]BDD!G26*reduc3),FDP_FACT_KG), 2), "")</f>
        <v/>
      </c>
      <c r="AH36" s="289" t="str">
        <f>[1]BDD!C26</f>
        <v>Malaga</v>
      </c>
      <c r="AI36" s="290">
        <f t="shared" si="23"/>
        <v>0</v>
      </c>
      <c r="AJ36" s="216">
        <f t="shared" si="24"/>
        <v>5.23</v>
      </c>
      <c r="AK36" s="291">
        <f t="shared" si="25"/>
        <v>0</v>
      </c>
      <c r="AL36" s="429"/>
      <c r="AM36" s="292"/>
      <c r="AN36" s="216">
        <f t="shared" si="26"/>
        <v>6.32</v>
      </c>
      <c r="AO36" s="293">
        <f t="shared" si="27"/>
        <v>0</v>
      </c>
      <c r="AP36" s="294"/>
      <c r="AQ36" s="294"/>
      <c r="AR36" s="429"/>
      <c r="AS36" s="295">
        <f t="shared" si="28"/>
        <v>0</v>
      </c>
      <c r="AT36" s="216">
        <f t="shared" si="29"/>
        <v>6.32</v>
      </c>
      <c r="AU36" s="291">
        <f t="shared" si="1"/>
        <v>0</v>
      </c>
      <c r="AV36" s="296">
        <f>[1]COMMANDE!O34</f>
        <v>0</v>
      </c>
      <c r="AW36" s="297" t="str">
        <f t="shared" si="30"/>
        <v>0</v>
      </c>
      <c r="AX36" s="298">
        <f t="shared" si="31"/>
        <v>0</v>
      </c>
      <c r="AY36" s="299">
        <f>[1]COMMANDE!Q34</f>
        <v>0</v>
      </c>
      <c r="AZ36" s="297" t="str">
        <f t="shared" si="32"/>
        <v>0</v>
      </c>
      <c r="BA36" s="300">
        <f t="shared" si="33"/>
        <v>0</v>
      </c>
      <c r="BB36" s="301">
        <f>[1]COMMANDE!S34</f>
        <v>0</v>
      </c>
      <c r="BC36" s="297" t="str">
        <f t="shared" si="34"/>
        <v>0</v>
      </c>
      <c r="BD36" s="298">
        <f t="shared" si="35"/>
        <v>0</v>
      </c>
      <c r="BE36" s="299">
        <f>[1]COMMANDE!U34</f>
        <v>0</v>
      </c>
      <c r="BF36" s="297" t="str">
        <f t="shared" si="36"/>
        <v>0</v>
      </c>
      <c r="BG36" s="300">
        <f t="shared" si="37"/>
        <v>0</v>
      </c>
      <c r="BH36" s="301">
        <f>[1]COMMANDE!W34</f>
        <v>0</v>
      </c>
      <c r="BI36" s="297" t="str">
        <f t="shared" si="38"/>
        <v>0</v>
      </c>
      <c r="BJ36" s="298">
        <f t="shared" si="39"/>
        <v>0</v>
      </c>
      <c r="BK36" s="299">
        <f>[1]COMMANDE!Y34</f>
        <v>0</v>
      </c>
      <c r="BL36" s="297" t="str">
        <f t="shared" si="40"/>
        <v>0</v>
      </c>
      <c r="BM36" s="300">
        <f t="shared" si="41"/>
        <v>0</v>
      </c>
      <c r="BN36" s="301">
        <f>[1]COMMANDE!AA34</f>
        <v>0</v>
      </c>
      <c r="BO36" s="297" t="str">
        <f t="shared" si="42"/>
        <v>0</v>
      </c>
      <c r="BP36" s="298">
        <f t="shared" si="43"/>
        <v>0</v>
      </c>
      <c r="BQ36" s="299">
        <f>[1]COMMANDE!AC34</f>
        <v>0</v>
      </c>
      <c r="BR36" s="297" t="str">
        <f t="shared" si="44"/>
        <v>0</v>
      </c>
      <c r="BS36" s="300">
        <f t="shared" si="45"/>
        <v>0</v>
      </c>
      <c r="BT36" s="301">
        <f>[1]COMMANDE!AE34</f>
        <v>0</v>
      </c>
      <c r="BU36" s="297" t="str">
        <f t="shared" si="46"/>
        <v>0</v>
      </c>
      <c r="BV36" s="298">
        <f t="shared" si="47"/>
        <v>0</v>
      </c>
      <c r="BW36" s="299">
        <f>[1]COMMANDE!AG34</f>
        <v>0</v>
      </c>
      <c r="BX36" s="297" t="str">
        <f t="shared" si="48"/>
        <v>0</v>
      </c>
      <c r="BY36" s="300">
        <f t="shared" si="49"/>
        <v>0</v>
      </c>
      <c r="BZ36" s="301">
        <f>[1]COMMANDE!AI34</f>
        <v>0</v>
      </c>
      <c r="CA36" s="297" t="str">
        <f t="shared" si="50"/>
        <v>0</v>
      </c>
      <c r="CB36" s="298">
        <f t="shared" si="51"/>
        <v>0</v>
      </c>
      <c r="CC36" s="299">
        <f>[1]COMMANDE!AK34</f>
        <v>0</v>
      </c>
      <c r="CD36" s="297" t="str">
        <f t="shared" si="52"/>
        <v>0</v>
      </c>
      <c r="CE36" s="300">
        <f t="shared" si="53"/>
        <v>0</v>
      </c>
      <c r="CF36" s="301">
        <f>[1]COMMANDE!AM34</f>
        <v>0</v>
      </c>
      <c r="CG36" s="297" t="str">
        <f t="shared" si="54"/>
        <v>0</v>
      </c>
      <c r="CH36" s="298">
        <f t="shared" si="55"/>
        <v>0</v>
      </c>
      <c r="CI36" s="299">
        <f>[1]COMMANDE!AO34</f>
        <v>0</v>
      </c>
      <c r="CJ36" s="297" t="str">
        <f t="shared" si="56"/>
        <v>0</v>
      </c>
      <c r="CK36" s="300">
        <f t="shared" si="57"/>
        <v>0</v>
      </c>
      <c r="CL36" s="301">
        <f>[1]COMMANDE!AQ34</f>
        <v>0</v>
      </c>
      <c r="CM36" s="297" t="str">
        <f t="shared" si="58"/>
        <v>0</v>
      </c>
      <c r="CN36" s="298">
        <f t="shared" si="59"/>
        <v>0</v>
      </c>
      <c r="CO36" s="299">
        <f>[1]COMMANDE!AS34</f>
        <v>0</v>
      </c>
      <c r="CP36" s="297" t="str">
        <f t="shared" si="60"/>
        <v>0</v>
      </c>
      <c r="CQ36" s="300">
        <f t="shared" si="61"/>
        <v>0</v>
      </c>
      <c r="CR36" s="301">
        <f>[1]COMMANDE!AU34</f>
        <v>0</v>
      </c>
      <c r="CS36" s="297" t="str">
        <f t="shared" si="62"/>
        <v>0</v>
      </c>
      <c r="CT36" s="298">
        <f t="shared" si="63"/>
        <v>0</v>
      </c>
      <c r="CU36" s="299">
        <f>[1]COMMANDE!AW34</f>
        <v>0</v>
      </c>
      <c r="CV36" s="297" t="str">
        <f t="shared" si="64"/>
        <v>0</v>
      </c>
      <c r="CW36" s="300">
        <f t="shared" si="65"/>
        <v>0</v>
      </c>
      <c r="CX36" s="301">
        <f>[1]COMMANDE!AY34</f>
        <v>0</v>
      </c>
      <c r="CY36" s="297" t="str">
        <f t="shared" si="66"/>
        <v>0</v>
      </c>
      <c r="CZ36" s="298">
        <f t="shared" si="67"/>
        <v>0</v>
      </c>
      <c r="DA36" s="299">
        <f>[1]COMMANDE!BA34</f>
        <v>0</v>
      </c>
      <c r="DB36" s="297" t="str">
        <f t="shared" si="68"/>
        <v>0</v>
      </c>
      <c r="DC36" s="302">
        <f t="shared" si="69"/>
        <v>0</v>
      </c>
      <c r="DD36" s="303"/>
      <c r="DE36" s="304"/>
    </row>
    <row r="37" spans="1:109" ht="39.950000000000003" customHeight="1" x14ac:dyDescent="0.25">
      <c r="A37" s="284">
        <f t="shared" si="2"/>
        <v>0</v>
      </c>
      <c r="B37" s="284">
        <f t="shared" si="3"/>
        <v>0</v>
      </c>
      <c r="C37" s="284">
        <f t="shared" si="4"/>
        <v>0</v>
      </c>
      <c r="D37" s="284">
        <f t="shared" si="5"/>
        <v>0</v>
      </c>
      <c r="E37" s="284">
        <f t="shared" si="6"/>
        <v>0</v>
      </c>
      <c r="F37" s="284">
        <f t="shared" si="7"/>
        <v>0</v>
      </c>
      <c r="G37" s="284">
        <f t="shared" si="8"/>
        <v>0</v>
      </c>
      <c r="H37" s="284">
        <f t="shared" si="9"/>
        <v>0</v>
      </c>
      <c r="I37" s="284">
        <f t="shared" si="10"/>
        <v>0</v>
      </c>
      <c r="J37" s="284">
        <f t="shared" si="11"/>
        <v>0</v>
      </c>
      <c r="K37" s="284">
        <f t="shared" si="12"/>
        <v>0</v>
      </c>
      <c r="L37" s="284">
        <f t="shared" si="13"/>
        <v>0</v>
      </c>
      <c r="M37" s="284">
        <f t="shared" si="14"/>
        <v>0</v>
      </c>
      <c r="N37" s="284">
        <f t="shared" si="15"/>
        <v>0</v>
      </c>
      <c r="O37" s="284">
        <f t="shared" si="16"/>
        <v>0</v>
      </c>
      <c r="P37" s="284">
        <f t="shared" si="17"/>
        <v>0</v>
      </c>
      <c r="Q37" s="284">
        <f t="shared" si="18"/>
        <v>0</v>
      </c>
      <c r="R37" s="284">
        <f t="shared" si="19"/>
        <v>0</v>
      </c>
      <c r="S37" s="284">
        <f t="shared" si="20"/>
        <v>0</v>
      </c>
      <c r="T37" s="284">
        <f t="shared" si="21"/>
        <v>0</v>
      </c>
      <c r="U37" s="285">
        <f t="shared" si="22"/>
        <v>0</v>
      </c>
      <c r="V37" s="286">
        <f>[1]BDD!A27</f>
        <v>1200</v>
      </c>
      <c r="W37" s="287" t="str">
        <f>[1]BDD!B27</f>
        <v>Avocat Fuerte BIO</v>
      </c>
      <c r="X37" s="288" t="str">
        <f>IF([1]BDD!F27=0, "", [1]BDD!F27)</f>
        <v>❤️</v>
      </c>
      <c r="Y37" s="214">
        <f>ROUND([1]BDD!G27+FDP_CMD_KG, 2)</f>
        <v>7.02</v>
      </c>
      <c r="Z37" s="214">
        <f>ROUND([1]BDD!G27+FDP_FACT_KG, 2)</f>
        <v>7.02</v>
      </c>
      <c r="AA37" s="215" t="str">
        <f>[1]BDD!H27</f>
        <v>kg</v>
      </c>
      <c r="AB37" s="225">
        <f>IF(NOT(ISBLANK([1]BDD!I27)), ROUND(SUM(([1]BDD!G27*reduc1),FDP_CMD_KG), 2), "")</f>
        <v>6.41</v>
      </c>
      <c r="AC37" s="225">
        <f>IF(NOT(ISBLANK([1]BDD!J27)), ROUND(SUM(([1]BDD!G27*reduc2),FDP_CMD_KG), 2), "")</f>
        <v>5.79</v>
      </c>
      <c r="AD37" s="225" t="str">
        <f>IF(NOT(ISBLANK([1]BDD!K27)), ROUND(SUM(([1]BDD!G27*reduc3),FDP_CMD_KG), 2), "")</f>
        <v/>
      </c>
      <c r="AE37" s="225">
        <f>IF(NOT(ISBLANK([1]BDD!I27)), ROUND(SUM(([1]BDD!G27*reduc1),FDP_FACT_KG), 2), "")</f>
        <v>6.4</v>
      </c>
      <c r="AF37" s="225">
        <f>IF(NOT(ISBLANK([1]BDD!J27)), ROUND(SUM(([1]BDD!G27*reduc2),FDP_FACT_KG), 2), "")</f>
        <v>5.79</v>
      </c>
      <c r="AG37" s="225" t="str">
        <f>IF(NOT(ISBLANK([1]BDD!K27)), ROUND(SUM(([1]BDD!G27*reduc3),FDP_FACT_KG), 2), "")</f>
        <v/>
      </c>
      <c r="AH37" s="289" t="str">
        <f>[1]BDD!C27</f>
        <v>Grenade</v>
      </c>
      <c r="AI37" s="290">
        <f t="shared" si="23"/>
        <v>0</v>
      </c>
      <c r="AJ37" s="216">
        <f t="shared" si="24"/>
        <v>5.79</v>
      </c>
      <c r="AK37" s="291">
        <f t="shared" si="25"/>
        <v>0</v>
      </c>
      <c r="AL37" s="429"/>
      <c r="AM37" s="292"/>
      <c r="AN37" s="216">
        <f t="shared" si="26"/>
        <v>7.02</v>
      </c>
      <c r="AO37" s="293">
        <f t="shared" si="27"/>
        <v>0</v>
      </c>
      <c r="AP37" s="294"/>
      <c r="AQ37" s="294"/>
      <c r="AR37" s="429"/>
      <c r="AS37" s="295">
        <f t="shared" si="28"/>
        <v>0</v>
      </c>
      <c r="AT37" s="216">
        <f t="shared" si="29"/>
        <v>7.02</v>
      </c>
      <c r="AU37" s="291">
        <f t="shared" si="1"/>
        <v>0</v>
      </c>
      <c r="AV37" s="296">
        <f>[1]COMMANDE!O35</f>
        <v>0</v>
      </c>
      <c r="AW37" s="297" t="str">
        <f t="shared" si="30"/>
        <v>0</v>
      </c>
      <c r="AX37" s="298">
        <f t="shared" si="31"/>
        <v>0</v>
      </c>
      <c r="AY37" s="299">
        <f>[1]COMMANDE!Q35</f>
        <v>0</v>
      </c>
      <c r="AZ37" s="297" t="str">
        <f t="shared" si="32"/>
        <v>0</v>
      </c>
      <c r="BA37" s="300">
        <f t="shared" si="33"/>
        <v>0</v>
      </c>
      <c r="BB37" s="301">
        <f>[1]COMMANDE!S35</f>
        <v>0</v>
      </c>
      <c r="BC37" s="297" t="str">
        <f t="shared" si="34"/>
        <v>0</v>
      </c>
      <c r="BD37" s="298">
        <f t="shared" si="35"/>
        <v>0</v>
      </c>
      <c r="BE37" s="299">
        <f>[1]COMMANDE!U35</f>
        <v>0</v>
      </c>
      <c r="BF37" s="297" t="str">
        <f t="shared" si="36"/>
        <v>0</v>
      </c>
      <c r="BG37" s="300">
        <f t="shared" si="37"/>
        <v>0</v>
      </c>
      <c r="BH37" s="301">
        <f>[1]COMMANDE!W35</f>
        <v>0</v>
      </c>
      <c r="BI37" s="297" t="str">
        <f t="shared" si="38"/>
        <v>0</v>
      </c>
      <c r="BJ37" s="298">
        <f t="shared" si="39"/>
        <v>0</v>
      </c>
      <c r="BK37" s="299">
        <f>[1]COMMANDE!Y35</f>
        <v>0</v>
      </c>
      <c r="BL37" s="297" t="str">
        <f t="shared" si="40"/>
        <v>0</v>
      </c>
      <c r="BM37" s="300">
        <f t="shared" si="41"/>
        <v>0</v>
      </c>
      <c r="BN37" s="301">
        <f>[1]COMMANDE!AA35</f>
        <v>0</v>
      </c>
      <c r="BO37" s="297" t="str">
        <f t="shared" si="42"/>
        <v>0</v>
      </c>
      <c r="BP37" s="298">
        <f t="shared" si="43"/>
        <v>0</v>
      </c>
      <c r="BQ37" s="299">
        <f>[1]COMMANDE!AC35</f>
        <v>0</v>
      </c>
      <c r="BR37" s="297" t="str">
        <f t="shared" si="44"/>
        <v>0</v>
      </c>
      <c r="BS37" s="300">
        <f t="shared" si="45"/>
        <v>0</v>
      </c>
      <c r="BT37" s="301">
        <f>[1]COMMANDE!AE35</f>
        <v>0</v>
      </c>
      <c r="BU37" s="297" t="str">
        <f t="shared" si="46"/>
        <v>0</v>
      </c>
      <c r="BV37" s="298">
        <f t="shared" si="47"/>
        <v>0</v>
      </c>
      <c r="BW37" s="299">
        <f>[1]COMMANDE!AG35</f>
        <v>0</v>
      </c>
      <c r="BX37" s="297" t="str">
        <f t="shared" si="48"/>
        <v>0</v>
      </c>
      <c r="BY37" s="300">
        <f t="shared" si="49"/>
        <v>0</v>
      </c>
      <c r="BZ37" s="301">
        <f>[1]COMMANDE!AI35</f>
        <v>0</v>
      </c>
      <c r="CA37" s="297" t="str">
        <f t="shared" si="50"/>
        <v>0</v>
      </c>
      <c r="CB37" s="298">
        <f t="shared" si="51"/>
        <v>0</v>
      </c>
      <c r="CC37" s="299">
        <f>[1]COMMANDE!AK35</f>
        <v>0</v>
      </c>
      <c r="CD37" s="297" t="str">
        <f t="shared" si="52"/>
        <v>0</v>
      </c>
      <c r="CE37" s="300">
        <f t="shared" si="53"/>
        <v>0</v>
      </c>
      <c r="CF37" s="301">
        <f>[1]COMMANDE!AM35</f>
        <v>0</v>
      </c>
      <c r="CG37" s="297" t="str">
        <f t="shared" si="54"/>
        <v>0</v>
      </c>
      <c r="CH37" s="298">
        <f t="shared" si="55"/>
        <v>0</v>
      </c>
      <c r="CI37" s="299">
        <f>[1]COMMANDE!AO35</f>
        <v>0</v>
      </c>
      <c r="CJ37" s="297" t="str">
        <f t="shared" si="56"/>
        <v>0</v>
      </c>
      <c r="CK37" s="300">
        <f t="shared" si="57"/>
        <v>0</v>
      </c>
      <c r="CL37" s="301">
        <f>[1]COMMANDE!AQ35</f>
        <v>0</v>
      </c>
      <c r="CM37" s="297" t="str">
        <f t="shared" si="58"/>
        <v>0</v>
      </c>
      <c r="CN37" s="298">
        <f t="shared" si="59"/>
        <v>0</v>
      </c>
      <c r="CO37" s="299">
        <f>[1]COMMANDE!AS35</f>
        <v>0</v>
      </c>
      <c r="CP37" s="297" t="str">
        <f t="shared" si="60"/>
        <v>0</v>
      </c>
      <c r="CQ37" s="300">
        <f t="shared" si="61"/>
        <v>0</v>
      </c>
      <c r="CR37" s="301">
        <f>[1]COMMANDE!AU35</f>
        <v>0</v>
      </c>
      <c r="CS37" s="297" t="str">
        <f t="shared" si="62"/>
        <v>0</v>
      </c>
      <c r="CT37" s="298">
        <f t="shared" si="63"/>
        <v>0</v>
      </c>
      <c r="CU37" s="299">
        <f>[1]COMMANDE!AW35</f>
        <v>0</v>
      </c>
      <c r="CV37" s="297" t="str">
        <f t="shared" si="64"/>
        <v>0</v>
      </c>
      <c r="CW37" s="300">
        <f t="shared" si="65"/>
        <v>0</v>
      </c>
      <c r="CX37" s="301">
        <f>[1]COMMANDE!AY35</f>
        <v>0</v>
      </c>
      <c r="CY37" s="297" t="str">
        <f t="shared" si="66"/>
        <v>0</v>
      </c>
      <c r="CZ37" s="298">
        <f t="shared" si="67"/>
        <v>0</v>
      </c>
      <c r="DA37" s="299">
        <f>[1]COMMANDE!BA35</f>
        <v>0</v>
      </c>
      <c r="DB37" s="297" t="str">
        <f t="shared" si="68"/>
        <v>0</v>
      </c>
      <c r="DC37" s="302">
        <f t="shared" si="69"/>
        <v>0</v>
      </c>
      <c r="DD37" s="303"/>
      <c r="DE37" s="304"/>
    </row>
    <row r="38" spans="1:109" ht="39.950000000000003" customHeight="1" x14ac:dyDescent="0.25">
      <c r="A38" s="284">
        <f t="shared" si="2"/>
        <v>1</v>
      </c>
      <c r="B38" s="284">
        <f t="shared" si="3"/>
        <v>1</v>
      </c>
      <c r="C38" s="284">
        <f t="shared" si="4"/>
        <v>1</v>
      </c>
      <c r="D38" s="284">
        <f t="shared" si="5"/>
        <v>0</v>
      </c>
      <c r="E38" s="284">
        <f t="shared" si="6"/>
        <v>0</v>
      </c>
      <c r="F38" s="284">
        <f t="shared" si="7"/>
        <v>0</v>
      </c>
      <c r="G38" s="284">
        <f t="shared" si="8"/>
        <v>0</v>
      </c>
      <c r="H38" s="284">
        <f t="shared" si="9"/>
        <v>0</v>
      </c>
      <c r="I38" s="284">
        <f t="shared" si="10"/>
        <v>0</v>
      </c>
      <c r="J38" s="284">
        <f t="shared" si="11"/>
        <v>0</v>
      </c>
      <c r="K38" s="284">
        <f t="shared" si="12"/>
        <v>0</v>
      </c>
      <c r="L38" s="284">
        <f t="shared" si="13"/>
        <v>0</v>
      </c>
      <c r="M38" s="284">
        <f t="shared" si="14"/>
        <v>0</v>
      </c>
      <c r="N38" s="284">
        <f t="shared" si="15"/>
        <v>0</v>
      </c>
      <c r="O38" s="284">
        <f t="shared" si="16"/>
        <v>0</v>
      </c>
      <c r="P38" s="284">
        <f t="shared" si="17"/>
        <v>0</v>
      </c>
      <c r="Q38" s="284">
        <f t="shared" si="18"/>
        <v>0</v>
      </c>
      <c r="R38" s="284">
        <f t="shared" si="19"/>
        <v>0</v>
      </c>
      <c r="S38" s="284">
        <f t="shared" si="20"/>
        <v>0</v>
      </c>
      <c r="T38" s="284">
        <f t="shared" si="21"/>
        <v>0</v>
      </c>
      <c r="U38" s="285">
        <f t="shared" si="22"/>
        <v>1</v>
      </c>
      <c r="V38" s="286">
        <f>[1]BDD!A28</f>
        <v>6139</v>
      </c>
      <c r="W38" s="287" t="str">
        <f>[1]BDD!B28</f>
        <v>Avocat Fuerte BIO (avec défauts superficiels sur peau, BIO depuis 1985, BIO Suisse depuis 2009)</v>
      </c>
      <c r="X38" s="288" t="str">
        <f>IF([1]BDD!F28=0, "", [1]BDD!F28)</f>
        <v>OFFRE</v>
      </c>
      <c r="Y38" s="214">
        <f>ROUND([1]BDD!G28+FDP_CMD_KG, 2)</f>
        <v>4.83</v>
      </c>
      <c r="Z38" s="214">
        <f>ROUND([1]BDD!G28+FDP_FACT_KG, 2)</f>
        <v>4.83</v>
      </c>
      <c r="AA38" s="215" t="str">
        <f>[1]BDD!H28</f>
        <v>kg</v>
      </c>
      <c r="AB38" s="225">
        <f>IF(NOT(ISBLANK([1]BDD!I28)), ROUND(SUM(([1]BDD!G28*reduc1),FDP_CMD_KG), 2), "")</f>
        <v>4.4400000000000004</v>
      </c>
      <c r="AC38" s="225">
        <f>IF(NOT(ISBLANK([1]BDD!J28)), ROUND(SUM(([1]BDD!G28*reduc2),FDP_CMD_KG), 2), "")</f>
        <v>4.04</v>
      </c>
      <c r="AD38" s="225">
        <f>IF(NOT(ISBLANK([1]BDD!K28)), ROUND(SUM(([1]BDD!G28*reduc3),FDP_CMD_KG), 2), "")</f>
        <v>3.65</v>
      </c>
      <c r="AE38" s="225">
        <f>IF(NOT(ISBLANK([1]BDD!I28)), ROUND(SUM(([1]BDD!G28*reduc1),FDP_FACT_KG), 2), "")</f>
        <v>4.43</v>
      </c>
      <c r="AF38" s="225">
        <f>IF(NOT(ISBLANK([1]BDD!J28)), ROUND(SUM(([1]BDD!G28*reduc2),FDP_FACT_KG), 2), "")</f>
        <v>4.03</v>
      </c>
      <c r="AG38" s="225">
        <f>IF(NOT(ISBLANK([1]BDD!K28)), ROUND(SUM(([1]BDD!G28*reduc3),FDP_FACT_KG), 2), "")</f>
        <v>3.64</v>
      </c>
      <c r="AH38" s="289" t="str">
        <f>[1]BDD!C28</f>
        <v>Malaga</v>
      </c>
      <c r="AI38" s="290">
        <f t="shared" si="23"/>
        <v>5</v>
      </c>
      <c r="AJ38" s="216">
        <f t="shared" si="24"/>
        <v>3.65</v>
      </c>
      <c r="AK38" s="291">
        <f t="shared" si="25"/>
        <v>18.25</v>
      </c>
      <c r="AL38" s="429"/>
      <c r="AM38" s="292">
        <v>5</v>
      </c>
      <c r="AN38" s="216">
        <f t="shared" si="26"/>
        <v>4.83</v>
      </c>
      <c r="AO38" s="293">
        <f t="shared" si="27"/>
        <v>24.15</v>
      </c>
      <c r="AP38" s="294"/>
      <c r="AQ38" s="294"/>
      <c r="AR38" s="429"/>
      <c r="AS38" s="295">
        <f t="shared" si="28"/>
        <v>5</v>
      </c>
      <c r="AT38" s="216">
        <f t="shared" si="29"/>
        <v>4.83</v>
      </c>
      <c r="AU38" s="291">
        <f t="shared" si="1"/>
        <v>24.15</v>
      </c>
      <c r="AV38" s="296">
        <f>[1]COMMANDE!O36</f>
        <v>2</v>
      </c>
      <c r="AW38" s="297">
        <f t="shared" si="30"/>
        <v>2</v>
      </c>
      <c r="AX38" s="298">
        <f t="shared" si="31"/>
        <v>9.66</v>
      </c>
      <c r="AY38" s="299">
        <f>[1]COMMANDE!Q36</f>
        <v>2</v>
      </c>
      <c r="AZ38" s="297">
        <f t="shared" si="32"/>
        <v>2</v>
      </c>
      <c r="BA38" s="300">
        <f t="shared" si="33"/>
        <v>9.66</v>
      </c>
      <c r="BB38" s="301">
        <f>[1]COMMANDE!S36</f>
        <v>1</v>
      </c>
      <c r="BC38" s="297">
        <f t="shared" si="34"/>
        <v>1</v>
      </c>
      <c r="BD38" s="298">
        <f t="shared" si="35"/>
        <v>4.83</v>
      </c>
      <c r="BE38" s="299">
        <f>[1]COMMANDE!U36</f>
        <v>0</v>
      </c>
      <c r="BF38" s="297" t="str">
        <f t="shared" si="36"/>
        <v>0</v>
      </c>
      <c r="BG38" s="300">
        <f t="shared" si="37"/>
        <v>0</v>
      </c>
      <c r="BH38" s="301">
        <f>[1]COMMANDE!W36</f>
        <v>0</v>
      </c>
      <c r="BI38" s="297" t="str">
        <f t="shared" si="38"/>
        <v>0</v>
      </c>
      <c r="BJ38" s="298">
        <f t="shared" si="39"/>
        <v>0</v>
      </c>
      <c r="BK38" s="299">
        <f>[1]COMMANDE!Y36</f>
        <v>0</v>
      </c>
      <c r="BL38" s="297" t="str">
        <f t="shared" si="40"/>
        <v>0</v>
      </c>
      <c r="BM38" s="300">
        <f t="shared" si="41"/>
        <v>0</v>
      </c>
      <c r="BN38" s="301">
        <f>[1]COMMANDE!AA36</f>
        <v>0</v>
      </c>
      <c r="BO38" s="297" t="str">
        <f t="shared" si="42"/>
        <v>0</v>
      </c>
      <c r="BP38" s="298">
        <f t="shared" si="43"/>
        <v>0</v>
      </c>
      <c r="BQ38" s="299">
        <f>[1]COMMANDE!AC36</f>
        <v>0</v>
      </c>
      <c r="BR38" s="297" t="str">
        <f t="shared" si="44"/>
        <v>0</v>
      </c>
      <c r="BS38" s="300">
        <f t="shared" si="45"/>
        <v>0</v>
      </c>
      <c r="BT38" s="301">
        <f>[1]COMMANDE!AE36</f>
        <v>0</v>
      </c>
      <c r="BU38" s="297" t="str">
        <f t="shared" si="46"/>
        <v>0</v>
      </c>
      <c r="BV38" s="298">
        <f t="shared" si="47"/>
        <v>0</v>
      </c>
      <c r="BW38" s="299">
        <f>[1]COMMANDE!AG36</f>
        <v>0</v>
      </c>
      <c r="BX38" s="297" t="str">
        <f t="shared" si="48"/>
        <v>0</v>
      </c>
      <c r="BY38" s="300">
        <f t="shared" si="49"/>
        <v>0</v>
      </c>
      <c r="BZ38" s="301">
        <f>[1]COMMANDE!AI36</f>
        <v>0</v>
      </c>
      <c r="CA38" s="297" t="str">
        <f t="shared" si="50"/>
        <v>0</v>
      </c>
      <c r="CB38" s="298">
        <f t="shared" si="51"/>
        <v>0</v>
      </c>
      <c r="CC38" s="299">
        <f>[1]COMMANDE!AK36</f>
        <v>0</v>
      </c>
      <c r="CD38" s="297" t="str">
        <f t="shared" si="52"/>
        <v>0</v>
      </c>
      <c r="CE38" s="300">
        <f t="shared" si="53"/>
        <v>0</v>
      </c>
      <c r="CF38" s="301">
        <f>[1]COMMANDE!AM36</f>
        <v>0</v>
      </c>
      <c r="CG38" s="297" t="str">
        <f t="shared" si="54"/>
        <v>0</v>
      </c>
      <c r="CH38" s="298">
        <f t="shared" si="55"/>
        <v>0</v>
      </c>
      <c r="CI38" s="299">
        <f>[1]COMMANDE!AO36</f>
        <v>0</v>
      </c>
      <c r="CJ38" s="297" t="str">
        <f t="shared" si="56"/>
        <v>0</v>
      </c>
      <c r="CK38" s="300">
        <f t="shared" si="57"/>
        <v>0</v>
      </c>
      <c r="CL38" s="301">
        <f>[1]COMMANDE!AQ36</f>
        <v>0</v>
      </c>
      <c r="CM38" s="297" t="str">
        <f t="shared" si="58"/>
        <v>0</v>
      </c>
      <c r="CN38" s="298">
        <f t="shared" si="59"/>
        <v>0</v>
      </c>
      <c r="CO38" s="299">
        <f>[1]COMMANDE!AS36</f>
        <v>0</v>
      </c>
      <c r="CP38" s="297" t="str">
        <f t="shared" si="60"/>
        <v>0</v>
      </c>
      <c r="CQ38" s="300">
        <f t="shared" si="61"/>
        <v>0</v>
      </c>
      <c r="CR38" s="301">
        <f>[1]COMMANDE!AU36</f>
        <v>0</v>
      </c>
      <c r="CS38" s="297" t="str">
        <f t="shared" si="62"/>
        <v>0</v>
      </c>
      <c r="CT38" s="298">
        <f t="shared" si="63"/>
        <v>0</v>
      </c>
      <c r="CU38" s="299">
        <f>[1]COMMANDE!AW36</f>
        <v>0</v>
      </c>
      <c r="CV38" s="297" t="str">
        <f t="shared" si="64"/>
        <v>0</v>
      </c>
      <c r="CW38" s="300">
        <f t="shared" si="65"/>
        <v>0</v>
      </c>
      <c r="CX38" s="301">
        <f>[1]COMMANDE!AY36</f>
        <v>0</v>
      </c>
      <c r="CY38" s="297" t="str">
        <f t="shared" si="66"/>
        <v>0</v>
      </c>
      <c r="CZ38" s="298">
        <f t="shared" si="67"/>
        <v>0</v>
      </c>
      <c r="DA38" s="299">
        <f>[1]COMMANDE!BA36</f>
        <v>0</v>
      </c>
      <c r="DB38" s="297" t="str">
        <f t="shared" si="68"/>
        <v>0</v>
      </c>
      <c r="DC38" s="302">
        <f t="shared" si="69"/>
        <v>0</v>
      </c>
      <c r="DD38" s="303"/>
      <c r="DE38" s="304"/>
    </row>
    <row r="39" spans="1:109" ht="39.950000000000003" customHeight="1" x14ac:dyDescent="0.25">
      <c r="A39" s="284">
        <f t="shared" si="2"/>
        <v>0</v>
      </c>
      <c r="B39" s="284">
        <f t="shared" si="3"/>
        <v>0</v>
      </c>
      <c r="C39" s="284">
        <f t="shared" si="4"/>
        <v>0</v>
      </c>
      <c r="D39" s="284">
        <f t="shared" si="5"/>
        <v>0</v>
      </c>
      <c r="E39" s="284">
        <f t="shared" si="6"/>
        <v>0</v>
      </c>
      <c r="F39" s="284">
        <f t="shared" si="7"/>
        <v>0</v>
      </c>
      <c r="G39" s="284">
        <f t="shared" si="8"/>
        <v>0</v>
      </c>
      <c r="H39" s="284">
        <f t="shared" si="9"/>
        <v>0</v>
      </c>
      <c r="I39" s="284">
        <f t="shared" si="10"/>
        <v>0</v>
      </c>
      <c r="J39" s="284">
        <f t="shared" si="11"/>
        <v>0</v>
      </c>
      <c r="K39" s="284">
        <f t="shared" si="12"/>
        <v>0</v>
      </c>
      <c r="L39" s="284">
        <f t="shared" si="13"/>
        <v>0</v>
      </c>
      <c r="M39" s="284">
        <f t="shared" si="14"/>
        <v>0</v>
      </c>
      <c r="N39" s="284">
        <f t="shared" si="15"/>
        <v>0</v>
      </c>
      <c r="O39" s="284">
        <f t="shared" si="16"/>
        <v>0</v>
      </c>
      <c r="P39" s="284">
        <f t="shared" si="17"/>
        <v>0</v>
      </c>
      <c r="Q39" s="284">
        <f t="shared" si="18"/>
        <v>0</v>
      </c>
      <c r="R39" s="284">
        <f t="shared" si="19"/>
        <v>0</v>
      </c>
      <c r="S39" s="284">
        <f t="shared" si="20"/>
        <v>0</v>
      </c>
      <c r="T39" s="284">
        <f t="shared" si="21"/>
        <v>0</v>
      </c>
      <c r="U39" s="285">
        <f t="shared" si="22"/>
        <v>0</v>
      </c>
      <c r="V39" s="286">
        <f>[1]BDD!A29</f>
        <v>6139</v>
      </c>
      <c r="W39" s="287" t="str">
        <f>[1]BDD!B29</f>
        <v>Avocat Fuerte BIO (petit, BIO depuis 1985, BIO Suisse depuis 2009)</v>
      </c>
      <c r="X39" s="288" t="str">
        <f>IF([1]BDD!F29=0, "", [1]BDD!F29)</f>
        <v/>
      </c>
      <c r="Y39" s="214">
        <f>ROUND([1]BDD!G29+FDP_CMD_KG, 2)</f>
        <v>4.6900000000000004</v>
      </c>
      <c r="Z39" s="214">
        <f>ROUND([1]BDD!G29+FDP_FACT_KG, 2)</f>
        <v>4.6900000000000004</v>
      </c>
      <c r="AA39" s="215" t="str">
        <f>[1]BDD!H29</f>
        <v>kg</v>
      </c>
      <c r="AB39" s="225">
        <f>IF(NOT(ISBLANK([1]BDD!I29)), ROUND(SUM(([1]BDD!G29*reduc1),FDP_CMD_KG), 2), "")</f>
        <v>4.3099999999999996</v>
      </c>
      <c r="AC39" s="225">
        <f>IF(NOT(ISBLANK([1]BDD!J29)), ROUND(SUM(([1]BDD!G29*reduc2),FDP_CMD_KG), 2), "")</f>
        <v>3.93</v>
      </c>
      <c r="AD39" s="225">
        <f>IF(NOT(ISBLANK([1]BDD!K29)), ROUND(SUM(([1]BDD!G29*reduc3),FDP_CMD_KG), 2), "")</f>
        <v>3.55</v>
      </c>
      <c r="AE39" s="225">
        <f>IF(NOT(ISBLANK([1]BDD!I29)), ROUND(SUM(([1]BDD!G29*reduc1),FDP_FACT_KG), 2), "")</f>
        <v>4.3</v>
      </c>
      <c r="AF39" s="225">
        <f>IF(NOT(ISBLANK([1]BDD!J29)), ROUND(SUM(([1]BDD!G29*reduc2),FDP_FACT_KG), 2), "")</f>
        <v>3.92</v>
      </c>
      <c r="AG39" s="225">
        <f>IF(NOT(ISBLANK([1]BDD!K29)), ROUND(SUM(([1]BDD!G29*reduc3),FDP_FACT_KG), 2), "")</f>
        <v>3.54</v>
      </c>
      <c r="AH39" s="289" t="str">
        <f>[1]BDD!C29</f>
        <v>Malaga</v>
      </c>
      <c r="AI39" s="290">
        <f t="shared" si="23"/>
        <v>0</v>
      </c>
      <c r="AJ39" s="216">
        <f t="shared" si="24"/>
        <v>3.55</v>
      </c>
      <c r="AK39" s="291">
        <f t="shared" si="25"/>
        <v>0</v>
      </c>
      <c r="AL39" s="429"/>
      <c r="AM39" s="292"/>
      <c r="AN39" s="216">
        <f t="shared" si="26"/>
        <v>4.6900000000000004</v>
      </c>
      <c r="AO39" s="293">
        <f t="shared" si="27"/>
        <v>0</v>
      </c>
      <c r="AP39" s="294"/>
      <c r="AQ39" s="294"/>
      <c r="AR39" s="429"/>
      <c r="AS39" s="295">
        <f t="shared" si="28"/>
        <v>0</v>
      </c>
      <c r="AT39" s="216">
        <f t="shared" si="29"/>
        <v>4.6900000000000004</v>
      </c>
      <c r="AU39" s="291">
        <f t="shared" si="1"/>
        <v>0</v>
      </c>
      <c r="AV39" s="296">
        <f>[1]COMMANDE!O37</f>
        <v>0</v>
      </c>
      <c r="AW39" s="297" t="str">
        <f t="shared" si="30"/>
        <v>0</v>
      </c>
      <c r="AX39" s="298">
        <f t="shared" si="31"/>
        <v>0</v>
      </c>
      <c r="AY39" s="299">
        <f>[1]COMMANDE!Q37</f>
        <v>0</v>
      </c>
      <c r="AZ39" s="297" t="str">
        <f t="shared" si="32"/>
        <v>0</v>
      </c>
      <c r="BA39" s="300">
        <f t="shared" si="33"/>
        <v>0</v>
      </c>
      <c r="BB39" s="301">
        <f>[1]COMMANDE!S37</f>
        <v>0</v>
      </c>
      <c r="BC39" s="297" t="str">
        <f t="shared" si="34"/>
        <v>0</v>
      </c>
      <c r="BD39" s="298">
        <f t="shared" si="35"/>
        <v>0</v>
      </c>
      <c r="BE39" s="299">
        <f>[1]COMMANDE!U37</f>
        <v>0</v>
      </c>
      <c r="BF39" s="297" t="str">
        <f t="shared" si="36"/>
        <v>0</v>
      </c>
      <c r="BG39" s="300">
        <f t="shared" si="37"/>
        <v>0</v>
      </c>
      <c r="BH39" s="301">
        <f>[1]COMMANDE!W37</f>
        <v>0</v>
      </c>
      <c r="BI39" s="297" t="str">
        <f t="shared" si="38"/>
        <v>0</v>
      </c>
      <c r="BJ39" s="298">
        <f t="shared" si="39"/>
        <v>0</v>
      </c>
      <c r="BK39" s="299">
        <f>[1]COMMANDE!Y37</f>
        <v>0</v>
      </c>
      <c r="BL39" s="297" t="str">
        <f t="shared" si="40"/>
        <v>0</v>
      </c>
      <c r="BM39" s="300">
        <f t="shared" si="41"/>
        <v>0</v>
      </c>
      <c r="BN39" s="301">
        <f>[1]COMMANDE!AA37</f>
        <v>0</v>
      </c>
      <c r="BO39" s="297" t="str">
        <f t="shared" si="42"/>
        <v>0</v>
      </c>
      <c r="BP39" s="298">
        <f t="shared" si="43"/>
        <v>0</v>
      </c>
      <c r="BQ39" s="299">
        <f>[1]COMMANDE!AC37</f>
        <v>0</v>
      </c>
      <c r="BR39" s="297" t="str">
        <f t="shared" si="44"/>
        <v>0</v>
      </c>
      <c r="BS39" s="300">
        <f t="shared" si="45"/>
        <v>0</v>
      </c>
      <c r="BT39" s="301">
        <f>[1]COMMANDE!AE37</f>
        <v>0</v>
      </c>
      <c r="BU39" s="297" t="str">
        <f t="shared" si="46"/>
        <v>0</v>
      </c>
      <c r="BV39" s="298">
        <f t="shared" si="47"/>
        <v>0</v>
      </c>
      <c r="BW39" s="299">
        <f>[1]COMMANDE!AG37</f>
        <v>0</v>
      </c>
      <c r="BX39" s="297" t="str">
        <f t="shared" si="48"/>
        <v>0</v>
      </c>
      <c r="BY39" s="300">
        <f t="shared" si="49"/>
        <v>0</v>
      </c>
      <c r="BZ39" s="301">
        <f>[1]COMMANDE!AI37</f>
        <v>0</v>
      </c>
      <c r="CA39" s="297" t="str">
        <f t="shared" si="50"/>
        <v>0</v>
      </c>
      <c r="CB39" s="298">
        <f t="shared" si="51"/>
        <v>0</v>
      </c>
      <c r="CC39" s="299">
        <f>[1]COMMANDE!AK37</f>
        <v>0</v>
      </c>
      <c r="CD39" s="297" t="str">
        <f t="shared" si="52"/>
        <v>0</v>
      </c>
      <c r="CE39" s="300">
        <f t="shared" si="53"/>
        <v>0</v>
      </c>
      <c r="CF39" s="301">
        <f>[1]COMMANDE!AM37</f>
        <v>0</v>
      </c>
      <c r="CG39" s="297" t="str">
        <f t="shared" si="54"/>
        <v>0</v>
      </c>
      <c r="CH39" s="298">
        <f t="shared" si="55"/>
        <v>0</v>
      </c>
      <c r="CI39" s="299">
        <f>[1]COMMANDE!AO37</f>
        <v>0</v>
      </c>
      <c r="CJ39" s="297" t="str">
        <f t="shared" si="56"/>
        <v>0</v>
      </c>
      <c r="CK39" s="300">
        <f t="shared" si="57"/>
        <v>0</v>
      </c>
      <c r="CL39" s="301">
        <f>[1]COMMANDE!AQ37</f>
        <v>0</v>
      </c>
      <c r="CM39" s="297" t="str">
        <f t="shared" si="58"/>
        <v>0</v>
      </c>
      <c r="CN39" s="298">
        <f t="shared" si="59"/>
        <v>0</v>
      </c>
      <c r="CO39" s="299">
        <f>[1]COMMANDE!AS37</f>
        <v>0</v>
      </c>
      <c r="CP39" s="297" t="str">
        <f t="shared" si="60"/>
        <v>0</v>
      </c>
      <c r="CQ39" s="300">
        <f t="shared" si="61"/>
        <v>0</v>
      </c>
      <c r="CR39" s="301">
        <f>[1]COMMANDE!AU37</f>
        <v>0</v>
      </c>
      <c r="CS39" s="297" t="str">
        <f t="shared" si="62"/>
        <v>0</v>
      </c>
      <c r="CT39" s="298">
        <f t="shared" si="63"/>
        <v>0</v>
      </c>
      <c r="CU39" s="299">
        <f>[1]COMMANDE!AW37</f>
        <v>0</v>
      </c>
      <c r="CV39" s="297" t="str">
        <f t="shared" si="64"/>
        <v>0</v>
      </c>
      <c r="CW39" s="300">
        <f t="shared" si="65"/>
        <v>0</v>
      </c>
      <c r="CX39" s="301">
        <f>[1]COMMANDE!AY37</f>
        <v>0</v>
      </c>
      <c r="CY39" s="297" t="str">
        <f t="shared" si="66"/>
        <v>0</v>
      </c>
      <c r="CZ39" s="298">
        <f t="shared" si="67"/>
        <v>0</v>
      </c>
      <c r="DA39" s="299">
        <f>[1]COMMANDE!BA37</f>
        <v>0</v>
      </c>
      <c r="DB39" s="297" t="str">
        <f t="shared" si="68"/>
        <v>0</v>
      </c>
      <c r="DC39" s="302">
        <f t="shared" si="69"/>
        <v>0</v>
      </c>
      <c r="DD39" s="303"/>
      <c r="DE39" s="304"/>
    </row>
    <row r="40" spans="1:109" ht="39.950000000000003" customHeight="1" x14ac:dyDescent="0.25">
      <c r="A40" s="284">
        <f t="shared" si="2"/>
        <v>0</v>
      </c>
      <c r="B40" s="284">
        <f t="shared" si="3"/>
        <v>0</v>
      </c>
      <c r="C40" s="284">
        <f t="shared" si="4"/>
        <v>0</v>
      </c>
      <c r="D40" s="284">
        <f t="shared" si="5"/>
        <v>0</v>
      </c>
      <c r="E40" s="284">
        <f t="shared" si="6"/>
        <v>0</v>
      </c>
      <c r="F40" s="284">
        <f t="shared" si="7"/>
        <v>0</v>
      </c>
      <c r="G40" s="284">
        <f t="shared" si="8"/>
        <v>0</v>
      </c>
      <c r="H40" s="284">
        <f t="shared" si="9"/>
        <v>0</v>
      </c>
      <c r="I40" s="284">
        <f t="shared" si="10"/>
        <v>0</v>
      </c>
      <c r="J40" s="284">
        <f t="shared" si="11"/>
        <v>0</v>
      </c>
      <c r="K40" s="284">
        <f t="shared" si="12"/>
        <v>0</v>
      </c>
      <c r="L40" s="284">
        <f t="shared" si="13"/>
        <v>0</v>
      </c>
      <c r="M40" s="284">
        <f t="shared" si="14"/>
        <v>0</v>
      </c>
      <c r="N40" s="284">
        <f t="shared" si="15"/>
        <v>0</v>
      </c>
      <c r="O40" s="284">
        <f t="shared" si="16"/>
        <v>0</v>
      </c>
      <c r="P40" s="284">
        <f t="shared" si="17"/>
        <v>0</v>
      </c>
      <c r="Q40" s="284">
        <f t="shared" si="18"/>
        <v>0</v>
      </c>
      <c r="R40" s="284">
        <f t="shared" si="19"/>
        <v>0</v>
      </c>
      <c r="S40" s="284">
        <f t="shared" si="20"/>
        <v>0</v>
      </c>
      <c r="T40" s="284">
        <f t="shared" si="21"/>
        <v>0</v>
      </c>
      <c r="U40" s="285">
        <f t="shared" si="22"/>
        <v>0</v>
      </c>
      <c r="V40" s="286">
        <f>[1]BDD!A30</f>
        <v>3009</v>
      </c>
      <c r="W40" s="287" t="str">
        <f>[1]BDD!B30</f>
        <v>Avocat Hass</v>
      </c>
      <c r="X40" s="288" t="str">
        <f>IF([1]BDD!F30=0, "", [1]BDD!F30)</f>
        <v/>
      </c>
      <c r="Y40" s="214">
        <f>ROUND([1]BDD!G30+FDP_CMD_KG, 2)</f>
        <v>7.02</v>
      </c>
      <c r="Z40" s="214">
        <f>ROUND([1]BDD!G30+FDP_FACT_KG, 2)</f>
        <v>7.02</v>
      </c>
      <c r="AA40" s="215" t="str">
        <f>[1]BDD!H30</f>
        <v>kg</v>
      </c>
      <c r="AB40" s="225">
        <f>IF(NOT(ISBLANK([1]BDD!I30)), ROUND(SUM(([1]BDD!G30*reduc1),FDP_CMD_KG), 2), "")</f>
        <v>6.41</v>
      </c>
      <c r="AC40" s="225">
        <f>IF(NOT(ISBLANK([1]BDD!J30)), ROUND(SUM(([1]BDD!G30*reduc2),FDP_CMD_KG), 2), "")</f>
        <v>5.79</v>
      </c>
      <c r="AD40" s="225" t="str">
        <f>IF(NOT(ISBLANK([1]BDD!K30)), ROUND(SUM(([1]BDD!G30*reduc3),FDP_CMD_KG), 2), "")</f>
        <v/>
      </c>
      <c r="AE40" s="225">
        <f>IF(NOT(ISBLANK([1]BDD!I30)), ROUND(SUM(([1]BDD!G30*reduc1),FDP_FACT_KG), 2), "")</f>
        <v>6.4</v>
      </c>
      <c r="AF40" s="225">
        <f>IF(NOT(ISBLANK([1]BDD!J30)), ROUND(SUM(([1]BDD!G30*reduc2),FDP_FACT_KG), 2), "")</f>
        <v>5.79</v>
      </c>
      <c r="AG40" s="225" t="str">
        <f>IF(NOT(ISBLANK([1]BDD!K30)), ROUND(SUM(([1]BDD!G30*reduc3),FDP_FACT_KG), 2), "")</f>
        <v/>
      </c>
      <c r="AH40" s="289" t="str">
        <f>[1]BDD!C30</f>
        <v>Grenade</v>
      </c>
      <c r="AI40" s="290">
        <f t="shared" si="23"/>
        <v>0</v>
      </c>
      <c r="AJ40" s="216">
        <f t="shared" si="24"/>
        <v>5.79</v>
      </c>
      <c r="AK40" s="291">
        <f t="shared" si="25"/>
        <v>0</v>
      </c>
      <c r="AL40" s="429"/>
      <c r="AM40" s="292"/>
      <c r="AN40" s="216">
        <f t="shared" si="26"/>
        <v>7.02</v>
      </c>
      <c r="AO40" s="293">
        <f t="shared" si="27"/>
        <v>0</v>
      </c>
      <c r="AP40" s="294"/>
      <c r="AQ40" s="294"/>
      <c r="AR40" s="429"/>
      <c r="AS40" s="295">
        <f t="shared" si="28"/>
        <v>0</v>
      </c>
      <c r="AT40" s="216">
        <f t="shared" si="29"/>
        <v>7.02</v>
      </c>
      <c r="AU40" s="291">
        <f t="shared" si="1"/>
        <v>0</v>
      </c>
      <c r="AV40" s="296">
        <f>[1]COMMANDE!O38</f>
        <v>0</v>
      </c>
      <c r="AW40" s="297" t="str">
        <f t="shared" si="30"/>
        <v>0</v>
      </c>
      <c r="AX40" s="298">
        <f t="shared" si="31"/>
        <v>0</v>
      </c>
      <c r="AY40" s="299">
        <f>[1]COMMANDE!Q38</f>
        <v>0</v>
      </c>
      <c r="AZ40" s="297" t="str">
        <f t="shared" si="32"/>
        <v>0</v>
      </c>
      <c r="BA40" s="300">
        <f t="shared" si="33"/>
        <v>0</v>
      </c>
      <c r="BB40" s="301">
        <f>[1]COMMANDE!S38</f>
        <v>0</v>
      </c>
      <c r="BC40" s="297" t="str">
        <f t="shared" si="34"/>
        <v>0</v>
      </c>
      <c r="BD40" s="298">
        <f t="shared" si="35"/>
        <v>0</v>
      </c>
      <c r="BE40" s="299">
        <f>[1]COMMANDE!U38</f>
        <v>0</v>
      </c>
      <c r="BF40" s="297" t="str">
        <f t="shared" si="36"/>
        <v>0</v>
      </c>
      <c r="BG40" s="300">
        <f t="shared" si="37"/>
        <v>0</v>
      </c>
      <c r="BH40" s="301">
        <f>[1]COMMANDE!W38</f>
        <v>0</v>
      </c>
      <c r="BI40" s="297" t="str">
        <f t="shared" si="38"/>
        <v>0</v>
      </c>
      <c r="BJ40" s="298">
        <f t="shared" si="39"/>
        <v>0</v>
      </c>
      <c r="BK40" s="299">
        <f>[1]COMMANDE!Y38</f>
        <v>0</v>
      </c>
      <c r="BL40" s="297" t="str">
        <f t="shared" si="40"/>
        <v>0</v>
      </c>
      <c r="BM40" s="300">
        <f t="shared" si="41"/>
        <v>0</v>
      </c>
      <c r="BN40" s="301">
        <f>[1]COMMANDE!AA38</f>
        <v>0</v>
      </c>
      <c r="BO40" s="297" t="str">
        <f t="shared" si="42"/>
        <v>0</v>
      </c>
      <c r="BP40" s="298">
        <f t="shared" si="43"/>
        <v>0</v>
      </c>
      <c r="BQ40" s="299">
        <f>[1]COMMANDE!AC38</f>
        <v>0</v>
      </c>
      <c r="BR40" s="297" t="str">
        <f t="shared" si="44"/>
        <v>0</v>
      </c>
      <c r="BS40" s="300">
        <f t="shared" si="45"/>
        <v>0</v>
      </c>
      <c r="BT40" s="301">
        <f>[1]COMMANDE!AE38</f>
        <v>0</v>
      </c>
      <c r="BU40" s="297" t="str">
        <f t="shared" si="46"/>
        <v>0</v>
      </c>
      <c r="BV40" s="298">
        <f t="shared" si="47"/>
        <v>0</v>
      </c>
      <c r="BW40" s="299">
        <f>[1]COMMANDE!AG38</f>
        <v>0</v>
      </c>
      <c r="BX40" s="297" t="str">
        <f t="shared" si="48"/>
        <v>0</v>
      </c>
      <c r="BY40" s="300">
        <f t="shared" si="49"/>
        <v>0</v>
      </c>
      <c r="BZ40" s="301">
        <f>[1]COMMANDE!AI38</f>
        <v>0</v>
      </c>
      <c r="CA40" s="297" t="str">
        <f t="shared" si="50"/>
        <v>0</v>
      </c>
      <c r="CB40" s="298">
        <f t="shared" si="51"/>
        <v>0</v>
      </c>
      <c r="CC40" s="299">
        <f>[1]COMMANDE!AK38</f>
        <v>0</v>
      </c>
      <c r="CD40" s="297" t="str">
        <f t="shared" si="52"/>
        <v>0</v>
      </c>
      <c r="CE40" s="300">
        <f t="shared" si="53"/>
        <v>0</v>
      </c>
      <c r="CF40" s="301">
        <f>[1]COMMANDE!AM38</f>
        <v>0</v>
      </c>
      <c r="CG40" s="297" t="str">
        <f t="shared" si="54"/>
        <v>0</v>
      </c>
      <c r="CH40" s="298">
        <f t="shared" si="55"/>
        <v>0</v>
      </c>
      <c r="CI40" s="299">
        <f>[1]COMMANDE!AO38</f>
        <v>0</v>
      </c>
      <c r="CJ40" s="297" t="str">
        <f t="shared" si="56"/>
        <v>0</v>
      </c>
      <c r="CK40" s="300">
        <f t="shared" si="57"/>
        <v>0</v>
      </c>
      <c r="CL40" s="301">
        <f>[1]COMMANDE!AQ38</f>
        <v>0</v>
      </c>
      <c r="CM40" s="297" t="str">
        <f t="shared" si="58"/>
        <v>0</v>
      </c>
      <c r="CN40" s="298">
        <f t="shared" si="59"/>
        <v>0</v>
      </c>
      <c r="CO40" s="299">
        <f>[1]COMMANDE!AS38</f>
        <v>0</v>
      </c>
      <c r="CP40" s="297" t="str">
        <f t="shared" si="60"/>
        <v>0</v>
      </c>
      <c r="CQ40" s="300">
        <f t="shared" si="61"/>
        <v>0</v>
      </c>
      <c r="CR40" s="301">
        <f>[1]COMMANDE!AU38</f>
        <v>0</v>
      </c>
      <c r="CS40" s="297" t="str">
        <f t="shared" si="62"/>
        <v>0</v>
      </c>
      <c r="CT40" s="298">
        <f t="shared" si="63"/>
        <v>0</v>
      </c>
      <c r="CU40" s="299">
        <f>[1]COMMANDE!AW38</f>
        <v>0</v>
      </c>
      <c r="CV40" s="297" t="str">
        <f t="shared" si="64"/>
        <v>0</v>
      </c>
      <c r="CW40" s="300">
        <f t="shared" si="65"/>
        <v>0</v>
      </c>
      <c r="CX40" s="301">
        <f>[1]COMMANDE!AY38</f>
        <v>0</v>
      </c>
      <c r="CY40" s="297" t="str">
        <f t="shared" si="66"/>
        <v>0</v>
      </c>
      <c r="CZ40" s="298">
        <f t="shared" si="67"/>
        <v>0</v>
      </c>
      <c r="DA40" s="299">
        <f>[1]COMMANDE!BA38</f>
        <v>0</v>
      </c>
      <c r="DB40" s="297" t="str">
        <f t="shared" si="68"/>
        <v>0</v>
      </c>
      <c r="DC40" s="302">
        <f t="shared" si="69"/>
        <v>0</v>
      </c>
      <c r="DD40" s="303"/>
      <c r="DE40" s="304"/>
    </row>
    <row r="41" spans="1:109" ht="39.950000000000003" customHeight="1" x14ac:dyDescent="0.25">
      <c r="A41" s="284">
        <f t="shared" si="2"/>
        <v>0</v>
      </c>
      <c r="B41" s="284">
        <f t="shared" si="3"/>
        <v>0</v>
      </c>
      <c r="C41" s="284">
        <f t="shared" si="4"/>
        <v>0</v>
      </c>
      <c r="D41" s="284">
        <f t="shared" si="5"/>
        <v>0</v>
      </c>
      <c r="E41" s="284">
        <f t="shared" si="6"/>
        <v>0</v>
      </c>
      <c r="F41" s="284">
        <f t="shared" si="7"/>
        <v>0</v>
      </c>
      <c r="G41" s="284">
        <f t="shared" si="8"/>
        <v>0</v>
      </c>
      <c r="H41" s="284">
        <f t="shared" si="9"/>
        <v>0</v>
      </c>
      <c r="I41" s="284">
        <f t="shared" si="10"/>
        <v>0</v>
      </c>
      <c r="J41" s="284">
        <f t="shared" si="11"/>
        <v>0</v>
      </c>
      <c r="K41" s="284">
        <f t="shared" si="12"/>
        <v>0</v>
      </c>
      <c r="L41" s="284">
        <f t="shared" si="13"/>
        <v>0</v>
      </c>
      <c r="M41" s="284">
        <f t="shared" si="14"/>
        <v>0</v>
      </c>
      <c r="N41" s="284">
        <f t="shared" si="15"/>
        <v>0</v>
      </c>
      <c r="O41" s="284">
        <f t="shared" si="16"/>
        <v>0</v>
      </c>
      <c r="P41" s="284">
        <f t="shared" si="17"/>
        <v>0</v>
      </c>
      <c r="Q41" s="284">
        <f t="shared" si="18"/>
        <v>0</v>
      </c>
      <c r="R41" s="284">
        <f t="shared" si="19"/>
        <v>0</v>
      </c>
      <c r="S41" s="284">
        <f t="shared" si="20"/>
        <v>0</v>
      </c>
      <c r="T41" s="284">
        <f t="shared" si="21"/>
        <v>0</v>
      </c>
      <c r="U41" s="285">
        <f t="shared" si="22"/>
        <v>0</v>
      </c>
      <c r="V41" s="286">
        <f>[1]BDD!A31</f>
        <v>1527</v>
      </c>
      <c r="W41" s="287" t="str">
        <f>[1]BDD!B31</f>
        <v>Baie de Goji BIO (env. 1kg)</v>
      </c>
      <c r="X41" s="288" t="str">
        <f>IF([1]BDD!F31=0, "", [1]BDD!F31)</f>
        <v>❤️ OFFRE</v>
      </c>
      <c r="Y41" s="214">
        <f>ROUND([1]BDD!G31+FDP_CMD_KG, 2)</f>
        <v>28.24</v>
      </c>
      <c r="Z41" s="214">
        <f>ROUND([1]BDD!G31+FDP_FACT_KG, 2)</f>
        <v>28.24</v>
      </c>
      <c r="AA41" s="215" t="str">
        <f>[1]BDD!H31</f>
        <v>Pièce</v>
      </c>
      <c r="AB41" s="225" t="str">
        <f>IF(NOT(ISBLANK([1]BDD!I31)), ROUND(SUM(([1]BDD!G31*reduc1),FDP_CMD_KG), 2), "")</f>
        <v/>
      </c>
      <c r="AC41" s="225" t="str">
        <f>IF(NOT(ISBLANK([1]BDD!J31)), ROUND(SUM(([1]BDD!G31*reduc2),FDP_CMD_KG), 2), "")</f>
        <v/>
      </c>
      <c r="AD41" s="225" t="str">
        <f>IF(NOT(ISBLANK([1]BDD!K31)), ROUND(SUM(([1]BDD!G31*reduc3),FDP_CMD_KG), 2), "")</f>
        <v/>
      </c>
      <c r="AE41" s="225" t="str">
        <f>IF(NOT(ISBLANK([1]BDD!I31)), ROUND(SUM(([1]BDD!G31*reduc1),FDP_FACT_KG), 2), "")</f>
        <v/>
      </c>
      <c r="AF41" s="225" t="str">
        <f>IF(NOT(ISBLANK([1]BDD!J31)), ROUND(SUM(([1]BDD!G31*reduc2),FDP_FACT_KG), 2), "")</f>
        <v/>
      </c>
      <c r="AG41" s="225" t="str">
        <f>IF(NOT(ISBLANK([1]BDD!K31)), ROUND(SUM(([1]BDD!G31*reduc3),FDP_FACT_KG), 2), "")</f>
        <v/>
      </c>
      <c r="AH41" s="289" t="str">
        <f>[1]BDD!C31</f>
        <v>Tibet</v>
      </c>
      <c r="AI41" s="290">
        <f t="shared" si="23"/>
        <v>0</v>
      </c>
      <c r="AJ41" s="216">
        <f t="shared" si="24"/>
        <v>28.24</v>
      </c>
      <c r="AK41" s="291">
        <f t="shared" si="25"/>
        <v>0</v>
      </c>
      <c r="AL41" s="429"/>
      <c r="AM41" s="292"/>
      <c r="AN41" s="216">
        <f t="shared" si="26"/>
        <v>28.24</v>
      </c>
      <c r="AO41" s="293">
        <f t="shared" si="27"/>
        <v>0</v>
      </c>
      <c r="AP41" s="294"/>
      <c r="AQ41" s="294"/>
      <c r="AR41" s="429"/>
      <c r="AS41" s="295">
        <f t="shared" si="28"/>
        <v>0</v>
      </c>
      <c r="AT41" s="216">
        <f t="shared" si="29"/>
        <v>28.24</v>
      </c>
      <c r="AU41" s="291">
        <f t="shared" si="1"/>
        <v>0</v>
      </c>
      <c r="AV41" s="296">
        <f>[1]COMMANDE!O39</f>
        <v>0</v>
      </c>
      <c r="AW41" s="297" t="str">
        <f t="shared" si="30"/>
        <v>0</v>
      </c>
      <c r="AX41" s="298">
        <f t="shared" si="31"/>
        <v>0</v>
      </c>
      <c r="AY41" s="299">
        <f>[1]COMMANDE!Q39</f>
        <v>0</v>
      </c>
      <c r="AZ41" s="297" t="str">
        <f t="shared" si="32"/>
        <v>0</v>
      </c>
      <c r="BA41" s="300">
        <f t="shared" si="33"/>
        <v>0</v>
      </c>
      <c r="BB41" s="301">
        <f>[1]COMMANDE!S39</f>
        <v>0</v>
      </c>
      <c r="BC41" s="297" t="str">
        <f t="shared" si="34"/>
        <v>0</v>
      </c>
      <c r="BD41" s="298">
        <f t="shared" si="35"/>
        <v>0</v>
      </c>
      <c r="BE41" s="299">
        <f>[1]COMMANDE!U39</f>
        <v>0</v>
      </c>
      <c r="BF41" s="297" t="str">
        <f t="shared" si="36"/>
        <v>0</v>
      </c>
      <c r="BG41" s="300">
        <f t="shared" si="37"/>
        <v>0</v>
      </c>
      <c r="BH41" s="301">
        <f>[1]COMMANDE!W39</f>
        <v>0</v>
      </c>
      <c r="BI41" s="297" t="str">
        <f t="shared" si="38"/>
        <v>0</v>
      </c>
      <c r="BJ41" s="298">
        <f t="shared" si="39"/>
        <v>0</v>
      </c>
      <c r="BK41" s="299">
        <f>[1]COMMANDE!Y39</f>
        <v>0</v>
      </c>
      <c r="BL41" s="297" t="str">
        <f t="shared" si="40"/>
        <v>0</v>
      </c>
      <c r="BM41" s="300">
        <f t="shared" si="41"/>
        <v>0</v>
      </c>
      <c r="BN41" s="301">
        <f>[1]COMMANDE!AA39</f>
        <v>0</v>
      </c>
      <c r="BO41" s="297" t="str">
        <f t="shared" si="42"/>
        <v>0</v>
      </c>
      <c r="BP41" s="298">
        <f t="shared" si="43"/>
        <v>0</v>
      </c>
      <c r="BQ41" s="299">
        <f>[1]COMMANDE!AC39</f>
        <v>0</v>
      </c>
      <c r="BR41" s="297" t="str">
        <f t="shared" si="44"/>
        <v>0</v>
      </c>
      <c r="BS41" s="300">
        <f t="shared" si="45"/>
        <v>0</v>
      </c>
      <c r="BT41" s="301">
        <f>[1]COMMANDE!AE39</f>
        <v>0</v>
      </c>
      <c r="BU41" s="297" t="str">
        <f t="shared" si="46"/>
        <v>0</v>
      </c>
      <c r="BV41" s="298">
        <f t="shared" si="47"/>
        <v>0</v>
      </c>
      <c r="BW41" s="299">
        <f>[1]COMMANDE!AG39</f>
        <v>0</v>
      </c>
      <c r="BX41" s="297" t="str">
        <f t="shared" si="48"/>
        <v>0</v>
      </c>
      <c r="BY41" s="300">
        <f t="shared" si="49"/>
        <v>0</v>
      </c>
      <c r="BZ41" s="301">
        <f>[1]COMMANDE!AI39</f>
        <v>0</v>
      </c>
      <c r="CA41" s="297" t="str">
        <f t="shared" si="50"/>
        <v>0</v>
      </c>
      <c r="CB41" s="298">
        <f t="shared" si="51"/>
        <v>0</v>
      </c>
      <c r="CC41" s="299">
        <f>[1]COMMANDE!AK39</f>
        <v>0</v>
      </c>
      <c r="CD41" s="297" t="str">
        <f t="shared" si="52"/>
        <v>0</v>
      </c>
      <c r="CE41" s="300">
        <f t="shared" si="53"/>
        <v>0</v>
      </c>
      <c r="CF41" s="301">
        <f>[1]COMMANDE!AM39</f>
        <v>0</v>
      </c>
      <c r="CG41" s="297" t="str">
        <f t="shared" si="54"/>
        <v>0</v>
      </c>
      <c r="CH41" s="298">
        <f t="shared" si="55"/>
        <v>0</v>
      </c>
      <c r="CI41" s="299">
        <f>[1]COMMANDE!AO39</f>
        <v>0</v>
      </c>
      <c r="CJ41" s="297" t="str">
        <f t="shared" si="56"/>
        <v>0</v>
      </c>
      <c r="CK41" s="300">
        <f t="shared" si="57"/>
        <v>0</v>
      </c>
      <c r="CL41" s="301">
        <f>[1]COMMANDE!AQ39</f>
        <v>0</v>
      </c>
      <c r="CM41" s="297" t="str">
        <f t="shared" si="58"/>
        <v>0</v>
      </c>
      <c r="CN41" s="298">
        <f t="shared" si="59"/>
        <v>0</v>
      </c>
      <c r="CO41" s="299">
        <f>[1]COMMANDE!AS39</f>
        <v>0</v>
      </c>
      <c r="CP41" s="297" t="str">
        <f t="shared" si="60"/>
        <v>0</v>
      </c>
      <c r="CQ41" s="300">
        <f t="shared" si="61"/>
        <v>0</v>
      </c>
      <c r="CR41" s="301">
        <f>[1]COMMANDE!AU39</f>
        <v>0</v>
      </c>
      <c r="CS41" s="297" t="str">
        <f t="shared" si="62"/>
        <v>0</v>
      </c>
      <c r="CT41" s="298">
        <f t="shared" si="63"/>
        <v>0</v>
      </c>
      <c r="CU41" s="299">
        <f>[1]COMMANDE!AW39</f>
        <v>0</v>
      </c>
      <c r="CV41" s="297" t="str">
        <f t="shared" si="64"/>
        <v>0</v>
      </c>
      <c r="CW41" s="300">
        <f t="shared" si="65"/>
        <v>0</v>
      </c>
      <c r="CX41" s="301">
        <f>[1]COMMANDE!AY39</f>
        <v>0</v>
      </c>
      <c r="CY41" s="297" t="str">
        <f t="shared" si="66"/>
        <v>0</v>
      </c>
      <c r="CZ41" s="298">
        <f t="shared" si="67"/>
        <v>0</v>
      </c>
      <c r="DA41" s="299">
        <f>[1]COMMANDE!BA39</f>
        <v>0</v>
      </c>
      <c r="DB41" s="297" t="str">
        <f t="shared" si="68"/>
        <v>0</v>
      </c>
      <c r="DC41" s="302">
        <f t="shared" si="69"/>
        <v>0</v>
      </c>
      <c r="DD41" s="303"/>
      <c r="DE41" s="304"/>
    </row>
    <row r="42" spans="1:109" ht="39.950000000000003" customHeight="1" x14ac:dyDescent="0.25">
      <c r="A42" s="284">
        <f t="shared" si="2"/>
        <v>0</v>
      </c>
      <c r="B42" s="284">
        <f t="shared" si="3"/>
        <v>0</v>
      </c>
      <c r="C42" s="284">
        <f t="shared" si="4"/>
        <v>0</v>
      </c>
      <c r="D42" s="284">
        <f t="shared" si="5"/>
        <v>0</v>
      </c>
      <c r="E42" s="284">
        <f t="shared" si="6"/>
        <v>0</v>
      </c>
      <c r="F42" s="284">
        <f t="shared" si="7"/>
        <v>0</v>
      </c>
      <c r="G42" s="284">
        <f t="shared" si="8"/>
        <v>0</v>
      </c>
      <c r="H42" s="284">
        <f t="shared" si="9"/>
        <v>0</v>
      </c>
      <c r="I42" s="284">
        <f t="shared" si="10"/>
        <v>0</v>
      </c>
      <c r="J42" s="284">
        <f t="shared" si="11"/>
        <v>0</v>
      </c>
      <c r="K42" s="284">
        <f t="shared" si="12"/>
        <v>0</v>
      </c>
      <c r="L42" s="284">
        <f t="shared" si="13"/>
        <v>0</v>
      </c>
      <c r="M42" s="284">
        <f t="shared" si="14"/>
        <v>0</v>
      </c>
      <c r="N42" s="284">
        <f t="shared" si="15"/>
        <v>0</v>
      </c>
      <c r="O42" s="284">
        <f t="shared" si="16"/>
        <v>0</v>
      </c>
      <c r="P42" s="284">
        <f t="shared" si="17"/>
        <v>0</v>
      </c>
      <c r="Q42" s="284">
        <f t="shared" si="18"/>
        <v>0</v>
      </c>
      <c r="R42" s="284">
        <f t="shared" si="19"/>
        <v>0</v>
      </c>
      <c r="S42" s="284">
        <f t="shared" si="20"/>
        <v>0</v>
      </c>
      <c r="T42" s="284">
        <f t="shared" si="21"/>
        <v>0</v>
      </c>
      <c r="U42" s="285">
        <f t="shared" si="22"/>
        <v>0</v>
      </c>
      <c r="V42" s="286">
        <f>[1]BDD!A32</f>
        <v>1527</v>
      </c>
      <c r="W42" s="287" t="str">
        <f>[1]BDD!B32</f>
        <v>Baie de Goji BIO (envi. 500g)</v>
      </c>
      <c r="X42" s="288" t="str">
        <f>IF([1]BDD!F32=0, "", [1]BDD!F32)</f>
        <v>❤️ OFFRE</v>
      </c>
      <c r="Y42" s="214">
        <f>ROUND([1]BDD!G32+FDP_CMD_KG, 2)</f>
        <v>15.24</v>
      </c>
      <c r="Z42" s="214">
        <f>ROUND([1]BDD!G32+FDP_FACT_KG, 2)</f>
        <v>15.24</v>
      </c>
      <c r="AA42" s="215" t="str">
        <f>[1]BDD!H32</f>
        <v>Pièce</v>
      </c>
      <c r="AB42" s="225" t="str">
        <f>IF(NOT(ISBLANK([1]BDD!I32)), ROUND(SUM(([1]BDD!G32*reduc1),FDP_CMD_KG), 2), "")</f>
        <v/>
      </c>
      <c r="AC42" s="225" t="str">
        <f>IF(NOT(ISBLANK([1]BDD!J32)), ROUND(SUM(([1]BDD!G32*reduc2),FDP_CMD_KG), 2), "")</f>
        <v/>
      </c>
      <c r="AD42" s="225" t="str">
        <f>IF(NOT(ISBLANK([1]BDD!K32)), ROUND(SUM(([1]BDD!G32*reduc3),FDP_CMD_KG), 2), "")</f>
        <v/>
      </c>
      <c r="AE42" s="225" t="str">
        <f>IF(NOT(ISBLANK([1]BDD!I32)), ROUND(SUM(([1]BDD!G32*reduc1),FDP_FACT_KG), 2), "")</f>
        <v/>
      </c>
      <c r="AF42" s="225" t="str">
        <f>IF(NOT(ISBLANK([1]BDD!J32)), ROUND(SUM(([1]BDD!G32*reduc2),FDP_FACT_KG), 2), "")</f>
        <v/>
      </c>
      <c r="AG42" s="225" t="str">
        <f>IF(NOT(ISBLANK([1]BDD!K32)), ROUND(SUM(([1]BDD!G32*reduc3),FDP_FACT_KG), 2), "")</f>
        <v/>
      </c>
      <c r="AH42" s="289" t="str">
        <f>[1]BDD!C32</f>
        <v>Tibet</v>
      </c>
      <c r="AI42" s="290">
        <f t="shared" si="23"/>
        <v>0</v>
      </c>
      <c r="AJ42" s="216">
        <f t="shared" si="24"/>
        <v>15.24</v>
      </c>
      <c r="AK42" s="291">
        <f t="shared" si="25"/>
        <v>0</v>
      </c>
      <c r="AL42" s="429"/>
      <c r="AM42" s="292"/>
      <c r="AN42" s="216">
        <f t="shared" si="26"/>
        <v>15.24</v>
      </c>
      <c r="AO42" s="293">
        <f t="shared" si="27"/>
        <v>0</v>
      </c>
      <c r="AP42" s="294"/>
      <c r="AQ42" s="294"/>
      <c r="AR42" s="429"/>
      <c r="AS42" s="295">
        <f t="shared" si="28"/>
        <v>0</v>
      </c>
      <c r="AT42" s="216">
        <f t="shared" si="29"/>
        <v>15.24</v>
      </c>
      <c r="AU42" s="291">
        <f t="shared" si="1"/>
        <v>0</v>
      </c>
      <c r="AV42" s="296">
        <f>[1]COMMANDE!O40</f>
        <v>0</v>
      </c>
      <c r="AW42" s="297" t="str">
        <f t="shared" si="30"/>
        <v>0</v>
      </c>
      <c r="AX42" s="298">
        <f t="shared" si="31"/>
        <v>0</v>
      </c>
      <c r="AY42" s="299">
        <f>[1]COMMANDE!Q40</f>
        <v>0</v>
      </c>
      <c r="AZ42" s="297" t="str">
        <f t="shared" si="32"/>
        <v>0</v>
      </c>
      <c r="BA42" s="300">
        <f t="shared" si="33"/>
        <v>0</v>
      </c>
      <c r="BB42" s="301">
        <f>[1]COMMANDE!S40</f>
        <v>0</v>
      </c>
      <c r="BC42" s="297" t="str">
        <f t="shared" si="34"/>
        <v>0</v>
      </c>
      <c r="BD42" s="298">
        <f t="shared" si="35"/>
        <v>0</v>
      </c>
      <c r="BE42" s="299">
        <f>[1]COMMANDE!U40</f>
        <v>0</v>
      </c>
      <c r="BF42" s="297" t="str">
        <f t="shared" si="36"/>
        <v>0</v>
      </c>
      <c r="BG42" s="300">
        <f t="shared" si="37"/>
        <v>0</v>
      </c>
      <c r="BH42" s="301">
        <f>[1]COMMANDE!W40</f>
        <v>0</v>
      </c>
      <c r="BI42" s="297" t="str">
        <f t="shared" si="38"/>
        <v>0</v>
      </c>
      <c r="BJ42" s="298">
        <f t="shared" si="39"/>
        <v>0</v>
      </c>
      <c r="BK42" s="299">
        <f>[1]COMMANDE!Y40</f>
        <v>0</v>
      </c>
      <c r="BL42" s="297" t="str">
        <f t="shared" si="40"/>
        <v>0</v>
      </c>
      <c r="BM42" s="300">
        <f t="shared" si="41"/>
        <v>0</v>
      </c>
      <c r="BN42" s="301">
        <f>[1]COMMANDE!AA40</f>
        <v>0</v>
      </c>
      <c r="BO42" s="297" t="str">
        <f t="shared" si="42"/>
        <v>0</v>
      </c>
      <c r="BP42" s="298">
        <f t="shared" si="43"/>
        <v>0</v>
      </c>
      <c r="BQ42" s="299">
        <f>[1]COMMANDE!AC40</f>
        <v>0</v>
      </c>
      <c r="BR42" s="297" t="str">
        <f t="shared" si="44"/>
        <v>0</v>
      </c>
      <c r="BS42" s="300">
        <f t="shared" si="45"/>
        <v>0</v>
      </c>
      <c r="BT42" s="301">
        <f>[1]COMMANDE!AE40</f>
        <v>0</v>
      </c>
      <c r="BU42" s="297" t="str">
        <f t="shared" si="46"/>
        <v>0</v>
      </c>
      <c r="BV42" s="298">
        <f t="shared" si="47"/>
        <v>0</v>
      </c>
      <c r="BW42" s="299">
        <f>[1]COMMANDE!AG40</f>
        <v>0</v>
      </c>
      <c r="BX42" s="297" t="str">
        <f t="shared" si="48"/>
        <v>0</v>
      </c>
      <c r="BY42" s="300">
        <f t="shared" si="49"/>
        <v>0</v>
      </c>
      <c r="BZ42" s="301">
        <f>[1]COMMANDE!AI40</f>
        <v>0</v>
      </c>
      <c r="CA42" s="297" t="str">
        <f t="shared" si="50"/>
        <v>0</v>
      </c>
      <c r="CB42" s="298">
        <f t="shared" si="51"/>
        <v>0</v>
      </c>
      <c r="CC42" s="299">
        <f>[1]COMMANDE!AK40</f>
        <v>0</v>
      </c>
      <c r="CD42" s="297" t="str">
        <f t="shared" si="52"/>
        <v>0</v>
      </c>
      <c r="CE42" s="300">
        <f t="shared" si="53"/>
        <v>0</v>
      </c>
      <c r="CF42" s="301">
        <f>[1]COMMANDE!AM40</f>
        <v>0</v>
      </c>
      <c r="CG42" s="297" t="str">
        <f t="shared" si="54"/>
        <v>0</v>
      </c>
      <c r="CH42" s="298">
        <f t="shared" si="55"/>
        <v>0</v>
      </c>
      <c r="CI42" s="299">
        <f>[1]COMMANDE!AO40</f>
        <v>0</v>
      </c>
      <c r="CJ42" s="297" t="str">
        <f t="shared" si="56"/>
        <v>0</v>
      </c>
      <c r="CK42" s="300">
        <f t="shared" si="57"/>
        <v>0</v>
      </c>
      <c r="CL42" s="301">
        <f>[1]COMMANDE!AQ40</f>
        <v>0</v>
      </c>
      <c r="CM42" s="297" t="str">
        <f t="shared" si="58"/>
        <v>0</v>
      </c>
      <c r="CN42" s="298">
        <f t="shared" si="59"/>
        <v>0</v>
      </c>
      <c r="CO42" s="299">
        <f>[1]COMMANDE!AS40</f>
        <v>0</v>
      </c>
      <c r="CP42" s="297" t="str">
        <f t="shared" si="60"/>
        <v>0</v>
      </c>
      <c r="CQ42" s="300">
        <f t="shared" si="61"/>
        <v>0</v>
      </c>
      <c r="CR42" s="301">
        <f>[1]COMMANDE!AU40</f>
        <v>0</v>
      </c>
      <c r="CS42" s="297" t="str">
        <f t="shared" si="62"/>
        <v>0</v>
      </c>
      <c r="CT42" s="298">
        <f t="shared" si="63"/>
        <v>0</v>
      </c>
      <c r="CU42" s="299">
        <f>[1]COMMANDE!AW40</f>
        <v>0</v>
      </c>
      <c r="CV42" s="297" t="str">
        <f t="shared" si="64"/>
        <v>0</v>
      </c>
      <c r="CW42" s="300">
        <f t="shared" si="65"/>
        <v>0</v>
      </c>
      <c r="CX42" s="301">
        <f>[1]COMMANDE!AY40</f>
        <v>0</v>
      </c>
      <c r="CY42" s="297" t="str">
        <f t="shared" si="66"/>
        <v>0</v>
      </c>
      <c r="CZ42" s="298">
        <f t="shared" si="67"/>
        <v>0</v>
      </c>
      <c r="DA42" s="299">
        <f>[1]COMMANDE!BA40</f>
        <v>0</v>
      </c>
      <c r="DB42" s="297" t="str">
        <f t="shared" si="68"/>
        <v>0</v>
      </c>
      <c r="DC42" s="302">
        <f t="shared" si="69"/>
        <v>0</v>
      </c>
      <c r="DD42" s="303"/>
      <c r="DE42" s="304"/>
    </row>
    <row r="43" spans="1:109" ht="39.950000000000003" customHeight="1" x14ac:dyDescent="0.25">
      <c r="A43" s="284">
        <f t="shared" si="2"/>
        <v>0</v>
      </c>
      <c r="B43" s="284">
        <f t="shared" si="3"/>
        <v>0</v>
      </c>
      <c r="C43" s="284">
        <f t="shared" si="4"/>
        <v>0</v>
      </c>
      <c r="D43" s="284">
        <f t="shared" si="5"/>
        <v>0</v>
      </c>
      <c r="E43" s="284">
        <f t="shared" si="6"/>
        <v>0</v>
      </c>
      <c r="F43" s="284">
        <f t="shared" si="7"/>
        <v>0</v>
      </c>
      <c r="G43" s="284">
        <f t="shared" si="8"/>
        <v>0</v>
      </c>
      <c r="H43" s="284">
        <f t="shared" si="9"/>
        <v>0</v>
      </c>
      <c r="I43" s="284">
        <f t="shared" si="10"/>
        <v>0</v>
      </c>
      <c r="J43" s="284">
        <f t="shared" si="11"/>
        <v>0</v>
      </c>
      <c r="K43" s="284">
        <f t="shared" si="12"/>
        <v>0</v>
      </c>
      <c r="L43" s="284">
        <f t="shared" si="13"/>
        <v>0</v>
      </c>
      <c r="M43" s="284">
        <f t="shared" si="14"/>
        <v>0</v>
      </c>
      <c r="N43" s="284">
        <f t="shared" si="15"/>
        <v>0</v>
      </c>
      <c r="O43" s="284">
        <f t="shared" si="16"/>
        <v>0</v>
      </c>
      <c r="P43" s="284">
        <f t="shared" si="17"/>
        <v>0</v>
      </c>
      <c r="Q43" s="284">
        <f t="shared" si="18"/>
        <v>0</v>
      </c>
      <c r="R43" s="284">
        <f t="shared" si="19"/>
        <v>0</v>
      </c>
      <c r="S43" s="284">
        <f t="shared" si="20"/>
        <v>0</v>
      </c>
      <c r="T43" s="284">
        <f t="shared" si="21"/>
        <v>0</v>
      </c>
      <c r="U43" s="285">
        <f t="shared" si="22"/>
        <v>0</v>
      </c>
      <c r="V43" s="286">
        <f>[1]BDD!A33</f>
        <v>3007</v>
      </c>
      <c r="W43" s="287" t="str">
        <f>[1]BDD!B33</f>
        <v>Banane carrée</v>
      </c>
      <c r="X43" s="288" t="str">
        <f>IF([1]BDD!F33=0, "", [1]BDD!F33)</f>
        <v/>
      </c>
      <c r="Y43" s="214">
        <f>ROUND([1]BDD!G33+FDP_CMD_KG, 2)</f>
        <v>4.83</v>
      </c>
      <c r="Z43" s="214">
        <f>ROUND([1]BDD!G33+FDP_FACT_KG, 2)</f>
        <v>4.83</v>
      </c>
      <c r="AA43" s="215" t="str">
        <f>[1]BDD!H33</f>
        <v>kg</v>
      </c>
      <c r="AB43" s="225">
        <f>IF(NOT(ISBLANK([1]BDD!I33)), ROUND(SUM(([1]BDD!G33*reduc1),FDP_CMD_KG), 2), "")</f>
        <v>4.4400000000000004</v>
      </c>
      <c r="AC43" s="225">
        <f>IF(NOT(ISBLANK([1]BDD!J33)), ROUND(SUM(([1]BDD!G33*reduc2),FDP_CMD_KG), 2), "")</f>
        <v>4.04</v>
      </c>
      <c r="AD43" s="225" t="str">
        <f>IF(NOT(ISBLANK([1]BDD!K33)), ROUND(SUM(([1]BDD!G33*reduc3),FDP_CMD_KG), 2), "")</f>
        <v/>
      </c>
      <c r="AE43" s="225">
        <f>IF(NOT(ISBLANK([1]BDD!I33)), ROUND(SUM(([1]BDD!G33*reduc1),FDP_FACT_KG), 2), "")</f>
        <v>4.43</v>
      </c>
      <c r="AF43" s="225">
        <f>IF(NOT(ISBLANK([1]BDD!J33)), ROUND(SUM(([1]BDD!G33*reduc2),FDP_FACT_KG), 2), "")</f>
        <v>4.03</v>
      </c>
      <c r="AG43" s="225" t="str">
        <f>IF(NOT(ISBLANK([1]BDD!K33)), ROUND(SUM(([1]BDD!G33*reduc3),FDP_FACT_KG), 2), "")</f>
        <v/>
      </c>
      <c r="AH43" s="289" t="str">
        <f>[1]BDD!C33</f>
        <v>Grenade</v>
      </c>
      <c r="AI43" s="290">
        <f t="shared" si="23"/>
        <v>0</v>
      </c>
      <c r="AJ43" s="216">
        <f t="shared" si="24"/>
        <v>4.04</v>
      </c>
      <c r="AK43" s="291">
        <f t="shared" si="25"/>
        <v>0</v>
      </c>
      <c r="AL43" s="429"/>
      <c r="AM43" s="292"/>
      <c r="AN43" s="216">
        <f t="shared" si="26"/>
        <v>4.83</v>
      </c>
      <c r="AO43" s="293">
        <f t="shared" si="27"/>
        <v>0</v>
      </c>
      <c r="AP43" s="294"/>
      <c r="AQ43" s="294"/>
      <c r="AR43" s="429"/>
      <c r="AS43" s="295">
        <f t="shared" si="28"/>
        <v>0</v>
      </c>
      <c r="AT43" s="216">
        <f t="shared" si="29"/>
        <v>4.83</v>
      </c>
      <c r="AU43" s="291">
        <f t="shared" si="1"/>
        <v>0</v>
      </c>
      <c r="AV43" s="296">
        <f>[1]COMMANDE!O41</f>
        <v>0</v>
      </c>
      <c r="AW43" s="297" t="str">
        <f t="shared" si="30"/>
        <v>0</v>
      </c>
      <c r="AX43" s="298">
        <f t="shared" si="31"/>
        <v>0</v>
      </c>
      <c r="AY43" s="299">
        <f>[1]COMMANDE!Q41</f>
        <v>0</v>
      </c>
      <c r="AZ43" s="297" t="str">
        <f t="shared" si="32"/>
        <v>0</v>
      </c>
      <c r="BA43" s="300">
        <f t="shared" si="33"/>
        <v>0</v>
      </c>
      <c r="BB43" s="301">
        <f>[1]COMMANDE!S41</f>
        <v>0</v>
      </c>
      <c r="BC43" s="297" t="str">
        <f t="shared" si="34"/>
        <v>0</v>
      </c>
      <c r="BD43" s="298">
        <f t="shared" si="35"/>
        <v>0</v>
      </c>
      <c r="BE43" s="299">
        <f>[1]COMMANDE!U41</f>
        <v>0</v>
      </c>
      <c r="BF43" s="297" t="str">
        <f t="shared" si="36"/>
        <v>0</v>
      </c>
      <c r="BG43" s="300">
        <f t="shared" si="37"/>
        <v>0</v>
      </c>
      <c r="BH43" s="301">
        <f>[1]COMMANDE!W41</f>
        <v>0</v>
      </c>
      <c r="BI43" s="297" t="str">
        <f t="shared" si="38"/>
        <v>0</v>
      </c>
      <c r="BJ43" s="298">
        <f t="shared" si="39"/>
        <v>0</v>
      </c>
      <c r="BK43" s="299">
        <f>[1]COMMANDE!Y41</f>
        <v>0</v>
      </c>
      <c r="BL43" s="297" t="str">
        <f t="shared" si="40"/>
        <v>0</v>
      </c>
      <c r="BM43" s="300">
        <f t="shared" si="41"/>
        <v>0</v>
      </c>
      <c r="BN43" s="301">
        <f>[1]COMMANDE!AA41</f>
        <v>0</v>
      </c>
      <c r="BO43" s="297" t="str">
        <f t="shared" si="42"/>
        <v>0</v>
      </c>
      <c r="BP43" s="298">
        <f t="shared" si="43"/>
        <v>0</v>
      </c>
      <c r="BQ43" s="299">
        <f>[1]COMMANDE!AC41</f>
        <v>0</v>
      </c>
      <c r="BR43" s="297" t="str">
        <f t="shared" si="44"/>
        <v>0</v>
      </c>
      <c r="BS43" s="300">
        <f t="shared" si="45"/>
        <v>0</v>
      </c>
      <c r="BT43" s="301">
        <f>[1]COMMANDE!AE41</f>
        <v>0</v>
      </c>
      <c r="BU43" s="297" t="str">
        <f t="shared" si="46"/>
        <v>0</v>
      </c>
      <c r="BV43" s="298">
        <f t="shared" si="47"/>
        <v>0</v>
      </c>
      <c r="BW43" s="299">
        <f>[1]COMMANDE!AG41</f>
        <v>0</v>
      </c>
      <c r="BX43" s="297" t="str">
        <f t="shared" si="48"/>
        <v>0</v>
      </c>
      <c r="BY43" s="300">
        <f t="shared" si="49"/>
        <v>0</v>
      </c>
      <c r="BZ43" s="301">
        <f>[1]COMMANDE!AI41</f>
        <v>0</v>
      </c>
      <c r="CA43" s="297" t="str">
        <f t="shared" si="50"/>
        <v>0</v>
      </c>
      <c r="CB43" s="298">
        <f t="shared" si="51"/>
        <v>0</v>
      </c>
      <c r="CC43" s="299">
        <f>[1]COMMANDE!AK41</f>
        <v>0</v>
      </c>
      <c r="CD43" s="297" t="str">
        <f t="shared" si="52"/>
        <v>0</v>
      </c>
      <c r="CE43" s="300">
        <f t="shared" si="53"/>
        <v>0</v>
      </c>
      <c r="CF43" s="301">
        <f>[1]COMMANDE!AM41</f>
        <v>0</v>
      </c>
      <c r="CG43" s="297" t="str">
        <f t="shared" si="54"/>
        <v>0</v>
      </c>
      <c r="CH43" s="298">
        <f t="shared" si="55"/>
        <v>0</v>
      </c>
      <c r="CI43" s="299">
        <f>[1]COMMANDE!AO41</f>
        <v>0</v>
      </c>
      <c r="CJ43" s="297" t="str">
        <f t="shared" si="56"/>
        <v>0</v>
      </c>
      <c r="CK43" s="300">
        <f t="shared" si="57"/>
        <v>0</v>
      </c>
      <c r="CL43" s="301">
        <f>[1]COMMANDE!AQ41</f>
        <v>0</v>
      </c>
      <c r="CM43" s="297" t="str">
        <f t="shared" si="58"/>
        <v>0</v>
      </c>
      <c r="CN43" s="298">
        <f t="shared" si="59"/>
        <v>0</v>
      </c>
      <c r="CO43" s="299">
        <f>[1]COMMANDE!AS41</f>
        <v>0</v>
      </c>
      <c r="CP43" s="297" t="str">
        <f t="shared" si="60"/>
        <v>0</v>
      </c>
      <c r="CQ43" s="300">
        <f t="shared" si="61"/>
        <v>0</v>
      </c>
      <c r="CR43" s="301">
        <f>[1]COMMANDE!AU41</f>
        <v>0</v>
      </c>
      <c r="CS43" s="297" t="str">
        <f t="shared" si="62"/>
        <v>0</v>
      </c>
      <c r="CT43" s="298">
        <f t="shared" si="63"/>
        <v>0</v>
      </c>
      <c r="CU43" s="299">
        <f>[1]COMMANDE!AW41</f>
        <v>0</v>
      </c>
      <c r="CV43" s="297" t="str">
        <f t="shared" si="64"/>
        <v>0</v>
      </c>
      <c r="CW43" s="300">
        <f t="shared" si="65"/>
        <v>0</v>
      </c>
      <c r="CX43" s="301">
        <f>[1]COMMANDE!AY41</f>
        <v>0</v>
      </c>
      <c r="CY43" s="297" t="str">
        <f t="shared" si="66"/>
        <v>0</v>
      </c>
      <c r="CZ43" s="298">
        <f t="shared" si="67"/>
        <v>0</v>
      </c>
      <c r="DA43" s="299">
        <f>[1]COMMANDE!BA41</f>
        <v>0</v>
      </c>
      <c r="DB43" s="297" t="str">
        <f t="shared" si="68"/>
        <v>0</v>
      </c>
      <c r="DC43" s="302">
        <f t="shared" si="69"/>
        <v>0</v>
      </c>
      <c r="DD43" s="303"/>
      <c r="DE43" s="304"/>
    </row>
    <row r="44" spans="1:109" ht="39.950000000000003" customHeight="1" x14ac:dyDescent="0.25">
      <c r="A44" s="284">
        <f t="shared" si="2"/>
        <v>1</v>
      </c>
      <c r="B44" s="284">
        <f t="shared" si="3"/>
        <v>1</v>
      </c>
      <c r="C44" s="284">
        <f t="shared" si="4"/>
        <v>1</v>
      </c>
      <c r="D44" s="284">
        <f t="shared" si="5"/>
        <v>1</v>
      </c>
      <c r="E44" s="284">
        <f t="shared" si="6"/>
        <v>0</v>
      </c>
      <c r="F44" s="284">
        <f t="shared" si="7"/>
        <v>0</v>
      </c>
      <c r="G44" s="284">
        <f t="shared" si="8"/>
        <v>0</v>
      </c>
      <c r="H44" s="284">
        <f t="shared" si="9"/>
        <v>0</v>
      </c>
      <c r="I44" s="284">
        <f t="shared" si="10"/>
        <v>0</v>
      </c>
      <c r="J44" s="284">
        <f t="shared" si="11"/>
        <v>0</v>
      </c>
      <c r="K44" s="284">
        <f t="shared" si="12"/>
        <v>0</v>
      </c>
      <c r="L44" s="284">
        <f t="shared" si="13"/>
        <v>0</v>
      </c>
      <c r="M44" s="284">
        <f t="shared" si="14"/>
        <v>0</v>
      </c>
      <c r="N44" s="284">
        <f t="shared" si="15"/>
        <v>0</v>
      </c>
      <c r="O44" s="284">
        <f t="shared" si="16"/>
        <v>0</v>
      </c>
      <c r="P44" s="284">
        <f t="shared" si="17"/>
        <v>0</v>
      </c>
      <c r="Q44" s="284">
        <f t="shared" si="18"/>
        <v>0</v>
      </c>
      <c r="R44" s="284">
        <f t="shared" si="19"/>
        <v>0</v>
      </c>
      <c r="S44" s="284">
        <f t="shared" si="20"/>
        <v>0</v>
      </c>
      <c r="T44" s="284">
        <f t="shared" si="21"/>
        <v>0</v>
      </c>
      <c r="U44" s="285">
        <f t="shared" si="22"/>
        <v>1</v>
      </c>
      <c r="V44" s="286" t="str">
        <f>[1]BDD!A34</f>
        <v>1007-2364</v>
      </c>
      <c r="W44" s="287" t="str">
        <f>[1]BDD!B34</f>
        <v>Banane Cavendish BIO/RECO
    - (robuste et ferme)</v>
      </c>
      <c r="X44" s="288" t="str">
        <f>IF([1]BDD!F34=0, "", [1]BDD!F34)</f>
        <v>❤️</v>
      </c>
      <c r="Y44" s="214">
        <f>ROUND([1]BDD!G34+FDP_CMD_KG, 2)</f>
        <v>5.65</v>
      </c>
      <c r="Z44" s="214">
        <f>ROUND([1]BDD!G34+FDP_FACT_KG, 2)</f>
        <v>5.65</v>
      </c>
      <c r="AA44" s="215" t="str">
        <f>[1]BDD!H34</f>
        <v>kg</v>
      </c>
      <c r="AB44" s="225">
        <f>IF(NOT(ISBLANK([1]BDD!I34)), ROUND(SUM(([1]BDD!G34*reduc1),FDP_CMD_KG), 2), "")</f>
        <v>5.18</v>
      </c>
      <c r="AC44" s="225" t="str">
        <f>IF(NOT(ISBLANK([1]BDD!J34)), ROUND(SUM(([1]BDD!G34*reduc2),FDP_CMD_KG), 2), "")</f>
        <v/>
      </c>
      <c r="AD44" s="225" t="str">
        <f>IF(NOT(ISBLANK([1]BDD!K34)), ROUND(SUM(([1]BDD!G34*reduc3),FDP_CMD_KG), 2), "")</f>
        <v/>
      </c>
      <c r="AE44" s="225">
        <f>IF(NOT(ISBLANK([1]BDD!I34)), ROUND(SUM(([1]BDD!G34*reduc1),FDP_FACT_KG), 2), "")</f>
        <v>5.17</v>
      </c>
      <c r="AF44" s="225" t="str">
        <f>IF(NOT(ISBLANK([1]BDD!J34)), ROUND(SUM(([1]BDD!G34*reduc2),FDP_FACT_KG), 2), "")</f>
        <v/>
      </c>
      <c r="AG44" s="225" t="str">
        <f>IF(NOT(ISBLANK([1]BDD!K34)), ROUND(SUM(([1]BDD!G34*reduc3),FDP_FACT_KG), 2), "")</f>
        <v/>
      </c>
      <c r="AH44" s="289" t="str">
        <f>[1]BDD!C34</f>
        <v>Iles Canaries</v>
      </c>
      <c r="AI44" s="290">
        <f t="shared" si="23"/>
        <v>10</v>
      </c>
      <c r="AJ44" s="216">
        <f t="shared" si="24"/>
        <v>5.18</v>
      </c>
      <c r="AK44" s="291">
        <f t="shared" si="25"/>
        <v>51.8</v>
      </c>
      <c r="AL44" s="429"/>
      <c r="AM44" s="292">
        <v>10.050000000000001</v>
      </c>
      <c r="AN44" s="216">
        <f t="shared" si="26"/>
        <v>5.17</v>
      </c>
      <c r="AO44" s="293">
        <f t="shared" si="27"/>
        <v>51.958500000000001</v>
      </c>
      <c r="AP44" s="294"/>
      <c r="AQ44" s="294"/>
      <c r="AR44" s="429"/>
      <c r="AS44" s="295">
        <f t="shared" si="28"/>
        <v>10.050000000000001</v>
      </c>
      <c r="AT44" s="216">
        <f t="shared" si="29"/>
        <v>5.17</v>
      </c>
      <c r="AU44" s="291">
        <f t="shared" si="1"/>
        <v>51.958500000000001</v>
      </c>
      <c r="AV44" s="296">
        <f>[1]COMMANDE!O42</f>
        <v>3</v>
      </c>
      <c r="AW44" s="297">
        <f t="shared" si="30"/>
        <v>3.0150000000000001</v>
      </c>
      <c r="AX44" s="298">
        <f t="shared" si="31"/>
        <v>15.58755</v>
      </c>
      <c r="AY44" s="299">
        <f>[1]COMMANDE!Q42</f>
        <v>2</v>
      </c>
      <c r="AZ44" s="297">
        <f t="shared" si="32"/>
        <v>2.0100000000000002</v>
      </c>
      <c r="BA44" s="300">
        <f t="shared" si="33"/>
        <v>10.391700000000002</v>
      </c>
      <c r="BB44" s="301">
        <f>[1]COMMANDE!S42</f>
        <v>1</v>
      </c>
      <c r="BC44" s="297">
        <f t="shared" si="34"/>
        <v>1.0050000000000001</v>
      </c>
      <c r="BD44" s="298">
        <f t="shared" si="35"/>
        <v>5.195850000000001</v>
      </c>
      <c r="BE44" s="299">
        <f>[1]COMMANDE!U42</f>
        <v>4</v>
      </c>
      <c r="BF44" s="297">
        <f t="shared" si="36"/>
        <v>4.0200000000000005</v>
      </c>
      <c r="BG44" s="300">
        <f t="shared" si="37"/>
        <v>20.783400000000004</v>
      </c>
      <c r="BH44" s="301">
        <f>[1]COMMANDE!W42</f>
        <v>0</v>
      </c>
      <c r="BI44" s="297" t="str">
        <f t="shared" si="38"/>
        <v>0</v>
      </c>
      <c r="BJ44" s="298">
        <f t="shared" si="39"/>
        <v>0</v>
      </c>
      <c r="BK44" s="299">
        <f>[1]COMMANDE!Y42</f>
        <v>0</v>
      </c>
      <c r="BL44" s="297" t="str">
        <f t="shared" si="40"/>
        <v>0</v>
      </c>
      <c r="BM44" s="300">
        <f t="shared" si="41"/>
        <v>0</v>
      </c>
      <c r="BN44" s="301">
        <f>[1]COMMANDE!AA42</f>
        <v>0</v>
      </c>
      <c r="BO44" s="297" t="str">
        <f t="shared" si="42"/>
        <v>0</v>
      </c>
      <c r="BP44" s="298">
        <f t="shared" si="43"/>
        <v>0</v>
      </c>
      <c r="BQ44" s="299">
        <f>[1]COMMANDE!AC42</f>
        <v>0</v>
      </c>
      <c r="BR44" s="297" t="str">
        <f t="shared" si="44"/>
        <v>0</v>
      </c>
      <c r="BS44" s="300">
        <f t="shared" si="45"/>
        <v>0</v>
      </c>
      <c r="BT44" s="301">
        <f>[1]COMMANDE!AE42</f>
        <v>0</v>
      </c>
      <c r="BU44" s="297" t="str">
        <f t="shared" si="46"/>
        <v>0</v>
      </c>
      <c r="BV44" s="298">
        <f t="shared" si="47"/>
        <v>0</v>
      </c>
      <c r="BW44" s="299">
        <f>[1]COMMANDE!AG42</f>
        <v>0</v>
      </c>
      <c r="BX44" s="297" t="str">
        <f t="shared" si="48"/>
        <v>0</v>
      </c>
      <c r="BY44" s="300">
        <f t="shared" si="49"/>
        <v>0</v>
      </c>
      <c r="BZ44" s="301">
        <f>[1]COMMANDE!AI42</f>
        <v>0</v>
      </c>
      <c r="CA44" s="297" t="str">
        <f t="shared" si="50"/>
        <v>0</v>
      </c>
      <c r="CB44" s="298">
        <f t="shared" si="51"/>
        <v>0</v>
      </c>
      <c r="CC44" s="299">
        <f>[1]COMMANDE!AK42</f>
        <v>0</v>
      </c>
      <c r="CD44" s="297" t="str">
        <f t="shared" si="52"/>
        <v>0</v>
      </c>
      <c r="CE44" s="300">
        <f t="shared" si="53"/>
        <v>0</v>
      </c>
      <c r="CF44" s="301">
        <f>[1]COMMANDE!AM42</f>
        <v>0</v>
      </c>
      <c r="CG44" s="297" t="str">
        <f t="shared" si="54"/>
        <v>0</v>
      </c>
      <c r="CH44" s="298">
        <f t="shared" si="55"/>
        <v>0</v>
      </c>
      <c r="CI44" s="299">
        <f>[1]COMMANDE!AO42</f>
        <v>0</v>
      </c>
      <c r="CJ44" s="297" t="str">
        <f t="shared" si="56"/>
        <v>0</v>
      </c>
      <c r="CK44" s="300">
        <f t="shared" si="57"/>
        <v>0</v>
      </c>
      <c r="CL44" s="301">
        <f>[1]COMMANDE!AQ42</f>
        <v>0</v>
      </c>
      <c r="CM44" s="297" t="str">
        <f t="shared" si="58"/>
        <v>0</v>
      </c>
      <c r="CN44" s="298">
        <f t="shared" si="59"/>
        <v>0</v>
      </c>
      <c r="CO44" s="299">
        <f>[1]COMMANDE!AS42</f>
        <v>0</v>
      </c>
      <c r="CP44" s="297" t="str">
        <f t="shared" si="60"/>
        <v>0</v>
      </c>
      <c r="CQ44" s="300">
        <f t="shared" si="61"/>
        <v>0</v>
      </c>
      <c r="CR44" s="301">
        <f>[1]COMMANDE!AU42</f>
        <v>0</v>
      </c>
      <c r="CS44" s="297" t="str">
        <f t="shared" si="62"/>
        <v>0</v>
      </c>
      <c r="CT44" s="298">
        <f t="shared" si="63"/>
        <v>0</v>
      </c>
      <c r="CU44" s="299">
        <f>[1]COMMANDE!AW42</f>
        <v>0</v>
      </c>
      <c r="CV44" s="297" t="str">
        <f t="shared" si="64"/>
        <v>0</v>
      </c>
      <c r="CW44" s="300">
        <f t="shared" si="65"/>
        <v>0</v>
      </c>
      <c r="CX44" s="301">
        <f>[1]COMMANDE!AY42</f>
        <v>0</v>
      </c>
      <c r="CY44" s="297" t="str">
        <f t="shared" si="66"/>
        <v>0</v>
      </c>
      <c r="CZ44" s="298">
        <f t="shared" si="67"/>
        <v>0</v>
      </c>
      <c r="DA44" s="299">
        <f>[1]COMMANDE!BA42</f>
        <v>0</v>
      </c>
      <c r="DB44" s="297" t="str">
        <f t="shared" si="68"/>
        <v>0</v>
      </c>
      <c r="DC44" s="302">
        <f t="shared" si="69"/>
        <v>0</v>
      </c>
      <c r="DD44" s="303"/>
      <c r="DE44" s="304"/>
    </row>
    <row r="45" spans="1:109" ht="39.950000000000003" customHeight="1" x14ac:dyDescent="0.25">
      <c r="A45" s="284">
        <f t="shared" si="2"/>
        <v>0</v>
      </c>
      <c r="B45" s="284">
        <f t="shared" si="3"/>
        <v>0</v>
      </c>
      <c r="C45" s="284">
        <f t="shared" si="4"/>
        <v>0</v>
      </c>
      <c r="D45" s="284">
        <f t="shared" si="5"/>
        <v>0</v>
      </c>
      <c r="E45" s="284">
        <f t="shared" si="6"/>
        <v>0</v>
      </c>
      <c r="F45" s="284">
        <f t="shared" si="7"/>
        <v>0</v>
      </c>
      <c r="G45" s="284">
        <f t="shared" si="8"/>
        <v>0</v>
      </c>
      <c r="H45" s="284">
        <f t="shared" si="9"/>
        <v>0</v>
      </c>
      <c r="I45" s="284">
        <f t="shared" si="10"/>
        <v>0</v>
      </c>
      <c r="J45" s="284">
        <f t="shared" si="11"/>
        <v>0</v>
      </c>
      <c r="K45" s="284">
        <f t="shared" si="12"/>
        <v>0</v>
      </c>
      <c r="L45" s="284">
        <f t="shared" si="13"/>
        <v>0</v>
      </c>
      <c r="M45" s="284">
        <f t="shared" si="14"/>
        <v>0</v>
      </c>
      <c r="N45" s="284">
        <f t="shared" si="15"/>
        <v>0</v>
      </c>
      <c r="O45" s="284">
        <f t="shared" si="16"/>
        <v>0</v>
      </c>
      <c r="P45" s="284">
        <f t="shared" si="17"/>
        <v>0</v>
      </c>
      <c r="Q45" s="284">
        <f t="shared" si="18"/>
        <v>0</v>
      </c>
      <c r="R45" s="284">
        <f t="shared" si="19"/>
        <v>0</v>
      </c>
      <c r="S45" s="284">
        <f t="shared" si="20"/>
        <v>0</v>
      </c>
      <c r="T45" s="284">
        <f t="shared" si="21"/>
        <v>0</v>
      </c>
      <c r="U45" s="285">
        <f t="shared" si="22"/>
        <v>0</v>
      </c>
      <c r="V45" s="286">
        <f>[1]BDD!A35</f>
        <v>3746</v>
      </c>
      <c r="W45" s="287" t="str">
        <f>[1]BDD!B35</f>
        <v>Banane deshydratée BIO semi-sèche artisanale
    - (Production Rufino, env. 200g)</v>
      </c>
      <c r="X45" s="288" t="str">
        <f>IF([1]BDD!F35=0, "", [1]BDD!F35)</f>
        <v>❤️</v>
      </c>
      <c r="Y45" s="214">
        <f>ROUND([1]BDD!G35+FDP_CMD_KG, 2)</f>
        <v>5.65</v>
      </c>
      <c r="Z45" s="214">
        <f>ROUND([1]BDD!G35+FDP_FACT_KG, 2)</f>
        <v>5.65</v>
      </c>
      <c r="AA45" s="215" t="str">
        <f>[1]BDD!H35</f>
        <v>Pièce</v>
      </c>
      <c r="AB45" s="225" t="str">
        <f>IF(NOT(ISBLANK([1]BDD!I35)), ROUND(SUM(([1]BDD!G35*reduc1),FDP_CMD_KG), 2), "")</f>
        <v/>
      </c>
      <c r="AC45" s="225" t="str">
        <f>IF(NOT(ISBLANK([1]BDD!J35)), ROUND(SUM(([1]BDD!G35*reduc2),FDP_CMD_KG), 2), "")</f>
        <v/>
      </c>
      <c r="AD45" s="225" t="str">
        <f>IF(NOT(ISBLANK([1]BDD!K35)), ROUND(SUM(([1]BDD!G35*reduc3),FDP_CMD_KG), 2), "")</f>
        <v/>
      </c>
      <c r="AE45" s="225" t="str">
        <f>IF(NOT(ISBLANK([1]BDD!I35)), ROUND(SUM(([1]BDD!G35*reduc1),FDP_FACT_KG), 2), "")</f>
        <v/>
      </c>
      <c r="AF45" s="225" t="str">
        <f>IF(NOT(ISBLANK([1]BDD!J35)), ROUND(SUM(([1]BDD!G35*reduc2),FDP_FACT_KG), 2), "")</f>
        <v/>
      </c>
      <c r="AG45" s="225" t="str">
        <f>IF(NOT(ISBLANK([1]BDD!K35)), ROUND(SUM(([1]BDD!G35*reduc3),FDP_FACT_KG), 2), "")</f>
        <v/>
      </c>
      <c r="AH45" s="289" t="str">
        <f>[1]BDD!C35</f>
        <v>Grenade</v>
      </c>
      <c r="AI45" s="290">
        <f t="shared" si="23"/>
        <v>0</v>
      </c>
      <c r="AJ45" s="216">
        <f t="shared" si="24"/>
        <v>5.65</v>
      </c>
      <c r="AK45" s="291">
        <f t="shared" si="25"/>
        <v>0</v>
      </c>
      <c r="AL45" s="429"/>
      <c r="AM45" s="292"/>
      <c r="AN45" s="216">
        <f t="shared" si="26"/>
        <v>5.65</v>
      </c>
      <c r="AO45" s="293">
        <f t="shared" si="27"/>
        <v>0</v>
      </c>
      <c r="AP45" s="294"/>
      <c r="AQ45" s="294"/>
      <c r="AR45" s="429"/>
      <c r="AS45" s="295">
        <f t="shared" si="28"/>
        <v>0</v>
      </c>
      <c r="AT45" s="216">
        <f t="shared" si="29"/>
        <v>5.65</v>
      </c>
      <c r="AU45" s="291">
        <f t="shared" si="1"/>
        <v>0</v>
      </c>
      <c r="AV45" s="296">
        <f>[1]COMMANDE!O43</f>
        <v>0</v>
      </c>
      <c r="AW45" s="297" t="str">
        <f t="shared" si="30"/>
        <v>0</v>
      </c>
      <c r="AX45" s="298">
        <f t="shared" si="31"/>
        <v>0</v>
      </c>
      <c r="AY45" s="299">
        <f>[1]COMMANDE!Q43</f>
        <v>0</v>
      </c>
      <c r="AZ45" s="297" t="str">
        <f t="shared" si="32"/>
        <v>0</v>
      </c>
      <c r="BA45" s="300">
        <f t="shared" si="33"/>
        <v>0</v>
      </c>
      <c r="BB45" s="301">
        <f>[1]COMMANDE!S43</f>
        <v>0</v>
      </c>
      <c r="BC45" s="297" t="str">
        <f t="shared" si="34"/>
        <v>0</v>
      </c>
      <c r="BD45" s="298">
        <f t="shared" si="35"/>
        <v>0</v>
      </c>
      <c r="BE45" s="299">
        <f>[1]COMMANDE!U43</f>
        <v>0</v>
      </c>
      <c r="BF45" s="297" t="str">
        <f t="shared" si="36"/>
        <v>0</v>
      </c>
      <c r="BG45" s="300">
        <f t="shared" si="37"/>
        <v>0</v>
      </c>
      <c r="BH45" s="301">
        <f>[1]COMMANDE!W43</f>
        <v>0</v>
      </c>
      <c r="BI45" s="297" t="str">
        <f t="shared" si="38"/>
        <v>0</v>
      </c>
      <c r="BJ45" s="298">
        <f t="shared" si="39"/>
        <v>0</v>
      </c>
      <c r="BK45" s="299">
        <f>[1]COMMANDE!Y43</f>
        <v>0</v>
      </c>
      <c r="BL45" s="297" t="str">
        <f t="shared" si="40"/>
        <v>0</v>
      </c>
      <c r="BM45" s="300">
        <f t="shared" si="41"/>
        <v>0</v>
      </c>
      <c r="BN45" s="301">
        <f>[1]COMMANDE!AA43</f>
        <v>0</v>
      </c>
      <c r="BO45" s="297" t="str">
        <f t="shared" si="42"/>
        <v>0</v>
      </c>
      <c r="BP45" s="298">
        <f t="shared" si="43"/>
        <v>0</v>
      </c>
      <c r="BQ45" s="299">
        <f>[1]COMMANDE!AC43</f>
        <v>0</v>
      </c>
      <c r="BR45" s="297" t="str">
        <f t="shared" si="44"/>
        <v>0</v>
      </c>
      <c r="BS45" s="300">
        <f t="shared" si="45"/>
        <v>0</v>
      </c>
      <c r="BT45" s="301">
        <f>[1]COMMANDE!AE43</f>
        <v>0</v>
      </c>
      <c r="BU45" s="297" t="str">
        <f t="shared" si="46"/>
        <v>0</v>
      </c>
      <c r="BV45" s="298">
        <f t="shared" si="47"/>
        <v>0</v>
      </c>
      <c r="BW45" s="299">
        <f>[1]COMMANDE!AG43</f>
        <v>0</v>
      </c>
      <c r="BX45" s="297" t="str">
        <f t="shared" si="48"/>
        <v>0</v>
      </c>
      <c r="BY45" s="300">
        <f t="shared" si="49"/>
        <v>0</v>
      </c>
      <c r="BZ45" s="301">
        <f>[1]COMMANDE!AI43</f>
        <v>0</v>
      </c>
      <c r="CA45" s="297" t="str">
        <f t="shared" si="50"/>
        <v>0</v>
      </c>
      <c r="CB45" s="298">
        <f t="shared" si="51"/>
        <v>0</v>
      </c>
      <c r="CC45" s="299">
        <f>[1]COMMANDE!AK43</f>
        <v>0</v>
      </c>
      <c r="CD45" s="297" t="str">
        <f t="shared" si="52"/>
        <v>0</v>
      </c>
      <c r="CE45" s="300">
        <f t="shared" si="53"/>
        <v>0</v>
      </c>
      <c r="CF45" s="301">
        <f>[1]COMMANDE!AM43</f>
        <v>0</v>
      </c>
      <c r="CG45" s="297" t="str">
        <f t="shared" si="54"/>
        <v>0</v>
      </c>
      <c r="CH45" s="298">
        <f t="shared" si="55"/>
        <v>0</v>
      </c>
      <c r="CI45" s="299">
        <f>[1]COMMANDE!AO43</f>
        <v>0</v>
      </c>
      <c r="CJ45" s="297" t="str">
        <f t="shared" si="56"/>
        <v>0</v>
      </c>
      <c r="CK45" s="300">
        <f t="shared" si="57"/>
        <v>0</v>
      </c>
      <c r="CL45" s="301">
        <f>[1]COMMANDE!AQ43</f>
        <v>0</v>
      </c>
      <c r="CM45" s="297" t="str">
        <f t="shared" si="58"/>
        <v>0</v>
      </c>
      <c r="CN45" s="298">
        <f t="shared" si="59"/>
        <v>0</v>
      </c>
      <c r="CO45" s="299">
        <f>[1]COMMANDE!AS43</f>
        <v>0</v>
      </c>
      <c r="CP45" s="297" t="str">
        <f t="shared" si="60"/>
        <v>0</v>
      </c>
      <c r="CQ45" s="300">
        <f t="shared" si="61"/>
        <v>0</v>
      </c>
      <c r="CR45" s="301">
        <f>[1]COMMANDE!AU43</f>
        <v>0</v>
      </c>
      <c r="CS45" s="297" t="str">
        <f t="shared" si="62"/>
        <v>0</v>
      </c>
      <c r="CT45" s="298">
        <f t="shared" si="63"/>
        <v>0</v>
      </c>
      <c r="CU45" s="299">
        <f>[1]COMMANDE!AW43</f>
        <v>0</v>
      </c>
      <c r="CV45" s="297" t="str">
        <f t="shared" si="64"/>
        <v>0</v>
      </c>
      <c r="CW45" s="300">
        <f t="shared" si="65"/>
        <v>0</v>
      </c>
      <c r="CX45" s="301">
        <f>[1]COMMANDE!AY43</f>
        <v>0</v>
      </c>
      <c r="CY45" s="297" t="str">
        <f t="shared" si="66"/>
        <v>0</v>
      </c>
      <c r="CZ45" s="298">
        <f t="shared" si="67"/>
        <v>0</v>
      </c>
      <c r="DA45" s="299">
        <f>[1]COMMANDE!BA43</f>
        <v>0</v>
      </c>
      <c r="DB45" s="297" t="str">
        <f t="shared" si="68"/>
        <v>0</v>
      </c>
      <c r="DC45" s="302">
        <f t="shared" si="69"/>
        <v>0</v>
      </c>
      <c r="DD45" s="303"/>
      <c r="DE45" s="304"/>
    </row>
    <row r="46" spans="1:109" ht="39.950000000000003" customHeight="1" x14ac:dyDescent="0.25">
      <c r="A46" s="284">
        <f t="shared" si="2"/>
        <v>0</v>
      </c>
      <c r="B46" s="284">
        <f t="shared" si="3"/>
        <v>0</v>
      </c>
      <c r="C46" s="284">
        <f t="shared" si="4"/>
        <v>0</v>
      </c>
      <c r="D46" s="284">
        <f t="shared" si="5"/>
        <v>0</v>
      </c>
      <c r="E46" s="284">
        <f t="shared" si="6"/>
        <v>0</v>
      </c>
      <c r="F46" s="284">
        <f t="shared" si="7"/>
        <v>0</v>
      </c>
      <c r="G46" s="284">
        <f t="shared" si="8"/>
        <v>0</v>
      </c>
      <c r="H46" s="284">
        <f t="shared" si="9"/>
        <v>0</v>
      </c>
      <c r="I46" s="284">
        <f t="shared" si="10"/>
        <v>0</v>
      </c>
      <c r="J46" s="284">
        <f t="shared" si="11"/>
        <v>0</v>
      </c>
      <c r="K46" s="284">
        <f t="shared" si="12"/>
        <v>0</v>
      </c>
      <c r="L46" s="284">
        <f t="shared" si="13"/>
        <v>0</v>
      </c>
      <c r="M46" s="284">
        <f t="shared" si="14"/>
        <v>0</v>
      </c>
      <c r="N46" s="284">
        <f t="shared" si="15"/>
        <v>0</v>
      </c>
      <c r="O46" s="284">
        <f t="shared" si="16"/>
        <v>0</v>
      </c>
      <c r="P46" s="284">
        <f t="shared" si="17"/>
        <v>0</v>
      </c>
      <c r="Q46" s="284">
        <f t="shared" si="18"/>
        <v>0</v>
      </c>
      <c r="R46" s="284">
        <f t="shared" si="19"/>
        <v>0</v>
      </c>
      <c r="S46" s="284">
        <f t="shared" si="20"/>
        <v>0</v>
      </c>
      <c r="T46" s="284">
        <f t="shared" si="21"/>
        <v>0</v>
      </c>
      <c r="U46" s="285">
        <f t="shared" si="22"/>
        <v>0</v>
      </c>
      <c r="V46" s="286">
        <f>[1]BDD!A36</f>
        <v>1458</v>
      </c>
      <c r="W46" s="287" t="str">
        <f>[1]BDD!B36</f>
        <v>Bâtons de cannelle BIO (env. 100g)</v>
      </c>
      <c r="X46" s="288" t="str">
        <f>IF([1]BDD!F36=0, "", [1]BDD!F36)</f>
        <v/>
      </c>
      <c r="Y46" s="214">
        <f>ROUND([1]BDD!G36+FDP_CMD_KG, 2)</f>
        <v>8.94</v>
      </c>
      <c r="Z46" s="214">
        <f>ROUND([1]BDD!G36+FDP_FACT_KG, 2)</f>
        <v>8.94</v>
      </c>
      <c r="AA46" s="215" t="str">
        <f>[1]BDD!H36</f>
        <v>Pièce</v>
      </c>
      <c r="AB46" s="225" t="str">
        <f>IF(NOT(ISBLANK([1]BDD!I36)), ROUND(SUM(([1]BDD!G36*reduc1),FDP_CMD_KG), 2), "")</f>
        <v/>
      </c>
      <c r="AC46" s="225" t="str">
        <f>IF(NOT(ISBLANK([1]BDD!J36)), ROUND(SUM(([1]BDD!G36*reduc2),FDP_CMD_KG), 2), "")</f>
        <v/>
      </c>
      <c r="AD46" s="225" t="str">
        <f>IF(NOT(ISBLANK([1]BDD!K36)), ROUND(SUM(([1]BDD!G36*reduc3),FDP_CMD_KG), 2), "")</f>
        <v/>
      </c>
      <c r="AE46" s="225" t="str">
        <f>IF(NOT(ISBLANK([1]BDD!I36)), ROUND(SUM(([1]BDD!G36*reduc1),FDP_FACT_KG), 2), "")</f>
        <v/>
      </c>
      <c r="AF46" s="225" t="str">
        <f>IF(NOT(ISBLANK([1]BDD!J36)), ROUND(SUM(([1]BDD!G36*reduc2),FDP_FACT_KG), 2), "")</f>
        <v/>
      </c>
      <c r="AG46" s="225" t="str">
        <f>IF(NOT(ISBLANK([1]BDD!K36)), ROUND(SUM(([1]BDD!G36*reduc3),FDP_FACT_KG), 2), "")</f>
        <v/>
      </c>
      <c r="AH46" s="289" t="str">
        <f>[1]BDD!C36</f>
        <v>Inde</v>
      </c>
      <c r="AI46" s="290">
        <f t="shared" si="23"/>
        <v>0</v>
      </c>
      <c r="AJ46" s="216">
        <f t="shared" si="24"/>
        <v>8.94</v>
      </c>
      <c r="AK46" s="291">
        <f t="shared" si="25"/>
        <v>0</v>
      </c>
      <c r="AL46" s="429"/>
      <c r="AM46" s="292"/>
      <c r="AN46" s="216">
        <f t="shared" si="26"/>
        <v>8.94</v>
      </c>
      <c r="AO46" s="293">
        <f t="shared" si="27"/>
        <v>0</v>
      </c>
      <c r="AP46" s="294"/>
      <c r="AQ46" s="294"/>
      <c r="AR46" s="429"/>
      <c r="AS46" s="295">
        <f t="shared" si="28"/>
        <v>0</v>
      </c>
      <c r="AT46" s="216">
        <f t="shared" si="29"/>
        <v>8.94</v>
      </c>
      <c r="AU46" s="291">
        <f t="shared" si="1"/>
        <v>0</v>
      </c>
      <c r="AV46" s="296">
        <f>[1]COMMANDE!O44</f>
        <v>0</v>
      </c>
      <c r="AW46" s="297" t="str">
        <f t="shared" si="30"/>
        <v>0</v>
      </c>
      <c r="AX46" s="298">
        <f t="shared" si="31"/>
        <v>0</v>
      </c>
      <c r="AY46" s="299">
        <f>[1]COMMANDE!Q44</f>
        <v>0</v>
      </c>
      <c r="AZ46" s="297" t="str">
        <f t="shared" si="32"/>
        <v>0</v>
      </c>
      <c r="BA46" s="300">
        <f t="shared" si="33"/>
        <v>0</v>
      </c>
      <c r="BB46" s="301">
        <f>[1]COMMANDE!S44</f>
        <v>0</v>
      </c>
      <c r="BC46" s="297" t="str">
        <f t="shared" si="34"/>
        <v>0</v>
      </c>
      <c r="BD46" s="298">
        <f t="shared" si="35"/>
        <v>0</v>
      </c>
      <c r="BE46" s="299">
        <f>[1]COMMANDE!U44</f>
        <v>0</v>
      </c>
      <c r="BF46" s="297" t="str">
        <f t="shared" si="36"/>
        <v>0</v>
      </c>
      <c r="BG46" s="300">
        <f t="shared" si="37"/>
        <v>0</v>
      </c>
      <c r="BH46" s="301">
        <f>[1]COMMANDE!W44</f>
        <v>0</v>
      </c>
      <c r="BI46" s="297" t="str">
        <f t="shared" si="38"/>
        <v>0</v>
      </c>
      <c r="BJ46" s="298">
        <f t="shared" si="39"/>
        <v>0</v>
      </c>
      <c r="BK46" s="299">
        <f>[1]COMMANDE!Y44</f>
        <v>0</v>
      </c>
      <c r="BL46" s="297" t="str">
        <f t="shared" si="40"/>
        <v>0</v>
      </c>
      <c r="BM46" s="300">
        <f t="shared" si="41"/>
        <v>0</v>
      </c>
      <c r="BN46" s="301">
        <f>[1]COMMANDE!AA44</f>
        <v>0</v>
      </c>
      <c r="BO46" s="297" t="str">
        <f t="shared" si="42"/>
        <v>0</v>
      </c>
      <c r="BP46" s="298">
        <f t="shared" si="43"/>
        <v>0</v>
      </c>
      <c r="BQ46" s="299">
        <f>[1]COMMANDE!AC44</f>
        <v>0</v>
      </c>
      <c r="BR46" s="297" t="str">
        <f t="shared" si="44"/>
        <v>0</v>
      </c>
      <c r="BS46" s="300">
        <f t="shared" si="45"/>
        <v>0</v>
      </c>
      <c r="BT46" s="301">
        <f>[1]COMMANDE!AE44</f>
        <v>0</v>
      </c>
      <c r="BU46" s="297" t="str">
        <f t="shared" si="46"/>
        <v>0</v>
      </c>
      <c r="BV46" s="298">
        <f t="shared" si="47"/>
        <v>0</v>
      </c>
      <c r="BW46" s="299">
        <f>[1]COMMANDE!AG44</f>
        <v>0</v>
      </c>
      <c r="BX46" s="297" t="str">
        <f t="shared" si="48"/>
        <v>0</v>
      </c>
      <c r="BY46" s="300">
        <f t="shared" si="49"/>
        <v>0</v>
      </c>
      <c r="BZ46" s="301">
        <f>[1]COMMANDE!AI44</f>
        <v>0</v>
      </c>
      <c r="CA46" s="297" t="str">
        <f t="shared" si="50"/>
        <v>0</v>
      </c>
      <c r="CB46" s="298">
        <f t="shared" si="51"/>
        <v>0</v>
      </c>
      <c r="CC46" s="299">
        <f>[1]COMMANDE!AK44</f>
        <v>0</v>
      </c>
      <c r="CD46" s="297" t="str">
        <f t="shared" si="52"/>
        <v>0</v>
      </c>
      <c r="CE46" s="300">
        <f t="shared" si="53"/>
        <v>0</v>
      </c>
      <c r="CF46" s="301">
        <f>[1]COMMANDE!AM44</f>
        <v>0</v>
      </c>
      <c r="CG46" s="297" t="str">
        <f t="shared" si="54"/>
        <v>0</v>
      </c>
      <c r="CH46" s="298">
        <f t="shared" si="55"/>
        <v>0</v>
      </c>
      <c r="CI46" s="299">
        <f>[1]COMMANDE!AO44</f>
        <v>0</v>
      </c>
      <c r="CJ46" s="297" t="str">
        <f t="shared" si="56"/>
        <v>0</v>
      </c>
      <c r="CK46" s="300">
        <f t="shared" si="57"/>
        <v>0</v>
      </c>
      <c r="CL46" s="301">
        <f>[1]COMMANDE!AQ44</f>
        <v>0</v>
      </c>
      <c r="CM46" s="297" t="str">
        <f t="shared" si="58"/>
        <v>0</v>
      </c>
      <c r="CN46" s="298">
        <f t="shared" si="59"/>
        <v>0</v>
      </c>
      <c r="CO46" s="299">
        <f>[1]COMMANDE!AS44</f>
        <v>0</v>
      </c>
      <c r="CP46" s="297" t="str">
        <f t="shared" si="60"/>
        <v>0</v>
      </c>
      <c r="CQ46" s="300">
        <f t="shared" si="61"/>
        <v>0</v>
      </c>
      <c r="CR46" s="301">
        <f>[1]COMMANDE!AU44</f>
        <v>0</v>
      </c>
      <c r="CS46" s="297" t="str">
        <f t="shared" si="62"/>
        <v>0</v>
      </c>
      <c r="CT46" s="298">
        <f t="shared" si="63"/>
        <v>0</v>
      </c>
      <c r="CU46" s="299">
        <f>[1]COMMANDE!AW44</f>
        <v>0</v>
      </c>
      <c r="CV46" s="297" t="str">
        <f t="shared" si="64"/>
        <v>0</v>
      </c>
      <c r="CW46" s="300">
        <f t="shared" si="65"/>
        <v>0</v>
      </c>
      <c r="CX46" s="301">
        <f>[1]COMMANDE!AY44</f>
        <v>0</v>
      </c>
      <c r="CY46" s="297" t="str">
        <f t="shared" si="66"/>
        <v>0</v>
      </c>
      <c r="CZ46" s="298">
        <f t="shared" si="67"/>
        <v>0</v>
      </c>
      <c r="DA46" s="299">
        <f>[1]COMMANDE!BA44</f>
        <v>0</v>
      </c>
      <c r="DB46" s="297" t="str">
        <f t="shared" si="68"/>
        <v>0</v>
      </c>
      <c r="DC46" s="302">
        <f t="shared" si="69"/>
        <v>0</v>
      </c>
      <c r="DD46" s="303"/>
      <c r="DE46" s="304"/>
    </row>
    <row r="47" spans="1:109" ht="39.950000000000003" customHeight="1" x14ac:dyDescent="0.25">
      <c r="A47" s="284">
        <f t="shared" si="2"/>
        <v>1</v>
      </c>
      <c r="B47" s="284">
        <f t="shared" si="3"/>
        <v>0</v>
      </c>
      <c r="C47" s="284">
        <f t="shared" si="4"/>
        <v>0</v>
      </c>
      <c r="D47" s="284">
        <f t="shared" si="5"/>
        <v>0</v>
      </c>
      <c r="E47" s="284">
        <f t="shared" si="6"/>
        <v>0</v>
      </c>
      <c r="F47" s="284">
        <f t="shared" si="7"/>
        <v>0</v>
      </c>
      <c r="G47" s="284">
        <f t="shared" si="8"/>
        <v>0</v>
      </c>
      <c r="H47" s="284">
        <f t="shared" si="9"/>
        <v>0</v>
      </c>
      <c r="I47" s="284">
        <f t="shared" si="10"/>
        <v>0</v>
      </c>
      <c r="J47" s="284">
        <f t="shared" si="11"/>
        <v>0</v>
      </c>
      <c r="K47" s="284">
        <f t="shared" si="12"/>
        <v>0</v>
      </c>
      <c r="L47" s="284">
        <f t="shared" si="13"/>
        <v>0</v>
      </c>
      <c r="M47" s="284">
        <f t="shared" si="14"/>
        <v>0</v>
      </c>
      <c r="N47" s="284">
        <f t="shared" si="15"/>
        <v>0</v>
      </c>
      <c r="O47" s="284">
        <f t="shared" si="16"/>
        <v>0</v>
      </c>
      <c r="P47" s="284">
        <f t="shared" si="17"/>
        <v>0</v>
      </c>
      <c r="Q47" s="284">
        <f t="shared" si="18"/>
        <v>0</v>
      </c>
      <c r="R47" s="284">
        <f t="shared" si="19"/>
        <v>0</v>
      </c>
      <c r="S47" s="284">
        <f t="shared" si="20"/>
        <v>0</v>
      </c>
      <c r="T47" s="284">
        <f t="shared" si="21"/>
        <v>0</v>
      </c>
      <c r="U47" s="285">
        <f t="shared" si="22"/>
        <v>1</v>
      </c>
      <c r="V47" s="286">
        <f>[1]BDD!A37</f>
        <v>1275</v>
      </c>
      <c r="W47" s="287" t="str">
        <f>[1]BDD!B37</f>
        <v>Betterave avec fanes BIO (production Rufino)</v>
      </c>
      <c r="X47" s="288" t="str">
        <f>IF([1]BDD!F37=0, "", [1]BDD!F37)</f>
        <v/>
      </c>
      <c r="Y47" s="214">
        <f>ROUND([1]BDD!G37+FDP_CMD_KG, 2)</f>
        <v>4.1399999999999997</v>
      </c>
      <c r="Z47" s="214">
        <f>ROUND([1]BDD!G37+FDP_FACT_KG, 2)</f>
        <v>4.1399999999999997</v>
      </c>
      <c r="AA47" s="215" t="str">
        <f>[1]BDD!H37</f>
        <v>kg</v>
      </c>
      <c r="AB47" s="225">
        <f>IF(NOT(ISBLANK([1]BDD!I37)), ROUND(SUM(([1]BDD!G37*reduc1),FDP_CMD_KG), 2), "")</f>
        <v>3.82</v>
      </c>
      <c r="AC47" s="225" t="str">
        <f>IF(NOT(ISBLANK([1]BDD!J37)), ROUND(SUM(([1]BDD!G37*reduc2),FDP_CMD_KG), 2), "")</f>
        <v/>
      </c>
      <c r="AD47" s="225" t="str">
        <f>IF(NOT(ISBLANK([1]BDD!K37)), ROUND(SUM(([1]BDD!G37*reduc3),FDP_CMD_KG), 2), "")</f>
        <v/>
      </c>
      <c r="AE47" s="225">
        <f>IF(NOT(ISBLANK([1]BDD!I37)), ROUND(SUM(([1]BDD!G37*reduc1),FDP_FACT_KG), 2), "")</f>
        <v>3.81</v>
      </c>
      <c r="AF47" s="225" t="str">
        <f>IF(NOT(ISBLANK([1]BDD!J37)), ROUND(SUM(([1]BDD!G37*reduc2),FDP_FACT_KG), 2), "")</f>
        <v/>
      </c>
      <c r="AG47" s="225" t="str">
        <f>IF(NOT(ISBLANK([1]BDD!K37)), ROUND(SUM(([1]BDD!G37*reduc3),FDP_FACT_KG), 2), "")</f>
        <v/>
      </c>
      <c r="AH47" s="289" t="str">
        <f>[1]BDD!C37</f>
        <v>Grenade</v>
      </c>
      <c r="AI47" s="290">
        <f t="shared" si="23"/>
        <v>0</v>
      </c>
      <c r="AJ47" s="216">
        <f t="shared" si="24"/>
        <v>3.82</v>
      </c>
      <c r="AK47" s="291">
        <f t="shared" si="25"/>
        <v>0</v>
      </c>
      <c r="AL47" s="429"/>
      <c r="AM47" s="292">
        <v>5.0999999999999996</v>
      </c>
      <c r="AN47" s="216">
        <f t="shared" si="26"/>
        <v>4.1399999999999997</v>
      </c>
      <c r="AO47" s="293">
        <f t="shared" si="27"/>
        <v>21.113999999999997</v>
      </c>
      <c r="AP47" s="294"/>
      <c r="AQ47" s="294">
        <v>3</v>
      </c>
      <c r="AR47" s="429"/>
      <c r="AS47" s="295">
        <f t="shared" si="28"/>
        <v>5.0999999999999996</v>
      </c>
      <c r="AT47" s="216">
        <f t="shared" si="29"/>
        <v>4.1399999999999997</v>
      </c>
      <c r="AU47" s="291">
        <f t="shared" si="1"/>
        <v>21.113999999999997</v>
      </c>
      <c r="AV47" s="296">
        <f>[1]COMMANDE!O45</f>
        <v>0</v>
      </c>
      <c r="AW47" s="297">
        <f t="shared" si="30"/>
        <v>5.0999999999999996</v>
      </c>
      <c r="AX47" s="298">
        <f t="shared" si="31"/>
        <v>21.113999999999997</v>
      </c>
      <c r="AY47" s="299">
        <f>[1]COMMANDE!Q45</f>
        <v>0</v>
      </c>
      <c r="AZ47" s="297" t="str">
        <f t="shared" si="32"/>
        <v>-</v>
      </c>
      <c r="BA47" s="300">
        <f t="shared" si="33"/>
        <v>0</v>
      </c>
      <c r="BB47" s="301">
        <f>[1]COMMANDE!S45</f>
        <v>0</v>
      </c>
      <c r="BC47" s="297" t="str">
        <f t="shared" si="34"/>
        <v>-</v>
      </c>
      <c r="BD47" s="298">
        <f t="shared" si="35"/>
        <v>0</v>
      </c>
      <c r="BE47" s="299">
        <f>[1]COMMANDE!U45</f>
        <v>0</v>
      </c>
      <c r="BF47" s="297" t="str">
        <f t="shared" si="36"/>
        <v>-</v>
      </c>
      <c r="BG47" s="300">
        <f t="shared" si="37"/>
        <v>0</v>
      </c>
      <c r="BH47" s="301">
        <f>[1]COMMANDE!W45</f>
        <v>0</v>
      </c>
      <c r="BI47" s="297" t="str">
        <f t="shared" si="38"/>
        <v>-</v>
      </c>
      <c r="BJ47" s="298">
        <f t="shared" si="39"/>
        <v>0</v>
      </c>
      <c r="BK47" s="299">
        <f>[1]COMMANDE!Y45</f>
        <v>0</v>
      </c>
      <c r="BL47" s="297" t="str">
        <f t="shared" si="40"/>
        <v>-</v>
      </c>
      <c r="BM47" s="300">
        <f t="shared" si="41"/>
        <v>0</v>
      </c>
      <c r="BN47" s="301">
        <f>[1]COMMANDE!AA45</f>
        <v>0</v>
      </c>
      <c r="BO47" s="297" t="str">
        <f t="shared" si="42"/>
        <v>-</v>
      </c>
      <c r="BP47" s="298">
        <f t="shared" si="43"/>
        <v>0</v>
      </c>
      <c r="BQ47" s="299">
        <f>[1]COMMANDE!AC45</f>
        <v>0</v>
      </c>
      <c r="BR47" s="297" t="str">
        <f t="shared" si="44"/>
        <v>-</v>
      </c>
      <c r="BS47" s="300">
        <f t="shared" si="45"/>
        <v>0</v>
      </c>
      <c r="BT47" s="301">
        <f>[1]COMMANDE!AE45</f>
        <v>0</v>
      </c>
      <c r="BU47" s="297" t="str">
        <f t="shared" si="46"/>
        <v>-</v>
      </c>
      <c r="BV47" s="298">
        <f t="shared" si="47"/>
        <v>0</v>
      </c>
      <c r="BW47" s="299">
        <f>[1]COMMANDE!AG45</f>
        <v>0</v>
      </c>
      <c r="BX47" s="297" t="str">
        <f t="shared" si="48"/>
        <v>-</v>
      </c>
      <c r="BY47" s="300">
        <f t="shared" si="49"/>
        <v>0</v>
      </c>
      <c r="BZ47" s="301">
        <f>[1]COMMANDE!AI45</f>
        <v>0</v>
      </c>
      <c r="CA47" s="297" t="str">
        <f t="shared" si="50"/>
        <v>-</v>
      </c>
      <c r="CB47" s="298">
        <f t="shared" si="51"/>
        <v>0</v>
      </c>
      <c r="CC47" s="299">
        <f>[1]COMMANDE!AK45</f>
        <v>0</v>
      </c>
      <c r="CD47" s="297" t="str">
        <f t="shared" si="52"/>
        <v>-</v>
      </c>
      <c r="CE47" s="300">
        <f t="shared" si="53"/>
        <v>0</v>
      </c>
      <c r="CF47" s="301">
        <f>[1]COMMANDE!AM45</f>
        <v>0</v>
      </c>
      <c r="CG47" s="297" t="str">
        <f t="shared" si="54"/>
        <v>-</v>
      </c>
      <c r="CH47" s="298">
        <f t="shared" si="55"/>
        <v>0</v>
      </c>
      <c r="CI47" s="299">
        <f>[1]COMMANDE!AO45</f>
        <v>0</v>
      </c>
      <c r="CJ47" s="297" t="str">
        <f t="shared" si="56"/>
        <v>-</v>
      </c>
      <c r="CK47" s="300">
        <f t="shared" si="57"/>
        <v>0</v>
      </c>
      <c r="CL47" s="301">
        <f>[1]COMMANDE!AQ45</f>
        <v>0</v>
      </c>
      <c r="CM47" s="297" t="str">
        <f t="shared" si="58"/>
        <v>-</v>
      </c>
      <c r="CN47" s="298">
        <f t="shared" si="59"/>
        <v>0</v>
      </c>
      <c r="CO47" s="299">
        <f>[1]COMMANDE!AS45</f>
        <v>0</v>
      </c>
      <c r="CP47" s="297" t="str">
        <f t="shared" si="60"/>
        <v>-</v>
      </c>
      <c r="CQ47" s="300">
        <f t="shared" si="61"/>
        <v>0</v>
      </c>
      <c r="CR47" s="301">
        <f>[1]COMMANDE!AU45</f>
        <v>0</v>
      </c>
      <c r="CS47" s="297" t="str">
        <f t="shared" si="62"/>
        <v>-</v>
      </c>
      <c r="CT47" s="298">
        <f t="shared" si="63"/>
        <v>0</v>
      </c>
      <c r="CU47" s="299">
        <f>[1]COMMANDE!AW45</f>
        <v>0</v>
      </c>
      <c r="CV47" s="297" t="str">
        <f t="shared" si="64"/>
        <v>-</v>
      </c>
      <c r="CW47" s="300">
        <f t="shared" si="65"/>
        <v>0</v>
      </c>
      <c r="CX47" s="301">
        <f>[1]COMMANDE!AY45</f>
        <v>0</v>
      </c>
      <c r="CY47" s="297" t="str">
        <f t="shared" si="66"/>
        <v>-</v>
      </c>
      <c r="CZ47" s="298">
        <f t="shared" si="67"/>
        <v>0</v>
      </c>
      <c r="DA47" s="299">
        <f>[1]COMMANDE!BA45</f>
        <v>0</v>
      </c>
      <c r="DB47" s="297" t="str">
        <f t="shared" si="68"/>
        <v>-</v>
      </c>
      <c r="DC47" s="302">
        <f t="shared" si="69"/>
        <v>0</v>
      </c>
      <c r="DD47" s="303"/>
      <c r="DE47" s="304"/>
    </row>
    <row r="48" spans="1:109" ht="39.950000000000003" customHeight="1" x14ac:dyDescent="0.25">
      <c r="A48" s="284">
        <f t="shared" si="2"/>
        <v>1</v>
      </c>
      <c r="B48" s="284">
        <f t="shared" si="3"/>
        <v>0</v>
      </c>
      <c r="C48" s="284">
        <f t="shared" si="4"/>
        <v>0</v>
      </c>
      <c r="D48" s="284">
        <f t="shared" si="5"/>
        <v>0</v>
      </c>
      <c r="E48" s="284">
        <f t="shared" si="6"/>
        <v>0</v>
      </c>
      <c r="F48" s="284">
        <f t="shared" si="7"/>
        <v>0</v>
      </c>
      <c r="G48" s="284">
        <f t="shared" si="8"/>
        <v>0</v>
      </c>
      <c r="H48" s="284">
        <f t="shared" si="9"/>
        <v>0</v>
      </c>
      <c r="I48" s="284">
        <f t="shared" si="10"/>
        <v>0</v>
      </c>
      <c r="J48" s="284">
        <f t="shared" si="11"/>
        <v>0</v>
      </c>
      <c r="K48" s="284">
        <f t="shared" si="12"/>
        <v>0</v>
      </c>
      <c r="L48" s="284">
        <f t="shared" si="13"/>
        <v>0</v>
      </c>
      <c r="M48" s="284">
        <f t="shared" si="14"/>
        <v>0</v>
      </c>
      <c r="N48" s="284">
        <f t="shared" si="15"/>
        <v>0</v>
      </c>
      <c r="O48" s="284">
        <f t="shared" si="16"/>
        <v>0</v>
      </c>
      <c r="P48" s="284">
        <f t="shared" si="17"/>
        <v>0</v>
      </c>
      <c r="Q48" s="284">
        <f t="shared" si="18"/>
        <v>0</v>
      </c>
      <c r="R48" s="284">
        <f t="shared" si="19"/>
        <v>0</v>
      </c>
      <c r="S48" s="284">
        <f t="shared" si="20"/>
        <v>0</v>
      </c>
      <c r="T48" s="284">
        <f t="shared" si="21"/>
        <v>0</v>
      </c>
      <c r="U48" s="285">
        <f t="shared" si="22"/>
        <v>1</v>
      </c>
      <c r="V48" s="286">
        <f>[1]BDD!A38</f>
        <v>1679</v>
      </c>
      <c r="W48" s="287" t="str">
        <f>[1]BDD!B38</f>
        <v>Betterave sans fanes BIO</v>
      </c>
      <c r="X48" s="288" t="str">
        <f>IF([1]BDD!F38=0, "", [1]BDD!F38)</f>
        <v>❤️</v>
      </c>
      <c r="Y48" s="214">
        <f>ROUND([1]BDD!G38+FDP_CMD_KG, 2)</f>
        <v>3.58</v>
      </c>
      <c r="Z48" s="214">
        <f>ROUND([1]BDD!G38+FDP_FACT_KG, 2)</f>
        <v>3.58</v>
      </c>
      <c r="AA48" s="215" t="str">
        <f>[1]BDD!H38</f>
        <v>kg</v>
      </c>
      <c r="AB48" s="225">
        <f>IF(NOT(ISBLANK([1]BDD!I38)), ROUND(SUM(([1]BDD!G38*reduc1),FDP_CMD_KG), 2), "")</f>
        <v>3.31</v>
      </c>
      <c r="AC48" s="225" t="str">
        <f>IF(NOT(ISBLANK([1]BDD!J38)), ROUND(SUM(([1]BDD!G38*reduc2),FDP_CMD_KG), 2), "")</f>
        <v/>
      </c>
      <c r="AD48" s="225" t="str">
        <f>IF(NOT(ISBLANK([1]BDD!K38)), ROUND(SUM(([1]BDD!G38*reduc3),FDP_CMD_KG), 2), "")</f>
        <v/>
      </c>
      <c r="AE48" s="225">
        <f>IF(NOT(ISBLANK([1]BDD!I38)), ROUND(SUM(([1]BDD!G38*reduc1),FDP_FACT_KG), 2), "")</f>
        <v>3.31</v>
      </c>
      <c r="AF48" s="225" t="str">
        <f>IF(NOT(ISBLANK([1]BDD!J38)), ROUND(SUM(([1]BDD!G38*reduc2),FDP_FACT_KG), 2), "")</f>
        <v/>
      </c>
      <c r="AG48" s="225" t="str">
        <f>IF(NOT(ISBLANK([1]BDD!K38)), ROUND(SUM(([1]BDD!G38*reduc3),FDP_FACT_KG), 2), "")</f>
        <v/>
      </c>
      <c r="AH48" s="289" t="str">
        <f>[1]BDD!C38</f>
        <v>Malaga</v>
      </c>
      <c r="AI48" s="290">
        <f t="shared" si="23"/>
        <v>5</v>
      </c>
      <c r="AJ48" s="216">
        <f t="shared" si="24"/>
        <v>3.31</v>
      </c>
      <c r="AK48" s="291">
        <f t="shared" si="25"/>
        <v>16.55</v>
      </c>
      <c r="AL48" s="429"/>
      <c r="AM48" s="292"/>
      <c r="AN48" s="216">
        <f t="shared" si="26"/>
        <v>3.58</v>
      </c>
      <c r="AO48" s="293">
        <f t="shared" si="27"/>
        <v>0</v>
      </c>
      <c r="AP48" s="294">
        <v>3</v>
      </c>
      <c r="AQ48" s="294"/>
      <c r="AR48" s="429"/>
      <c r="AS48" s="295">
        <f t="shared" si="28"/>
        <v>0</v>
      </c>
      <c r="AT48" s="216">
        <f t="shared" si="29"/>
        <v>3.58</v>
      </c>
      <c r="AU48" s="291">
        <f t="shared" si="1"/>
        <v>0</v>
      </c>
      <c r="AV48" s="296">
        <f>[1]COMMANDE!O46</f>
        <v>5</v>
      </c>
      <c r="AW48" s="297" t="str">
        <f t="shared" si="30"/>
        <v>0</v>
      </c>
      <c r="AX48" s="298">
        <f t="shared" si="31"/>
        <v>0</v>
      </c>
      <c r="AY48" s="299">
        <f>[1]COMMANDE!Q46</f>
        <v>0</v>
      </c>
      <c r="AZ48" s="297" t="str">
        <f t="shared" si="32"/>
        <v>0</v>
      </c>
      <c r="BA48" s="300">
        <f t="shared" si="33"/>
        <v>0</v>
      </c>
      <c r="BB48" s="301">
        <f>[1]COMMANDE!S46</f>
        <v>0</v>
      </c>
      <c r="BC48" s="297" t="str">
        <f t="shared" si="34"/>
        <v>0</v>
      </c>
      <c r="BD48" s="298">
        <f t="shared" si="35"/>
        <v>0</v>
      </c>
      <c r="BE48" s="299">
        <f>[1]COMMANDE!U46</f>
        <v>0</v>
      </c>
      <c r="BF48" s="297" t="str">
        <f t="shared" si="36"/>
        <v>0</v>
      </c>
      <c r="BG48" s="300">
        <f t="shared" si="37"/>
        <v>0</v>
      </c>
      <c r="BH48" s="301">
        <f>[1]COMMANDE!W46</f>
        <v>0</v>
      </c>
      <c r="BI48" s="297" t="str">
        <f t="shared" si="38"/>
        <v>0</v>
      </c>
      <c r="BJ48" s="298">
        <f t="shared" si="39"/>
        <v>0</v>
      </c>
      <c r="BK48" s="299">
        <f>[1]COMMANDE!Y46</f>
        <v>0</v>
      </c>
      <c r="BL48" s="297" t="str">
        <f t="shared" si="40"/>
        <v>0</v>
      </c>
      <c r="BM48" s="300">
        <f t="shared" si="41"/>
        <v>0</v>
      </c>
      <c r="BN48" s="301">
        <f>[1]COMMANDE!AA46</f>
        <v>0</v>
      </c>
      <c r="BO48" s="297" t="str">
        <f t="shared" si="42"/>
        <v>0</v>
      </c>
      <c r="BP48" s="298">
        <f t="shared" si="43"/>
        <v>0</v>
      </c>
      <c r="BQ48" s="299">
        <f>[1]COMMANDE!AC46</f>
        <v>0</v>
      </c>
      <c r="BR48" s="297" t="str">
        <f t="shared" si="44"/>
        <v>0</v>
      </c>
      <c r="BS48" s="300">
        <f t="shared" si="45"/>
        <v>0</v>
      </c>
      <c r="BT48" s="301">
        <f>[1]COMMANDE!AE46</f>
        <v>0</v>
      </c>
      <c r="BU48" s="297" t="str">
        <f t="shared" si="46"/>
        <v>0</v>
      </c>
      <c r="BV48" s="298">
        <f t="shared" si="47"/>
        <v>0</v>
      </c>
      <c r="BW48" s="299">
        <f>[1]COMMANDE!AG46</f>
        <v>0</v>
      </c>
      <c r="BX48" s="297" t="str">
        <f t="shared" si="48"/>
        <v>0</v>
      </c>
      <c r="BY48" s="300">
        <f t="shared" si="49"/>
        <v>0</v>
      </c>
      <c r="BZ48" s="301">
        <f>[1]COMMANDE!AI46</f>
        <v>0</v>
      </c>
      <c r="CA48" s="297" t="str">
        <f t="shared" si="50"/>
        <v>0</v>
      </c>
      <c r="CB48" s="298">
        <f t="shared" si="51"/>
        <v>0</v>
      </c>
      <c r="CC48" s="299">
        <f>[1]COMMANDE!AK46</f>
        <v>0</v>
      </c>
      <c r="CD48" s="297" t="str">
        <f t="shared" si="52"/>
        <v>0</v>
      </c>
      <c r="CE48" s="300">
        <f t="shared" si="53"/>
        <v>0</v>
      </c>
      <c r="CF48" s="301">
        <f>[1]COMMANDE!AM46</f>
        <v>0</v>
      </c>
      <c r="CG48" s="297" t="str">
        <f t="shared" si="54"/>
        <v>0</v>
      </c>
      <c r="CH48" s="298">
        <f t="shared" si="55"/>
        <v>0</v>
      </c>
      <c r="CI48" s="299">
        <f>[1]COMMANDE!AO46</f>
        <v>0</v>
      </c>
      <c r="CJ48" s="297" t="str">
        <f t="shared" si="56"/>
        <v>0</v>
      </c>
      <c r="CK48" s="300">
        <f t="shared" si="57"/>
        <v>0</v>
      </c>
      <c r="CL48" s="301">
        <f>[1]COMMANDE!AQ46</f>
        <v>0</v>
      </c>
      <c r="CM48" s="297" t="str">
        <f t="shared" si="58"/>
        <v>0</v>
      </c>
      <c r="CN48" s="298">
        <f t="shared" si="59"/>
        <v>0</v>
      </c>
      <c r="CO48" s="299">
        <f>[1]COMMANDE!AS46</f>
        <v>0</v>
      </c>
      <c r="CP48" s="297" t="str">
        <f t="shared" si="60"/>
        <v>0</v>
      </c>
      <c r="CQ48" s="300">
        <f t="shared" si="61"/>
        <v>0</v>
      </c>
      <c r="CR48" s="301">
        <f>[1]COMMANDE!AU46</f>
        <v>0</v>
      </c>
      <c r="CS48" s="297" t="str">
        <f t="shared" si="62"/>
        <v>0</v>
      </c>
      <c r="CT48" s="298">
        <f t="shared" si="63"/>
        <v>0</v>
      </c>
      <c r="CU48" s="299">
        <f>[1]COMMANDE!AW46</f>
        <v>0</v>
      </c>
      <c r="CV48" s="297" t="str">
        <f t="shared" si="64"/>
        <v>0</v>
      </c>
      <c r="CW48" s="300">
        <f t="shared" si="65"/>
        <v>0</v>
      </c>
      <c r="CX48" s="301">
        <f>[1]COMMANDE!AY46</f>
        <v>0</v>
      </c>
      <c r="CY48" s="297" t="str">
        <f t="shared" si="66"/>
        <v>0</v>
      </c>
      <c r="CZ48" s="298">
        <f t="shared" si="67"/>
        <v>0</v>
      </c>
      <c r="DA48" s="299">
        <f>[1]COMMANDE!BA46</f>
        <v>0</v>
      </c>
      <c r="DB48" s="297" t="str">
        <f t="shared" si="68"/>
        <v>0</v>
      </c>
      <c r="DC48" s="302">
        <f t="shared" si="69"/>
        <v>0</v>
      </c>
      <c r="DD48" s="303"/>
      <c r="DE48" s="304"/>
    </row>
    <row r="49" spans="1:109" ht="39.950000000000003" customHeight="1" x14ac:dyDescent="0.25">
      <c r="A49" s="284">
        <f t="shared" si="2"/>
        <v>0</v>
      </c>
      <c r="B49" s="284">
        <f t="shared" si="3"/>
        <v>0</v>
      </c>
      <c r="C49" s="284">
        <f t="shared" si="4"/>
        <v>0</v>
      </c>
      <c r="D49" s="284">
        <f t="shared" si="5"/>
        <v>0</v>
      </c>
      <c r="E49" s="284">
        <f t="shared" si="6"/>
        <v>0</v>
      </c>
      <c r="F49" s="284">
        <f t="shared" si="7"/>
        <v>0</v>
      </c>
      <c r="G49" s="284">
        <f t="shared" si="8"/>
        <v>0</v>
      </c>
      <c r="H49" s="284">
        <f t="shared" si="9"/>
        <v>0</v>
      </c>
      <c r="I49" s="284">
        <f t="shared" si="10"/>
        <v>0</v>
      </c>
      <c r="J49" s="284">
        <f t="shared" si="11"/>
        <v>0</v>
      </c>
      <c r="K49" s="284">
        <f t="shared" si="12"/>
        <v>0</v>
      </c>
      <c r="L49" s="284">
        <f t="shared" si="13"/>
        <v>0</v>
      </c>
      <c r="M49" s="284">
        <f t="shared" si="14"/>
        <v>0</v>
      </c>
      <c r="N49" s="284">
        <f t="shared" si="15"/>
        <v>0</v>
      </c>
      <c r="O49" s="284">
        <f t="shared" si="16"/>
        <v>0</v>
      </c>
      <c r="P49" s="284">
        <f t="shared" si="17"/>
        <v>0</v>
      </c>
      <c r="Q49" s="284">
        <f t="shared" si="18"/>
        <v>0</v>
      </c>
      <c r="R49" s="284">
        <f t="shared" si="19"/>
        <v>0</v>
      </c>
      <c r="S49" s="284">
        <f t="shared" si="20"/>
        <v>0</v>
      </c>
      <c r="T49" s="284">
        <f t="shared" si="21"/>
        <v>0</v>
      </c>
      <c r="U49" s="285">
        <f t="shared" si="22"/>
        <v>0</v>
      </c>
      <c r="V49" s="286">
        <f>[1]BDD!A39</f>
        <v>1696</v>
      </c>
      <c r="W49" s="287" t="str">
        <f>[1]BDD!B39</f>
        <v>Betteraves en poudre BIO (env. 1 kg)</v>
      </c>
      <c r="X49" s="288" t="str">
        <f>IF([1]BDD!F39=0, "", [1]BDD!F39)</f>
        <v/>
      </c>
      <c r="Y49" s="214">
        <f>ROUND([1]BDD!G39+FDP_CMD_KG, 2)</f>
        <v>24.83</v>
      </c>
      <c r="Z49" s="214">
        <f>ROUND([1]BDD!G39+FDP_FACT_KG, 2)</f>
        <v>24.83</v>
      </c>
      <c r="AA49" s="215" t="str">
        <f>[1]BDD!H39</f>
        <v>Pièce</v>
      </c>
      <c r="AB49" s="225" t="str">
        <f>IF(NOT(ISBLANK([1]BDD!I39)), ROUND(SUM(([1]BDD!G39*reduc1),FDP_CMD_KG), 2), "")</f>
        <v/>
      </c>
      <c r="AC49" s="225" t="str">
        <f>IF(NOT(ISBLANK([1]BDD!J39)), ROUND(SUM(([1]BDD!G39*reduc2),FDP_CMD_KG), 2), "")</f>
        <v/>
      </c>
      <c r="AD49" s="225" t="str">
        <f>IF(NOT(ISBLANK([1]BDD!K39)), ROUND(SUM(([1]BDD!G39*reduc3),FDP_CMD_KG), 2), "")</f>
        <v/>
      </c>
      <c r="AE49" s="225" t="str">
        <f>IF(NOT(ISBLANK([1]BDD!I39)), ROUND(SUM(([1]BDD!G39*reduc1),FDP_FACT_KG), 2), "")</f>
        <v/>
      </c>
      <c r="AF49" s="225" t="str">
        <f>IF(NOT(ISBLANK([1]BDD!J39)), ROUND(SUM(([1]BDD!G39*reduc2),FDP_FACT_KG), 2), "")</f>
        <v/>
      </c>
      <c r="AG49" s="225" t="str">
        <f>IF(NOT(ISBLANK([1]BDD!K39)), ROUND(SUM(([1]BDD!G39*reduc3),FDP_FACT_KG), 2), "")</f>
        <v/>
      </c>
      <c r="AH49" s="289" t="str">
        <f>[1]BDD!C39</f>
        <v>Hongrie</v>
      </c>
      <c r="AI49" s="290">
        <f t="shared" si="23"/>
        <v>0</v>
      </c>
      <c r="AJ49" s="216">
        <f t="shared" si="24"/>
        <v>24.83</v>
      </c>
      <c r="AK49" s="291">
        <f t="shared" si="25"/>
        <v>0</v>
      </c>
      <c r="AL49" s="429"/>
      <c r="AM49" s="292"/>
      <c r="AN49" s="216">
        <f t="shared" si="26"/>
        <v>24.83</v>
      </c>
      <c r="AO49" s="293">
        <f t="shared" si="27"/>
        <v>0</v>
      </c>
      <c r="AP49" s="294"/>
      <c r="AQ49" s="294"/>
      <c r="AR49" s="429"/>
      <c r="AS49" s="295">
        <f t="shared" si="28"/>
        <v>0</v>
      </c>
      <c r="AT49" s="216">
        <f t="shared" si="29"/>
        <v>24.83</v>
      </c>
      <c r="AU49" s="291">
        <f t="shared" si="1"/>
        <v>0</v>
      </c>
      <c r="AV49" s="296">
        <f>[1]COMMANDE!O47</f>
        <v>0</v>
      </c>
      <c r="AW49" s="297" t="str">
        <f t="shared" si="30"/>
        <v>0</v>
      </c>
      <c r="AX49" s="298">
        <f t="shared" si="31"/>
        <v>0</v>
      </c>
      <c r="AY49" s="299">
        <f>[1]COMMANDE!Q47</f>
        <v>0</v>
      </c>
      <c r="AZ49" s="297" t="str">
        <f t="shared" si="32"/>
        <v>0</v>
      </c>
      <c r="BA49" s="300">
        <f t="shared" si="33"/>
        <v>0</v>
      </c>
      <c r="BB49" s="301">
        <f>[1]COMMANDE!S47</f>
        <v>0</v>
      </c>
      <c r="BC49" s="297" t="str">
        <f t="shared" si="34"/>
        <v>0</v>
      </c>
      <c r="BD49" s="298">
        <f t="shared" si="35"/>
        <v>0</v>
      </c>
      <c r="BE49" s="299">
        <f>[1]COMMANDE!U47</f>
        <v>0</v>
      </c>
      <c r="BF49" s="297" t="str">
        <f t="shared" si="36"/>
        <v>0</v>
      </c>
      <c r="BG49" s="300">
        <f t="shared" si="37"/>
        <v>0</v>
      </c>
      <c r="BH49" s="301">
        <f>[1]COMMANDE!W47</f>
        <v>0</v>
      </c>
      <c r="BI49" s="297" t="str">
        <f t="shared" si="38"/>
        <v>0</v>
      </c>
      <c r="BJ49" s="298">
        <f t="shared" si="39"/>
        <v>0</v>
      </c>
      <c r="BK49" s="299">
        <f>[1]COMMANDE!Y47</f>
        <v>0</v>
      </c>
      <c r="BL49" s="297" t="str">
        <f t="shared" si="40"/>
        <v>0</v>
      </c>
      <c r="BM49" s="300">
        <f t="shared" si="41"/>
        <v>0</v>
      </c>
      <c r="BN49" s="301">
        <f>[1]COMMANDE!AA47</f>
        <v>0</v>
      </c>
      <c r="BO49" s="297" t="str">
        <f t="shared" si="42"/>
        <v>0</v>
      </c>
      <c r="BP49" s="298">
        <f t="shared" si="43"/>
        <v>0</v>
      </c>
      <c r="BQ49" s="299">
        <f>[1]COMMANDE!AC47</f>
        <v>0</v>
      </c>
      <c r="BR49" s="297" t="str">
        <f t="shared" si="44"/>
        <v>0</v>
      </c>
      <c r="BS49" s="300">
        <f t="shared" si="45"/>
        <v>0</v>
      </c>
      <c r="BT49" s="301">
        <f>[1]COMMANDE!AE47</f>
        <v>0</v>
      </c>
      <c r="BU49" s="297" t="str">
        <f t="shared" si="46"/>
        <v>0</v>
      </c>
      <c r="BV49" s="298">
        <f t="shared" si="47"/>
        <v>0</v>
      </c>
      <c r="BW49" s="299">
        <f>[1]COMMANDE!AG47</f>
        <v>0</v>
      </c>
      <c r="BX49" s="297" t="str">
        <f t="shared" si="48"/>
        <v>0</v>
      </c>
      <c r="BY49" s="300">
        <f t="shared" si="49"/>
        <v>0</v>
      </c>
      <c r="BZ49" s="301">
        <f>[1]COMMANDE!AI47</f>
        <v>0</v>
      </c>
      <c r="CA49" s="297" t="str">
        <f t="shared" si="50"/>
        <v>0</v>
      </c>
      <c r="CB49" s="298">
        <f t="shared" si="51"/>
        <v>0</v>
      </c>
      <c r="CC49" s="299">
        <f>[1]COMMANDE!AK47</f>
        <v>0</v>
      </c>
      <c r="CD49" s="297" t="str">
        <f t="shared" si="52"/>
        <v>0</v>
      </c>
      <c r="CE49" s="300">
        <f t="shared" si="53"/>
        <v>0</v>
      </c>
      <c r="CF49" s="301">
        <f>[1]COMMANDE!AM47</f>
        <v>0</v>
      </c>
      <c r="CG49" s="297" t="str">
        <f t="shared" si="54"/>
        <v>0</v>
      </c>
      <c r="CH49" s="298">
        <f t="shared" si="55"/>
        <v>0</v>
      </c>
      <c r="CI49" s="299">
        <f>[1]COMMANDE!AO47</f>
        <v>0</v>
      </c>
      <c r="CJ49" s="297" t="str">
        <f t="shared" si="56"/>
        <v>0</v>
      </c>
      <c r="CK49" s="300">
        <f t="shared" si="57"/>
        <v>0</v>
      </c>
      <c r="CL49" s="301">
        <f>[1]COMMANDE!AQ47</f>
        <v>0</v>
      </c>
      <c r="CM49" s="297" t="str">
        <f t="shared" si="58"/>
        <v>0</v>
      </c>
      <c r="CN49" s="298">
        <f t="shared" si="59"/>
        <v>0</v>
      </c>
      <c r="CO49" s="299">
        <f>[1]COMMANDE!AS47</f>
        <v>0</v>
      </c>
      <c r="CP49" s="297" t="str">
        <f t="shared" si="60"/>
        <v>0</v>
      </c>
      <c r="CQ49" s="300">
        <f t="shared" si="61"/>
        <v>0</v>
      </c>
      <c r="CR49" s="301">
        <f>[1]COMMANDE!AU47</f>
        <v>0</v>
      </c>
      <c r="CS49" s="297" t="str">
        <f t="shared" si="62"/>
        <v>0</v>
      </c>
      <c r="CT49" s="298">
        <f t="shared" si="63"/>
        <v>0</v>
      </c>
      <c r="CU49" s="299">
        <f>[1]COMMANDE!AW47</f>
        <v>0</v>
      </c>
      <c r="CV49" s="297" t="str">
        <f t="shared" si="64"/>
        <v>0</v>
      </c>
      <c r="CW49" s="300">
        <f t="shared" si="65"/>
        <v>0</v>
      </c>
      <c r="CX49" s="301">
        <f>[1]COMMANDE!AY47</f>
        <v>0</v>
      </c>
      <c r="CY49" s="297" t="str">
        <f t="shared" si="66"/>
        <v>0</v>
      </c>
      <c r="CZ49" s="298">
        <f t="shared" si="67"/>
        <v>0</v>
      </c>
      <c r="DA49" s="299">
        <f>[1]COMMANDE!BA47</f>
        <v>0</v>
      </c>
      <c r="DB49" s="297" t="str">
        <f t="shared" si="68"/>
        <v>0</v>
      </c>
      <c r="DC49" s="302">
        <f t="shared" si="69"/>
        <v>0</v>
      </c>
      <c r="DD49" s="303"/>
      <c r="DE49" s="304"/>
    </row>
    <row r="50" spans="1:109" ht="39.950000000000003" customHeight="1" x14ac:dyDescent="0.25">
      <c r="A50" s="284">
        <f t="shared" si="2"/>
        <v>0</v>
      </c>
      <c r="B50" s="284">
        <f t="shared" si="3"/>
        <v>0</v>
      </c>
      <c r="C50" s="284">
        <f t="shared" si="4"/>
        <v>0</v>
      </c>
      <c r="D50" s="284">
        <f t="shared" si="5"/>
        <v>0</v>
      </c>
      <c r="E50" s="284">
        <f t="shared" si="6"/>
        <v>0</v>
      </c>
      <c r="F50" s="284">
        <f t="shared" si="7"/>
        <v>0</v>
      </c>
      <c r="G50" s="284">
        <f t="shared" si="8"/>
        <v>0</v>
      </c>
      <c r="H50" s="284">
        <f t="shared" si="9"/>
        <v>0</v>
      </c>
      <c r="I50" s="284">
        <f t="shared" si="10"/>
        <v>0</v>
      </c>
      <c r="J50" s="284">
        <f t="shared" si="11"/>
        <v>0</v>
      </c>
      <c r="K50" s="284">
        <f t="shared" si="12"/>
        <v>0</v>
      </c>
      <c r="L50" s="284">
        <f t="shared" si="13"/>
        <v>0</v>
      </c>
      <c r="M50" s="284">
        <f t="shared" si="14"/>
        <v>0</v>
      </c>
      <c r="N50" s="284">
        <f t="shared" si="15"/>
        <v>0</v>
      </c>
      <c r="O50" s="284">
        <f t="shared" si="16"/>
        <v>0</v>
      </c>
      <c r="P50" s="284">
        <f t="shared" si="17"/>
        <v>0</v>
      </c>
      <c r="Q50" s="284">
        <f t="shared" si="18"/>
        <v>0</v>
      </c>
      <c r="R50" s="284">
        <f t="shared" si="19"/>
        <v>0</v>
      </c>
      <c r="S50" s="284">
        <f t="shared" si="20"/>
        <v>0</v>
      </c>
      <c r="T50" s="284">
        <f t="shared" si="21"/>
        <v>0</v>
      </c>
      <c r="U50" s="285">
        <f t="shared" si="22"/>
        <v>0</v>
      </c>
      <c r="V50" s="286">
        <f>[1]BDD!A40</f>
        <v>1696</v>
      </c>
      <c r="W50" s="287" t="str">
        <f>[1]BDD!B40</f>
        <v>Betteraves en poudre BIO (env. 500g)</v>
      </c>
      <c r="X50" s="288" t="str">
        <f>IF([1]BDD!F40=0, "", [1]BDD!F40)</f>
        <v/>
      </c>
      <c r="Y50" s="214">
        <f>ROUND([1]BDD!G40+FDP_CMD_KG, 2)</f>
        <v>13.6</v>
      </c>
      <c r="Z50" s="214">
        <f>ROUND([1]BDD!G40+FDP_FACT_KG, 2)</f>
        <v>13.6</v>
      </c>
      <c r="AA50" s="215" t="str">
        <f>[1]BDD!H40</f>
        <v>Pièce</v>
      </c>
      <c r="AB50" s="225" t="str">
        <f>IF(NOT(ISBLANK([1]BDD!I40)), ROUND(SUM(([1]BDD!G40*reduc1),FDP_CMD_KG), 2), "")</f>
        <v/>
      </c>
      <c r="AC50" s="225" t="str">
        <f>IF(NOT(ISBLANK([1]BDD!J40)), ROUND(SUM(([1]BDD!G40*reduc2),FDP_CMD_KG), 2), "")</f>
        <v/>
      </c>
      <c r="AD50" s="225" t="str">
        <f>IF(NOT(ISBLANK([1]BDD!K40)), ROUND(SUM(([1]BDD!G40*reduc3),FDP_CMD_KG), 2), "")</f>
        <v/>
      </c>
      <c r="AE50" s="225" t="str">
        <f>IF(NOT(ISBLANK([1]BDD!I40)), ROUND(SUM(([1]BDD!G40*reduc1),FDP_FACT_KG), 2), "")</f>
        <v/>
      </c>
      <c r="AF50" s="225" t="str">
        <f>IF(NOT(ISBLANK([1]BDD!J40)), ROUND(SUM(([1]BDD!G40*reduc2),FDP_FACT_KG), 2), "")</f>
        <v/>
      </c>
      <c r="AG50" s="225" t="str">
        <f>IF(NOT(ISBLANK([1]BDD!K40)), ROUND(SUM(([1]BDD!G40*reduc3),FDP_FACT_KG), 2), "")</f>
        <v/>
      </c>
      <c r="AH50" s="289" t="str">
        <f>[1]BDD!C40</f>
        <v>Hongrie</v>
      </c>
      <c r="AI50" s="290">
        <f t="shared" si="23"/>
        <v>0</v>
      </c>
      <c r="AJ50" s="216">
        <f t="shared" si="24"/>
        <v>13.6</v>
      </c>
      <c r="AK50" s="291">
        <f t="shared" si="25"/>
        <v>0</v>
      </c>
      <c r="AL50" s="429"/>
      <c r="AM50" s="292"/>
      <c r="AN50" s="216">
        <f t="shared" si="26"/>
        <v>13.6</v>
      </c>
      <c r="AO50" s="293">
        <f t="shared" si="27"/>
        <v>0</v>
      </c>
      <c r="AP50" s="294"/>
      <c r="AQ50" s="294"/>
      <c r="AR50" s="429"/>
      <c r="AS50" s="295">
        <f t="shared" si="28"/>
        <v>0</v>
      </c>
      <c r="AT50" s="216">
        <f t="shared" si="29"/>
        <v>13.6</v>
      </c>
      <c r="AU50" s="291">
        <f t="shared" si="1"/>
        <v>0</v>
      </c>
      <c r="AV50" s="296">
        <f>[1]COMMANDE!O48</f>
        <v>0</v>
      </c>
      <c r="AW50" s="297" t="str">
        <f t="shared" si="30"/>
        <v>0</v>
      </c>
      <c r="AX50" s="298">
        <f t="shared" si="31"/>
        <v>0</v>
      </c>
      <c r="AY50" s="299">
        <f>[1]COMMANDE!Q48</f>
        <v>0</v>
      </c>
      <c r="AZ50" s="297" t="str">
        <f t="shared" si="32"/>
        <v>0</v>
      </c>
      <c r="BA50" s="300">
        <f t="shared" si="33"/>
        <v>0</v>
      </c>
      <c r="BB50" s="301">
        <f>[1]COMMANDE!S48</f>
        <v>0</v>
      </c>
      <c r="BC50" s="297" t="str">
        <f t="shared" si="34"/>
        <v>0</v>
      </c>
      <c r="BD50" s="298">
        <f t="shared" si="35"/>
        <v>0</v>
      </c>
      <c r="BE50" s="299">
        <f>[1]COMMANDE!U48</f>
        <v>0</v>
      </c>
      <c r="BF50" s="297" t="str">
        <f t="shared" si="36"/>
        <v>0</v>
      </c>
      <c r="BG50" s="300">
        <f t="shared" si="37"/>
        <v>0</v>
      </c>
      <c r="BH50" s="301">
        <f>[1]COMMANDE!W48</f>
        <v>0</v>
      </c>
      <c r="BI50" s="297" t="str">
        <f t="shared" si="38"/>
        <v>0</v>
      </c>
      <c r="BJ50" s="298">
        <f t="shared" si="39"/>
        <v>0</v>
      </c>
      <c r="BK50" s="299">
        <f>[1]COMMANDE!Y48</f>
        <v>0</v>
      </c>
      <c r="BL50" s="297" t="str">
        <f t="shared" si="40"/>
        <v>0</v>
      </c>
      <c r="BM50" s="300">
        <f t="shared" si="41"/>
        <v>0</v>
      </c>
      <c r="BN50" s="301">
        <f>[1]COMMANDE!AA48</f>
        <v>0</v>
      </c>
      <c r="BO50" s="297" t="str">
        <f t="shared" si="42"/>
        <v>0</v>
      </c>
      <c r="BP50" s="298">
        <f t="shared" si="43"/>
        <v>0</v>
      </c>
      <c r="BQ50" s="299">
        <f>[1]COMMANDE!AC48</f>
        <v>0</v>
      </c>
      <c r="BR50" s="297" t="str">
        <f t="shared" si="44"/>
        <v>0</v>
      </c>
      <c r="BS50" s="300">
        <f t="shared" si="45"/>
        <v>0</v>
      </c>
      <c r="BT50" s="301">
        <f>[1]COMMANDE!AE48</f>
        <v>0</v>
      </c>
      <c r="BU50" s="297" t="str">
        <f t="shared" si="46"/>
        <v>0</v>
      </c>
      <c r="BV50" s="298">
        <f t="shared" si="47"/>
        <v>0</v>
      </c>
      <c r="BW50" s="299">
        <f>[1]COMMANDE!AG48</f>
        <v>0</v>
      </c>
      <c r="BX50" s="297" t="str">
        <f t="shared" si="48"/>
        <v>0</v>
      </c>
      <c r="BY50" s="300">
        <f t="shared" si="49"/>
        <v>0</v>
      </c>
      <c r="BZ50" s="301">
        <f>[1]COMMANDE!AI48</f>
        <v>0</v>
      </c>
      <c r="CA50" s="297" t="str">
        <f t="shared" si="50"/>
        <v>0</v>
      </c>
      <c r="CB50" s="298">
        <f t="shared" si="51"/>
        <v>0</v>
      </c>
      <c r="CC50" s="299">
        <f>[1]COMMANDE!AK48</f>
        <v>0</v>
      </c>
      <c r="CD50" s="297" t="str">
        <f t="shared" si="52"/>
        <v>0</v>
      </c>
      <c r="CE50" s="300">
        <f t="shared" si="53"/>
        <v>0</v>
      </c>
      <c r="CF50" s="301">
        <f>[1]COMMANDE!AM48</f>
        <v>0</v>
      </c>
      <c r="CG50" s="297" t="str">
        <f t="shared" si="54"/>
        <v>0</v>
      </c>
      <c r="CH50" s="298">
        <f t="shared" si="55"/>
        <v>0</v>
      </c>
      <c r="CI50" s="299">
        <f>[1]COMMANDE!AO48</f>
        <v>0</v>
      </c>
      <c r="CJ50" s="297" t="str">
        <f t="shared" si="56"/>
        <v>0</v>
      </c>
      <c r="CK50" s="300">
        <f t="shared" si="57"/>
        <v>0</v>
      </c>
      <c r="CL50" s="301">
        <f>[1]COMMANDE!AQ48</f>
        <v>0</v>
      </c>
      <c r="CM50" s="297" t="str">
        <f t="shared" si="58"/>
        <v>0</v>
      </c>
      <c r="CN50" s="298">
        <f t="shared" si="59"/>
        <v>0</v>
      </c>
      <c r="CO50" s="299">
        <f>[1]COMMANDE!AS48</f>
        <v>0</v>
      </c>
      <c r="CP50" s="297" t="str">
        <f t="shared" si="60"/>
        <v>0</v>
      </c>
      <c r="CQ50" s="300">
        <f t="shared" si="61"/>
        <v>0</v>
      </c>
      <c r="CR50" s="301">
        <f>[1]COMMANDE!AU48</f>
        <v>0</v>
      </c>
      <c r="CS50" s="297" t="str">
        <f t="shared" si="62"/>
        <v>0</v>
      </c>
      <c r="CT50" s="298">
        <f t="shared" si="63"/>
        <v>0</v>
      </c>
      <c r="CU50" s="299">
        <f>[1]COMMANDE!AW48</f>
        <v>0</v>
      </c>
      <c r="CV50" s="297" t="str">
        <f t="shared" si="64"/>
        <v>0</v>
      </c>
      <c r="CW50" s="300">
        <f t="shared" si="65"/>
        <v>0</v>
      </c>
      <c r="CX50" s="301">
        <f>[1]COMMANDE!AY48</f>
        <v>0</v>
      </c>
      <c r="CY50" s="297" t="str">
        <f t="shared" si="66"/>
        <v>0</v>
      </c>
      <c r="CZ50" s="298">
        <f t="shared" si="67"/>
        <v>0</v>
      </c>
      <c r="DA50" s="299">
        <f>[1]COMMANDE!BA48</f>
        <v>0</v>
      </c>
      <c r="DB50" s="297" t="str">
        <f t="shared" si="68"/>
        <v>0</v>
      </c>
      <c r="DC50" s="302">
        <f t="shared" si="69"/>
        <v>0</v>
      </c>
      <c r="DD50" s="303"/>
      <c r="DE50" s="304"/>
    </row>
    <row r="51" spans="1:109" ht="39.950000000000003" customHeight="1" x14ac:dyDescent="0.25">
      <c r="A51" s="284">
        <f t="shared" si="2"/>
        <v>0</v>
      </c>
      <c r="B51" s="284">
        <f t="shared" si="3"/>
        <v>0</v>
      </c>
      <c r="C51" s="284">
        <f t="shared" si="4"/>
        <v>0</v>
      </c>
      <c r="D51" s="284">
        <f t="shared" si="5"/>
        <v>0</v>
      </c>
      <c r="E51" s="284">
        <f t="shared" si="6"/>
        <v>0</v>
      </c>
      <c r="F51" s="284">
        <f t="shared" si="7"/>
        <v>0</v>
      </c>
      <c r="G51" s="284">
        <f t="shared" si="8"/>
        <v>0</v>
      </c>
      <c r="H51" s="284">
        <f t="shared" si="9"/>
        <v>0</v>
      </c>
      <c r="I51" s="284">
        <f t="shared" si="10"/>
        <v>0</v>
      </c>
      <c r="J51" s="284">
        <f t="shared" si="11"/>
        <v>0</v>
      </c>
      <c r="K51" s="284">
        <f t="shared" si="12"/>
        <v>0</v>
      </c>
      <c r="L51" s="284">
        <f t="shared" si="13"/>
        <v>0</v>
      </c>
      <c r="M51" s="284">
        <f t="shared" si="14"/>
        <v>0</v>
      </c>
      <c r="N51" s="284">
        <f t="shared" si="15"/>
        <v>0</v>
      </c>
      <c r="O51" s="284">
        <f t="shared" si="16"/>
        <v>0</v>
      </c>
      <c r="P51" s="284">
        <f t="shared" si="17"/>
        <v>0</v>
      </c>
      <c r="Q51" s="284">
        <f t="shared" si="18"/>
        <v>0</v>
      </c>
      <c r="R51" s="284">
        <f t="shared" si="19"/>
        <v>0</v>
      </c>
      <c r="S51" s="284">
        <f t="shared" si="20"/>
        <v>0</v>
      </c>
      <c r="T51" s="284">
        <f t="shared" si="21"/>
        <v>0</v>
      </c>
      <c r="U51" s="285">
        <f t="shared" si="22"/>
        <v>0</v>
      </c>
      <c r="V51" s="286">
        <f>[1]BDD!A41</f>
        <v>1758</v>
      </c>
      <c r="W51" s="287" t="str">
        <f>[1]BDD!B41</f>
        <v>Beurre de cacao BIO (env. 1 kg)</v>
      </c>
      <c r="X51" s="288" t="str">
        <f>IF([1]BDD!F41=0, "", [1]BDD!F41)</f>
        <v/>
      </c>
      <c r="Y51" s="214">
        <f>ROUND([1]BDD!G41+FDP_CMD_KG, 2)</f>
        <v>27.71</v>
      </c>
      <c r="Z51" s="214">
        <f>ROUND([1]BDD!G41+FDP_FACT_KG, 2)</f>
        <v>27.71</v>
      </c>
      <c r="AA51" s="215" t="str">
        <f>[1]BDD!H41</f>
        <v>Pièce</v>
      </c>
      <c r="AB51" s="225" t="str">
        <f>IF(NOT(ISBLANK([1]BDD!I41)), ROUND(SUM(([1]BDD!G41*reduc1),FDP_CMD_KG), 2), "")</f>
        <v/>
      </c>
      <c r="AC51" s="225" t="str">
        <f>IF(NOT(ISBLANK([1]BDD!J41)), ROUND(SUM(([1]BDD!G41*reduc2),FDP_CMD_KG), 2), "")</f>
        <v/>
      </c>
      <c r="AD51" s="225" t="str">
        <f>IF(NOT(ISBLANK([1]BDD!K41)), ROUND(SUM(([1]BDD!G41*reduc3),FDP_CMD_KG), 2), "")</f>
        <v/>
      </c>
      <c r="AE51" s="225" t="str">
        <f>IF(NOT(ISBLANK([1]BDD!I41)), ROUND(SUM(([1]BDD!G41*reduc1),FDP_FACT_KG), 2), "")</f>
        <v/>
      </c>
      <c r="AF51" s="225" t="str">
        <f>IF(NOT(ISBLANK([1]BDD!J41)), ROUND(SUM(([1]BDD!G41*reduc2),FDP_FACT_KG), 2), "")</f>
        <v/>
      </c>
      <c r="AG51" s="225" t="str">
        <f>IF(NOT(ISBLANK([1]BDD!K41)), ROUND(SUM(([1]BDD!G41*reduc3),FDP_FACT_KG), 2), "")</f>
        <v/>
      </c>
      <c r="AH51" s="289" t="str">
        <f>[1]BDD!C41</f>
        <v>Pérou</v>
      </c>
      <c r="AI51" s="290">
        <f t="shared" si="23"/>
        <v>0</v>
      </c>
      <c r="AJ51" s="216">
        <f t="shared" si="24"/>
        <v>27.71</v>
      </c>
      <c r="AK51" s="291">
        <f t="shared" si="25"/>
        <v>0</v>
      </c>
      <c r="AL51" s="429"/>
      <c r="AM51" s="292"/>
      <c r="AN51" s="216">
        <f t="shared" si="26"/>
        <v>27.71</v>
      </c>
      <c r="AO51" s="293">
        <f t="shared" si="27"/>
        <v>0</v>
      </c>
      <c r="AP51" s="294"/>
      <c r="AQ51" s="294"/>
      <c r="AR51" s="429"/>
      <c r="AS51" s="295">
        <f t="shared" si="28"/>
        <v>0</v>
      </c>
      <c r="AT51" s="216">
        <f t="shared" si="29"/>
        <v>27.71</v>
      </c>
      <c r="AU51" s="291">
        <f t="shared" si="1"/>
        <v>0</v>
      </c>
      <c r="AV51" s="296">
        <f>[1]COMMANDE!O49</f>
        <v>0</v>
      </c>
      <c r="AW51" s="297" t="str">
        <f t="shared" si="30"/>
        <v>0</v>
      </c>
      <c r="AX51" s="298">
        <f t="shared" si="31"/>
        <v>0</v>
      </c>
      <c r="AY51" s="299">
        <f>[1]COMMANDE!Q49</f>
        <v>0</v>
      </c>
      <c r="AZ51" s="297" t="str">
        <f t="shared" si="32"/>
        <v>0</v>
      </c>
      <c r="BA51" s="300">
        <f t="shared" si="33"/>
        <v>0</v>
      </c>
      <c r="BB51" s="301">
        <f>[1]COMMANDE!S49</f>
        <v>0</v>
      </c>
      <c r="BC51" s="297" t="str">
        <f t="shared" si="34"/>
        <v>0</v>
      </c>
      <c r="BD51" s="298">
        <f t="shared" si="35"/>
        <v>0</v>
      </c>
      <c r="BE51" s="299">
        <f>[1]COMMANDE!U49</f>
        <v>0</v>
      </c>
      <c r="BF51" s="297" t="str">
        <f t="shared" si="36"/>
        <v>0</v>
      </c>
      <c r="BG51" s="300">
        <f t="shared" si="37"/>
        <v>0</v>
      </c>
      <c r="BH51" s="301">
        <f>[1]COMMANDE!W49</f>
        <v>0</v>
      </c>
      <c r="BI51" s="297" t="str">
        <f t="shared" si="38"/>
        <v>0</v>
      </c>
      <c r="BJ51" s="298">
        <f t="shared" si="39"/>
        <v>0</v>
      </c>
      <c r="BK51" s="299">
        <f>[1]COMMANDE!Y49</f>
        <v>0</v>
      </c>
      <c r="BL51" s="297" t="str">
        <f t="shared" si="40"/>
        <v>0</v>
      </c>
      <c r="BM51" s="300">
        <f t="shared" si="41"/>
        <v>0</v>
      </c>
      <c r="BN51" s="301">
        <f>[1]COMMANDE!AA49</f>
        <v>0</v>
      </c>
      <c r="BO51" s="297" t="str">
        <f t="shared" si="42"/>
        <v>0</v>
      </c>
      <c r="BP51" s="298">
        <f t="shared" si="43"/>
        <v>0</v>
      </c>
      <c r="BQ51" s="299">
        <f>[1]COMMANDE!AC49</f>
        <v>0</v>
      </c>
      <c r="BR51" s="297" t="str">
        <f t="shared" si="44"/>
        <v>0</v>
      </c>
      <c r="BS51" s="300">
        <f t="shared" si="45"/>
        <v>0</v>
      </c>
      <c r="BT51" s="301">
        <f>[1]COMMANDE!AE49</f>
        <v>0</v>
      </c>
      <c r="BU51" s="297" t="str">
        <f t="shared" si="46"/>
        <v>0</v>
      </c>
      <c r="BV51" s="298">
        <f t="shared" si="47"/>
        <v>0</v>
      </c>
      <c r="BW51" s="299">
        <f>[1]COMMANDE!AG49</f>
        <v>0</v>
      </c>
      <c r="BX51" s="297" t="str">
        <f t="shared" si="48"/>
        <v>0</v>
      </c>
      <c r="BY51" s="300">
        <f t="shared" si="49"/>
        <v>0</v>
      </c>
      <c r="BZ51" s="301">
        <f>[1]COMMANDE!AI49</f>
        <v>0</v>
      </c>
      <c r="CA51" s="297" t="str">
        <f t="shared" si="50"/>
        <v>0</v>
      </c>
      <c r="CB51" s="298">
        <f t="shared" si="51"/>
        <v>0</v>
      </c>
      <c r="CC51" s="299">
        <f>[1]COMMANDE!AK49</f>
        <v>0</v>
      </c>
      <c r="CD51" s="297" t="str">
        <f t="shared" si="52"/>
        <v>0</v>
      </c>
      <c r="CE51" s="300">
        <f t="shared" si="53"/>
        <v>0</v>
      </c>
      <c r="CF51" s="301">
        <f>[1]COMMANDE!AM49</f>
        <v>0</v>
      </c>
      <c r="CG51" s="297" t="str">
        <f t="shared" si="54"/>
        <v>0</v>
      </c>
      <c r="CH51" s="298">
        <f t="shared" si="55"/>
        <v>0</v>
      </c>
      <c r="CI51" s="299">
        <f>[1]COMMANDE!AO49</f>
        <v>0</v>
      </c>
      <c r="CJ51" s="297" t="str">
        <f t="shared" si="56"/>
        <v>0</v>
      </c>
      <c r="CK51" s="300">
        <f t="shared" si="57"/>
        <v>0</v>
      </c>
      <c r="CL51" s="301">
        <f>[1]COMMANDE!AQ49</f>
        <v>0</v>
      </c>
      <c r="CM51" s="297" t="str">
        <f t="shared" si="58"/>
        <v>0</v>
      </c>
      <c r="CN51" s="298">
        <f t="shared" si="59"/>
        <v>0</v>
      </c>
      <c r="CO51" s="299">
        <f>[1]COMMANDE!AS49</f>
        <v>0</v>
      </c>
      <c r="CP51" s="297" t="str">
        <f t="shared" si="60"/>
        <v>0</v>
      </c>
      <c r="CQ51" s="300">
        <f t="shared" si="61"/>
        <v>0</v>
      </c>
      <c r="CR51" s="301">
        <f>[1]COMMANDE!AU49</f>
        <v>0</v>
      </c>
      <c r="CS51" s="297" t="str">
        <f t="shared" si="62"/>
        <v>0</v>
      </c>
      <c r="CT51" s="298">
        <f t="shared" si="63"/>
        <v>0</v>
      </c>
      <c r="CU51" s="299">
        <f>[1]COMMANDE!AW49</f>
        <v>0</v>
      </c>
      <c r="CV51" s="297" t="str">
        <f t="shared" si="64"/>
        <v>0</v>
      </c>
      <c r="CW51" s="300">
        <f t="shared" si="65"/>
        <v>0</v>
      </c>
      <c r="CX51" s="301">
        <f>[1]COMMANDE!AY49</f>
        <v>0</v>
      </c>
      <c r="CY51" s="297" t="str">
        <f t="shared" si="66"/>
        <v>0</v>
      </c>
      <c r="CZ51" s="298">
        <f t="shared" si="67"/>
        <v>0</v>
      </c>
      <c r="DA51" s="299">
        <f>[1]COMMANDE!BA49</f>
        <v>0</v>
      </c>
      <c r="DB51" s="297" t="str">
        <f t="shared" si="68"/>
        <v>0</v>
      </c>
      <c r="DC51" s="302">
        <f t="shared" si="69"/>
        <v>0</v>
      </c>
      <c r="DD51" s="303"/>
      <c r="DE51" s="304"/>
    </row>
    <row r="52" spans="1:109" ht="39.950000000000003" customHeight="1" x14ac:dyDescent="0.25">
      <c r="A52" s="284">
        <f t="shared" si="2"/>
        <v>0</v>
      </c>
      <c r="B52" s="284">
        <f t="shared" si="3"/>
        <v>0</v>
      </c>
      <c r="C52" s="284">
        <f t="shared" si="4"/>
        <v>0</v>
      </c>
      <c r="D52" s="284">
        <f t="shared" si="5"/>
        <v>0</v>
      </c>
      <c r="E52" s="284">
        <f t="shared" si="6"/>
        <v>0</v>
      </c>
      <c r="F52" s="284">
        <f t="shared" si="7"/>
        <v>0</v>
      </c>
      <c r="G52" s="284">
        <f t="shared" si="8"/>
        <v>0</v>
      </c>
      <c r="H52" s="284">
        <f t="shared" si="9"/>
        <v>0</v>
      </c>
      <c r="I52" s="284">
        <f t="shared" si="10"/>
        <v>0</v>
      </c>
      <c r="J52" s="284">
        <f t="shared" si="11"/>
        <v>0</v>
      </c>
      <c r="K52" s="284">
        <f t="shared" si="12"/>
        <v>0</v>
      </c>
      <c r="L52" s="284">
        <f t="shared" si="13"/>
        <v>0</v>
      </c>
      <c r="M52" s="284">
        <f t="shared" si="14"/>
        <v>0</v>
      </c>
      <c r="N52" s="284">
        <f t="shared" si="15"/>
        <v>0</v>
      </c>
      <c r="O52" s="284">
        <f t="shared" si="16"/>
        <v>0</v>
      </c>
      <c r="P52" s="284">
        <f t="shared" si="17"/>
        <v>0</v>
      </c>
      <c r="Q52" s="284">
        <f t="shared" si="18"/>
        <v>0</v>
      </c>
      <c r="R52" s="284">
        <f t="shared" si="19"/>
        <v>0</v>
      </c>
      <c r="S52" s="284">
        <f t="shared" si="20"/>
        <v>0</v>
      </c>
      <c r="T52" s="284">
        <f t="shared" si="21"/>
        <v>0</v>
      </c>
      <c r="U52" s="285">
        <f t="shared" si="22"/>
        <v>0</v>
      </c>
      <c r="V52" s="286">
        <f>[1]BDD!A42</f>
        <v>1758</v>
      </c>
      <c r="W52" s="287" t="str">
        <f>[1]BDD!B42</f>
        <v>Beurre de cacao BIO (env. 500g)</v>
      </c>
      <c r="X52" s="288" t="str">
        <f>IF([1]BDD!F42=0, "", [1]BDD!F42)</f>
        <v/>
      </c>
      <c r="Y52" s="214">
        <f>ROUND([1]BDD!G42+FDP_CMD_KG, 2)</f>
        <v>14.97</v>
      </c>
      <c r="Z52" s="214">
        <f>ROUND([1]BDD!G42+FDP_FACT_KG, 2)</f>
        <v>14.97</v>
      </c>
      <c r="AA52" s="215" t="str">
        <f>[1]BDD!H42</f>
        <v>Pièce</v>
      </c>
      <c r="AB52" s="225" t="str">
        <f>IF(NOT(ISBLANK([1]BDD!I42)), ROUND(SUM(([1]BDD!G42*reduc1),FDP_CMD_KG), 2), "")</f>
        <v/>
      </c>
      <c r="AC52" s="225" t="str">
        <f>IF(NOT(ISBLANK([1]BDD!J42)), ROUND(SUM(([1]BDD!G42*reduc2),FDP_CMD_KG), 2), "")</f>
        <v/>
      </c>
      <c r="AD52" s="225" t="str">
        <f>IF(NOT(ISBLANK([1]BDD!K42)), ROUND(SUM(([1]BDD!G42*reduc3),FDP_CMD_KG), 2), "")</f>
        <v/>
      </c>
      <c r="AE52" s="225" t="str">
        <f>IF(NOT(ISBLANK([1]BDD!I42)), ROUND(SUM(([1]BDD!G42*reduc1),FDP_FACT_KG), 2), "")</f>
        <v/>
      </c>
      <c r="AF52" s="225" t="str">
        <f>IF(NOT(ISBLANK([1]BDD!J42)), ROUND(SUM(([1]BDD!G42*reduc2),FDP_FACT_KG), 2), "")</f>
        <v/>
      </c>
      <c r="AG52" s="225" t="str">
        <f>IF(NOT(ISBLANK([1]BDD!K42)), ROUND(SUM(([1]BDD!G42*reduc3),FDP_FACT_KG), 2), "")</f>
        <v/>
      </c>
      <c r="AH52" s="289" t="str">
        <f>[1]BDD!C42</f>
        <v>Pérou</v>
      </c>
      <c r="AI52" s="290">
        <f t="shared" si="23"/>
        <v>0</v>
      </c>
      <c r="AJ52" s="216">
        <f t="shared" si="24"/>
        <v>14.97</v>
      </c>
      <c r="AK52" s="291">
        <f t="shared" si="25"/>
        <v>0</v>
      </c>
      <c r="AL52" s="429"/>
      <c r="AM52" s="292"/>
      <c r="AN52" s="216">
        <f t="shared" si="26"/>
        <v>14.97</v>
      </c>
      <c r="AO52" s="293">
        <f t="shared" si="27"/>
        <v>0</v>
      </c>
      <c r="AP52" s="294"/>
      <c r="AQ52" s="294"/>
      <c r="AR52" s="429"/>
      <c r="AS52" s="295">
        <f t="shared" si="28"/>
        <v>0</v>
      </c>
      <c r="AT52" s="216">
        <f t="shared" si="29"/>
        <v>14.97</v>
      </c>
      <c r="AU52" s="291">
        <f t="shared" si="1"/>
        <v>0</v>
      </c>
      <c r="AV52" s="296">
        <f>[1]COMMANDE!O50</f>
        <v>0</v>
      </c>
      <c r="AW52" s="297" t="str">
        <f t="shared" si="30"/>
        <v>0</v>
      </c>
      <c r="AX52" s="298">
        <f t="shared" si="31"/>
        <v>0</v>
      </c>
      <c r="AY52" s="299">
        <f>[1]COMMANDE!Q50</f>
        <v>0</v>
      </c>
      <c r="AZ52" s="297" t="str">
        <f t="shared" si="32"/>
        <v>0</v>
      </c>
      <c r="BA52" s="300">
        <f t="shared" si="33"/>
        <v>0</v>
      </c>
      <c r="BB52" s="301">
        <f>[1]COMMANDE!S50</f>
        <v>0</v>
      </c>
      <c r="BC52" s="297" t="str">
        <f t="shared" si="34"/>
        <v>0</v>
      </c>
      <c r="BD52" s="298">
        <f t="shared" si="35"/>
        <v>0</v>
      </c>
      <c r="BE52" s="299">
        <f>[1]COMMANDE!U50</f>
        <v>0</v>
      </c>
      <c r="BF52" s="297" t="str">
        <f t="shared" si="36"/>
        <v>0</v>
      </c>
      <c r="BG52" s="300">
        <f t="shared" si="37"/>
        <v>0</v>
      </c>
      <c r="BH52" s="301">
        <f>[1]COMMANDE!W50</f>
        <v>0</v>
      </c>
      <c r="BI52" s="297" t="str">
        <f t="shared" si="38"/>
        <v>0</v>
      </c>
      <c r="BJ52" s="298">
        <f t="shared" si="39"/>
        <v>0</v>
      </c>
      <c r="BK52" s="299">
        <f>[1]COMMANDE!Y50</f>
        <v>0</v>
      </c>
      <c r="BL52" s="297" t="str">
        <f t="shared" si="40"/>
        <v>0</v>
      </c>
      <c r="BM52" s="300">
        <f t="shared" si="41"/>
        <v>0</v>
      </c>
      <c r="BN52" s="301">
        <f>[1]COMMANDE!AA50</f>
        <v>0</v>
      </c>
      <c r="BO52" s="297" t="str">
        <f t="shared" si="42"/>
        <v>0</v>
      </c>
      <c r="BP52" s="298">
        <f t="shared" si="43"/>
        <v>0</v>
      </c>
      <c r="BQ52" s="299">
        <f>[1]COMMANDE!AC50</f>
        <v>0</v>
      </c>
      <c r="BR52" s="297" t="str">
        <f t="shared" si="44"/>
        <v>0</v>
      </c>
      <c r="BS52" s="300">
        <f t="shared" si="45"/>
        <v>0</v>
      </c>
      <c r="BT52" s="301">
        <f>[1]COMMANDE!AE50</f>
        <v>0</v>
      </c>
      <c r="BU52" s="297" t="str">
        <f t="shared" si="46"/>
        <v>0</v>
      </c>
      <c r="BV52" s="298">
        <f t="shared" si="47"/>
        <v>0</v>
      </c>
      <c r="BW52" s="299">
        <f>[1]COMMANDE!AG50</f>
        <v>0</v>
      </c>
      <c r="BX52" s="297" t="str">
        <f t="shared" si="48"/>
        <v>0</v>
      </c>
      <c r="BY52" s="300">
        <f t="shared" si="49"/>
        <v>0</v>
      </c>
      <c r="BZ52" s="301">
        <f>[1]COMMANDE!AI50</f>
        <v>0</v>
      </c>
      <c r="CA52" s="297" t="str">
        <f t="shared" si="50"/>
        <v>0</v>
      </c>
      <c r="CB52" s="298">
        <f t="shared" si="51"/>
        <v>0</v>
      </c>
      <c r="CC52" s="299">
        <f>[1]COMMANDE!AK50</f>
        <v>0</v>
      </c>
      <c r="CD52" s="297" t="str">
        <f t="shared" si="52"/>
        <v>0</v>
      </c>
      <c r="CE52" s="300">
        <f t="shared" si="53"/>
        <v>0</v>
      </c>
      <c r="CF52" s="301">
        <f>[1]COMMANDE!AM50</f>
        <v>0</v>
      </c>
      <c r="CG52" s="297" t="str">
        <f t="shared" si="54"/>
        <v>0</v>
      </c>
      <c r="CH52" s="298">
        <f t="shared" si="55"/>
        <v>0</v>
      </c>
      <c r="CI52" s="299">
        <f>[1]COMMANDE!AO50</f>
        <v>0</v>
      </c>
      <c r="CJ52" s="297" t="str">
        <f t="shared" si="56"/>
        <v>0</v>
      </c>
      <c r="CK52" s="300">
        <f t="shared" si="57"/>
        <v>0</v>
      </c>
      <c r="CL52" s="301">
        <f>[1]COMMANDE!AQ50</f>
        <v>0</v>
      </c>
      <c r="CM52" s="297" t="str">
        <f t="shared" si="58"/>
        <v>0</v>
      </c>
      <c r="CN52" s="298">
        <f t="shared" si="59"/>
        <v>0</v>
      </c>
      <c r="CO52" s="299">
        <f>[1]COMMANDE!AS50</f>
        <v>0</v>
      </c>
      <c r="CP52" s="297" t="str">
        <f t="shared" si="60"/>
        <v>0</v>
      </c>
      <c r="CQ52" s="300">
        <f t="shared" si="61"/>
        <v>0</v>
      </c>
      <c r="CR52" s="301">
        <f>[1]COMMANDE!AU50</f>
        <v>0</v>
      </c>
      <c r="CS52" s="297" t="str">
        <f t="shared" si="62"/>
        <v>0</v>
      </c>
      <c r="CT52" s="298">
        <f t="shared" si="63"/>
        <v>0</v>
      </c>
      <c r="CU52" s="299">
        <f>[1]COMMANDE!AW50</f>
        <v>0</v>
      </c>
      <c r="CV52" s="297" t="str">
        <f t="shared" si="64"/>
        <v>0</v>
      </c>
      <c r="CW52" s="300">
        <f t="shared" si="65"/>
        <v>0</v>
      </c>
      <c r="CX52" s="301">
        <f>[1]COMMANDE!AY50</f>
        <v>0</v>
      </c>
      <c r="CY52" s="297" t="str">
        <f t="shared" si="66"/>
        <v>0</v>
      </c>
      <c r="CZ52" s="298">
        <f t="shared" si="67"/>
        <v>0</v>
      </c>
      <c r="DA52" s="299">
        <f>[1]COMMANDE!BA50</f>
        <v>0</v>
      </c>
      <c r="DB52" s="297" t="str">
        <f t="shared" si="68"/>
        <v>0</v>
      </c>
      <c r="DC52" s="302">
        <f t="shared" si="69"/>
        <v>0</v>
      </c>
      <c r="DD52" s="303"/>
      <c r="DE52" s="304"/>
    </row>
    <row r="53" spans="1:109" ht="39.950000000000003" customHeight="1" x14ac:dyDescent="0.25">
      <c r="A53" s="284">
        <f t="shared" si="2"/>
        <v>0</v>
      </c>
      <c r="B53" s="284">
        <f t="shared" si="3"/>
        <v>0</v>
      </c>
      <c r="C53" s="284">
        <f t="shared" si="4"/>
        <v>0</v>
      </c>
      <c r="D53" s="284">
        <f t="shared" si="5"/>
        <v>0</v>
      </c>
      <c r="E53" s="284">
        <f t="shared" si="6"/>
        <v>0</v>
      </c>
      <c r="F53" s="284">
        <f t="shared" si="7"/>
        <v>0</v>
      </c>
      <c r="G53" s="284">
        <f t="shared" si="8"/>
        <v>0</v>
      </c>
      <c r="H53" s="284">
        <f t="shared" si="9"/>
        <v>0</v>
      </c>
      <c r="I53" s="284">
        <f t="shared" si="10"/>
        <v>0</v>
      </c>
      <c r="J53" s="284">
        <f t="shared" si="11"/>
        <v>0</v>
      </c>
      <c r="K53" s="284">
        <f t="shared" si="12"/>
        <v>0</v>
      </c>
      <c r="L53" s="284">
        <f t="shared" si="13"/>
        <v>0</v>
      </c>
      <c r="M53" s="284">
        <f t="shared" si="14"/>
        <v>0</v>
      </c>
      <c r="N53" s="284">
        <f t="shared" si="15"/>
        <v>0</v>
      </c>
      <c r="O53" s="284">
        <f t="shared" si="16"/>
        <v>0</v>
      </c>
      <c r="P53" s="284">
        <f t="shared" si="17"/>
        <v>0</v>
      </c>
      <c r="Q53" s="284">
        <f t="shared" si="18"/>
        <v>0</v>
      </c>
      <c r="R53" s="284">
        <f t="shared" si="19"/>
        <v>0</v>
      </c>
      <c r="S53" s="284">
        <f t="shared" si="20"/>
        <v>0</v>
      </c>
      <c r="T53" s="284">
        <f t="shared" si="21"/>
        <v>0</v>
      </c>
      <c r="U53" s="285">
        <f t="shared" si="22"/>
        <v>0</v>
      </c>
      <c r="V53" s="286">
        <f>[1]BDD!A43</f>
        <v>1257</v>
      </c>
      <c r="W53" s="287" t="str">
        <f>[1]BDD!B43</f>
        <v>Blette verte BIO (production Rufino)</v>
      </c>
      <c r="X53" s="288" t="str">
        <f>IF([1]BDD!F43=0, "", [1]BDD!F43)</f>
        <v>OFFRE</v>
      </c>
      <c r="Y53" s="214">
        <f>ROUND([1]BDD!G43+FDP_CMD_KG, 2)</f>
        <v>2.64</v>
      </c>
      <c r="Z53" s="214">
        <f>ROUND([1]BDD!G43+FDP_FACT_KG, 2)</f>
        <v>2.64</v>
      </c>
      <c r="AA53" s="215" t="str">
        <f>[1]BDD!H43</f>
        <v>kg</v>
      </c>
      <c r="AB53" s="225">
        <f>IF(NOT(ISBLANK([1]BDD!I43)), ROUND(SUM(([1]BDD!G43*reduc1),FDP_CMD_KG), 2), "")</f>
        <v>2.4700000000000002</v>
      </c>
      <c r="AC53" s="225" t="str">
        <f>IF(NOT(ISBLANK([1]BDD!J43)), ROUND(SUM(([1]BDD!G43*reduc2),FDP_CMD_KG), 2), "")</f>
        <v/>
      </c>
      <c r="AD53" s="225" t="str">
        <f>IF(NOT(ISBLANK([1]BDD!K43)), ROUND(SUM(([1]BDD!G43*reduc3),FDP_CMD_KG), 2), "")</f>
        <v/>
      </c>
      <c r="AE53" s="225">
        <f>IF(NOT(ISBLANK([1]BDD!I43)), ROUND(SUM(([1]BDD!G43*reduc1),FDP_FACT_KG), 2), "")</f>
        <v>2.46</v>
      </c>
      <c r="AF53" s="225" t="str">
        <f>IF(NOT(ISBLANK([1]BDD!J43)), ROUND(SUM(([1]BDD!G43*reduc2),FDP_FACT_KG), 2), "")</f>
        <v/>
      </c>
      <c r="AG53" s="225" t="str">
        <f>IF(NOT(ISBLANK([1]BDD!K43)), ROUND(SUM(([1]BDD!G43*reduc3),FDP_FACT_KG), 2), "")</f>
        <v/>
      </c>
      <c r="AH53" s="289" t="str">
        <f>[1]BDD!C43</f>
        <v>Grenade</v>
      </c>
      <c r="AI53" s="290">
        <f t="shared" si="23"/>
        <v>0</v>
      </c>
      <c r="AJ53" s="216">
        <f t="shared" si="24"/>
        <v>2.4700000000000002</v>
      </c>
      <c r="AK53" s="291">
        <f t="shared" si="25"/>
        <v>0</v>
      </c>
      <c r="AL53" s="429"/>
      <c r="AM53" s="292"/>
      <c r="AN53" s="216">
        <f t="shared" si="26"/>
        <v>2.64</v>
      </c>
      <c r="AO53" s="293">
        <f t="shared" si="27"/>
        <v>0</v>
      </c>
      <c r="AP53" s="294"/>
      <c r="AQ53" s="294"/>
      <c r="AR53" s="429"/>
      <c r="AS53" s="295">
        <f t="shared" si="28"/>
        <v>0</v>
      </c>
      <c r="AT53" s="216">
        <f t="shared" si="29"/>
        <v>2.64</v>
      </c>
      <c r="AU53" s="291">
        <f t="shared" si="1"/>
        <v>0</v>
      </c>
      <c r="AV53" s="296">
        <f>[1]COMMANDE!O51</f>
        <v>0</v>
      </c>
      <c r="AW53" s="297" t="str">
        <f t="shared" si="30"/>
        <v>0</v>
      </c>
      <c r="AX53" s="298">
        <f t="shared" si="31"/>
        <v>0</v>
      </c>
      <c r="AY53" s="299">
        <f>[1]COMMANDE!Q51</f>
        <v>0</v>
      </c>
      <c r="AZ53" s="297" t="str">
        <f t="shared" si="32"/>
        <v>0</v>
      </c>
      <c r="BA53" s="300">
        <f t="shared" si="33"/>
        <v>0</v>
      </c>
      <c r="BB53" s="301">
        <f>[1]COMMANDE!S51</f>
        <v>0</v>
      </c>
      <c r="BC53" s="297" t="str">
        <f t="shared" si="34"/>
        <v>0</v>
      </c>
      <c r="BD53" s="298">
        <f t="shared" si="35"/>
        <v>0</v>
      </c>
      <c r="BE53" s="299">
        <f>[1]COMMANDE!U51</f>
        <v>0</v>
      </c>
      <c r="BF53" s="297" t="str">
        <f t="shared" si="36"/>
        <v>0</v>
      </c>
      <c r="BG53" s="300">
        <f t="shared" si="37"/>
        <v>0</v>
      </c>
      <c r="BH53" s="301">
        <f>[1]COMMANDE!W51</f>
        <v>0</v>
      </c>
      <c r="BI53" s="297" t="str">
        <f t="shared" si="38"/>
        <v>0</v>
      </c>
      <c r="BJ53" s="298">
        <f t="shared" si="39"/>
        <v>0</v>
      </c>
      <c r="BK53" s="299">
        <f>[1]COMMANDE!Y51</f>
        <v>0</v>
      </c>
      <c r="BL53" s="297" t="str">
        <f t="shared" si="40"/>
        <v>0</v>
      </c>
      <c r="BM53" s="300">
        <f t="shared" si="41"/>
        <v>0</v>
      </c>
      <c r="BN53" s="301">
        <f>[1]COMMANDE!AA51</f>
        <v>0</v>
      </c>
      <c r="BO53" s="297" t="str">
        <f t="shared" si="42"/>
        <v>0</v>
      </c>
      <c r="BP53" s="298">
        <f t="shared" si="43"/>
        <v>0</v>
      </c>
      <c r="BQ53" s="299">
        <f>[1]COMMANDE!AC51</f>
        <v>0</v>
      </c>
      <c r="BR53" s="297" t="str">
        <f t="shared" si="44"/>
        <v>0</v>
      </c>
      <c r="BS53" s="300">
        <f t="shared" si="45"/>
        <v>0</v>
      </c>
      <c r="BT53" s="301">
        <f>[1]COMMANDE!AE51</f>
        <v>0</v>
      </c>
      <c r="BU53" s="297" t="str">
        <f t="shared" si="46"/>
        <v>0</v>
      </c>
      <c r="BV53" s="298">
        <f t="shared" si="47"/>
        <v>0</v>
      </c>
      <c r="BW53" s="299">
        <f>[1]COMMANDE!AG51</f>
        <v>0</v>
      </c>
      <c r="BX53" s="297" t="str">
        <f t="shared" si="48"/>
        <v>0</v>
      </c>
      <c r="BY53" s="300">
        <f t="shared" si="49"/>
        <v>0</v>
      </c>
      <c r="BZ53" s="301">
        <f>[1]COMMANDE!AI51</f>
        <v>0</v>
      </c>
      <c r="CA53" s="297" t="str">
        <f t="shared" si="50"/>
        <v>0</v>
      </c>
      <c r="CB53" s="298">
        <f t="shared" si="51"/>
        <v>0</v>
      </c>
      <c r="CC53" s="299">
        <f>[1]COMMANDE!AK51</f>
        <v>0</v>
      </c>
      <c r="CD53" s="297" t="str">
        <f t="shared" si="52"/>
        <v>0</v>
      </c>
      <c r="CE53" s="300">
        <f t="shared" si="53"/>
        <v>0</v>
      </c>
      <c r="CF53" s="301">
        <f>[1]COMMANDE!AM51</f>
        <v>0</v>
      </c>
      <c r="CG53" s="297" t="str">
        <f t="shared" si="54"/>
        <v>0</v>
      </c>
      <c r="CH53" s="298">
        <f t="shared" si="55"/>
        <v>0</v>
      </c>
      <c r="CI53" s="299">
        <f>[1]COMMANDE!AO51</f>
        <v>0</v>
      </c>
      <c r="CJ53" s="297" t="str">
        <f t="shared" si="56"/>
        <v>0</v>
      </c>
      <c r="CK53" s="300">
        <f t="shared" si="57"/>
        <v>0</v>
      </c>
      <c r="CL53" s="301">
        <f>[1]COMMANDE!AQ51</f>
        <v>0</v>
      </c>
      <c r="CM53" s="297" t="str">
        <f t="shared" si="58"/>
        <v>0</v>
      </c>
      <c r="CN53" s="298">
        <f t="shared" si="59"/>
        <v>0</v>
      </c>
      <c r="CO53" s="299">
        <f>[1]COMMANDE!AS51</f>
        <v>0</v>
      </c>
      <c r="CP53" s="297" t="str">
        <f t="shared" si="60"/>
        <v>0</v>
      </c>
      <c r="CQ53" s="300">
        <f t="shared" si="61"/>
        <v>0</v>
      </c>
      <c r="CR53" s="301">
        <f>[1]COMMANDE!AU51</f>
        <v>0</v>
      </c>
      <c r="CS53" s="297" t="str">
        <f t="shared" si="62"/>
        <v>0</v>
      </c>
      <c r="CT53" s="298">
        <f t="shared" si="63"/>
        <v>0</v>
      </c>
      <c r="CU53" s="299">
        <f>[1]COMMANDE!AW51</f>
        <v>0</v>
      </c>
      <c r="CV53" s="297" t="str">
        <f t="shared" si="64"/>
        <v>0</v>
      </c>
      <c r="CW53" s="300">
        <f t="shared" si="65"/>
        <v>0</v>
      </c>
      <c r="CX53" s="301">
        <f>[1]COMMANDE!AY51</f>
        <v>0</v>
      </c>
      <c r="CY53" s="297" t="str">
        <f t="shared" si="66"/>
        <v>0</v>
      </c>
      <c r="CZ53" s="298">
        <f t="shared" si="67"/>
        <v>0</v>
      </c>
      <c r="DA53" s="299">
        <f>[1]COMMANDE!BA51</f>
        <v>0</v>
      </c>
      <c r="DB53" s="297" t="str">
        <f t="shared" si="68"/>
        <v>0</v>
      </c>
      <c r="DC53" s="302">
        <f t="shared" si="69"/>
        <v>0</v>
      </c>
      <c r="DD53" s="303"/>
      <c r="DE53" s="304"/>
    </row>
    <row r="54" spans="1:109" ht="39.950000000000003" customHeight="1" x14ac:dyDescent="0.25">
      <c r="A54" s="284">
        <f t="shared" si="2"/>
        <v>0</v>
      </c>
      <c r="B54" s="284">
        <f t="shared" si="3"/>
        <v>0</v>
      </c>
      <c r="C54" s="284">
        <f t="shared" si="4"/>
        <v>0</v>
      </c>
      <c r="D54" s="284">
        <f t="shared" si="5"/>
        <v>0</v>
      </c>
      <c r="E54" s="284">
        <f t="shared" si="6"/>
        <v>0</v>
      </c>
      <c r="F54" s="284">
        <f t="shared" si="7"/>
        <v>0</v>
      </c>
      <c r="G54" s="284">
        <f t="shared" si="8"/>
        <v>0</v>
      </c>
      <c r="H54" s="284">
        <f t="shared" si="9"/>
        <v>0</v>
      </c>
      <c r="I54" s="284">
        <f t="shared" si="10"/>
        <v>0</v>
      </c>
      <c r="J54" s="284">
        <f t="shared" si="11"/>
        <v>0</v>
      </c>
      <c r="K54" s="284">
        <f t="shared" si="12"/>
        <v>0</v>
      </c>
      <c r="L54" s="284">
        <f t="shared" si="13"/>
        <v>0</v>
      </c>
      <c r="M54" s="284">
        <f t="shared" si="14"/>
        <v>0</v>
      </c>
      <c r="N54" s="284">
        <f t="shared" si="15"/>
        <v>0</v>
      </c>
      <c r="O54" s="284">
        <f t="shared" si="16"/>
        <v>0</v>
      </c>
      <c r="P54" s="284">
        <f t="shared" si="17"/>
        <v>0</v>
      </c>
      <c r="Q54" s="284">
        <f t="shared" si="18"/>
        <v>0</v>
      </c>
      <c r="R54" s="284">
        <f t="shared" si="19"/>
        <v>0</v>
      </c>
      <c r="S54" s="284">
        <f t="shared" si="20"/>
        <v>0</v>
      </c>
      <c r="T54" s="284">
        <f t="shared" si="21"/>
        <v>0</v>
      </c>
      <c r="U54" s="285">
        <f t="shared" si="22"/>
        <v>0</v>
      </c>
      <c r="V54" s="286">
        <f>[1]BDD!A44</f>
        <v>5085</v>
      </c>
      <c r="W54" s="287" t="str">
        <f>[1]BDD!B44</f>
        <v>Bonbons chocolat noir CRU (artisanal, grande qualité, sans sucre, ni gluten, cacao, pâte de cacao, beurre de cacao, vanille naturelle)</v>
      </c>
      <c r="X54" s="288" t="str">
        <f>IF([1]BDD!F44=0, "", [1]BDD!F44)</f>
        <v/>
      </c>
      <c r="Y54" s="214">
        <f>ROUND([1]BDD!G44+FDP_CMD_KG, 2)</f>
        <v>3.58</v>
      </c>
      <c r="Z54" s="214">
        <f>ROUND([1]BDD!G44+FDP_FACT_KG, 2)</f>
        <v>3.58</v>
      </c>
      <c r="AA54" s="215" t="str">
        <f>[1]BDD!H44</f>
        <v>Pièce</v>
      </c>
      <c r="AB54" s="225" t="str">
        <f>IF(NOT(ISBLANK([1]BDD!I44)), ROUND(SUM(([1]BDD!G44*reduc1),FDP_CMD_KG), 2), "")</f>
        <v/>
      </c>
      <c r="AC54" s="225" t="str">
        <f>IF(NOT(ISBLANK([1]BDD!J44)), ROUND(SUM(([1]BDD!G44*reduc2),FDP_CMD_KG), 2), "")</f>
        <v/>
      </c>
      <c r="AD54" s="225" t="str">
        <f>IF(NOT(ISBLANK([1]BDD!K44)), ROUND(SUM(([1]BDD!G44*reduc3),FDP_CMD_KG), 2), "")</f>
        <v/>
      </c>
      <c r="AE54" s="225" t="str">
        <f>IF(NOT(ISBLANK([1]BDD!I44)), ROUND(SUM(([1]BDD!G44*reduc1),FDP_FACT_KG), 2), "")</f>
        <v/>
      </c>
      <c r="AF54" s="225" t="str">
        <f>IF(NOT(ISBLANK([1]BDD!J44)), ROUND(SUM(([1]BDD!G44*reduc2),FDP_FACT_KG), 2), "")</f>
        <v/>
      </c>
      <c r="AG54" s="225" t="str">
        <f>IF(NOT(ISBLANK([1]BDD!K44)), ROUND(SUM(([1]BDD!G44*reduc3),FDP_FACT_KG), 2), "")</f>
        <v/>
      </c>
      <c r="AH54" s="289" t="str">
        <f>[1]BDD!C44</f>
        <v>National</v>
      </c>
      <c r="AI54" s="290">
        <f t="shared" si="23"/>
        <v>0</v>
      </c>
      <c r="AJ54" s="216">
        <f t="shared" si="24"/>
        <v>3.58</v>
      </c>
      <c r="AK54" s="291">
        <f t="shared" si="25"/>
        <v>0</v>
      </c>
      <c r="AL54" s="429"/>
      <c r="AM54" s="292"/>
      <c r="AN54" s="216">
        <f t="shared" si="26"/>
        <v>3.58</v>
      </c>
      <c r="AO54" s="293">
        <f t="shared" si="27"/>
        <v>0</v>
      </c>
      <c r="AP54" s="294"/>
      <c r="AQ54" s="294"/>
      <c r="AR54" s="429"/>
      <c r="AS54" s="295">
        <f t="shared" si="28"/>
        <v>0</v>
      </c>
      <c r="AT54" s="216">
        <f t="shared" si="29"/>
        <v>3.58</v>
      </c>
      <c r="AU54" s="291">
        <f t="shared" si="1"/>
        <v>0</v>
      </c>
      <c r="AV54" s="296">
        <f>[1]COMMANDE!O52</f>
        <v>0</v>
      </c>
      <c r="AW54" s="297" t="str">
        <f t="shared" si="30"/>
        <v>0</v>
      </c>
      <c r="AX54" s="298">
        <f t="shared" si="31"/>
        <v>0</v>
      </c>
      <c r="AY54" s="299">
        <f>[1]COMMANDE!Q52</f>
        <v>0</v>
      </c>
      <c r="AZ54" s="297" t="str">
        <f t="shared" si="32"/>
        <v>0</v>
      </c>
      <c r="BA54" s="300">
        <f t="shared" si="33"/>
        <v>0</v>
      </c>
      <c r="BB54" s="301">
        <f>[1]COMMANDE!S52</f>
        <v>0</v>
      </c>
      <c r="BC54" s="297" t="str">
        <f t="shared" si="34"/>
        <v>0</v>
      </c>
      <c r="BD54" s="298">
        <f t="shared" si="35"/>
        <v>0</v>
      </c>
      <c r="BE54" s="299">
        <f>[1]COMMANDE!U52</f>
        <v>0</v>
      </c>
      <c r="BF54" s="297" t="str">
        <f t="shared" si="36"/>
        <v>0</v>
      </c>
      <c r="BG54" s="300">
        <f t="shared" si="37"/>
        <v>0</v>
      </c>
      <c r="BH54" s="301">
        <f>[1]COMMANDE!W52</f>
        <v>0</v>
      </c>
      <c r="BI54" s="297" t="str">
        <f t="shared" si="38"/>
        <v>0</v>
      </c>
      <c r="BJ54" s="298">
        <f t="shared" si="39"/>
        <v>0</v>
      </c>
      <c r="BK54" s="299">
        <f>[1]COMMANDE!Y52</f>
        <v>0</v>
      </c>
      <c r="BL54" s="297" t="str">
        <f t="shared" si="40"/>
        <v>0</v>
      </c>
      <c r="BM54" s="300">
        <f t="shared" si="41"/>
        <v>0</v>
      </c>
      <c r="BN54" s="301">
        <f>[1]COMMANDE!AA52</f>
        <v>0</v>
      </c>
      <c r="BO54" s="297" t="str">
        <f t="shared" si="42"/>
        <v>0</v>
      </c>
      <c r="BP54" s="298">
        <f t="shared" si="43"/>
        <v>0</v>
      </c>
      <c r="BQ54" s="299">
        <f>[1]COMMANDE!AC52</f>
        <v>0</v>
      </c>
      <c r="BR54" s="297" t="str">
        <f t="shared" si="44"/>
        <v>0</v>
      </c>
      <c r="BS54" s="300">
        <f t="shared" si="45"/>
        <v>0</v>
      </c>
      <c r="BT54" s="301">
        <f>[1]COMMANDE!AE52</f>
        <v>0</v>
      </c>
      <c r="BU54" s="297" t="str">
        <f t="shared" si="46"/>
        <v>0</v>
      </c>
      <c r="BV54" s="298">
        <f t="shared" si="47"/>
        <v>0</v>
      </c>
      <c r="BW54" s="299">
        <f>[1]COMMANDE!AG52</f>
        <v>0</v>
      </c>
      <c r="BX54" s="297" t="str">
        <f t="shared" si="48"/>
        <v>0</v>
      </c>
      <c r="BY54" s="300">
        <f t="shared" si="49"/>
        <v>0</v>
      </c>
      <c r="BZ54" s="301">
        <f>[1]COMMANDE!AI52</f>
        <v>0</v>
      </c>
      <c r="CA54" s="297" t="str">
        <f t="shared" si="50"/>
        <v>0</v>
      </c>
      <c r="CB54" s="298">
        <f t="shared" si="51"/>
        <v>0</v>
      </c>
      <c r="CC54" s="299">
        <f>[1]COMMANDE!AK52</f>
        <v>0</v>
      </c>
      <c r="CD54" s="297" t="str">
        <f t="shared" si="52"/>
        <v>0</v>
      </c>
      <c r="CE54" s="300">
        <f t="shared" si="53"/>
        <v>0</v>
      </c>
      <c r="CF54" s="301">
        <f>[1]COMMANDE!AM52</f>
        <v>0</v>
      </c>
      <c r="CG54" s="297" t="str">
        <f t="shared" si="54"/>
        <v>0</v>
      </c>
      <c r="CH54" s="298">
        <f t="shared" si="55"/>
        <v>0</v>
      </c>
      <c r="CI54" s="299">
        <f>[1]COMMANDE!AO52</f>
        <v>0</v>
      </c>
      <c r="CJ54" s="297" t="str">
        <f t="shared" si="56"/>
        <v>0</v>
      </c>
      <c r="CK54" s="300">
        <f t="shared" si="57"/>
        <v>0</v>
      </c>
      <c r="CL54" s="301">
        <f>[1]COMMANDE!AQ52</f>
        <v>0</v>
      </c>
      <c r="CM54" s="297" t="str">
        <f t="shared" si="58"/>
        <v>0</v>
      </c>
      <c r="CN54" s="298">
        <f t="shared" si="59"/>
        <v>0</v>
      </c>
      <c r="CO54" s="299">
        <f>[1]COMMANDE!AS52</f>
        <v>0</v>
      </c>
      <c r="CP54" s="297" t="str">
        <f t="shared" si="60"/>
        <v>0</v>
      </c>
      <c r="CQ54" s="300">
        <f t="shared" si="61"/>
        <v>0</v>
      </c>
      <c r="CR54" s="301">
        <f>[1]COMMANDE!AU52</f>
        <v>0</v>
      </c>
      <c r="CS54" s="297" t="str">
        <f t="shared" si="62"/>
        <v>0</v>
      </c>
      <c r="CT54" s="298">
        <f t="shared" si="63"/>
        <v>0</v>
      </c>
      <c r="CU54" s="299">
        <f>[1]COMMANDE!AW52</f>
        <v>0</v>
      </c>
      <c r="CV54" s="297" t="str">
        <f t="shared" si="64"/>
        <v>0</v>
      </c>
      <c r="CW54" s="300">
        <f t="shared" si="65"/>
        <v>0</v>
      </c>
      <c r="CX54" s="301">
        <f>[1]COMMANDE!AY52</f>
        <v>0</v>
      </c>
      <c r="CY54" s="297" t="str">
        <f t="shared" si="66"/>
        <v>0</v>
      </c>
      <c r="CZ54" s="298">
        <f t="shared" si="67"/>
        <v>0</v>
      </c>
      <c r="DA54" s="299">
        <f>[1]COMMANDE!BA52</f>
        <v>0</v>
      </c>
      <c r="DB54" s="297" t="str">
        <f t="shared" si="68"/>
        <v>0</v>
      </c>
      <c r="DC54" s="302">
        <f t="shared" si="69"/>
        <v>0</v>
      </c>
      <c r="DD54" s="303"/>
      <c r="DE54" s="304"/>
    </row>
    <row r="55" spans="1:109" ht="39.950000000000003" customHeight="1" x14ac:dyDescent="0.25">
      <c r="A55" s="284">
        <f t="shared" si="2"/>
        <v>0</v>
      </c>
      <c r="B55" s="284">
        <f t="shared" si="3"/>
        <v>0</v>
      </c>
      <c r="C55" s="284">
        <f t="shared" si="4"/>
        <v>0</v>
      </c>
      <c r="D55" s="284">
        <f t="shared" si="5"/>
        <v>0</v>
      </c>
      <c r="E55" s="284">
        <f t="shared" si="6"/>
        <v>0</v>
      </c>
      <c r="F55" s="284">
        <f t="shared" si="7"/>
        <v>0</v>
      </c>
      <c r="G55" s="284">
        <f t="shared" si="8"/>
        <v>0</v>
      </c>
      <c r="H55" s="284">
        <f t="shared" si="9"/>
        <v>0</v>
      </c>
      <c r="I55" s="284">
        <f t="shared" si="10"/>
        <v>0</v>
      </c>
      <c r="J55" s="284">
        <f t="shared" si="11"/>
        <v>0</v>
      </c>
      <c r="K55" s="284">
        <f t="shared" si="12"/>
        <v>0</v>
      </c>
      <c r="L55" s="284">
        <f t="shared" si="13"/>
        <v>0</v>
      </c>
      <c r="M55" s="284">
        <f t="shared" si="14"/>
        <v>0</v>
      </c>
      <c r="N55" s="284">
        <f t="shared" si="15"/>
        <v>0</v>
      </c>
      <c r="O55" s="284">
        <f t="shared" si="16"/>
        <v>0</v>
      </c>
      <c r="P55" s="284">
        <f t="shared" si="17"/>
        <v>0</v>
      </c>
      <c r="Q55" s="284">
        <f t="shared" si="18"/>
        <v>0</v>
      </c>
      <c r="R55" s="284">
        <f t="shared" si="19"/>
        <v>0</v>
      </c>
      <c r="S55" s="284">
        <f t="shared" si="20"/>
        <v>0</v>
      </c>
      <c r="T55" s="284">
        <f t="shared" si="21"/>
        <v>0</v>
      </c>
      <c r="U55" s="285">
        <f t="shared" si="22"/>
        <v>0</v>
      </c>
      <c r="V55" s="286">
        <f>[1]BDD!A45</f>
        <v>5085</v>
      </c>
      <c r="W55" s="287" t="str">
        <f>[1]BDD!B45</f>
        <v>Bonbons chocolat noir CRU (pack de 3)</v>
      </c>
      <c r="X55" s="288" t="str">
        <f>IF([1]BDD!F45=0, "", [1]BDD!F45)</f>
        <v>OFFRE</v>
      </c>
      <c r="Y55" s="214">
        <f>ROUND([1]BDD!G45+FDP_CMD_KG, 2)</f>
        <v>7.69</v>
      </c>
      <c r="Z55" s="214">
        <f>ROUND([1]BDD!G45+FDP_FACT_KG, 2)</f>
        <v>7.69</v>
      </c>
      <c r="AA55" s="215" t="str">
        <f>[1]BDD!H45</f>
        <v>Pièce</v>
      </c>
      <c r="AB55" s="225" t="str">
        <f>IF(NOT(ISBLANK([1]BDD!I45)), ROUND(SUM(([1]BDD!G45*reduc1),FDP_CMD_KG), 2), "")</f>
        <v/>
      </c>
      <c r="AC55" s="225" t="str">
        <f>IF(NOT(ISBLANK([1]BDD!J45)), ROUND(SUM(([1]BDD!G45*reduc2),FDP_CMD_KG), 2), "")</f>
        <v/>
      </c>
      <c r="AD55" s="225" t="str">
        <f>IF(NOT(ISBLANK([1]BDD!K45)), ROUND(SUM(([1]BDD!G45*reduc3),FDP_CMD_KG), 2), "")</f>
        <v/>
      </c>
      <c r="AE55" s="225" t="str">
        <f>IF(NOT(ISBLANK([1]BDD!I45)), ROUND(SUM(([1]BDD!G45*reduc1),FDP_FACT_KG), 2), "")</f>
        <v/>
      </c>
      <c r="AF55" s="225" t="str">
        <f>IF(NOT(ISBLANK([1]BDD!J45)), ROUND(SUM(([1]BDD!G45*reduc2),FDP_FACT_KG), 2), "")</f>
        <v/>
      </c>
      <c r="AG55" s="225" t="str">
        <f>IF(NOT(ISBLANK([1]BDD!K45)), ROUND(SUM(([1]BDD!G45*reduc3),FDP_FACT_KG), 2), "")</f>
        <v/>
      </c>
      <c r="AH55" s="289" t="str">
        <f>[1]BDD!C45</f>
        <v>National</v>
      </c>
      <c r="AI55" s="290">
        <f t="shared" si="23"/>
        <v>0</v>
      </c>
      <c r="AJ55" s="216">
        <f t="shared" si="24"/>
        <v>7.69</v>
      </c>
      <c r="AK55" s="291">
        <f t="shared" si="25"/>
        <v>0</v>
      </c>
      <c r="AL55" s="429"/>
      <c r="AM55" s="292"/>
      <c r="AN55" s="216">
        <f t="shared" si="26"/>
        <v>7.69</v>
      </c>
      <c r="AO55" s="293">
        <f t="shared" si="27"/>
        <v>0</v>
      </c>
      <c r="AP55" s="294"/>
      <c r="AQ55" s="294"/>
      <c r="AR55" s="429"/>
      <c r="AS55" s="295">
        <f t="shared" si="28"/>
        <v>0</v>
      </c>
      <c r="AT55" s="216">
        <f t="shared" si="29"/>
        <v>7.69</v>
      </c>
      <c r="AU55" s="291">
        <f t="shared" si="1"/>
        <v>0</v>
      </c>
      <c r="AV55" s="296">
        <f>[1]COMMANDE!O53</f>
        <v>0</v>
      </c>
      <c r="AW55" s="297" t="str">
        <f t="shared" si="30"/>
        <v>0</v>
      </c>
      <c r="AX55" s="298">
        <f t="shared" si="31"/>
        <v>0</v>
      </c>
      <c r="AY55" s="299">
        <f>[1]COMMANDE!Q53</f>
        <v>0</v>
      </c>
      <c r="AZ55" s="297" t="str">
        <f t="shared" si="32"/>
        <v>0</v>
      </c>
      <c r="BA55" s="300">
        <f t="shared" si="33"/>
        <v>0</v>
      </c>
      <c r="BB55" s="301">
        <f>[1]COMMANDE!S53</f>
        <v>0</v>
      </c>
      <c r="BC55" s="297" t="str">
        <f t="shared" si="34"/>
        <v>0</v>
      </c>
      <c r="BD55" s="298">
        <f t="shared" si="35"/>
        <v>0</v>
      </c>
      <c r="BE55" s="299">
        <f>[1]COMMANDE!U53</f>
        <v>0</v>
      </c>
      <c r="BF55" s="297" t="str">
        <f t="shared" si="36"/>
        <v>0</v>
      </c>
      <c r="BG55" s="300">
        <f t="shared" si="37"/>
        <v>0</v>
      </c>
      <c r="BH55" s="301">
        <f>[1]COMMANDE!W53</f>
        <v>0</v>
      </c>
      <c r="BI55" s="297" t="str">
        <f t="shared" si="38"/>
        <v>0</v>
      </c>
      <c r="BJ55" s="298">
        <f t="shared" si="39"/>
        <v>0</v>
      </c>
      <c r="BK55" s="299">
        <f>[1]COMMANDE!Y53</f>
        <v>0</v>
      </c>
      <c r="BL55" s="297" t="str">
        <f t="shared" si="40"/>
        <v>0</v>
      </c>
      <c r="BM55" s="300">
        <f t="shared" si="41"/>
        <v>0</v>
      </c>
      <c r="BN55" s="301">
        <f>[1]COMMANDE!AA53</f>
        <v>0</v>
      </c>
      <c r="BO55" s="297" t="str">
        <f t="shared" si="42"/>
        <v>0</v>
      </c>
      <c r="BP55" s="298">
        <f t="shared" si="43"/>
        <v>0</v>
      </c>
      <c r="BQ55" s="299">
        <f>[1]COMMANDE!AC53</f>
        <v>0</v>
      </c>
      <c r="BR55" s="297" t="str">
        <f t="shared" si="44"/>
        <v>0</v>
      </c>
      <c r="BS55" s="300">
        <f t="shared" si="45"/>
        <v>0</v>
      </c>
      <c r="BT55" s="301">
        <f>[1]COMMANDE!AE53</f>
        <v>0</v>
      </c>
      <c r="BU55" s="297" t="str">
        <f t="shared" si="46"/>
        <v>0</v>
      </c>
      <c r="BV55" s="298">
        <f t="shared" si="47"/>
        <v>0</v>
      </c>
      <c r="BW55" s="299">
        <f>[1]COMMANDE!AG53</f>
        <v>0</v>
      </c>
      <c r="BX55" s="297" t="str">
        <f t="shared" si="48"/>
        <v>0</v>
      </c>
      <c r="BY55" s="300">
        <f t="shared" si="49"/>
        <v>0</v>
      </c>
      <c r="BZ55" s="301">
        <f>[1]COMMANDE!AI53</f>
        <v>0</v>
      </c>
      <c r="CA55" s="297" t="str">
        <f t="shared" si="50"/>
        <v>0</v>
      </c>
      <c r="CB55" s="298">
        <f t="shared" si="51"/>
        <v>0</v>
      </c>
      <c r="CC55" s="299">
        <f>[1]COMMANDE!AK53</f>
        <v>0</v>
      </c>
      <c r="CD55" s="297" t="str">
        <f t="shared" si="52"/>
        <v>0</v>
      </c>
      <c r="CE55" s="300">
        <f t="shared" si="53"/>
        <v>0</v>
      </c>
      <c r="CF55" s="301">
        <f>[1]COMMANDE!AM53</f>
        <v>0</v>
      </c>
      <c r="CG55" s="297" t="str">
        <f t="shared" si="54"/>
        <v>0</v>
      </c>
      <c r="CH55" s="298">
        <f t="shared" si="55"/>
        <v>0</v>
      </c>
      <c r="CI55" s="299">
        <f>[1]COMMANDE!AO53</f>
        <v>0</v>
      </c>
      <c r="CJ55" s="297" t="str">
        <f t="shared" si="56"/>
        <v>0</v>
      </c>
      <c r="CK55" s="300">
        <f t="shared" si="57"/>
        <v>0</v>
      </c>
      <c r="CL55" s="301">
        <f>[1]COMMANDE!AQ53</f>
        <v>0</v>
      </c>
      <c r="CM55" s="297" t="str">
        <f t="shared" si="58"/>
        <v>0</v>
      </c>
      <c r="CN55" s="298">
        <f t="shared" si="59"/>
        <v>0</v>
      </c>
      <c r="CO55" s="299">
        <f>[1]COMMANDE!AS53</f>
        <v>0</v>
      </c>
      <c r="CP55" s="297" t="str">
        <f t="shared" si="60"/>
        <v>0</v>
      </c>
      <c r="CQ55" s="300">
        <f t="shared" si="61"/>
        <v>0</v>
      </c>
      <c r="CR55" s="301">
        <f>[1]COMMANDE!AU53</f>
        <v>0</v>
      </c>
      <c r="CS55" s="297" t="str">
        <f t="shared" si="62"/>
        <v>0</v>
      </c>
      <c r="CT55" s="298">
        <f t="shared" si="63"/>
        <v>0</v>
      </c>
      <c r="CU55" s="299">
        <f>[1]COMMANDE!AW53</f>
        <v>0</v>
      </c>
      <c r="CV55" s="297" t="str">
        <f t="shared" si="64"/>
        <v>0</v>
      </c>
      <c r="CW55" s="300">
        <f t="shared" si="65"/>
        <v>0</v>
      </c>
      <c r="CX55" s="301">
        <f>[1]COMMANDE!AY53</f>
        <v>0</v>
      </c>
      <c r="CY55" s="297" t="str">
        <f t="shared" si="66"/>
        <v>0</v>
      </c>
      <c r="CZ55" s="298">
        <f t="shared" si="67"/>
        <v>0</v>
      </c>
      <c r="DA55" s="299">
        <f>[1]COMMANDE!BA53</f>
        <v>0</v>
      </c>
      <c r="DB55" s="297" t="str">
        <f t="shared" si="68"/>
        <v>0</v>
      </c>
      <c r="DC55" s="302">
        <f t="shared" si="69"/>
        <v>0</v>
      </c>
      <c r="DD55" s="303"/>
      <c r="DE55" s="304"/>
    </row>
    <row r="56" spans="1:109" ht="39.950000000000003" customHeight="1" x14ac:dyDescent="0.25">
      <c r="A56" s="284">
        <f t="shared" si="2"/>
        <v>0</v>
      </c>
      <c r="B56" s="284">
        <f t="shared" si="3"/>
        <v>0</v>
      </c>
      <c r="C56" s="284">
        <f t="shared" si="4"/>
        <v>0</v>
      </c>
      <c r="D56" s="284">
        <f t="shared" si="5"/>
        <v>0</v>
      </c>
      <c r="E56" s="284">
        <f t="shared" si="6"/>
        <v>0</v>
      </c>
      <c r="F56" s="284">
        <f t="shared" si="7"/>
        <v>0</v>
      </c>
      <c r="G56" s="284">
        <f t="shared" si="8"/>
        <v>0</v>
      </c>
      <c r="H56" s="284">
        <f t="shared" si="9"/>
        <v>0</v>
      </c>
      <c r="I56" s="284">
        <f t="shared" si="10"/>
        <v>0</v>
      </c>
      <c r="J56" s="284">
        <f t="shared" si="11"/>
        <v>0</v>
      </c>
      <c r="K56" s="284">
        <f t="shared" si="12"/>
        <v>0</v>
      </c>
      <c r="L56" s="284">
        <f t="shared" si="13"/>
        <v>0</v>
      </c>
      <c r="M56" s="284">
        <f t="shared" si="14"/>
        <v>0</v>
      </c>
      <c r="N56" s="284">
        <f t="shared" si="15"/>
        <v>0</v>
      </c>
      <c r="O56" s="284">
        <f t="shared" si="16"/>
        <v>0</v>
      </c>
      <c r="P56" s="284">
        <f t="shared" si="17"/>
        <v>0</v>
      </c>
      <c r="Q56" s="284">
        <f t="shared" si="18"/>
        <v>0</v>
      </c>
      <c r="R56" s="284">
        <f t="shared" si="19"/>
        <v>0</v>
      </c>
      <c r="S56" s="284">
        <f t="shared" si="20"/>
        <v>0</v>
      </c>
      <c r="T56" s="284">
        <f t="shared" si="21"/>
        <v>0</v>
      </c>
      <c r="U56" s="285">
        <f t="shared" si="22"/>
        <v>0</v>
      </c>
      <c r="V56" s="286">
        <f>[1]BDD!A46</f>
        <v>1597</v>
      </c>
      <c r="W56" s="287" t="str">
        <f>[1]BDD!B46</f>
        <v xml:space="preserve">Cacao en poudre CRU BIO (env. 1 kg) </v>
      </c>
      <c r="X56" s="288" t="str">
        <f>IF([1]BDD!F46=0, "", [1]BDD!F46)</f>
        <v/>
      </c>
      <c r="Y56" s="214">
        <f>ROUND([1]BDD!G46+FDP_CMD_KG, 2)</f>
        <v>15.52</v>
      </c>
      <c r="Z56" s="214">
        <f>ROUND([1]BDD!G46+FDP_FACT_KG, 2)</f>
        <v>15.52</v>
      </c>
      <c r="AA56" s="215" t="str">
        <f>[1]BDD!H46</f>
        <v>Pièce</v>
      </c>
      <c r="AB56" s="225">
        <f>IF(NOT(ISBLANK([1]BDD!I46)), ROUND(SUM(([1]BDD!G46*reduc1),FDP_CMD_KG), 2), "")</f>
        <v>14.06</v>
      </c>
      <c r="AC56" s="225" t="str">
        <f>IF(NOT(ISBLANK([1]BDD!J46)), ROUND(SUM(([1]BDD!G46*reduc2),FDP_CMD_KG), 2), "")</f>
        <v/>
      </c>
      <c r="AD56" s="225" t="str">
        <f>IF(NOT(ISBLANK([1]BDD!K46)), ROUND(SUM(([1]BDD!G46*reduc3),FDP_CMD_KG), 2), "")</f>
        <v/>
      </c>
      <c r="AE56" s="225">
        <f>IF(NOT(ISBLANK([1]BDD!I46)), ROUND(SUM(([1]BDD!G46*reduc1),FDP_FACT_KG), 2), "")</f>
        <v>14.05</v>
      </c>
      <c r="AF56" s="225" t="str">
        <f>IF(NOT(ISBLANK([1]BDD!J46)), ROUND(SUM(([1]BDD!G46*reduc2),FDP_FACT_KG), 2), "")</f>
        <v/>
      </c>
      <c r="AG56" s="225" t="str">
        <f>IF(NOT(ISBLANK([1]BDD!K46)), ROUND(SUM(([1]BDD!G46*reduc3),FDP_FACT_KG), 2), "")</f>
        <v/>
      </c>
      <c r="AH56" s="289" t="str">
        <f>[1]BDD!C46</f>
        <v>Pérou</v>
      </c>
      <c r="AI56" s="290">
        <f t="shared" si="23"/>
        <v>0</v>
      </c>
      <c r="AJ56" s="216">
        <f t="shared" si="24"/>
        <v>14.06</v>
      </c>
      <c r="AK56" s="291">
        <f t="shared" si="25"/>
        <v>0</v>
      </c>
      <c r="AL56" s="429"/>
      <c r="AM56" s="292"/>
      <c r="AN56" s="216">
        <f t="shared" si="26"/>
        <v>15.52</v>
      </c>
      <c r="AO56" s="293">
        <f t="shared" si="27"/>
        <v>0</v>
      </c>
      <c r="AP56" s="294"/>
      <c r="AQ56" s="294"/>
      <c r="AR56" s="429"/>
      <c r="AS56" s="295">
        <f t="shared" si="28"/>
        <v>0</v>
      </c>
      <c r="AT56" s="216">
        <f t="shared" si="29"/>
        <v>15.52</v>
      </c>
      <c r="AU56" s="291">
        <f t="shared" si="1"/>
        <v>0</v>
      </c>
      <c r="AV56" s="296">
        <f>[1]COMMANDE!O54</f>
        <v>0</v>
      </c>
      <c r="AW56" s="297" t="str">
        <f t="shared" si="30"/>
        <v>0</v>
      </c>
      <c r="AX56" s="298">
        <f t="shared" si="31"/>
        <v>0</v>
      </c>
      <c r="AY56" s="299">
        <f>[1]COMMANDE!Q54</f>
        <v>0</v>
      </c>
      <c r="AZ56" s="297" t="str">
        <f t="shared" si="32"/>
        <v>0</v>
      </c>
      <c r="BA56" s="300">
        <f t="shared" si="33"/>
        <v>0</v>
      </c>
      <c r="BB56" s="301">
        <f>[1]COMMANDE!S54</f>
        <v>0</v>
      </c>
      <c r="BC56" s="297" t="str">
        <f t="shared" si="34"/>
        <v>0</v>
      </c>
      <c r="BD56" s="298">
        <f t="shared" si="35"/>
        <v>0</v>
      </c>
      <c r="BE56" s="299">
        <f>[1]COMMANDE!U54</f>
        <v>0</v>
      </c>
      <c r="BF56" s="297" t="str">
        <f t="shared" si="36"/>
        <v>0</v>
      </c>
      <c r="BG56" s="300">
        <f t="shared" si="37"/>
        <v>0</v>
      </c>
      <c r="BH56" s="301">
        <f>[1]COMMANDE!W54</f>
        <v>0</v>
      </c>
      <c r="BI56" s="297" t="str">
        <f t="shared" si="38"/>
        <v>0</v>
      </c>
      <c r="BJ56" s="298">
        <f t="shared" si="39"/>
        <v>0</v>
      </c>
      <c r="BK56" s="299">
        <f>[1]COMMANDE!Y54</f>
        <v>0</v>
      </c>
      <c r="BL56" s="297" t="str">
        <f t="shared" si="40"/>
        <v>0</v>
      </c>
      <c r="BM56" s="300">
        <f t="shared" si="41"/>
        <v>0</v>
      </c>
      <c r="BN56" s="301">
        <f>[1]COMMANDE!AA54</f>
        <v>0</v>
      </c>
      <c r="BO56" s="297" t="str">
        <f t="shared" si="42"/>
        <v>0</v>
      </c>
      <c r="BP56" s="298">
        <f t="shared" si="43"/>
        <v>0</v>
      </c>
      <c r="BQ56" s="299">
        <f>[1]COMMANDE!AC54</f>
        <v>0</v>
      </c>
      <c r="BR56" s="297" t="str">
        <f t="shared" si="44"/>
        <v>0</v>
      </c>
      <c r="BS56" s="300">
        <f t="shared" si="45"/>
        <v>0</v>
      </c>
      <c r="BT56" s="301">
        <f>[1]COMMANDE!AE54</f>
        <v>0</v>
      </c>
      <c r="BU56" s="297" t="str">
        <f t="shared" si="46"/>
        <v>0</v>
      </c>
      <c r="BV56" s="298">
        <f t="shared" si="47"/>
        <v>0</v>
      </c>
      <c r="BW56" s="299">
        <f>[1]COMMANDE!AG54</f>
        <v>0</v>
      </c>
      <c r="BX56" s="297" t="str">
        <f t="shared" si="48"/>
        <v>0</v>
      </c>
      <c r="BY56" s="300">
        <f t="shared" si="49"/>
        <v>0</v>
      </c>
      <c r="BZ56" s="301">
        <f>[1]COMMANDE!AI54</f>
        <v>0</v>
      </c>
      <c r="CA56" s="297" t="str">
        <f t="shared" si="50"/>
        <v>0</v>
      </c>
      <c r="CB56" s="298">
        <f t="shared" si="51"/>
        <v>0</v>
      </c>
      <c r="CC56" s="299">
        <f>[1]COMMANDE!AK54</f>
        <v>0</v>
      </c>
      <c r="CD56" s="297" t="str">
        <f t="shared" si="52"/>
        <v>0</v>
      </c>
      <c r="CE56" s="300">
        <f t="shared" si="53"/>
        <v>0</v>
      </c>
      <c r="CF56" s="301">
        <f>[1]COMMANDE!AM54</f>
        <v>0</v>
      </c>
      <c r="CG56" s="297" t="str">
        <f t="shared" si="54"/>
        <v>0</v>
      </c>
      <c r="CH56" s="298">
        <f t="shared" si="55"/>
        <v>0</v>
      </c>
      <c r="CI56" s="299">
        <f>[1]COMMANDE!AO54</f>
        <v>0</v>
      </c>
      <c r="CJ56" s="297" t="str">
        <f t="shared" si="56"/>
        <v>0</v>
      </c>
      <c r="CK56" s="300">
        <f t="shared" si="57"/>
        <v>0</v>
      </c>
      <c r="CL56" s="301">
        <f>[1]COMMANDE!AQ54</f>
        <v>0</v>
      </c>
      <c r="CM56" s="297" t="str">
        <f t="shared" si="58"/>
        <v>0</v>
      </c>
      <c r="CN56" s="298">
        <f t="shared" si="59"/>
        <v>0</v>
      </c>
      <c r="CO56" s="299">
        <f>[1]COMMANDE!AS54</f>
        <v>0</v>
      </c>
      <c r="CP56" s="297" t="str">
        <f t="shared" si="60"/>
        <v>0</v>
      </c>
      <c r="CQ56" s="300">
        <f t="shared" si="61"/>
        <v>0</v>
      </c>
      <c r="CR56" s="301">
        <f>[1]COMMANDE!AU54</f>
        <v>0</v>
      </c>
      <c r="CS56" s="297" t="str">
        <f t="shared" si="62"/>
        <v>0</v>
      </c>
      <c r="CT56" s="298">
        <f t="shared" si="63"/>
        <v>0</v>
      </c>
      <c r="CU56" s="299">
        <f>[1]COMMANDE!AW54</f>
        <v>0</v>
      </c>
      <c r="CV56" s="297" t="str">
        <f t="shared" si="64"/>
        <v>0</v>
      </c>
      <c r="CW56" s="300">
        <f t="shared" si="65"/>
        <v>0</v>
      </c>
      <c r="CX56" s="301">
        <f>[1]COMMANDE!AY54</f>
        <v>0</v>
      </c>
      <c r="CY56" s="297" t="str">
        <f t="shared" si="66"/>
        <v>0</v>
      </c>
      <c r="CZ56" s="298">
        <f t="shared" si="67"/>
        <v>0</v>
      </c>
      <c r="DA56" s="299">
        <f>[1]COMMANDE!BA54</f>
        <v>0</v>
      </c>
      <c r="DB56" s="297" t="str">
        <f t="shared" si="68"/>
        <v>0</v>
      </c>
      <c r="DC56" s="302">
        <f t="shared" si="69"/>
        <v>0</v>
      </c>
      <c r="DD56" s="303"/>
      <c r="DE56" s="304"/>
    </row>
    <row r="57" spans="1:109" ht="39.950000000000003" customHeight="1" x14ac:dyDescent="0.25">
      <c r="A57" s="284">
        <f t="shared" si="2"/>
        <v>0</v>
      </c>
      <c r="B57" s="284">
        <f t="shared" si="3"/>
        <v>0</v>
      </c>
      <c r="C57" s="284">
        <f t="shared" si="4"/>
        <v>0</v>
      </c>
      <c r="D57" s="284">
        <f t="shared" si="5"/>
        <v>0</v>
      </c>
      <c r="E57" s="284">
        <f t="shared" si="6"/>
        <v>0</v>
      </c>
      <c r="F57" s="284">
        <f t="shared" si="7"/>
        <v>0</v>
      </c>
      <c r="G57" s="284">
        <f t="shared" si="8"/>
        <v>0</v>
      </c>
      <c r="H57" s="284">
        <f t="shared" si="9"/>
        <v>0</v>
      </c>
      <c r="I57" s="284">
        <f t="shared" si="10"/>
        <v>0</v>
      </c>
      <c r="J57" s="284">
        <f t="shared" si="11"/>
        <v>0</v>
      </c>
      <c r="K57" s="284">
        <f t="shared" si="12"/>
        <v>0</v>
      </c>
      <c r="L57" s="284">
        <f t="shared" si="13"/>
        <v>0</v>
      </c>
      <c r="M57" s="284">
        <f t="shared" si="14"/>
        <v>0</v>
      </c>
      <c r="N57" s="284">
        <f t="shared" si="15"/>
        <v>0</v>
      </c>
      <c r="O57" s="284">
        <f t="shared" si="16"/>
        <v>0</v>
      </c>
      <c r="P57" s="284">
        <f t="shared" si="17"/>
        <v>0</v>
      </c>
      <c r="Q57" s="284">
        <f t="shared" si="18"/>
        <v>0</v>
      </c>
      <c r="R57" s="284">
        <f t="shared" si="19"/>
        <v>0</v>
      </c>
      <c r="S57" s="284">
        <f t="shared" si="20"/>
        <v>0</v>
      </c>
      <c r="T57" s="284">
        <f t="shared" si="21"/>
        <v>0</v>
      </c>
      <c r="U57" s="285">
        <f t="shared" si="22"/>
        <v>0</v>
      </c>
      <c r="V57" s="286">
        <f>[1]BDD!A47</f>
        <v>6099</v>
      </c>
      <c r="W57" s="287" t="str">
        <f>[1]BDD!B47</f>
        <v>Camu Camu en poudre BIO (env. 250g)</v>
      </c>
      <c r="X57" s="288" t="str">
        <f>IF([1]BDD!F47=0, "", [1]BDD!F47)</f>
        <v/>
      </c>
      <c r="Y57" s="214">
        <f>ROUND([1]BDD!G47+FDP_CMD_KG, 2)</f>
        <v>19.350000000000001</v>
      </c>
      <c r="Z57" s="214">
        <f>ROUND([1]BDD!G47+FDP_FACT_KG, 2)</f>
        <v>19.350000000000001</v>
      </c>
      <c r="AA57" s="215" t="str">
        <f>[1]BDD!H47</f>
        <v>Pièce</v>
      </c>
      <c r="AB57" s="225" t="str">
        <f>IF(NOT(ISBLANK([1]BDD!I47)), ROUND(SUM(([1]BDD!G47*reduc1),FDP_CMD_KG), 2), "")</f>
        <v/>
      </c>
      <c r="AC57" s="225" t="str">
        <f>IF(NOT(ISBLANK([1]BDD!J47)), ROUND(SUM(([1]BDD!G47*reduc2),FDP_CMD_KG), 2), "")</f>
        <v/>
      </c>
      <c r="AD57" s="225" t="str">
        <f>IF(NOT(ISBLANK([1]BDD!K47)), ROUND(SUM(([1]BDD!G47*reduc3),FDP_CMD_KG), 2), "")</f>
        <v/>
      </c>
      <c r="AE57" s="225" t="str">
        <f>IF(NOT(ISBLANK([1]BDD!I47)), ROUND(SUM(([1]BDD!G47*reduc1),FDP_FACT_KG), 2), "")</f>
        <v/>
      </c>
      <c r="AF57" s="225" t="str">
        <f>IF(NOT(ISBLANK([1]BDD!J47)), ROUND(SUM(([1]BDD!G47*reduc2),FDP_FACT_KG), 2), "")</f>
        <v/>
      </c>
      <c r="AG57" s="225" t="str">
        <f>IF(NOT(ISBLANK([1]BDD!K47)), ROUND(SUM(([1]BDD!G47*reduc3),FDP_FACT_KG), 2), "")</f>
        <v/>
      </c>
      <c r="AH57" s="289" t="str">
        <f>[1]BDD!C47</f>
        <v>Pérou</v>
      </c>
      <c r="AI57" s="290">
        <f t="shared" si="23"/>
        <v>0</v>
      </c>
      <c r="AJ57" s="216">
        <f t="shared" si="24"/>
        <v>19.350000000000001</v>
      </c>
      <c r="AK57" s="291">
        <f t="shared" si="25"/>
        <v>0</v>
      </c>
      <c r="AL57" s="429"/>
      <c r="AM57" s="292"/>
      <c r="AN57" s="216">
        <f t="shared" si="26"/>
        <v>19.350000000000001</v>
      </c>
      <c r="AO57" s="293">
        <f t="shared" si="27"/>
        <v>0</v>
      </c>
      <c r="AP57" s="294"/>
      <c r="AQ57" s="294"/>
      <c r="AR57" s="429"/>
      <c r="AS57" s="295">
        <f t="shared" si="28"/>
        <v>0</v>
      </c>
      <c r="AT57" s="216">
        <f t="shared" si="29"/>
        <v>19.350000000000001</v>
      </c>
      <c r="AU57" s="291">
        <f t="shared" si="1"/>
        <v>0</v>
      </c>
      <c r="AV57" s="296">
        <f>[1]COMMANDE!O55</f>
        <v>0</v>
      </c>
      <c r="AW57" s="297" t="str">
        <f t="shared" si="30"/>
        <v>0</v>
      </c>
      <c r="AX57" s="298">
        <f t="shared" si="31"/>
        <v>0</v>
      </c>
      <c r="AY57" s="299">
        <f>[1]COMMANDE!Q55</f>
        <v>0</v>
      </c>
      <c r="AZ57" s="297" t="str">
        <f t="shared" si="32"/>
        <v>0</v>
      </c>
      <c r="BA57" s="300">
        <f t="shared" si="33"/>
        <v>0</v>
      </c>
      <c r="BB57" s="301">
        <f>[1]COMMANDE!S55</f>
        <v>0</v>
      </c>
      <c r="BC57" s="297" t="str">
        <f t="shared" si="34"/>
        <v>0</v>
      </c>
      <c r="BD57" s="298">
        <f t="shared" si="35"/>
        <v>0</v>
      </c>
      <c r="BE57" s="299">
        <f>[1]COMMANDE!U55</f>
        <v>0</v>
      </c>
      <c r="BF57" s="297" t="str">
        <f t="shared" si="36"/>
        <v>0</v>
      </c>
      <c r="BG57" s="300">
        <f t="shared" si="37"/>
        <v>0</v>
      </c>
      <c r="BH57" s="301">
        <f>[1]COMMANDE!W55</f>
        <v>0</v>
      </c>
      <c r="BI57" s="297" t="str">
        <f t="shared" si="38"/>
        <v>0</v>
      </c>
      <c r="BJ57" s="298">
        <f t="shared" si="39"/>
        <v>0</v>
      </c>
      <c r="BK57" s="299">
        <f>[1]COMMANDE!Y55</f>
        <v>0</v>
      </c>
      <c r="BL57" s="297" t="str">
        <f t="shared" si="40"/>
        <v>0</v>
      </c>
      <c r="BM57" s="300">
        <f t="shared" si="41"/>
        <v>0</v>
      </c>
      <c r="BN57" s="301">
        <f>[1]COMMANDE!AA55</f>
        <v>0</v>
      </c>
      <c r="BO57" s="297" t="str">
        <f t="shared" si="42"/>
        <v>0</v>
      </c>
      <c r="BP57" s="298">
        <f t="shared" si="43"/>
        <v>0</v>
      </c>
      <c r="BQ57" s="299">
        <f>[1]COMMANDE!AC55</f>
        <v>0</v>
      </c>
      <c r="BR57" s="297" t="str">
        <f t="shared" si="44"/>
        <v>0</v>
      </c>
      <c r="BS57" s="300">
        <f t="shared" si="45"/>
        <v>0</v>
      </c>
      <c r="BT57" s="301">
        <f>[1]COMMANDE!AE55</f>
        <v>0</v>
      </c>
      <c r="BU57" s="297" t="str">
        <f t="shared" si="46"/>
        <v>0</v>
      </c>
      <c r="BV57" s="298">
        <f t="shared" si="47"/>
        <v>0</v>
      </c>
      <c r="BW57" s="299">
        <f>[1]COMMANDE!AG55</f>
        <v>0</v>
      </c>
      <c r="BX57" s="297" t="str">
        <f t="shared" si="48"/>
        <v>0</v>
      </c>
      <c r="BY57" s="300">
        <f t="shared" si="49"/>
        <v>0</v>
      </c>
      <c r="BZ57" s="301">
        <f>[1]COMMANDE!AI55</f>
        <v>0</v>
      </c>
      <c r="CA57" s="297" t="str">
        <f t="shared" si="50"/>
        <v>0</v>
      </c>
      <c r="CB57" s="298">
        <f t="shared" si="51"/>
        <v>0</v>
      </c>
      <c r="CC57" s="299">
        <f>[1]COMMANDE!AK55</f>
        <v>0</v>
      </c>
      <c r="CD57" s="297" t="str">
        <f t="shared" si="52"/>
        <v>0</v>
      </c>
      <c r="CE57" s="300">
        <f t="shared" si="53"/>
        <v>0</v>
      </c>
      <c r="CF57" s="301">
        <f>[1]COMMANDE!AM55</f>
        <v>0</v>
      </c>
      <c r="CG57" s="297" t="str">
        <f t="shared" si="54"/>
        <v>0</v>
      </c>
      <c r="CH57" s="298">
        <f t="shared" si="55"/>
        <v>0</v>
      </c>
      <c r="CI57" s="299">
        <f>[1]COMMANDE!AO55</f>
        <v>0</v>
      </c>
      <c r="CJ57" s="297" t="str">
        <f t="shared" si="56"/>
        <v>0</v>
      </c>
      <c r="CK57" s="300">
        <f t="shared" si="57"/>
        <v>0</v>
      </c>
      <c r="CL57" s="301">
        <f>[1]COMMANDE!AQ55</f>
        <v>0</v>
      </c>
      <c r="CM57" s="297" t="str">
        <f t="shared" si="58"/>
        <v>0</v>
      </c>
      <c r="CN57" s="298">
        <f t="shared" si="59"/>
        <v>0</v>
      </c>
      <c r="CO57" s="299">
        <f>[1]COMMANDE!AS55</f>
        <v>0</v>
      </c>
      <c r="CP57" s="297" t="str">
        <f t="shared" si="60"/>
        <v>0</v>
      </c>
      <c r="CQ57" s="300">
        <f t="shared" si="61"/>
        <v>0</v>
      </c>
      <c r="CR57" s="301">
        <f>[1]COMMANDE!AU55</f>
        <v>0</v>
      </c>
      <c r="CS57" s="297" t="str">
        <f t="shared" si="62"/>
        <v>0</v>
      </c>
      <c r="CT57" s="298">
        <f t="shared" si="63"/>
        <v>0</v>
      </c>
      <c r="CU57" s="299">
        <f>[1]COMMANDE!AW55</f>
        <v>0</v>
      </c>
      <c r="CV57" s="297" t="str">
        <f t="shared" si="64"/>
        <v>0</v>
      </c>
      <c r="CW57" s="300">
        <f t="shared" si="65"/>
        <v>0</v>
      </c>
      <c r="CX57" s="301">
        <f>[1]COMMANDE!AY55</f>
        <v>0</v>
      </c>
      <c r="CY57" s="297" t="str">
        <f t="shared" si="66"/>
        <v>0</v>
      </c>
      <c r="CZ57" s="298">
        <f t="shared" si="67"/>
        <v>0</v>
      </c>
      <c r="DA57" s="299">
        <f>[1]COMMANDE!BA55</f>
        <v>0</v>
      </c>
      <c r="DB57" s="297" t="str">
        <f t="shared" si="68"/>
        <v>0</v>
      </c>
      <c r="DC57" s="302">
        <f t="shared" si="69"/>
        <v>0</v>
      </c>
      <c r="DD57" s="303"/>
      <c r="DE57" s="304"/>
    </row>
    <row r="58" spans="1:109" ht="39.950000000000003" customHeight="1" x14ac:dyDescent="0.25">
      <c r="A58" s="284">
        <f t="shared" si="2"/>
        <v>0</v>
      </c>
      <c r="B58" s="284">
        <f t="shared" si="3"/>
        <v>0</v>
      </c>
      <c r="C58" s="284">
        <f t="shared" si="4"/>
        <v>0</v>
      </c>
      <c r="D58" s="284">
        <f t="shared" si="5"/>
        <v>0</v>
      </c>
      <c r="E58" s="284">
        <f t="shared" si="6"/>
        <v>0</v>
      </c>
      <c r="F58" s="284">
        <f t="shared" si="7"/>
        <v>0</v>
      </c>
      <c r="G58" s="284">
        <f t="shared" si="8"/>
        <v>0</v>
      </c>
      <c r="H58" s="284">
        <f t="shared" si="9"/>
        <v>0</v>
      </c>
      <c r="I58" s="284">
        <f t="shared" si="10"/>
        <v>0</v>
      </c>
      <c r="J58" s="284">
        <f t="shared" si="11"/>
        <v>0</v>
      </c>
      <c r="K58" s="284">
        <f t="shared" si="12"/>
        <v>0</v>
      </c>
      <c r="L58" s="284">
        <f t="shared" si="13"/>
        <v>0</v>
      </c>
      <c r="M58" s="284">
        <f t="shared" si="14"/>
        <v>0</v>
      </c>
      <c r="N58" s="284">
        <f t="shared" si="15"/>
        <v>0</v>
      </c>
      <c r="O58" s="284">
        <f t="shared" si="16"/>
        <v>0</v>
      </c>
      <c r="P58" s="284">
        <f t="shared" si="17"/>
        <v>0</v>
      </c>
      <c r="Q58" s="284">
        <f t="shared" si="18"/>
        <v>0</v>
      </c>
      <c r="R58" s="284">
        <f t="shared" si="19"/>
        <v>0</v>
      </c>
      <c r="S58" s="284">
        <f t="shared" si="20"/>
        <v>0</v>
      </c>
      <c r="T58" s="284">
        <f t="shared" si="21"/>
        <v>0</v>
      </c>
      <c r="U58" s="285">
        <f t="shared" si="22"/>
        <v>0</v>
      </c>
      <c r="V58" s="286">
        <f>[1]BDD!A48</f>
        <v>3210</v>
      </c>
      <c r="W58" s="287" t="str">
        <f>[1]BDD!B48</f>
        <v>Carambole / fruit étoilé</v>
      </c>
      <c r="X58" s="288" t="str">
        <f>IF([1]BDD!F48=0, "", [1]BDD!F48)</f>
        <v/>
      </c>
      <c r="Y58" s="214">
        <f>ROUND([1]BDD!G48+FDP_CMD_KG, 2)</f>
        <v>5.65</v>
      </c>
      <c r="Z58" s="214">
        <f>ROUND([1]BDD!G48+FDP_FACT_KG, 2)</f>
        <v>5.65</v>
      </c>
      <c r="AA58" s="215" t="str">
        <f>[1]BDD!H48</f>
        <v>kg</v>
      </c>
      <c r="AB58" s="225">
        <f>IF(NOT(ISBLANK([1]BDD!I48)), ROUND(SUM(([1]BDD!G48*reduc1),FDP_CMD_KG), 2), "")</f>
        <v>5.18</v>
      </c>
      <c r="AC58" s="225">
        <f>IF(NOT(ISBLANK([1]BDD!J48)), ROUND(SUM(([1]BDD!G48*reduc2),FDP_CMD_KG), 2), "")</f>
        <v>4.7</v>
      </c>
      <c r="AD58" s="225">
        <f>IF(NOT(ISBLANK([1]BDD!K48)), ROUND(SUM(([1]BDD!G48*reduc3),FDP_CMD_KG), 2), "")</f>
        <v>4.22</v>
      </c>
      <c r="AE58" s="225">
        <f>IF(NOT(ISBLANK([1]BDD!I48)), ROUND(SUM(([1]BDD!G48*reduc1),FDP_FACT_KG), 2), "")</f>
        <v>5.17</v>
      </c>
      <c r="AF58" s="225">
        <f>IF(NOT(ISBLANK([1]BDD!J48)), ROUND(SUM(([1]BDD!G48*reduc2),FDP_FACT_KG), 2), "")</f>
        <v>4.6900000000000004</v>
      </c>
      <c r="AG58" s="225">
        <f>IF(NOT(ISBLANK([1]BDD!K48)), ROUND(SUM(([1]BDD!G48*reduc3),FDP_FACT_KG), 2), "")</f>
        <v>4.21</v>
      </c>
      <c r="AH58" s="289" t="str">
        <f>[1]BDD!C48</f>
        <v>Grenade</v>
      </c>
      <c r="AI58" s="290">
        <f t="shared" si="23"/>
        <v>0</v>
      </c>
      <c r="AJ58" s="216">
        <f t="shared" si="24"/>
        <v>4.22</v>
      </c>
      <c r="AK58" s="291">
        <f t="shared" si="25"/>
        <v>0</v>
      </c>
      <c r="AL58" s="429"/>
      <c r="AM58" s="292"/>
      <c r="AN58" s="216">
        <f t="shared" si="26"/>
        <v>5.65</v>
      </c>
      <c r="AO58" s="293">
        <f t="shared" si="27"/>
        <v>0</v>
      </c>
      <c r="AP58" s="294"/>
      <c r="AQ58" s="294"/>
      <c r="AR58" s="429"/>
      <c r="AS58" s="295">
        <f t="shared" si="28"/>
        <v>0</v>
      </c>
      <c r="AT58" s="216">
        <f t="shared" si="29"/>
        <v>5.65</v>
      </c>
      <c r="AU58" s="291">
        <f t="shared" si="1"/>
        <v>0</v>
      </c>
      <c r="AV58" s="296">
        <f>[1]COMMANDE!O56</f>
        <v>0</v>
      </c>
      <c r="AW58" s="297" t="str">
        <f t="shared" si="30"/>
        <v>0</v>
      </c>
      <c r="AX58" s="298">
        <f t="shared" si="31"/>
        <v>0</v>
      </c>
      <c r="AY58" s="299">
        <f>[1]COMMANDE!Q56</f>
        <v>0</v>
      </c>
      <c r="AZ58" s="297" t="str">
        <f t="shared" si="32"/>
        <v>0</v>
      </c>
      <c r="BA58" s="300">
        <f t="shared" si="33"/>
        <v>0</v>
      </c>
      <c r="BB58" s="301">
        <f>[1]COMMANDE!S56</f>
        <v>0</v>
      </c>
      <c r="BC58" s="297" t="str">
        <f t="shared" si="34"/>
        <v>0</v>
      </c>
      <c r="BD58" s="298">
        <f t="shared" si="35"/>
        <v>0</v>
      </c>
      <c r="BE58" s="299">
        <f>[1]COMMANDE!U56</f>
        <v>0</v>
      </c>
      <c r="BF58" s="297" t="str">
        <f t="shared" si="36"/>
        <v>0</v>
      </c>
      <c r="BG58" s="300">
        <f t="shared" si="37"/>
        <v>0</v>
      </c>
      <c r="BH58" s="301">
        <f>[1]COMMANDE!W56</f>
        <v>0</v>
      </c>
      <c r="BI58" s="297" t="str">
        <f t="shared" si="38"/>
        <v>0</v>
      </c>
      <c r="BJ58" s="298">
        <f t="shared" si="39"/>
        <v>0</v>
      </c>
      <c r="BK58" s="299">
        <f>[1]COMMANDE!Y56</f>
        <v>0</v>
      </c>
      <c r="BL58" s="297" t="str">
        <f t="shared" si="40"/>
        <v>0</v>
      </c>
      <c r="BM58" s="300">
        <f t="shared" si="41"/>
        <v>0</v>
      </c>
      <c r="BN58" s="301">
        <f>[1]COMMANDE!AA56</f>
        <v>0</v>
      </c>
      <c r="BO58" s="297" t="str">
        <f t="shared" si="42"/>
        <v>0</v>
      </c>
      <c r="BP58" s="298">
        <f t="shared" si="43"/>
        <v>0</v>
      </c>
      <c r="BQ58" s="299">
        <f>[1]COMMANDE!AC56</f>
        <v>0</v>
      </c>
      <c r="BR58" s="297" t="str">
        <f t="shared" si="44"/>
        <v>0</v>
      </c>
      <c r="BS58" s="300">
        <f t="shared" si="45"/>
        <v>0</v>
      </c>
      <c r="BT58" s="301">
        <f>[1]COMMANDE!AE56</f>
        <v>0</v>
      </c>
      <c r="BU58" s="297" t="str">
        <f t="shared" si="46"/>
        <v>0</v>
      </c>
      <c r="BV58" s="298">
        <f t="shared" si="47"/>
        <v>0</v>
      </c>
      <c r="BW58" s="299">
        <f>[1]COMMANDE!AG56</f>
        <v>0</v>
      </c>
      <c r="BX58" s="297" t="str">
        <f t="shared" si="48"/>
        <v>0</v>
      </c>
      <c r="BY58" s="300">
        <f t="shared" si="49"/>
        <v>0</v>
      </c>
      <c r="BZ58" s="301">
        <f>[1]COMMANDE!AI56</f>
        <v>0</v>
      </c>
      <c r="CA58" s="297" t="str">
        <f t="shared" si="50"/>
        <v>0</v>
      </c>
      <c r="CB58" s="298">
        <f t="shared" si="51"/>
        <v>0</v>
      </c>
      <c r="CC58" s="299">
        <f>[1]COMMANDE!AK56</f>
        <v>0</v>
      </c>
      <c r="CD58" s="297" t="str">
        <f t="shared" si="52"/>
        <v>0</v>
      </c>
      <c r="CE58" s="300">
        <f t="shared" si="53"/>
        <v>0</v>
      </c>
      <c r="CF58" s="301">
        <f>[1]COMMANDE!AM56</f>
        <v>0</v>
      </c>
      <c r="CG58" s="297" t="str">
        <f t="shared" si="54"/>
        <v>0</v>
      </c>
      <c r="CH58" s="298">
        <f t="shared" si="55"/>
        <v>0</v>
      </c>
      <c r="CI58" s="299">
        <f>[1]COMMANDE!AO56</f>
        <v>0</v>
      </c>
      <c r="CJ58" s="297" t="str">
        <f t="shared" si="56"/>
        <v>0</v>
      </c>
      <c r="CK58" s="300">
        <f t="shared" si="57"/>
        <v>0</v>
      </c>
      <c r="CL58" s="301">
        <f>[1]COMMANDE!AQ56</f>
        <v>0</v>
      </c>
      <c r="CM58" s="297" t="str">
        <f t="shared" si="58"/>
        <v>0</v>
      </c>
      <c r="CN58" s="298">
        <f t="shared" si="59"/>
        <v>0</v>
      </c>
      <c r="CO58" s="299">
        <f>[1]COMMANDE!AS56</f>
        <v>0</v>
      </c>
      <c r="CP58" s="297" t="str">
        <f t="shared" si="60"/>
        <v>0</v>
      </c>
      <c r="CQ58" s="300">
        <f t="shared" si="61"/>
        <v>0</v>
      </c>
      <c r="CR58" s="301">
        <f>[1]COMMANDE!AU56</f>
        <v>0</v>
      </c>
      <c r="CS58" s="297" t="str">
        <f t="shared" si="62"/>
        <v>0</v>
      </c>
      <c r="CT58" s="298">
        <f t="shared" si="63"/>
        <v>0</v>
      </c>
      <c r="CU58" s="299">
        <f>[1]COMMANDE!AW56</f>
        <v>0</v>
      </c>
      <c r="CV58" s="297" t="str">
        <f t="shared" si="64"/>
        <v>0</v>
      </c>
      <c r="CW58" s="300">
        <f t="shared" si="65"/>
        <v>0</v>
      </c>
      <c r="CX58" s="301">
        <f>[1]COMMANDE!AY56</f>
        <v>0</v>
      </c>
      <c r="CY58" s="297" t="str">
        <f t="shared" si="66"/>
        <v>0</v>
      </c>
      <c r="CZ58" s="298">
        <f t="shared" si="67"/>
        <v>0</v>
      </c>
      <c r="DA58" s="299">
        <f>[1]COMMANDE!BA56</f>
        <v>0</v>
      </c>
      <c r="DB58" s="297" t="str">
        <f t="shared" si="68"/>
        <v>0</v>
      </c>
      <c r="DC58" s="302">
        <f t="shared" si="69"/>
        <v>0</v>
      </c>
      <c r="DD58" s="303"/>
      <c r="DE58" s="304"/>
    </row>
    <row r="59" spans="1:109" ht="39.950000000000003" customHeight="1" x14ac:dyDescent="0.25">
      <c r="A59" s="284">
        <f t="shared" si="2"/>
        <v>0</v>
      </c>
      <c r="B59" s="284">
        <f t="shared" si="3"/>
        <v>0</v>
      </c>
      <c r="C59" s="284">
        <f t="shared" si="4"/>
        <v>0</v>
      </c>
      <c r="D59" s="284">
        <f t="shared" si="5"/>
        <v>0</v>
      </c>
      <c r="E59" s="284">
        <f t="shared" si="6"/>
        <v>0</v>
      </c>
      <c r="F59" s="284">
        <f t="shared" si="7"/>
        <v>0</v>
      </c>
      <c r="G59" s="284">
        <f t="shared" si="8"/>
        <v>0</v>
      </c>
      <c r="H59" s="284">
        <f t="shared" si="9"/>
        <v>0</v>
      </c>
      <c r="I59" s="284">
        <f t="shared" si="10"/>
        <v>0</v>
      </c>
      <c r="J59" s="284">
        <f t="shared" si="11"/>
        <v>0</v>
      </c>
      <c r="K59" s="284">
        <f t="shared" si="12"/>
        <v>0</v>
      </c>
      <c r="L59" s="284">
        <f t="shared" si="13"/>
        <v>0</v>
      </c>
      <c r="M59" s="284">
        <f t="shared" si="14"/>
        <v>0</v>
      </c>
      <c r="N59" s="284">
        <f t="shared" si="15"/>
        <v>0</v>
      </c>
      <c r="O59" s="284">
        <f t="shared" si="16"/>
        <v>0</v>
      </c>
      <c r="P59" s="284">
        <f t="shared" si="17"/>
        <v>0</v>
      </c>
      <c r="Q59" s="284">
        <f t="shared" si="18"/>
        <v>0</v>
      </c>
      <c r="R59" s="284">
        <f t="shared" si="19"/>
        <v>0</v>
      </c>
      <c r="S59" s="284">
        <f t="shared" si="20"/>
        <v>0</v>
      </c>
      <c r="T59" s="284">
        <f t="shared" si="21"/>
        <v>0</v>
      </c>
      <c r="U59" s="285">
        <f t="shared" si="22"/>
        <v>0</v>
      </c>
      <c r="V59" s="286">
        <f>[1]BDD!A49</f>
        <v>5075</v>
      </c>
      <c r="W59" s="287" t="str">
        <f>[1]BDD!B49</f>
        <v>Carotte avec fane</v>
      </c>
      <c r="X59" s="288" t="str">
        <f>IF([1]BDD!F49=0, "", [1]BDD!F49)</f>
        <v/>
      </c>
      <c r="Y59" s="214">
        <f>ROUND([1]BDD!G49+FDP_CMD_KG, 2)</f>
        <v>4.01</v>
      </c>
      <c r="Z59" s="214">
        <f>ROUND([1]BDD!G49+FDP_FACT_KG, 2)</f>
        <v>4.01</v>
      </c>
      <c r="AA59" s="215" t="str">
        <f>[1]BDD!H49</f>
        <v>kg</v>
      </c>
      <c r="AB59" s="225">
        <f>IF(NOT(ISBLANK([1]BDD!I49)), ROUND(SUM(([1]BDD!G49*reduc1),FDP_CMD_KG), 2), "")</f>
        <v>3.7</v>
      </c>
      <c r="AC59" s="225" t="str">
        <f>IF(NOT(ISBLANK([1]BDD!J49)), ROUND(SUM(([1]BDD!G49*reduc2),FDP_CMD_KG), 2), "")</f>
        <v/>
      </c>
      <c r="AD59" s="225" t="str">
        <f>IF(NOT(ISBLANK([1]BDD!K49)), ROUND(SUM(([1]BDD!G49*reduc3),FDP_CMD_KG), 2), "")</f>
        <v/>
      </c>
      <c r="AE59" s="225">
        <f>IF(NOT(ISBLANK([1]BDD!I49)), ROUND(SUM(([1]BDD!G49*reduc1),FDP_FACT_KG), 2), "")</f>
        <v>3.69</v>
      </c>
      <c r="AF59" s="225" t="str">
        <f>IF(NOT(ISBLANK([1]BDD!J49)), ROUND(SUM(([1]BDD!G49*reduc2),FDP_FACT_KG), 2), "")</f>
        <v/>
      </c>
      <c r="AG59" s="225" t="str">
        <f>IF(NOT(ISBLANK([1]BDD!K49)), ROUND(SUM(([1]BDD!G49*reduc3),FDP_FACT_KG), 2), "")</f>
        <v/>
      </c>
      <c r="AH59" s="289" t="str">
        <f>[1]BDD!C49</f>
        <v>Grenade</v>
      </c>
      <c r="AI59" s="290">
        <f t="shared" si="23"/>
        <v>0</v>
      </c>
      <c r="AJ59" s="216">
        <f t="shared" si="24"/>
        <v>3.7</v>
      </c>
      <c r="AK59" s="291">
        <f t="shared" si="25"/>
        <v>0</v>
      </c>
      <c r="AL59" s="429"/>
      <c r="AM59" s="292"/>
      <c r="AN59" s="216">
        <f t="shared" si="26"/>
        <v>4.01</v>
      </c>
      <c r="AO59" s="293">
        <f t="shared" si="27"/>
        <v>0</v>
      </c>
      <c r="AP59" s="294"/>
      <c r="AQ59" s="294"/>
      <c r="AR59" s="429"/>
      <c r="AS59" s="295">
        <f t="shared" si="28"/>
        <v>0</v>
      </c>
      <c r="AT59" s="216">
        <f t="shared" si="29"/>
        <v>4.01</v>
      </c>
      <c r="AU59" s="291">
        <f t="shared" si="1"/>
        <v>0</v>
      </c>
      <c r="AV59" s="296">
        <f>[1]COMMANDE!O57</f>
        <v>0</v>
      </c>
      <c r="AW59" s="297" t="str">
        <f t="shared" si="30"/>
        <v>0</v>
      </c>
      <c r="AX59" s="298">
        <f t="shared" si="31"/>
        <v>0</v>
      </c>
      <c r="AY59" s="299">
        <f>[1]COMMANDE!Q57</f>
        <v>0</v>
      </c>
      <c r="AZ59" s="297" t="str">
        <f t="shared" si="32"/>
        <v>0</v>
      </c>
      <c r="BA59" s="300">
        <f t="shared" si="33"/>
        <v>0</v>
      </c>
      <c r="BB59" s="301">
        <f>[1]COMMANDE!S57</f>
        <v>0</v>
      </c>
      <c r="BC59" s="297" t="str">
        <f t="shared" si="34"/>
        <v>0</v>
      </c>
      <c r="BD59" s="298">
        <f t="shared" si="35"/>
        <v>0</v>
      </c>
      <c r="BE59" s="299">
        <f>[1]COMMANDE!U57</f>
        <v>0</v>
      </c>
      <c r="BF59" s="297" t="str">
        <f t="shared" si="36"/>
        <v>0</v>
      </c>
      <c r="BG59" s="300">
        <f t="shared" si="37"/>
        <v>0</v>
      </c>
      <c r="BH59" s="301">
        <f>[1]COMMANDE!W57</f>
        <v>0</v>
      </c>
      <c r="BI59" s="297" t="str">
        <f t="shared" si="38"/>
        <v>0</v>
      </c>
      <c r="BJ59" s="298">
        <f t="shared" si="39"/>
        <v>0</v>
      </c>
      <c r="BK59" s="299">
        <f>[1]COMMANDE!Y57</f>
        <v>0</v>
      </c>
      <c r="BL59" s="297" t="str">
        <f t="shared" si="40"/>
        <v>0</v>
      </c>
      <c r="BM59" s="300">
        <f t="shared" si="41"/>
        <v>0</v>
      </c>
      <c r="BN59" s="301">
        <f>[1]COMMANDE!AA57</f>
        <v>0</v>
      </c>
      <c r="BO59" s="297" t="str">
        <f t="shared" si="42"/>
        <v>0</v>
      </c>
      <c r="BP59" s="298">
        <f t="shared" si="43"/>
        <v>0</v>
      </c>
      <c r="BQ59" s="299">
        <f>[1]COMMANDE!AC57</f>
        <v>0</v>
      </c>
      <c r="BR59" s="297" t="str">
        <f t="shared" si="44"/>
        <v>0</v>
      </c>
      <c r="BS59" s="300">
        <f t="shared" si="45"/>
        <v>0</v>
      </c>
      <c r="BT59" s="301">
        <f>[1]COMMANDE!AE57</f>
        <v>0</v>
      </c>
      <c r="BU59" s="297" t="str">
        <f t="shared" si="46"/>
        <v>0</v>
      </c>
      <c r="BV59" s="298">
        <f t="shared" si="47"/>
        <v>0</v>
      </c>
      <c r="BW59" s="299">
        <f>[1]COMMANDE!AG57</f>
        <v>0</v>
      </c>
      <c r="BX59" s="297" t="str">
        <f t="shared" si="48"/>
        <v>0</v>
      </c>
      <c r="BY59" s="300">
        <f t="shared" si="49"/>
        <v>0</v>
      </c>
      <c r="BZ59" s="301">
        <f>[1]COMMANDE!AI57</f>
        <v>0</v>
      </c>
      <c r="CA59" s="297" t="str">
        <f t="shared" si="50"/>
        <v>0</v>
      </c>
      <c r="CB59" s="298">
        <f t="shared" si="51"/>
        <v>0</v>
      </c>
      <c r="CC59" s="299">
        <f>[1]COMMANDE!AK57</f>
        <v>0</v>
      </c>
      <c r="CD59" s="297" t="str">
        <f t="shared" si="52"/>
        <v>0</v>
      </c>
      <c r="CE59" s="300">
        <f t="shared" si="53"/>
        <v>0</v>
      </c>
      <c r="CF59" s="301">
        <f>[1]COMMANDE!AM57</f>
        <v>0</v>
      </c>
      <c r="CG59" s="297" t="str">
        <f t="shared" si="54"/>
        <v>0</v>
      </c>
      <c r="CH59" s="298">
        <f t="shared" si="55"/>
        <v>0</v>
      </c>
      <c r="CI59" s="299">
        <f>[1]COMMANDE!AO57</f>
        <v>0</v>
      </c>
      <c r="CJ59" s="297" t="str">
        <f t="shared" si="56"/>
        <v>0</v>
      </c>
      <c r="CK59" s="300">
        <f t="shared" si="57"/>
        <v>0</v>
      </c>
      <c r="CL59" s="301">
        <f>[1]COMMANDE!AQ57</f>
        <v>0</v>
      </c>
      <c r="CM59" s="297" t="str">
        <f t="shared" si="58"/>
        <v>0</v>
      </c>
      <c r="CN59" s="298">
        <f t="shared" si="59"/>
        <v>0</v>
      </c>
      <c r="CO59" s="299">
        <f>[1]COMMANDE!AS57</f>
        <v>0</v>
      </c>
      <c r="CP59" s="297" t="str">
        <f t="shared" si="60"/>
        <v>0</v>
      </c>
      <c r="CQ59" s="300">
        <f t="shared" si="61"/>
        <v>0</v>
      </c>
      <c r="CR59" s="301">
        <f>[1]COMMANDE!AU57</f>
        <v>0</v>
      </c>
      <c r="CS59" s="297" t="str">
        <f t="shared" si="62"/>
        <v>0</v>
      </c>
      <c r="CT59" s="298">
        <f t="shared" si="63"/>
        <v>0</v>
      </c>
      <c r="CU59" s="299">
        <f>[1]COMMANDE!AW57</f>
        <v>0</v>
      </c>
      <c r="CV59" s="297" t="str">
        <f t="shared" si="64"/>
        <v>0</v>
      </c>
      <c r="CW59" s="300">
        <f t="shared" si="65"/>
        <v>0</v>
      </c>
      <c r="CX59" s="301">
        <f>[1]COMMANDE!AY57</f>
        <v>0</v>
      </c>
      <c r="CY59" s="297" t="str">
        <f t="shared" si="66"/>
        <v>0</v>
      </c>
      <c r="CZ59" s="298">
        <f t="shared" si="67"/>
        <v>0</v>
      </c>
      <c r="DA59" s="299">
        <f>[1]COMMANDE!BA57</f>
        <v>0</v>
      </c>
      <c r="DB59" s="297" t="str">
        <f t="shared" si="68"/>
        <v>0</v>
      </c>
      <c r="DC59" s="302">
        <f t="shared" si="69"/>
        <v>0</v>
      </c>
      <c r="DD59" s="303"/>
      <c r="DE59" s="304"/>
    </row>
    <row r="60" spans="1:109" ht="39.950000000000003" customHeight="1" x14ac:dyDescent="0.25">
      <c r="A60" s="284">
        <f t="shared" si="2"/>
        <v>0</v>
      </c>
      <c r="B60" s="284">
        <f t="shared" si="3"/>
        <v>0</v>
      </c>
      <c r="C60" s="284">
        <f t="shared" si="4"/>
        <v>0</v>
      </c>
      <c r="D60" s="284">
        <f t="shared" si="5"/>
        <v>0</v>
      </c>
      <c r="E60" s="284">
        <f t="shared" si="6"/>
        <v>0</v>
      </c>
      <c r="F60" s="284">
        <f t="shared" si="7"/>
        <v>0</v>
      </c>
      <c r="G60" s="284">
        <f t="shared" si="8"/>
        <v>0</v>
      </c>
      <c r="H60" s="284">
        <f t="shared" si="9"/>
        <v>0</v>
      </c>
      <c r="I60" s="284">
        <f t="shared" si="10"/>
        <v>0</v>
      </c>
      <c r="J60" s="284">
        <f t="shared" si="11"/>
        <v>0</v>
      </c>
      <c r="K60" s="284">
        <f t="shared" si="12"/>
        <v>0</v>
      </c>
      <c r="L60" s="284">
        <f t="shared" si="13"/>
        <v>0</v>
      </c>
      <c r="M60" s="284">
        <f t="shared" si="14"/>
        <v>0</v>
      </c>
      <c r="N60" s="284">
        <f t="shared" si="15"/>
        <v>0</v>
      </c>
      <c r="O60" s="284">
        <f t="shared" si="16"/>
        <v>0</v>
      </c>
      <c r="P60" s="284">
        <f t="shared" si="17"/>
        <v>0</v>
      </c>
      <c r="Q60" s="284">
        <f t="shared" si="18"/>
        <v>0</v>
      </c>
      <c r="R60" s="284">
        <f t="shared" si="19"/>
        <v>0</v>
      </c>
      <c r="S60" s="284">
        <f t="shared" si="20"/>
        <v>0</v>
      </c>
      <c r="T60" s="284">
        <f t="shared" si="21"/>
        <v>0</v>
      </c>
      <c r="U60" s="285">
        <f t="shared" si="22"/>
        <v>0</v>
      </c>
      <c r="V60" s="286">
        <f>[1]BDD!A50</f>
        <v>1537</v>
      </c>
      <c r="W60" s="287" t="str">
        <f>[1]BDD!B50</f>
        <v>Carotte déshydratée BIO</v>
      </c>
      <c r="X60" s="288" t="str">
        <f>IF([1]BDD!F50=0, "", [1]BDD!F50)</f>
        <v/>
      </c>
      <c r="Y60" s="214">
        <f>ROUND([1]BDD!G50+FDP_CMD_KG, 2)</f>
        <v>22.57</v>
      </c>
      <c r="Z60" s="214">
        <f>ROUND([1]BDD!G50+FDP_FACT_KG, 2)</f>
        <v>22.57</v>
      </c>
      <c r="AA60" s="215" t="str">
        <f>[1]BDD!H50</f>
        <v>kg</v>
      </c>
      <c r="AB60" s="225" t="str">
        <f>IF(NOT(ISBLANK([1]BDD!I50)), ROUND(SUM(([1]BDD!G50*reduc1),FDP_CMD_KG), 2), "")</f>
        <v/>
      </c>
      <c r="AC60" s="225" t="str">
        <f>IF(NOT(ISBLANK([1]BDD!J50)), ROUND(SUM(([1]BDD!G50*reduc2),FDP_CMD_KG), 2), "")</f>
        <v/>
      </c>
      <c r="AD60" s="225" t="str">
        <f>IF(NOT(ISBLANK([1]BDD!K50)), ROUND(SUM(([1]BDD!G50*reduc3),FDP_CMD_KG), 2), "")</f>
        <v/>
      </c>
      <c r="AE60" s="225" t="str">
        <f>IF(NOT(ISBLANK([1]BDD!I50)), ROUND(SUM(([1]BDD!G50*reduc1),FDP_FACT_KG), 2), "")</f>
        <v/>
      </c>
      <c r="AF60" s="225" t="str">
        <f>IF(NOT(ISBLANK([1]BDD!J50)), ROUND(SUM(([1]BDD!G50*reduc2),FDP_FACT_KG), 2), "")</f>
        <v/>
      </c>
      <c r="AG60" s="225" t="str">
        <f>IF(NOT(ISBLANK([1]BDD!K50)), ROUND(SUM(([1]BDD!G50*reduc3),FDP_FACT_KG), 2), "")</f>
        <v/>
      </c>
      <c r="AH60" s="289" t="str">
        <f>[1]BDD!C50</f>
        <v>Grenade</v>
      </c>
      <c r="AI60" s="290">
        <f t="shared" si="23"/>
        <v>0</v>
      </c>
      <c r="AJ60" s="216">
        <f t="shared" si="24"/>
        <v>22.57</v>
      </c>
      <c r="AK60" s="291">
        <f t="shared" si="25"/>
        <v>0</v>
      </c>
      <c r="AL60" s="429"/>
      <c r="AM60" s="292"/>
      <c r="AN60" s="216">
        <f t="shared" si="26"/>
        <v>22.57</v>
      </c>
      <c r="AO60" s="293">
        <f t="shared" si="27"/>
        <v>0</v>
      </c>
      <c r="AP60" s="294"/>
      <c r="AQ60" s="294"/>
      <c r="AR60" s="429"/>
      <c r="AS60" s="295">
        <f t="shared" si="28"/>
        <v>0</v>
      </c>
      <c r="AT60" s="216">
        <f t="shared" si="29"/>
        <v>22.57</v>
      </c>
      <c r="AU60" s="291">
        <f t="shared" si="1"/>
        <v>0</v>
      </c>
      <c r="AV60" s="296">
        <f>[1]COMMANDE!O58</f>
        <v>0</v>
      </c>
      <c r="AW60" s="297" t="str">
        <f t="shared" si="30"/>
        <v>0</v>
      </c>
      <c r="AX60" s="298">
        <f t="shared" si="31"/>
        <v>0</v>
      </c>
      <c r="AY60" s="299">
        <f>[1]COMMANDE!Q58</f>
        <v>0</v>
      </c>
      <c r="AZ60" s="297" t="str">
        <f t="shared" si="32"/>
        <v>0</v>
      </c>
      <c r="BA60" s="300">
        <f t="shared" si="33"/>
        <v>0</v>
      </c>
      <c r="BB60" s="301">
        <f>[1]COMMANDE!S58</f>
        <v>0</v>
      </c>
      <c r="BC60" s="297" t="str">
        <f t="shared" si="34"/>
        <v>0</v>
      </c>
      <c r="BD60" s="298">
        <f t="shared" si="35"/>
        <v>0</v>
      </c>
      <c r="BE60" s="299">
        <f>[1]COMMANDE!U58</f>
        <v>0</v>
      </c>
      <c r="BF60" s="297" t="str">
        <f t="shared" si="36"/>
        <v>0</v>
      </c>
      <c r="BG60" s="300">
        <f t="shared" si="37"/>
        <v>0</v>
      </c>
      <c r="BH60" s="301">
        <f>[1]COMMANDE!W58</f>
        <v>0</v>
      </c>
      <c r="BI60" s="297" t="str">
        <f t="shared" si="38"/>
        <v>0</v>
      </c>
      <c r="BJ60" s="298">
        <f t="shared" si="39"/>
        <v>0</v>
      </c>
      <c r="BK60" s="299">
        <f>[1]COMMANDE!Y58</f>
        <v>0</v>
      </c>
      <c r="BL60" s="297" t="str">
        <f t="shared" si="40"/>
        <v>0</v>
      </c>
      <c r="BM60" s="300">
        <f t="shared" si="41"/>
        <v>0</v>
      </c>
      <c r="BN60" s="301">
        <f>[1]COMMANDE!AA58</f>
        <v>0</v>
      </c>
      <c r="BO60" s="297" t="str">
        <f t="shared" si="42"/>
        <v>0</v>
      </c>
      <c r="BP60" s="298">
        <f t="shared" si="43"/>
        <v>0</v>
      </c>
      <c r="BQ60" s="299">
        <f>[1]COMMANDE!AC58</f>
        <v>0</v>
      </c>
      <c r="BR60" s="297" t="str">
        <f t="shared" si="44"/>
        <v>0</v>
      </c>
      <c r="BS60" s="300">
        <f t="shared" si="45"/>
        <v>0</v>
      </c>
      <c r="BT60" s="301">
        <f>[1]COMMANDE!AE58</f>
        <v>0</v>
      </c>
      <c r="BU60" s="297" t="str">
        <f t="shared" si="46"/>
        <v>0</v>
      </c>
      <c r="BV60" s="298">
        <f t="shared" si="47"/>
        <v>0</v>
      </c>
      <c r="BW60" s="299">
        <f>[1]COMMANDE!AG58</f>
        <v>0</v>
      </c>
      <c r="BX60" s="297" t="str">
        <f t="shared" si="48"/>
        <v>0</v>
      </c>
      <c r="BY60" s="300">
        <f t="shared" si="49"/>
        <v>0</v>
      </c>
      <c r="BZ60" s="301">
        <f>[1]COMMANDE!AI58</f>
        <v>0</v>
      </c>
      <c r="CA60" s="297" t="str">
        <f t="shared" si="50"/>
        <v>0</v>
      </c>
      <c r="CB60" s="298">
        <f t="shared" si="51"/>
        <v>0</v>
      </c>
      <c r="CC60" s="299">
        <f>[1]COMMANDE!AK58</f>
        <v>0</v>
      </c>
      <c r="CD60" s="297" t="str">
        <f t="shared" si="52"/>
        <v>0</v>
      </c>
      <c r="CE60" s="300">
        <f t="shared" si="53"/>
        <v>0</v>
      </c>
      <c r="CF60" s="301">
        <f>[1]COMMANDE!AM58</f>
        <v>0</v>
      </c>
      <c r="CG60" s="297" t="str">
        <f t="shared" si="54"/>
        <v>0</v>
      </c>
      <c r="CH60" s="298">
        <f t="shared" si="55"/>
        <v>0</v>
      </c>
      <c r="CI60" s="299">
        <f>[1]COMMANDE!AO58</f>
        <v>0</v>
      </c>
      <c r="CJ60" s="297" t="str">
        <f t="shared" si="56"/>
        <v>0</v>
      </c>
      <c r="CK60" s="300">
        <f t="shared" si="57"/>
        <v>0</v>
      </c>
      <c r="CL60" s="301">
        <f>[1]COMMANDE!AQ58</f>
        <v>0</v>
      </c>
      <c r="CM60" s="297" t="str">
        <f t="shared" si="58"/>
        <v>0</v>
      </c>
      <c r="CN60" s="298">
        <f t="shared" si="59"/>
        <v>0</v>
      </c>
      <c r="CO60" s="299">
        <f>[1]COMMANDE!AS58</f>
        <v>0</v>
      </c>
      <c r="CP60" s="297" t="str">
        <f t="shared" si="60"/>
        <v>0</v>
      </c>
      <c r="CQ60" s="300">
        <f t="shared" si="61"/>
        <v>0</v>
      </c>
      <c r="CR60" s="301">
        <f>[1]COMMANDE!AU58</f>
        <v>0</v>
      </c>
      <c r="CS60" s="297" t="str">
        <f t="shared" si="62"/>
        <v>0</v>
      </c>
      <c r="CT60" s="298">
        <f t="shared" si="63"/>
        <v>0</v>
      </c>
      <c r="CU60" s="299">
        <f>[1]COMMANDE!AW58</f>
        <v>0</v>
      </c>
      <c r="CV60" s="297" t="str">
        <f t="shared" si="64"/>
        <v>0</v>
      </c>
      <c r="CW60" s="300">
        <f t="shared" si="65"/>
        <v>0</v>
      </c>
      <c r="CX60" s="301">
        <f>[1]COMMANDE!AY58</f>
        <v>0</v>
      </c>
      <c r="CY60" s="297" t="str">
        <f t="shared" si="66"/>
        <v>0</v>
      </c>
      <c r="CZ60" s="298">
        <f t="shared" si="67"/>
        <v>0</v>
      </c>
      <c r="DA60" s="299">
        <f>[1]COMMANDE!BA58</f>
        <v>0</v>
      </c>
      <c r="DB60" s="297" t="str">
        <f t="shared" si="68"/>
        <v>0</v>
      </c>
      <c r="DC60" s="302">
        <f t="shared" si="69"/>
        <v>0</v>
      </c>
      <c r="DD60" s="303"/>
      <c r="DE60" s="304"/>
    </row>
    <row r="61" spans="1:109" ht="39.950000000000003" customHeight="1" x14ac:dyDescent="0.25">
      <c r="A61" s="284">
        <f t="shared" si="2"/>
        <v>1</v>
      </c>
      <c r="B61" s="284">
        <f t="shared" si="3"/>
        <v>0</v>
      </c>
      <c r="C61" s="284">
        <f t="shared" si="4"/>
        <v>0</v>
      </c>
      <c r="D61" s="284">
        <f t="shared" si="5"/>
        <v>0</v>
      </c>
      <c r="E61" s="284">
        <f t="shared" si="6"/>
        <v>0</v>
      </c>
      <c r="F61" s="284">
        <f t="shared" si="7"/>
        <v>0</v>
      </c>
      <c r="G61" s="284">
        <f t="shared" si="8"/>
        <v>0</v>
      </c>
      <c r="H61" s="284">
        <f t="shared" si="9"/>
        <v>0</v>
      </c>
      <c r="I61" s="284">
        <f t="shared" si="10"/>
        <v>0</v>
      </c>
      <c r="J61" s="284">
        <f t="shared" si="11"/>
        <v>0</v>
      </c>
      <c r="K61" s="284">
        <f t="shared" si="12"/>
        <v>0</v>
      </c>
      <c r="L61" s="284">
        <f t="shared" si="13"/>
        <v>0</v>
      </c>
      <c r="M61" s="284">
        <f t="shared" si="14"/>
        <v>0</v>
      </c>
      <c r="N61" s="284">
        <f t="shared" si="15"/>
        <v>0</v>
      </c>
      <c r="O61" s="284">
        <f t="shared" si="16"/>
        <v>0</v>
      </c>
      <c r="P61" s="284">
        <f t="shared" si="17"/>
        <v>0</v>
      </c>
      <c r="Q61" s="284">
        <f t="shared" si="18"/>
        <v>0</v>
      </c>
      <c r="R61" s="284">
        <f t="shared" si="19"/>
        <v>0</v>
      </c>
      <c r="S61" s="284">
        <f t="shared" si="20"/>
        <v>0</v>
      </c>
      <c r="T61" s="284">
        <f t="shared" si="21"/>
        <v>0</v>
      </c>
      <c r="U61" s="285">
        <f t="shared" si="22"/>
        <v>1</v>
      </c>
      <c r="V61" s="286">
        <f>[1]BDD!A51</f>
        <v>3017</v>
      </c>
      <c r="W61" s="287" t="str">
        <f>[1]BDD!B51</f>
        <v>Carotte sans fane</v>
      </c>
      <c r="X61" s="288" t="str">
        <f>IF([1]BDD!F51=0, "", [1]BDD!F51)</f>
        <v/>
      </c>
      <c r="Y61" s="214">
        <f>ROUND([1]BDD!G51+FDP_CMD_KG, 2)</f>
        <v>2.77</v>
      </c>
      <c r="Z61" s="214">
        <f>ROUND([1]BDD!G51+FDP_FACT_KG, 2)</f>
        <v>2.77</v>
      </c>
      <c r="AA61" s="215" t="str">
        <f>[1]BDD!H51</f>
        <v>kg</v>
      </c>
      <c r="AB61" s="225">
        <f>IF(NOT(ISBLANK([1]BDD!I51)), ROUND(SUM(([1]BDD!G51*reduc1),FDP_CMD_KG), 2), "")</f>
        <v>2.58</v>
      </c>
      <c r="AC61" s="225">
        <f>IF(NOT(ISBLANK([1]BDD!J51)), ROUND(SUM(([1]BDD!G51*reduc2),FDP_CMD_KG), 2), "")</f>
        <v>2.39</v>
      </c>
      <c r="AD61" s="225">
        <f>IF(NOT(ISBLANK([1]BDD!K51)), ROUND(SUM(([1]BDD!G51*reduc3),FDP_CMD_KG), 2), "")</f>
        <v>2.2000000000000002</v>
      </c>
      <c r="AE61" s="225">
        <f>IF(NOT(ISBLANK([1]BDD!I51)), ROUND(SUM(([1]BDD!G51*reduc1),FDP_FACT_KG), 2), "")</f>
        <v>2.58</v>
      </c>
      <c r="AF61" s="225">
        <f>IF(NOT(ISBLANK([1]BDD!J51)), ROUND(SUM(([1]BDD!G51*reduc2),FDP_FACT_KG), 2), "")</f>
        <v>2.39</v>
      </c>
      <c r="AG61" s="225">
        <f>IF(NOT(ISBLANK([1]BDD!K51)), ROUND(SUM(([1]BDD!G51*reduc3),FDP_FACT_KG), 2), "")</f>
        <v>2.2000000000000002</v>
      </c>
      <c r="AH61" s="289" t="str">
        <f>[1]BDD!C51</f>
        <v>Grenade</v>
      </c>
      <c r="AI61" s="290">
        <f t="shared" si="23"/>
        <v>10</v>
      </c>
      <c r="AJ61" s="216">
        <f t="shared" si="24"/>
        <v>2.2000000000000002</v>
      </c>
      <c r="AK61" s="291">
        <f t="shared" si="25"/>
        <v>22</v>
      </c>
      <c r="AL61" s="429"/>
      <c r="AM61" s="292">
        <v>10</v>
      </c>
      <c r="AN61" s="216">
        <f t="shared" si="26"/>
        <v>2.58</v>
      </c>
      <c r="AO61" s="293">
        <f t="shared" si="27"/>
        <v>25.8</v>
      </c>
      <c r="AP61" s="294"/>
      <c r="AQ61" s="294"/>
      <c r="AR61" s="429"/>
      <c r="AS61" s="295">
        <f t="shared" si="28"/>
        <v>10</v>
      </c>
      <c r="AT61" s="216">
        <f t="shared" si="29"/>
        <v>2.58</v>
      </c>
      <c r="AU61" s="291">
        <f t="shared" si="1"/>
        <v>25.8</v>
      </c>
      <c r="AV61" s="296">
        <f>[1]COMMANDE!O59</f>
        <v>10</v>
      </c>
      <c r="AW61" s="297">
        <f t="shared" si="30"/>
        <v>10</v>
      </c>
      <c r="AX61" s="298">
        <f t="shared" si="31"/>
        <v>25.8</v>
      </c>
      <c r="AY61" s="299">
        <f>[1]COMMANDE!Q59</f>
        <v>0</v>
      </c>
      <c r="AZ61" s="297" t="str">
        <f t="shared" si="32"/>
        <v>0</v>
      </c>
      <c r="BA61" s="300">
        <f t="shared" si="33"/>
        <v>0</v>
      </c>
      <c r="BB61" s="301">
        <f>[1]COMMANDE!S59</f>
        <v>0</v>
      </c>
      <c r="BC61" s="297" t="str">
        <f t="shared" si="34"/>
        <v>0</v>
      </c>
      <c r="BD61" s="298">
        <f t="shared" si="35"/>
        <v>0</v>
      </c>
      <c r="BE61" s="299">
        <f>[1]COMMANDE!U59</f>
        <v>0</v>
      </c>
      <c r="BF61" s="297" t="str">
        <f t="shared" si="36"/>
        <v>0</v>
      </c>
      <c r="BG61" s="300">
        <f t="shared" si="37"/>
        <v>0</v>
      </c>
      <c r="BH61" s="301">
        <f>[1]COMMANDE!W59</f>
        <v>0</v>
      </c>
      <c r="BI61" s="297" t="str">
        <f t="shared" si="38"/>
        <v>0</v>
      </c>
      <c r="BJ61" s="298">
        <f t="shared" si="39"/>
        <v>0</v>
      </c>
      <c r="BK61" s="299">
        <f>[1]COMMANDE!Y59</f>
        <v>0</v>
      </c>
      <c r="BL61" s="297" t="str">
        <f t="shared" si="40"/>
        <v>0</v>
      </c>
      <c r="BM61" s="300">
        <f t="shared" si="41"/>
        <v>0</v>
      </c>
      <c r="BN61" s="301">
        <f>[1]COMMANDE!AA59</f>
        <v>0</v>
      </c>
      <c r="BO61" s="297" t="str">
        <f t="shared" si="42"/>
        <v>0</v>
      </c>
      <c r="BP61" s="298">
        <f t="shared" si="43"/>
        <v>0</v>
      </c>
      <c r="BQ61" s="299">
        <f>[1]COMMANDE!AC59</f>
        <v>0</v>
      </c>
      <c r="BR61" s="297" t="str">
        <f t="shared" si="44"/>
        <v>0</v>
      </c>
      <c r="BS61" s="300">
        <f t="shared" si="45"/>
        <v>0</v>
      </c>
      <c r="BT61" s="301">
        <f>[1]COMMANDE!AE59</f>
        <v>0</v>
      </c>
      <c r="BU61" s="297" t="str">
        <f t="shared" si="46"/>
        <v>0</v>
      </c>
      <c r="BV61" s="298">
        <f t="shared" si="47"/>
        <v>0</v>
      </c>
      <c r="BW61" s="299">
        <f>[1]COMMANDE!AG59</f>
        <v>0</v>
      </c>
      <c r="BX61" s="297" t="str">
        <f t="shared" si="48"/>
        <v>0</v>
      </c>
      <c r="BY61" s="300">
        <f t="shared" si="49"/>
        <v>0</v>
      </c>
      <c r="BZ61" s="301">
        <f>[1]COMMANDE!AI59</f>
        <v>0</v>
      </c>
      <c r="CA61" s="297" t="str">
        <f t="shared" si="50"/>
        <v>0</v>
      </c>
      <c r="CB61" s="298">
        <f t="shared" si="51"/>
        <v>0</v>
      </c>
      <c r="CC61" s="299">
        <f>[1]COMMANDE!AK59</f>
        <v>0</v>
      </c>
      <c r="CD61" s="297" t="str">
        <f t="shared" si="52"/>
        <v>0</v>
      </c>
      <c r="CE61" s="300">
        <f t="shared" si="53"/>
        <v>0</v>
      </c>
      <c r="CF61" s="301">
        <f>[1]COMMANDE!AM59</f>
        <v>0</v>
      </c>
      <c r="CG61" s="297" t="str">
        <f t="shared" si="54"/>
        <v>0</v>
      </c>
      <c r="CH61" s="298">
        <f t="shared" si="55"/>
        <v>0</v>
      </c>
      <c r="CI61" s="299">
        <f>[1]COMMANDE!AO59</f>
        <v>0</v>
      </c>
      <c r="CJ61" s="297" t="str">
        <f t="shared" si="56"/>
        <v>0</v>
      </c>
      <c r="CK61" s="300">
        <f t="shared" si="57"/>
        <v>0</v>
      </c>
      <c r="CL61" s="301">
        <f>[1]COMMANDE!AQ59</f>
        <v>0</v>
      </c>
      <c r="CM61" s="297" t="str">
        <f t="shared" si="58"/>
        <v>0</v>
      </c>
      <c r="CN61" s="298">
        <f t="shared" si="59"/>
        <v>0</v>
      </c>
      <c r="CO61" s="299">
        <f>[1]COMMANDE!AS59</f>
        <v>0</v>
      </c>
      <c r="CP61" s="297" t="str">
        <f t="shared" si="60"/>
        <v>0</v>
      </c>
      <c r="CQ61" s="300">
        <f t="shared" si="61"/>
        <v>0</v>
      </c>
      <c r="CR61" s="301">
        <f>[1]COMMANDE!AU59</f>
        <v>0</v>
      </c>
      <c r="CS61" s="297" t="str">
        <f t="shared" si="62"/>
        <v>0</v>
      </c>
      <c r="CT61" s="298">
        <f t="shared" si="63"/>
        <v>0</v>
      </c>
      <c r="CU61" s="299">
        <f>[1]COMMANDE!AW59</f>
        <v>0</v>
      </c>
      <c r="CV61" s="297" t="str">
        <f t="shared" si="64"/>
        <v>0</v>
      </c>
      <c r="CW61" s="300">
        <f t="shared" si="65"/>
        <v>0</v>
      </c>
      <c r="CX61" s="301">
        <f>[1]COMMANDE!AY59</f>
        <v>0</v>
      </c>
      <c r="CY61" s="297" t="str">
        <f t="shared" si="66"/>
        <v>0</v>
      </c>
      <c r="CZ61" s="298">
        <f t="shared" si="67"/>
        <v>0</v>
      </c>
      <c r="DA61" s="299">
        <f>[1]COMMANDE!BA59</f>
        <v>0</v>
      </c>
      <c r="DB61" s="297" t="str">
        <f t="shared" si="68"/>
        <v>0</v>
      </c>
      <c r="DC61" s="302">
        <f t="shared" si="69"/>
        <v>0</v>
      </c>
      <c r="DD61" s="303"/>
      <c r="DE61" s="304"/>
    </row>
    <row r="62" spans="1:109" ht="39.950000000000003" customHeight="1" x14ac:dyDescent="0.25">
      <c r="A62" s="284">
        <f t="shared" si="2"/>
        <v>0</v>
      </c>
      <c r="B62" s="284">
        <f t="shared" si="3"/>
        <v>0</v>
      </c>
      <c r="C62" s="284">
        <f t="shared" si="4"/>
        <v>0</v>
      </c>
      <c r="D62" s="284">
        <f t="shared" si="5"/>
        <v>0</v>
      </c>
      <c r="E62" s="284">
        <f t="shared" si="6"/>
        <v>0</v>
      </c>
      <c r="F62" s="284">
        <f t="shared" si="7"/>
        <v>0</v>
      </c>
      <c r="G62" s="284">
        <f t="shared" si="8"/>
        <v>0</v>
      </c>
      <c r="H62" s="284">
        <f t="shared" si="9"/>
        <v>0</v>
      </c>
      <c r="I62" s="284">
        <f t="shared" si="10"/>
        <v>0</v>
      </c>
      <c r="J62" s="284">
        <f t="shared" si="11"/>
        <v>0</v>
      </c>
      <c r="K62" s="284">
        <f t="shared" si="12"/>
        <v>0</v>
      </c>
      <c r="L62" s="284">
        <f t="shared" si="13"/>
        <v>0</v>
      </c>
      <c r="M62" s="284">
        <f t="shared" si="14"/>
        <v>0</v>
      </c>
      <c r="N62" s="284">
        <f t="shared" si="15"/>
        <v>0</v>
      </c>
      <c r="O62" s="284">
        <f t="shared" si="16"/>
        <v>0</v>
      </c>
      <c r="P62" s="284">
        <f t="shared" si="17"/>
        <v>0</v>
      </c>
      <c r="Q62" s="284">
        <f t="shared" si="18"/>
        <v>0</v>
      </c>
      <c r="R62" s="284">
        <f t="shared" si="19"/>
        <v>0</v>
      </c>
      <c r="S62" s="284">
        <f t="shared" si="20"/>
        <v>0</v>
      </c>
      <c r="T62" s="284">
        <f t="shared" si="21"/>
        <v>0</v>
      </c>
      <c r="U62" s="285">
        <f t="shared" si="22"/>
        <v>0</v>
      </c>
      <c r="V62" s="286">
        <f>[1]BDD!A52</f>
        <v>1034</v>
      </c>
      <c r="W62" s="287" t="str">
        <f>[1]BDD!B52</f>
        <v>Carotte sans fane BIO</v>
      </c>
      <c r="X62" s="288" t="str">
        <f>IF([1]BDD!F52=0, "", [1]BDD!F52)</f>
        <v/>
      </c>
      <c r="Y62" s="214">
        <f>ROUND([1]BDD!G52+FDP_CMD_KG, 2)</f>
        <v>3.19</v>
      </c>
      <c r="Z62" s="214">
        <f>ROUND([1]BDD!G52+FDP_FACT_KG, 2)</f>
        <v>3.19</v>
      </c>
      <c r="AA62" s="215" t="str">
        <f>[1]BDD!H52</f>
        <v>kg</v>
      </c>
      <c r="AB62" s="225">
        <f>IF(NOT(ISBLANK([1]BDD!I52)), ROUND(SUM(([1]BDD!G52*reduc1),FDP_CMD_KG), 2), "")</f>
        <v>2.96</v>
      </c>
      <c r="AC62" s="225">
        <f>IF(NOT(ISBLANK([1]BDD!J52)), ROUND(SUM(([1]BDD!G52*reduc2),FDP_CMD_KG), 2), "")</f>
        <v>2.73</v>
      </c>
      <c r="AD62" s="225" t="str">
        <f>IF(NOT(ISBLANK([1]BDD!K52)), ROUND(SUM(([1]BDD!G52*reduc3),FDP_CMD_KG), 2), "")</f>
        <v/>
      </c>
      <c r="AE62" s="225">
        <f>IF(NOT(ISBLANK([1]BDD!I52)), ROUND(SUM(([1]BDD!G52*reduc1),FDP_FACT_KG), 2), "")</f>
        <v>2.95</v>
      </c>
      <c r="AF62" s="225">
        <f>IF(NOT(ISBLANK([1]BDD!J52)), ROUND(SUM(([1]BDD!G52*reduc2),FDP_FACT_KG), 2), "")</f>
        <v>2.72</v>
      </c>
      <c r="AG62" s="225" t="str">
        <f>IF(NOT(ISBLANK([1]BDD!K52)), ROUND(SUM(([1]BDD!G52*reduc3),FDP_FACT_KG), 2), "")</f>
        <v/>
      </c>
      <c r="AH62" s="289" t="str">
        <f>[1]BDD!C52</f>
        <v>Malaga</v>
      </c>
      <c r="AI62" s="290">
        <f t="shared" si="23"/>
        <v>0</v>
      </c>
      <c r="AJ62" s="216">
        <f t="shared" si="24"/>
        <v>2.73</v>
      </c>
      <c r="AK62" s="291">
        <f t="shared" si="25"/>
        <v>0</v>
      </c>
      <c r="AL62" s="429"/>
      <c r="AM62" s="292"/>
      <c r="AN62" s="216">
        <f t="shared" si="26"/>
        <v>3.19</v>
      </c>
      <c r="AO62" s="293">
        <f t="shared" si="27"/>
        <v>0</v>
      </c>
      <c r="AP62" s="294"/>
      <c r="AQ62" s="294"/>
      <c r="AR62" s="429"/>
      <c r="AS62" s="295">
        <f t="shared" si="28"/>
        <v>0</v>
      </c>
      <c r="AT62" s="216">
        <f t="shared" si="29"/>
        <v>3.19</v>
      </c>
      <c r="AU62" s="291">
        <f t="shared" si="1"/>
        <v>0</v>
      </c>
      <c r="AV62" s="296">
        <f>[1]COMMANDE!O60</f>
        <v>0</v>
      </c>
      <c r="AW62" s="297" t="str">
        <f t="shared" si="30"/>
        <v>0</v>
      </c>
      <c r="AX62" s="298">
        <f t="shared" si="31"/>
        <v>0</v>
      </c>
      <c r="AY62" s="299">
        <f>[1]COMMANDE!Q60</f>
        <v>0</v>
      </c>
      <c r="AZ62" s="297" t="str">
        <f t="shared" si="32"/>
        <v>0</v>
      </c>
      <c r="BA62" s="300">
        <f t="shared" si="33"/>
        <v>0</v>
      </c>
      <c r="BB62" s="301">
        <f>[1]COMMANDE!S60</f>
        <v>0</v>
      </c>
      <c r="BC62" s="297" t="str">
        <f t="shared" si="34"/>
        <v>0</v>
      </c>
      <c r="BD62" s="298">
        <f t="shared" si="35"/>
        <v>0</v>
      </c>
      <c r="BE62" s="299">
        <f>[1]COMMANDE!U60</f>
        <v>0</v>
      </c>
      <c r="BF62" s="297" t="str">
        <f t="shared" si="36"/>
        <v>0</v>
      </c>
      <c r="BG62" s="300">
        <f t="shared" si="37"/>
        <v>0</v>
      </c>
      <c r="BH62" s="301">
        <f>[1]COMMANDE!W60</f>
        <v>0</v>
      </c>
      <c r="BI62" s="297" t="str">
        <f t="shared" si="38"/>
        <v>0</v>
      </c>
      <c r="BJ62" s="298">
        <f t="shared" si="39"/>
        <v>0</v>
      </c>
      <c r="BK62" s="299">
        <f>[1]COMMANDE!Y60</f>
        <v>0</v>
      </c>
      <c r="BL62" s="297" t="str">
        <f t="shared" si="40"/>
        <v>0</v>
      </c>
      <c r="BM62" s="300">
        <f t="shared" si="41"/>
        <v>0</v>
      </c>
      <c r="BN62" s="301">
        <f>[1]COMMANDE!AA60</f>
        <v>0</v>
      </c>
      <c r="BO62" s="297" t="str">
        <f t="shared" si="42"/>
        <v>0</v>
      </c>
      <c r="BP62" s="298">
        <f t="shared" si="43"/>
        <v>0</v>
      </c>
      <c r="BQ62" s="299">
        <f>[1]COMMANDE!AC60</f>
        <v>0</v>
      </c>
      <c r="BR62" s="297" t="str">
        <f t="shared" si="44"/>
        <v>0</v>
      </c>
      <c r="BS62" s="300">
        <f t="shared" si="45"/>
        <v>0</v>
      </c>
      <c r="BT62" s="301">
        <f>[1]COMMANDE!AE60</f>
        <v>0</v>
      </c>
      <c r="BU62" s="297" t="str">
        <f t="shared" si="46"/>
        <v>0</v>
      </c>
      <c r="BV62" s="298">
        <f t="shared" si="47"/>
        <v>0</v>
      </c>
      <c r="BW62" s="299">
        <f>[1]COMMANDE!AG60</f>
        <v>0</v>
      </c>
      <c r="BX62" s="297" t="str">
        <f t="shared" si="48"/>
        <v>0</v>
      </c>
      <c r="BY62" s="300">
        <f t="shared" si="49"/>
        <v>0</v>
      </c>
      <c r="BZ62" s="301">
        <f>[1]COMMANDE!AI60</f>
        <v>0</v>
      </c>
      <c r="CA62" s="297" t="str">
        <f t="shared" si="50"/>
        <v>0</v>
      </c>
      <c r="CB62" s="298">
        <f t="shared" si="51"/>
        <v>0</v>
      </c>
      <c r="CC62" s="299">
        <f>[1]COMMANDE!AK60</f>
        <v>0</v>
      </c>
      <c r="CD62" s="297" t="str">
        <f t="shared" si="52"/>
        <v>0</v>
      </c>
      <c r="CE62" s="300">
        <f t="shared" si="53"/>
        <v>0</v>
      </c>
      <c r="CF62" s="301">
        <f>[1]COMMANDE!AM60</f>
        <v>0</v>
      </c>
      <c r="CG62" s="297" t="str">
        <f t="shared" si="54"/>
        <v>0</v>
      </c>
      <c r="CH62" s="298">
        <f t="shared" si="55"/>
        <v>0</v>
      </c>
      <c r="CI62" s="299">
        <f>[1]COMMANDE!AO60</f>
        <v>0</v>
      </c>
      <c r="CJ62" s="297" t="str">
        <f t="shared" si="56"/>
        <v>0</v>
      </c>
      <c r="CK62" s="300">
        <f t="shared" si="57"/>
        <v>0</v>
      </c>
      <c r="CL62" s="301">
        <f>[1]COMMANDE!AQ60</f>
        <v>0</v>
      </c>
      <c r="CM62" s="297" t="str">
        <f t="shared" si="58"/>
        <v>0</v>
      </c>
      <c r="CN62" s="298">
        <f t="shared" si="59"/>
        <v>0</v>
      </c>
      <c r="CO62" s="299">
        <f>[1]COMMANDE!AS60</f>
        <v>0</v>
      </c>
      <c r="CP62" s="297" t="str">
        <f t="shared" si="60"/>
        <v>0</v>
      </c>
      <c r="CQ62" s="300">
        <f t="shared" si="61"/>
        <v>0</v>
      </c>
      <c r="CR62" s="301">
        <f>[1]COMMANDE!AU60</f>
        <v>0</v>
      </c>
      <c r="CS62" s="297" t="str">
        <f t="shared" si="62"/>
        <v>0</v>
      </c>
      <c r="CT62" s="298">
        <f t="shared" si="63"/>
        <v>0</v>
      </c>
      <c r="CU62" s="299">
        <f>[1]COMMANDE!AW60</f>
        <v>0</v>
      </c>
      <c r="CV62" s="297" t="str">
        <f t="shared" si="64"/>
        <v>0</v>
      </c>
      <c r="CW62" s="300">
        <f t="shared" si="65"/>
        <v>0</v>
      </c>
      <c r="CX62" s="301">
        <f>[1]COMMANDE!AY60</f>
        <v>0</v>
      </c>
      <c r="CY62" s="297" t="str">
        <f t="shared" si="66"/>
        <v>0</v>
      </c>
      <c r="CZ62" s="298">
        <f t="shared" si="67"/>
        <v>0</v>
      </c>
      <c r="DA62" s="299">
        <f>[1]COMMANDE!BA60</f>
        <v>0</v>
      </c>
      <c r="DB62" s="297" t="str">
        <f t="shared" si="68"/>
        <v>0</v>
      </c>
      <c r="DC62" s="302">
        <f t="shared" si="69"/>
        <v>0</v>
      </c>
      <c r="DD62" s="303"/>
      <c r="DE62" s="304"/>
    </row>
    <row r="63" spans="1:109" ht="39.950000000000003" customHeight="1" x14ac:dyDescent="0.25">
      <c r="A63" s="284">
        <f t="shared" si="2"/>
        <v>0</v>
      </c>
      <c r="B63" s="284">
        <f t="shared" si="3"/>
        <v>0</v>
      </c>
      <c r="C63" s="284">
        <f t="shared" si="4"/>
        <v>0</v>
      </c>
      <c r="D63" s="284">
        <f t="shared" si="5"/>
        <v>0</v>
      </c>
      <c r="E63" s="284">
        <f t="shared" si="6"/>
        <v>0</v>
      </c>
      <c r="F63" s="284">
        <f t="shared" si="7"/>
        <v>0</v>
      </c>
      <c r="G63" s="284">
        <f t="shared" si="8"/>
        <v>0</v>
      </c>
      <c r="H63" s="284">
        <f t="shared" si="9"/>
        <v>0</v>
      </c>
      <c r="I63" s="284">
        <f t="shared" si="10"/>
        <v>0</v>
      </c>
      <c r="J63" s="284">
        <f t="shared" si="11"/>
        <v>0</v>
      </c>
      <c r="K63" s="284">
        <f t="shared" si="12"/>
        <v>0</v>
      </c>
      <c r="L63" s="284">
        <f t="shared" si="13"/>
        <v>0</v>
      </c>
      <c r="M63" s="284">
        <f t="shared" si="14"/>
        <v>0</v>
      </c>
      <c r="N63" s="284">
        <f t="shared" si="15"/>
        <v>0</v>
      </c>
      <c r="O63" s="284">
        <f t="shared" si="16"/>
        <v>0</v>
      </c>
      <c r="P63" s="284">
        <f t="shared" si="17"/>
        <v>0</v>
      </c>
      <c r="Q63" s="284">
        <f t="shared" si="18"/>
        <v>0</v>
      </c>
      <c r="R63" s="284">
        <f t="shared" si="19"/>
        <v>0</v>
      </c>
      <c r="S63" s="284">
        <f t="shared" si="20"/>
        <v>0</v>
      </c>
      <c r="T63" s="284">
        <f t="shared" si="21"/>
        <v>0</v>
      </c>
      <c r="U63" s="285">
        <f t="shared" si="22"/>
        <v>0</v>
      </c>
      <c r="V63" s="286">
        <f>[1]BDD!A53</f>
        <v>6117</v>
      </c>
      <c r="W63" s="287" t="str">
        <f>[1]BDD!B53</f>
        <v>Caroube en gousse de l'Alpujarra BIO (env. 400g)</v>
      </c>
      <c r="X63" s="288" t="str">
        <f>IF([1]BDD!F53=0, "", [1]BDD!F53)</f>
        <v>❤️</v>
      </c>
      <c r="Y63" s="214">
        <f>ROUND([1]BDD!G53+FDP_CMD_KG, 2)</f>
        <v>2.21</v>
      </c>
      <c r="Z63" s="214">
        <f>ROUND([1]BDD!G53+FDP_FACT_KG, 2)</f>
        <v>2.21</v>
      </c>
      <c r="AA63" s="215" t="str">
        <f>[1]BDD!H53</f>
        <v>Pièce</v>
      </c>
      <c r="AB63" s="225" t="str">
        <f>IF(NOT(ISBLANK([1]BDD!I53)), ROUND(SUM(([1]BDD!G53*reduc1),FDP_CMD_KG), 2), "")</f>
        <v/>
      </c>
      <c r="AC63" s="225" t="str">
        <f>IF(NOT(ISBLANK([1]BDD!J53)), ROUND(SUM(([1]BDD!G53*reduc2),FDP_CMD_KG), 2), "")</f>
        <v/>
      </c>
      <c r="AD63" s="225" t="str">
        <f>IF(NOT(ISBLANK([1]BDD!K53)), ROUND(SUM(([1]BDD!G53*reduc3),FDP_CMD_KG), 2), "")</f>
        <v/>
      </c>
      <c r="AE63" s="225" t="str">
        <f>IF(NOT(ISBLANK([1]BDD!I53)), ROUND(SUM(([1]BDD!G53*reduc1),FDP_FACT_KG), 2), "")</f>
        <v/>
      </c>
      <c r="AF63" s="225" t="str">
        <f>IF(NOT(ISBLANK([1]BDD!J53)), ROUND(SUM(([1]BDD!G53*reduc2),FDP_FACT_KG), 2), "")</f>
        <v/>
      </c>
      <c r="AG63" s="225" t="str">
        <f>IF(NOT(ISBLANK([1]BDD!K53)), ROUND(SUM(([1]BDD!G53*reduc3),FDP_FACT_KG), 2), "")</f>
        <v/>
      </c>
      <c r="AH63" s="289" t="str">
        <f>[1]BDD!C53</f>
        <v>Grenade</v>
      </c>
      <c r="AI63" s="290">
        <f t="shared" si="23"/>
        <v>0</v>
      </c>
      <c r="AJ63" s="216">
        <f t="shared" si="24"/>
        <v>2.21</v>
      </c>
      <c r="AK63" s="291">
        <f t="shared" si="25"/>
        <v>0</v>
      </c>
      <c r="AL63" s="429"/>
      <c r="AM63" s="292"/>
      <c r="AN63" s="216">
        <f t="shared" si="26"/>
        <v>2.21</v>
      </c>
      <c r="AO63" s="293">
        <f t="shared" si="27"/>
        <v>0</v>
      </c>
      <c r="AP63" s="294"/>
      <c r="AQ63" s="294"/>
      <c r="AR63" s="429"/>
      <c r="AS63" s="295">
        <f t="shared" si="28"/>
        <v>0</v>
      </c>
      <c r="AT63" s="216">
        <f t="shared" si="29"/>
        <v>2.21</v>
      </c>
      <c r="AU63" s="291">
        <f t="shared" si="1"/>
        <v>0</v>
      </c>
      <c r="AV63" s="296">
        <f>[1]COMMANDE!O61</f>
        <v>0</v>
      </c>
      <c r="AW63" s="297" t="str">
        <f t="shared" si="30"/>
        <v>0</v>
      </c>
      <c r="AX63" s="298">
        <f t="shared" si="31"/>
        <v>0</v>
      </c>
      <c r="AY63" s="299">
        <f>[1]COMMANDE!Q61</f>
        <v>0</v>
      </c>
      <c r="AZ63" s="297" t="str">
        <f t="shared" si="32"/>
        <v>0</v>
      </c>
      <c r="BA63" s="300">
        <f t="shared" si="33"/>
        <v>0</v>
      </c>
      <c r="BB63" s="301">
        <f>[1]COMMANDE!S61</f>
        <v>0</v>
      </c>
      <c r="BC63" s="297" t="str">
        <f t="shared" si="34"/>
        <v>0</v>
      </c>
      <c r="BD63" s="298">
        <f t="shared" si="35"/>
        <v>0</v>
      </c>
      <c r="BE63" s="299">
        <f>[1]COMMANDE!U61</f>
        <v>0</v>
      </c>
      <c r="BF63" s="297" t="str">
        <f t="shared" si="36"/>
        <v>0</v>
      </c>
      <c r="BG63" s="300">
        <f t="shared" si="37"/>
        <v>0</v>
      </c>
      <c r="BH63" s="301">
        <f>[1]COMMANDE!W61</f>
        <v>0</v>
      </c>
      <c r="BI63" s="297" t="str">
        <f t="shared" si="38"/>
        <v>0</v>
      </c>
      <c r="BJ63" s="298">
        <f t="shared" si="39"/>
        <v>0</v>
      </c>
      <c r="BK63" s="299">
        <f>[1]COMMANDE!Y61</f>
        <v>0</v>
      </c>
      <c r="BL63" s="297" t="str">
        <f t="shared" si="40"/>
        <v>0</v>
      </c>
      <c r="BM63" s="300">
        <f t="shared" si="41"/>
        <v>0</v>
      </c>
      <c r="BN63" s="301">
        <f>[1]COMMANDE!AA61</f>
        <v>0</v>
      </c>
      <c r="BO63" s="297" t="str">
        <f t="shared" si="42"/>
        <v>0</v>
      </c>
      <c r="BP63" s="298">
        <f t="shared" si="43"/>
        <v>0</v>
      </c>
      <c r="BQ63" s="299">
        <f>[1]COMMANDE!AC61</f>
        <v>0</v>
      </c>
      <c r="BR63" s="297" t="str">
        <f t="shared" si="44"/>
        <v>0</v>
      </c>
      <c r="BS63" s="300">
        <f t="shared" si="45"/>
        <v>0</v>
      </c>
      <c r="BT63" s="301">
        <f>[1]COMMANDE!AE61</f>
        <v>0</v>
      </c>
      <c r="BU63" s="297" t="str">
        <f t="shared" si="46"/>
        <v>0</v>
      </c>
      <c r="BV63" s="298">
        <f t="shared" si="47"/>
        <v>0</v>
      </c>
      <c r="BW63" s="299">
        <f>[1]COMMANDE!AG61</f>
        <v>0</v>
      </c>
      <c r="BX63" s="297" t="str">
        <f t="shared" si="48"/>
        <v>0</v>
      </c>
      <c r="BY63" s="300">
        <f t="shared" si="49"/>
        <v>0</v>
      </c>
      <c r="BZ63" s="301">
        <f>[1]COMMANDE!AI61</f>
        <v>0</v>
      </c>
      <c r="CA63" s="297" t="str">
        <f t="shared" si="50"/>
        <v>0</v>
      </c>
      <c r="CB63" s="298">
        <f t="shared" si="51"/>
        <v>0</v>
      </c>
      <c r="CC63" s="299">
        <f>[1]COMMANDE!AK61</f>
        <v>0</v>
      </c>
      <c r="CD63" s="297" t="str">
        <f t="shared" si="52"/>
        <v>0</v>
      </c>
      <c r="CE63" s="300">
        <f t="shared" si="53"/>
        <v>0</v>
      </c>
      <c r="CF63" s="301">
        <f>[1]COMMANDE!AM61</f>
        <v>0</v>
      </c>
      <c r="CG63" s="297" t="str">
        <f t="shared" si="54"/>
        <v>0</v>
      </c>
      <c r="CH63" s="298">
        <f t="shared" si="55"/>
        <v>0</v>
      </c>
      <c r="CI63" s="299">
        <f>[1]COMMANDE!AO61</f>
        <v>0</v>
      </c>
      <c r="CJ63" s="297" t="str">
        <f t="shared" si="56"/>
        <v>0</v>
      </c>
      <c r="CK63" s="300">
        <f t="shared" si="57"/>
        <v>0</v>
      </c>
      <c r="CL63" s="301">
        <f>[1]COMMANDE!AQ61</f>
        <v>0</v>
      </c>
      <c r="CM63" s="297" t="str">
        <f t="shared" si="58"/>
        <v>0</v>
      </c>
      <c r="CN63" s="298">
        <f t="shared" si="59"/>
        <v>0</v>
      </c>
      <c r="CO63" s="299">
        <f>[1]COMMANDE!AS61</f>
        <v>0</v>
      </c>
      <c r="CP63" s="297" t="str">
        <f t="shared" si="60"/>
        <v>0</v>
      </c>
      <c r="CQ63" s="300">
        <f t="shared" si="61"/>
        <v>0</v>
      </c>
      <c r="CR63" s="301">
        <f>[1]COMMANDE!AU61</f>
        <v>0</v>
      </c>
      <c r="CS63" s="297" t="str">
        <f t="shared" si="62"/>
        <v>0</v>
      </c>
      <c r="CT63" s="298">
        <f t="shared" si="63"/>
        <v>0</v>
      </c>
      <c r="CU63" s="299">
        <f>[1]COMMANDE!AW61</f>
        <v>0</v>
      </c>
      <c r="CV63" s="297" t="str">
        <f t="shared" si="64"/>
        <v>0</v>
      </c>
      <c r="CW63" s="300">
        <f t="shared" si="65"/>
        <v>0</v>
      </c>
      <c r="CX63" s="301">
        <f>[1]COMMANDE!AY61</f>
        <v>0</v>
      </c>
      <c r="CY63" s="297" t="str">
        <f t="shared" si="66"/>
        <v>0</v>
      </c>
      <c r="CZ63" s="298">
        <f t="shared" si="67"/>
        <v>0</v>
      </c>
      <c r="DA63" s="299">
        <f>[1]COMMANDE!BA61</f>
        <v>0</v>
      </c>
      <c r="DB63" s="297" t="str">
        <f t="shared" si="68"/>
        <v>0</v>
      </c>
      <c r="DC63" s="302">
        <f t="shared" si="69"/>
        <v>0</v>
      </c>
      <c r="DD63" s="303"/>
      <c r="DE63" s="304"/>
    </row>
    <row r="64" spans="1:109" ht="39.950000000000003" customHeight="1" x14ac:dyDescent="0.25">
      <c r="A64" s="284">
        <f t="shared" si="2"/>
        <v>0</v>
      </c>
      <c r="B64" s="284">
        <f t="shared" si="3"/>
        <v>0</v>
      </c>
      <c r="C64" s="284">
        <f t="shared" si="4"/>
        <v>0</v>
      </c>
      <c r="D64" s="284">
        <f t="shared" si="5"/>
        <v>0</v>
      </c>
      <c r="E64" s="284">
        <f t="shared" si="6"/>
        <v>0</v>
      </c>
      <c r="F64" s="284">
        <f t="shared" si="7"/>
        <v>0</v>
      </c>
      <c r="G64" s="284">
        <f t="shared" si="8"/>
        <v>0</v>
      </c>
      <c r="H64" s="284">
        <f t="shared" si="9"/>
        <v>0</v>
      </c>
      <c r="I64" s="284">
        <f t="shared" si="10"/>
        <v>0</v>
      </c>
      <c r="J64" s="284">
        <f t="shared" si="11"/>
        <v>0</v>
      </c>
      <c r="K64" s="284">
        <f t="shared" si="12"/>
        <v>0</v>
      </c>
      <c r="L64" s="284">
        <f t="shared" si="13"/>
        <v>0</v>
      </c>
      <c r="M64" s="284">
        <f t="shared" si="14"/>
        <v>0</v>
      </c>
      <c r="N64" s="284">
        <f t="shared" si="15"/>
        <v>0</v>
      </c>
      <c r="O64" s="284">
        <f t="shared" si="16"/>
        <v>0</v>
      </c>
      <c r="P64" s="284">
        <f t="shared" si="17"/>
        <v>0</v>
      </c>
      <c r="Q64" s="284">
        <f t="shared" si="18"/>
        <v>0</v>
      </c>
      <c r="R64" s="284">
        <f t="shared" si="19"/>
        <v>0</v>
      </c>
      <c r="S64" s="284">
        <f t="shared" si="20"/>
        <v>0</v>
      </c>
      <c r="T64" s="284">
        <f t="shared" si="21"/>
        <v>0</v>
      </c>
      <c r="U64" s="285">
        <f t="shared" si="22"/>
        <v>0</v>
      </c>
      <c r="V64" s="286">
        <f>[1]BDD!A54</f>
        <v>3023</v>
      </c>
      <c r="W64" s="287" t="str">
        <f>[1]BDD!B54</f>
        <v>Céleri vert</v>
      </c>
      <c r="X64" s="288" t="str">
        <f>IF([1]BDD!F54=0, "", [1]BDD!F54)</f>
        <v/>
      </c>
      <c r="Y64" s="214">
        <f>ROUND([1]BDD!G54+FDP_CMD_KG, 2)</f>
        <v>4.1399999999999997</v>
      </c>
      <c r="Z64" s="214">
        <f>ROUND([1]BDD!G54+FDP_FACT_KG, 2)</f>
        <v>4.1399999999999997</v>
      </c>
      <c r="AA64" s="215" t="str">
        <f>[1]BDD!H54</f>
        <v>kg</v>
      </c>
      <c r="AB64" s="225">
        <f>IF(NOT(ISBLANK([1]BDD!I54)), ROUND(SUM(([1]BDD!G54*reduc1),FDP_CMD_KG), 2), "")</f>
        <v>3.82</v>
      </c>
      <c r="AC64" s="225" t="str">
        <f>IF(NOT(ISBLANK([1]BDD!J54)), ROUND(SUM(([1]BDD!G54*reduc2),FDP_CMD_KG), 2), "")</f>
        <v/>
      </c>
      <c r="AD64" s="225" t="str">
        <f>IF(NOT(ISBLANK([1]BDD!K54)), ROUND(SUM(([1]BDD!G54*reduc3),FDP_CMD_KG), 2), "")</f>
        <v/>
      </c>
      <c r="AE64" s="225">
        <f>IF(NOT(ISBLANK([1]BDD!I54)), ROUND(SUM(([1]BDD!G54*reduc1),FDP_FACT_KG), 2), "")</f>
        <v>3.81</v>
      </c>
      <c r="AF64" s="225" t="str">
        <f>IF(NOT(ISBLANK([1]BDD!J54)), ROUND(SUM(([1]BDD!G54*reduc2),FDP_FACT_KG), 2), "")</f>
        <v/>
      </c>
      <c r="AG64" s="225" t="str">
        <f>IF(NOT(ISBLANK([1]BDD!K54)), ROUND(SUM(([1]BDD!G54*reduc3),FDP_FACT_KG), 2), "")</f>
        <v/>
      </c>
      <c r="AH64" s="289" t="str">
        <f>[1]BDD!C54</f>
        <v>Grenade</v>
      </c>
      <c r="AI64" s="290">
        <f t="shared" si="23"/>
        <v>0</v>
      </c>
      <c r="AJ64" s="216">
        <f t="shared" si="24"/>
        <v>3.82</v>
      </c>
      <c r="AK64" s="291">
        <f t="shared" si="25"/>
        <v>0</v>
      </c>
      <c r="AL64" s="429"/>
      <c r="AM64" s="292"/>
      <c r="AN64" s="216">
        <f t="shared" si="26"/>
        <v>4.1399999999999997</v>
      </c>
      <c r="AO64" s="293">
        <f t="shared" si="27"/>
        <v>0</v>
      </c>
      <c r="AP64" s="294"/>
      <c r="AQ64" s="294"/>
      <c r="AR64" s="429"/>
      <c r="AS64" s="295">
        <f t="shared" si="28"/>
        <v>0</v>
      </c>
      <c r="AT64" s="216">
        <f t="shared" si="29"/>
        <v>4.1399999999999997</v>
      </c>
      <c r="AU64" s="291">
        <f t="shared" si="1"/>
        <v>0</v>
      </c>
      <c r="AV64" s="296">
        <f>[1]COMMANDE!O62</f>
        <v>0</v>
      </c>
      <c r="AW64" s="297" t="str">
        <f t="shared" si="30"/>
        <v>0</v>
      </c>
      <c r="AX64" s="298">
        <f t="shared" si="31"/>
        <v>0</v>
      </c>
      <c r="AY64" s="299">
        <f>[1]COMMANDE!Q62</f>
        <v>0</v>
      </c>
      <c r="AZ64" s="297" t="str">
        <f t="shared" si="32"/>
        <v>0</v>
      </c>
      <c r="BA64" s="300">
        <f t="shared" si="33"/>
        <v>0</v>
      </c>
      <c r="BB64" s="301">
        <f>[1]COMMANDE!S62</f>
        <v>0</v>
      </c>
      <c r="BC64" s="297" t="str">
        <f t="shared" si="34"/>
        <v>0</v>
      </c>
      <c r="BD64" s="298">
        <f t="shared" si="35"/>
        <v>0</v>
      </c>
      <c r="BE64" s="299">
        <f>[1]COMMANDE!U62</f>
        <v>0</v>
      </c>
      <c r="BF64" s="297" t="str">
        <f t="shared" si="36"/>
        <v>0</v>
      </c>
      <c r="BG64" s="300">
        <f t="shared" si="37"/>
        <v>0</v>
      </c>
      <c r="BH64" s="301">
        <f>[1]COMMANDE!W62</f>
        <v>0</v>
      </c>
      <c r="BI64" s="297" t="str">
        <f t="shared" si="38"/>
        <v>0</v>
      </c>
      <c r="BJ64" s="298">
        <f t="shared" si="39"/>
        <v>0</v>
      </c>
      <c r="BK64" s="299">
        <f>[1]COMMANDE!Y62</f>
        <v>0</v>
      </c>
      <c r="BL64" s="297" t="str">
        <f t="shared" si="40"/>
        <v>0</v>
      </c>
      <c r="BM64" s="300">
        <f t="shared" si="41"/>
        <v>0</v>
      </c>
      <c r="BN64" s="301">
        <f>[1]COMMANDE!AA62</f>
        <v>0</v>
      </c>
      <c r="BO64" s="297" t="str">
        <f t="shared" si="42"/>
        <v>0</v>
      </c>
      <c r="BP64" s="298">
        <f t="shared" si="43"/>
        <v>0</v>
      </c>
      <c r="BQ64" s="299">
        <f>[1]COMMANDE!AC62</f>
        <v>0</v>
      </c>
      <c r="BR64" s="297" t="str">
        <f t="shared" si="44"/>
        <v>0</v>
      </c>
      <c r="BS64" s="300">
        <f t="shared" si="45"/>
        <v>0</v>
      </c>
      <c r="BT64" s="301">
        <f>[1]COMMANDE!AE62</f>
        <v>0</v>
      </c>
      <c r="BU64" s="297" t="str">
        <f t="shared" si="46"/>
        <v>0</v>
      </c>
      <c r="BV64" s="298">
        <f t="shared" si="47"/>
        <v>0</v>
      </c>
      <c r="BW64" s="299">
        <f>[1]COMMANDE!AG62</f>
        <v>0</v>
      </c>
      <c r="BX64" s="297" t="str">
        <f t="shared" si="48"/>
        <v>0</v>
      </c>
      <c r="BY64" s="300">
        <f t="shared" si="49"/>
        <v>0</v>
      </c>
      <c r="BZ64" s="301">
        <f>[1]COMMANDE!AI62</f>
        <v>0</v>
      </c>
      <c r="CA64" s="297" t="str">
        <f t="shared" si="50"/>
        <v>0</v>
      </c>
      <c r="CB64" s="298">
        <f t="shared" si="51"/>
        <v>0</v>
      </c>
      <c r="CC64" s="299">
        <f>[1]COMMANDE!AK62</f>
        <v>0</v>
      </c>
      <c r="CD64" s="297" t="str">
        <f t="shared" si="52"/>
        <v>0</v>
      </c>
      <c r="CE64" s="300">
        <f t="shared" si="53"/>
        <v>0</v>
      </c>
      <c r="CF64" s="301">
        <f>[1]COMMANDE!AM62</f>
        <v>0</v>
      </c>
      <c r="CG64" s="297" t="str">
        <f t="shared" si="54"/>
        <v>0</v>
      </c>
      <c r="CH64" s="298">
        <f t="shared" si="55"/>
        <v>0</v>
      </c>
      <c r="CI64" s="299">
        <f>[1]COMMANDE!AO62</f>
        <v>0</v>
      </c>
      <c r="CJ64" s="297" t="str">
        <f t="shared" si="56"/>
        <v>0</v>
      </c>
      <c r="CK64" s="300">
        <f t="shared" si="57"/>
        <v>0</v>
      </c>
      <c r="CL64" s="301">
        <f>[1]COMMANDE!AQ62</f>
        <v>0</v>
      </c>
      <c r="CM64" s="297" t="str">
        <f t="shared" si="58"/>
        <v>0</v>
      </c>
      <c r="CN64" s="298">
        <f t="shared" si="59"/>
        <v>0</v>
      </c>
      <c r="CO64" s="299">
        <f>[1]COMMANDE!AS62</f>
        <v>0</v>
      </c>
      <c r="CP64" s="297" t="str">
        <f t="shared" si="60"/>
        <v>0</v>
      </c>
      <c r="CQ64" s="300">
        <f t="shared" si="61"/>
        <v>0</v>
      </c>
      <c r="CR64" s="301">
        <f>[1]COMMANDE!AU62</f>
        <v>0</v>
      </c>
      <c r="CS64" s="297" t="str">
        <f t="shared" si="62"/>
        <v>0</v>
      </c>
      <c r="CT64" s="298">
        <f t="shared" si="63"/>
        <v>0</v>
      </c>
      <c r="CU64" s="299">
        <f>[1]COMMANDE!AW62</f>
        <v>0</v>
      </c>
      <c r="CV64" s="297" t="str">
        <f t="shared" si="64"/>
        <v>0</v>
      </c>
      <c r="CW64" s="300">
        <f t="shared" si="65"/>
        <v>0</v>
      </c>
      <c r="CX64" s="301">
        <f>[1]COMMANDE!AY62</f>
        <v>0</v>
      </c>
      <c r="CY64" s="297" t="str">
        <f t="shared" si="66"/>
        <v>0</v>
      </c>
      <c r="CZ64" s="298">
        <f t="shared" si="67"/>
        <v>0</v>
      </c>
      <c r="DA64" s="299">
        <f>[1]COMMANDE!BA62</f>
        <v>0</v>
      </c>
      <c r="DB64" s="297" t="str">
        <f t="shared" si="68"/>
        <v>0</v>
      </c>
      <c r="DC64" s="302">
        <f t="shared" si="69"/>
        <v>0</v>
      </c>
      <c r="DD64" s="303"/>
      <c r="DE64" s="304"/>
    </row>
    <row r="65" spans="1:109" ht="39.950000000000003" customHeight="1" x14ac:dyDescent="0.25">
      <c r="A65" s="284">
        <f t="shared" si="2"/>
        <v>0</v>
      </c>
      <c r="B65" s="284">
        <f t="shared" si="3"/>
        <v>0</v>
      </c>
      <c r="C65" s="284">
        <f t="shared" si="4"/>
        <v>0</v>
      </c>
      <c r="D65" s="284">
        <f t="shared" si="5"/>
        <v>0</v>
      </c>
      <c r="E65" s="284">
        <f t="shared" si="6"/>
        <v>0</v>
      </c>
      <c r="F65" s="284">
        <f t="shared" si="7"/>
        <v>0</v>
      </c>
      <c r="G65" s="284">
        <f t="shared" si="8"/>
        <v>0</v>
      </c>
      <c r="H65" s="284">
        <f t="shared" si="9"/>
        <v>0</v>
      </c>
      <c r="I65" s="284">
        <f t="shared" si="10"/>
        <v>0</v>
      </c>
      <c r="J65" s="284">
        <f t="shared" si="11"/>
        <v>0</v>
      </c>
      <c r="K65" s="284">
        <f t="shared" si="12"/>
        <v>0</v>
      </c>
      <c r="L65" s="284">
        <f t="shared" si="13"/>
        <v>0</v>
      </c>
      <c r="M65" s="284">
        <f t="shared" si="14"/>
        <v>0</v>
      </c>
      <c r="N65" s="284">
        <f t="shared" si="15"/>
        <v>0</v>
      </c>
      <c r="O65" s="284">
        <f t="shared" si="16"/>
        <v>0</v>
      </c>
      <c r="P65" s="284">
        <f t="shared" si="17"/>
        <v>0</v>
      </c>
      <c r="Q65" s="284">
        <f t="shared" si="18"/>
        <v>0</v>
      </c>
      <c r="R65" s="284">
        <f t="shared" si="19"/>
        <v>0</v>
      </c>
      <c r="S65" s="284">
        <f t="shared" si="20"/>
        <v>0</v>
      </c>
      <c r="T65" s="284">
        <f t="shared" si="21"/>
        <v>0</v>
      </c>
      <c r="U65" s="285">
        <f t="shared" si="22"/>
        <v>0</v>
      </c>
      <c r="V65" s="286">
        <f>[1]BDD!A55</f>
        <v>1117</v>
      </c>
      <c r="W65" s="287" t="str">
        <f>[1]BDD!B55</f>
        <v>Céleri vert BIO</v>
      </c>
      <c r="X65" s="288" t="str">
        <f>IF([1]BDD!F55=0, "", [1]BDD!F55)</f>
        <v/>
      </c>
      <c r="Y65" s="214">
        <f>ROUND([1]BDD!G55+FDP_CMD_KG, 2)</f>
        <v>4.5599999999999996</v>
      </c>
      <c r="Z65" s="214">
        <f>ROUND([1]BDD!G55+FDP_FACT_KG, 2)</f>
        <v>4.5599999999999996</v>
      </c>
      <c r="AA65" s="215" t="str">
        <f>[1]BDD!H55</f>
        <v>kg</v>
      </c>
      <c r="AB65" s="225">
        <f>IF(NOT(ISBLANK([1]BDD!I55)), ROUND(SUM(([1]BDD!G55*reduc1),FDP_CMD_KG), 2), "")</f>
        <v>4.1900000000000004</v>
      </c>
      <c r="AC65" s="225" t="str">
        <f>IF(NOT(ISBLANK([1]BDD!J55)), ROUND(SUM(([1]BDD!G55*reduc2),FDP_CMD_KG), 2), "")</f>
        <v/>
      </c>
      <c r="AD65" s="225" t="str">
        <f>IF(NOT(ISBLANK([1]BDD!K55)), ROUND(SUM(([1]BDD!G55*reduc3),FDP_CMD_KG), 2), "")</f>
        <v/>
      </c>
      <c r="AE65" s="225">
        <f>IF(NOT(ISBLANK([1]BDD!I55)), ROUND(SUM(([1]BDD!G55*reduc1),FDP_FACT_KG), 2), "")</f>
        <v>4.1900000000000004</v>
      </c>
      <c r="AF65" s="225" t="str">
        <f>IF(NOT(ISBLANK([1]BDD!J55)), ROUND(SUM(([1]BDD!G55*reduc2),FDP_FACT_KG), 2), "")</f>
        <v/>
      </c>
      <c r="AG65" s="225" t="str">
        <f>IF(NOT(ISBLANK([1]BDD!K55)), ROUND(SUM(([1]BDD!G55*reduc3),FDP_FACT_KG), 2), "")</f>
        <v/>
      </c>
      <c r="AH65" s="289" t="str">
        <f>[1]BDD!C55</f>
        <v>Malaga</v>
      </c>
      <c r="AI65" s="290">
        <f t="shared" si="23"/>
        <v>0</v>
      </c>
      <c r="AJ65" s="216">
        <f t="shared" si="24"/>
        <v>4.1900000000000004</v>
      </c>
      <c r="AK65" s="291">
        <f t="shared" si="25"/>
        <v>0</v>
      </c>
      <c r="AL65" s="429"/>
      <c r="AM65" s="292"/>
      <c r="AN65" s="216">
        <f t="shared" si="26"/>
        <v>4.5599999999999996</v>
      </c>
      <c r="AO65" s="293">
        <f t="shared" si="27"/>
        <v>0</v>
      </c>
      <c r="AP65" s="294"/>
      <c r="AQ65" s="294"/>
      <c r="AR65" s="429"/>
      <c r="AS65" s="295">
        <f t="shared" si="28"/>
        <v>0</v>
      </c>
      <c r="AT65" s="216">
        <f t="shared" si="29"/>
        <v>4.5599999999999996</v>
      </c>
      <c r="AU65" s="291">
        <f t="shared" si="1"/>
        <v>0</v>
      </c>
      <c r="AV65" s="296">
        <f>[1]COMMANDE!O63</f>
        <v>0</v>
      </c>
      <c r="AW65" s="297" t="str">
        <f t="shared" si="30"/>
        <v>0</v>
      </c>
      <c r="AX65" s="298">
        <f t="shared" si="31"/>
        <v>0</v>
      </c>
      <c r="AY65" s="299">
        <f>[1]COMMANDE!Q63</f>
        <v>0</v>
      </c>
      <c r="AZ65" s="297" t="str">
        <f t="shared" si="32"/>
        <v>0</v>
      </c>
      <c r="BA65" s="300">
        <f t="shared" si="33"/>
        <v>0</v>
      </c>
      <c r="BB65" s="301">
        <f>[1]COMMANDE!S63</f>
        <v>0</v>
      </c>
      <c r="BC65" s="297" t="str">
        <f t="shared" si="34"/>
        <v>0</v>
      </c>
      <c r="BD65" s="298">
        <f t="shared" si="35"/>
        <v>0</v>
      </c>
      <c r="BE65" s="299">
        <f>[1]COMMANDE!U63</f>
        <v>0</v>
      </c>
      <c r="BF65" s="297" t="str">
        <f t="shared" si="36"/>
        <v>0</v>
      </c>
      <c r="BG65" s="300">
        <f t="shared" si="37"/>
        <v>0</v>
      </c>
      <c r="BH65" s="301">
        <f>[1]COMMANDE!W63</f>
        <v>0</v>
      </c>
      <c r="BI65" s="297" t="str">
        <f t="shared" si="38"/>
        <v>0</v>
      </c>
      <c r="BJ65" s="298">
        <f t="shared" si="39"/>
        <v>0</v>
      </c>
      <c r="BK65" s="299">
        <f>[1]COMMANDE!Y63</f>
        <v>0</v>
      </c>
      <c r="BL65" s="297" t="str">
        <f t="shared" si="40"/>
        <v>0</v>
      </c>
      <c r="BM65" s="300">
        <f t="shared" si="41"/>
        <v>0</v>
      </c>
      <c r="BN65" s="301">
        <f>[1]COMMANDE!AA63</f>
        <v>0</v>
      </c>
      <c r="BO65" s="297" t="str">
        <f t="shared" si="42"/>
        <v>0</v>
      </c>
      <c r="BP65" s="298">
        <f t="shared" si="43"/>
        <v>0</v>
      </c>
      <c r="BQ65" s="299">
        <f>[1]COMMANDE!AC63</f>
        <v>0</v>
      </c>
      <c r="BR65" s="297" t="str">
        <f t="shared" si="44"/>
        <v>0</v>
      </c>
      <c r="BS65" s="300">
        <f t="shared" si="45"/>
        <v>0</v>
      </c>
      <c r="BT65" s="301">
        <f>[1]COMMANDE!AE63</f>
        <v>0</v>
      </c>
      <c r="BU65" s="297" t="str">
        <f t="shared" si="46"/>
        <v>0</v>
      </c>
      <c r="BV65" s="298">
        <f t="shared" si="47"/>
        <v>0</v>
      </c>
      <c r="BW65" s="299">
        <f>[1]COMMANDE!AG63</f>
        <v>0</v>
      </c>
      <c r="BX65" s="297" t="str">
        <f t="shared" si="48"/>
        <v>0</v>
      </c>
      <c r="BY65" s="300">
        <f t="shared" si="49"/>
        <v>0</v>
      </c>
      <c r="BZ65" s="301">
        <f>[1]COMMANDE!AI63</f>
        <v>0</v>
      </c>
      <c r="CA65" s="297" t="str">
        <f t="shared" si="50"/>
        <v>0</v>
      </c>
      <c r="CB65" s="298">
        <f t="shared" si="51"/>
        <v>0</v>
      </c>
      <c r="CC65" s="299">
        <f>[1]COMMANDE!AK63</f>
        <v>0</v>
      </c>
      <c r="CD65" s="297" t="str">
        <f t="shared" si="52"/>
        <v>0</v>
      </c>
      <c r="CE65" s="300">
        <f t="shared" si="53"/>
        <v>0</v>
      </c>
      <c r="CF65" s="301">
        <f>[1]COMMANDE!AM63</f>
        <v>0</v>
      </c>
      <c r="CG65" s="297" t="str">
        <f t="shared" si="54"/>
        <v>0</v>
      </c>
      <c r="CH65" s="298">
        <f t="shared" si="55"/>
        <v>0</v>
      </c>
      <c r="CI65" s="299">
        <f>[1]COMMANDE!AO63</f>
        <v>0</v>
      </c>
      <c r="CJ65" s="297" t="str">
        <f t="shared" si="56"/>
        <v>0</v>
      </c>
      <c r="CK65" s="300">
        <f t="shared" si="57"/>
        <v>0</v>
      </c>
      <c r="CL65" s="301">
        <f>[1]COMMANDE!AQ63</f>
        <v>0</v>
      </c>
      <c r="CM65" s="297" t="str">
        <f t="shared" si="58"/>
        <v>0</v>
      </c>
      <c r="CN65" s="298">
        <f t="shared" si="59"/>
        <v>0</v>
      </c>
      <c r="CO65" s="299">
        <f>[1]COMMANDE!AS63</f>
        <v>0</v>
      </c>
      <c r="CP65" s="297" t="str">
        <f t="shared" si="60"/>
        <v>0</v>
      </c>
      <c r="CQ65" s="300">
        <f t="shared" si="61"/>
        <v>0</v>
      </c>
      <c r="CR65" s="301">
        <f>[1]COMMANDE!AU63</f>
        <v>0</v>
      </c>
      <c r="CS65" s="297" t="str">
        <f t="shared" si="62"/>
        <v>0</v>
      </c>
      <c r="CT65" s="298">
        <f t="shared" si="63"/>
        <v>0</v>
      </c>
      <c r="CU65" s="299">
        <f>[1]COMMANDE!AW63</f>
        <v>0</v>
      </c>
      <c r="CV65" s="297" t="str">
        <f t="shared" si="64"/>
        <v>0</v>
      </c>
      <c r="CW65" s="300">
        <f t="shared" si="65"/>
        <v>0</v>
      </c>
      <c r="CX65" s="301">
        <f>[1]COMMANDE!AY63</f>
        <v>0</v>
      </c>
      <c r="CY65" s="297" t="str">
        <f t="shared" si="66"/>
        <v>0</v>
      </c>
      <c r="CZ65" s="298">
        <f t="shared" si="67"/>
        <v>0</v>
      </c>
      <c r="DA65" s="299">
        <f>[1]COMMANDE!BA63</f>
        <v>0</v>
      </c>
      <c r="DB65" s="297" t="str">
        <f t="shared" si="68"/>
        <v>0</v>
      </c>
      <c r="DC65" s="302">
        <f t="shared" si="69"/>
        <v>0</v>
      </c>
      <c r="DD65" s="303"/>
      <c r="DE65" s="304"/>
    </row>
    <row r="66" spans="1:109" ht="39.950000000000003" customHeight="1" x14ac:dyDescent="0.25">
      <c r="A66" s="284">
        <f t="shared" si="2"/>
        <v>0</v>
      </c>
      <c r="B66" s="284">
        <f t="shared" si="3"/>
        <v>0</v>
      </c>
      <c r="C66" s="284">
        <f t="shared" si="4"/>
        <v>0</v>
      </c>
      <c r="D66" s="284">
        <f t="shared" si="5"/>
        <v>0</v>
      </c>
      <c r="E66" s="284">
        <f t="shared" si="6"/>
        <v>0</v>
      </c>
      <c r="F66" s="284">
        <f t="shared" si="7"/>
        <v>0</v>
      </c>
      <c r="G66" s="284">
        <f t="shared" si="8"/>
        <v>0</v>
      </c>
      <c r="H66" s="284">
        <f t="shared" si="9"/>
        <v>0</v>
      </c>
      <c r="I66" s="284">
        <f t="shared" si="10"/>
        <v>0</v>
      </c>
      <c r="J66" s="284">
        <f t="shared" si="11"/>
        <v>0</v>
      </c>
      <c r="K66" s="284">
        <f t="shared" si="12"/>
        <v>0</v>
      </c>
      <c r="L66" s="284">
        <f t="shared" si="13"/>
        <v>0</v>
      </c>
      <c r="M66" s="284">
        <f t="shared" si="14"/>
        <v>0</v>
      </c>
      <c r="N66" s="284">
        <f t="shared" si="15"/>
        <v>0</v>
      </c>
      <c r="O66" s="284">
        <f t="shared" si="16"/>
        <v>0</v>
      </c>
      <c r="P66" s="284">
        <f t="shared" si="17"/>
        <v>0</v>
      </c>
      <c r="Q66" s="284">
        <f t="shared" si="18"/>
        <v>0</v>
      </c>
      <c r="R66" s="284">
        <f t="shared" si="19"/>
        <v>0</v>
      </c>
      <c r="S66" s="284">
        <f t="shared" si="20"/>
        <v>0</v>
      </c>
      <c r="T66" s="284">
        <f t="shared" si="21"/>
        <v>0</v>
      </c>
      <c r="U66" s="285">
        <f t="shared" si="22"/>
        <v>0</v>
      </c>
      <c r="V66" s="286">
        <f>[1]BDD!A56</f>
        <v>3241</v>
      </c>
      <c r="W66" s="287" t="str">
        <f>[1]BDD!B56</f>
        <v>Châtaigne</v>
      </c>
      <c r="X66" s="288" t="str">
        <f>IF([1]BDD!F56=0, "", [1]BDD!F56)</f>
        <v/>
      </c>
      <c r="Y66" s="214">
        <f>ROUND([1]BDD!G56+FDP_CMD_KG, 2)</f>
        <v>4.95</v>
      </c>
      <c r="Z66" s="214">
        <f>ROUND([1]BDD!G56+FDP_FACT_KG, 2)</f>
        <v>4.95</v>
      </c>
      <c r="AA66" s="215" t="str">
        <f>[1]BDD!H56</f>
        <v>kg</v>
      </c>
      <c r="AB66" s="225" t="str">
        <f>IF(NOT(ISBLANK([1]BDD!I56)), ROUND(SUM(([1]BDD!G56*reduc1),FDP_CMD_KG), 2), "")</f>
        <v/>
      </c>
      <c r="AC66" s="225" t="str">
        <f>IF(NOT(ISBLANK([1]BDD!J56)), ROUND(SUM(([1]BDD!G56*reduc2),FDP_CMD_KG), 2), "")</f>
        <v/>
      </c>
      <c r="AD66" s="225" t="str">
        <f>IF(NOT(ISBLANK([1]BDD!K56)), ROUND(SUM(([1]BDD!G56*reduc3),FDP_CMD_KG), 2), "")</f>
        <v/>
      </c>
      <c r="AE66" s="225" t="str">
        <f>IF(NOT(ISBLANK([1]BDD!I56)), ROUND(SUM(([1]BDD!G56*reduc1),FDP_FACT_KG), 2), "")</f>
        <v/>
      </c>
      <c r="AF66" s="225" t="str">
        <f>IF(NOT(ISBLANK([1]BDD!J56)), ROUND(SUM(([1]BDD!G56*reduc2),FDP_FACT_KG), 2), "")</f>
        <v/>
      </c>
      <c r="AG66" s="225" t="str">
        <f>IF(NOT(ISBLANK([1]BDD!K56)), ROUND(SUM(([1]BDD!G56*reduc3),FDP_FACT_KG), 2), "")</f>
        <v/>
      </c>
      <c r="AH66" s="289" t="str">
        <f>[1]BDD!C56</f>
        <v>Grenade</v>
      </c>
      <c r="AI66" s="290">
        <f t="shared" si="23"/>
        <v>0</v>
      </c>
      <c r="AJ66" s="216">
        <f t="shared" si="24"/>
        <v>4.95</v>
      </c>
      <c r="AK66" s="291">
        <f t="shared" si="25"/>
        <v>0</v>
      </c>
      <c r="AL66" s="429"/>
      <c r="AM66" s="292"/>
      <c r="AN66" s="216">
        <f t="shared" si="26"/>
        <v>4.95</v>
      </c>
      <c r="AO66" s="293">
        <f t="shared" si="27"/>
        <v>0</v>
      </c>
      <c r="AP66" s="294"/>
      <c r="AQ66" s="294"/>
      <c r="AR66" s="429"/>
      <c r="AS66" s="295">
        <f t="shared" si="28"/>
        <v>0</v>
      </c>
      <c r="AT66" s="216">
        <f t="shared" si="29"/>
        <v>4.95</v>
      </c>
      <c r="AU66" s="291">
        <f t="shared" si="1"/>
        <v>0</v>
      </c>
      <c r="AV66" s="296">
        <f>[1]COMMANDE!O64</f>
        <v>0</v>
      </c>
      <c r="AW66" s="297" t="str">
        <f t="shared" si="30"/>
        <v>0</v>
      </c>
      <c r="AX66" s="298">
        <f t="shared" si="31"/>
        <v>0</v>
      </c>
      <c r="AY66" s="299">
        <f>[1]COMMANDE!Q64</f>
        <v>0</v>
      </c>
      <c r="AZ66" s="297" t="str">
        <f t="shared" si="32"/>
        <v>0</v>
      </c>
      <c r="BA66" s="300">
        <f t="shared" si="33"/>
        <v>0</v>
      </c>
      <c r="BB66" s="301">
        <f>[1]COMMANDE!S64</f>
        <v>0</v>
      </c>
      <c r="BC66" s="297" t="str">
        <f t="shared" si="34"/>
        <v>0</v>
      </c>
      <c r="BD66" s="298">
        <f t="shared" si="35"/>
        <v>0</v>
      </c>
      <c r="BE66" s="299">
        <f>[1]COMMANDE!U64</f>
        <v>0</v>
      </c>
      <c r="BF66" s="297" t="str">
        <f t="shared" si="36"/>
        <v>0</v>
      </c>
      <c r="BG66" s="300">
        <f t="shared" si="37"/>
        <v>0</v>
      </c>
      <c r="BH66" s="301">
        <f>[1]COMMANDE!W64</f>
        <v>0</v>
      </c>
      <c r="BI66" s="297" t="str">
        <f t="shared" si="38"/>
        <v>0</v>
      </c>
      <c r="BJ66" s="298">
        <f t="shared" si="39"/>
        <v>0</v>
      </c>
      <c r="BK66" s="299">
        <f>[1]COMMANDE!Y64</f>
        <v>0</v>
      </c>
      <c r="BL66" s="297" t="str">
        <f t="shared" si="40"/>
        <v>0</v>
      </c>
      <c r="BM66" s="300">
        <f t="shared" si="41"/>
        <v>0</v>
      </c>
      <c r="BN66" s="301">
        <f>[1]COMMANDE!AA64</f>
        <v>0</v>
      </c>
      <c r="BO66" s="297" t="str">
        <f t="shared" si="42"/>
        <v>0</v>
      </c>
      <c r="BP66" s="298">
        <f t="shared" si="43"/>
        <v>0</v>
      </c>
      <c r="BQ66" s="299">
        <f>[1]COMMANDE!AC64</f>
        <v>0</v>
      </c>
      <c r="BR66" s="297" t="str">
        <f t="shared" si="44"/>
        <v>0</v>
      </c>
      <c r="BS66" s="300">
        <f t="shared" si="45"/>
        <v>0</v>
      </c>
      <c r="BT66" s="301">
        <f>[1]COMMANDE!AE64</f>
        <v>0</v>
      </c>
      <c r="BU66" s="297" t="str">
        <f t="shared" si="46"/>
        <v>0</v>
      </c>
      <c r="BV66" s="298">
        <f t="shared" si="47"/>
        <v>0</v>
      </c>
      <c r="BW66" s="299">
        <f>[1]COMMANDE!AG64</f>
        <v>0</v>
      </c>
      <c r="BX66" s="297" t="str">
        <f t="shared" si="48"/>
        <v>0</v>
      </c>
      <c r="BY66" s="300">
        <f t="shared" si="49"/>
        <v>0</v>
      </c>
      <c r="BZ66" s="301">
        <f>[1]COMMANDE!AI64</f>
        <v>0</v>
      </c>
      <c r="CA66" s="297" t="str">
        <f t="shared" si="50"/>
        <v>0</v>
      </c>
      <c r="CB66" s="298">
        <f t="shared" si="51"/>
        <v>0</v>
      </c>
      <c r="CC66" s="299">
        <f>[1]COMMANDE!AK64</f>
        <v>0</v>
      </c>
      <c r="CD66" s="297" t="str">
        <f t="shared" si="52"/>
        <v>0</v>
      </c>
      <c r="CE66" s="300">
        <f t="shared" si="53"/>
        <v>0</v>
      </c>
      <c r="CF66" s="301">
        <f>[1]COMMANDE!AM64</f>
        <v>0</v>
      </c>
      <c r="CG66" s="297" t="str">
        <f t="shared" si="54"/>
        <v>0</v>
      </c>
      <c r="CH66" s="298">
        <f t="shared" si="55"/>
        <v>0</v>
      </c>
      <c r="CI66" s="299">
        <f>[1]COMMANDE!AO64</f>
        <v>0</v>
      </c>
      <c r="CJ66" s="297" t="str">
        <f t="shared" si="56"/>
        <v>0</v>
      </c>
      <c r="CK66" s="300">
        <f t="shared" si="57"/>
        <v>0</v>
      </c>
      <c r="CL66" s="301">
        <f>[1]COMMANDE!AQ64</f>
        <v>0</v>
      </c>
      <c r="CM66" s="297" t="str">
        <f t="shared" si="58"/>
        <v>0</v>
      </c>
      <c r="CN66" s="298">
        <f t="shared" si="59"/>
        <v>0</v>
      </c>
      <c r="CO66" s="299">
        <f>[1]COMMANDE!AS64</f>
        <v>0</v>
      </c>
      <c r="CP66" s="297" t="str">
        <f t="shared" si="60"/>
        <v>0</v>
      </c>
      <c r="CQ66" s="300">
        <f t="shared" si="61"/>
        <v>0</v>
      </c>
      <c r="CR66" s="301">
        <f>[1]COMMANDE!AU64</f>
        <v>0</v>
      </c>
      <c r="CS66" s="297" t="str">
        <f t="shared" si="62"/>
        <v>0</v>
      </c>
      <c r="CT66" s="298">
        <f t="shared" si="63"/>
        <v>0</v>
      </c>
      <c r="CU66" s="299">
        <f>[1]COMMANDE!AW64</f>
        <v>0</v>
      </c>
      <c r="CV66" s="297" t="str">
        <f t="shared" si="64"/>
        <v>0</v>
      </c>
      <c r="CW66" s="300">
        <f t="shared" si="65"/>
        <v>0</v>
      </c>
      <c r="CX66" s="301">
        <f>[1]COMMANDE!AY64</f>
        <v>0</v>
      </c>
      <c r="CY66" s="297" t="str">
        <f t="shared" si="66"/>
        <v>0</v>
      </c>
      <c r="CZ66" s="298">
        <f t="shared" si="67"/>
        <v>0</v>
      </c>
      <c r="DA66" s="299">
        <f>[1]COMMANDE!BA64</f>
        <v>0</v>
      </c>
      <c r="DB66" s="297" t="str">
        <f t="shared" si="68"/>
        <v>0</v>
      </c>
      <c r="DC66" s="302">
        <f t="shared" si="69"/>
        <v>0</v>
      </c>
      <c r="DD66" s="303"/>
      <c r="DE66" s="304"/>
    </row>
    <row r="67" spans="1:109" ht="39.950000000000003" customHeight="1" x14ac:dyDescent="0.25">
      <c r="A67" s="284">
        <f t="shared" si="2"/>
        <v>0</v>
      </c>
      <c r="B67" s="284">
        <f t="shared" si="3"/>
        <v>0</v>
      </c>
      <c r="C67" s="284">
        <f t="shared" si="4"/>
        <v>0</v>
      </c>
      <c r="D67" s="284">
        <f t="shared" si="5"/>
        <v>0</v>
      </c>
      <c r="E67" s="284">
        <f t="shared" si="6"/>
        <v>0</v>
      </c>
      <c r="F67" s="284">
        <f t="shared" si="7"/>
        <v>0</v>
      </c>
      <c r="G67" s="284">
        <f t="shared" si="8"/>
        <v>0</v>
      </c>
      <c r="H67" s="284">
        <f t="shared" si="9"/>
        <v>0</v>
      </c>
      <c r="I67" s="284">
        <f t="shared" si="10"/>
        <v>0</v>
      </c>
      <c r="J67" s="284">
        <f t="shared" si="11"/>
        <v>0</v>
      </c>
      <c r="K67" s="284">
        <f t="shared" si="12"/>
        <v>0</v>
      </c>
      <c r="L67" s="284">
        <f t="shared" si="13"/>
        <v>0</v>
      </c>
      <c r="M67" s="284">
        <f t="shared" si="14"/>
        <v>0</v>
      </c>
      <c r="N67" s="284">
        <f t="shared" si="15"/>
        <v>0</v>
      </c>
      <c r="O67" s="284">
        <f t="shared" si="16"/>
        <v>0</v>
      </c>
      <c r="P67" s="284">
        <f t="shared" si="17"/>
        <v>0</v>
      </c>
      <c r="Q67" s="284">
        <f t="shared" si="18"/>
        <v>0</v>
      </c>
      <c r="R67" s="284">
        <f t="shared" si="19"/>
        <v>0</v>
      </c>
      <c r="S67" s="284">
        <f t="shared" si="20"/>
        <v>0</v>
      </c>
      <c r="T67" s="284">
        <f t="shared" si="21"/>
        <v>0</v>
      </c>
      <c r="U67" s="285">
        <f t="shared" si="22"/>
        <v>0</v>
      </c>
      <c r="V67" s="286">
        <f>[1]BDD!A57</f>
        <v>1572</v>
      </c>
      <c r="W67" s="287" t="str">
        <f>[1]BDD!B57</f>
        <v>Chia BIO (env. 1kg)</v>
      </c>
      <c r="X67" s="288" t="str">
        <f>IF([1]BDD!F57=0, "", [1]BDD!F57)</f>
        <v>❤️</v>
      </c>
      <c r="Y67" s="214">
        <f>ROUND([1]BDD!G57+FDP_CMD_KG, 2)</f>
        <v>7.02</v>
      </c>
      <c r="Z67" s="214">
        <f>ROUND([1]BDD!G57+FDP_FACT_KG, 2)</f>
        <v>7.02</v>
      </c>
      <c r="AA67" s="215" t="str">
        <f>[1]BDD!H57</f>
        <v>Pièce</v>
      </c>
      <c r="AB67" s="225">
        <f>IF(NOT(ISBLANK([1]BDD!I57)), ROUND(SUM(([1]BDD!G57*reduc1),FDP_CMD_KG), 2), "")</f>
        <v>6.41</v>
      </c>
      <c r="AC67" s="225" t="str">
        <f>IF(NOT(ISBLANK([1]BDD!J57)), ROUND(SUM(([1]BDD!G57*reduc2),FDP_CMD_KG), 2), "")</f>
        <v/>
      </c>
      <c r="AD67" s="225" t="str">
        <f>IF(NOT(ISBLANK([1]BDD!K57)), ROUND(SUM(([1]BDD!G57*reduc3),FDP_CMD_KG), 2), "")</f>
        <v/>
      </c>
      <c r="AE67" s="225">
        <f>IF(NOT(ISBLANK([1]BDD!I57)), ROUND(SUM(([1]BDD!G57*reduc1),FDP_FACT_KG), 2), "")</f>
        <v>6.4</v>
      </c>
      <c r="AF67" s="225" t="str">
        <f>IF(NOT(ISBLANK([1]BDD!J57)), ROUND(SUM(([1]BDD!G57*reduc2),FDP_FACT_KG), 2), "")</f>
        <v/>
      </c>
      <c r="AG67" s="225" t="str">
        <f>IF(NOT(ISBLANK([1]BDD!K57)), ROUND(SUM(([1]BDD!G57*reduc3),FDP_FACT_KG), 2), "")</f>
        <v/>
      </c>
      <c r="AH67" s="289" t="str">
        <f>[1]BDD!C57</f>
        <v>Bolivie</v>
      </c>
      <c r="AI67" s="290">
        <f t="shared" si="23"/>
        <v>0</v>
      </c>
      <c r="AJ67" s="216">
        <f t="shared" si="24"/>
        <v>6.41</v>
      </c>
      <c r="AK67" s="291">
        <f t="shared" si="25"/>
        <v>0</v>
      </c>
      <c r="AL67" s="429"/>
      <c r="AM67" s="292"/>
      <c r="AN67" s="216">
        <f t="shared" si="26"/>
        <v>7.02</v>
      </c>
      <c r="AO67" s="293">
        <f t="shared" si="27"/>
        <v>0</v>
      </c>
      <c r="AP67" s="294"/>
      <c r="AQ67" s="294"/>
      <c r="AR67" s="429"/>
      <c r="AS67" s="295">
        <f t="shared" si="28"/>
        <v>0</v>
      </c>
      <c r="AT67" s="216">
        <f t="shared" si="29"/>
        <v>7.02</v>
      </c>
      <c r="AU67" s="291">
        <f t="shared" si="1"/>
        <v>0</v>
      </c>
      <c r="AV67" s="296">
        <f>[1]COMMANDE!O65</f>
        <v>0</v>
      </c>
      <c r="AW67" s="297" t="str">
        <f t="shared" si="30"/>
        <v>0</v>
      </c>
      <c r="AX67" s="298">
        <f t="shared" si="31"/>
        <v>0</v>
      </c>
      <c r="AY67" s="299">
        <f>[1]COMMANDE!Q65</f>
        <v>0</v>
      </c>
      <c r="AZ67" s="297" t="str">
        <f t="shared" si="32"/>
        <v>0</v>
      </c>
      <c r="BA67" s="300">
        <f t="shared" si="33"/>
        <v>0</v>
      </c>
      <c r="BB67" s="301">
        <f>[1]COMMANDE!S65</f>
        <v>0</v>
      </c>
      <c r="BC67" s="297" t="str">
        <f t="shared" si="34"/>
        <v>0</v>
      </c>
      <c r="BD67" s="298">
        <f t="shared" si="35"/>
        <v>0</v>
      </c>
      <c r="BE67" s="299">
        <f>[1]COMMANDE!U65</f>
        <v>0</v>
      </c>
      <c r="BF67" s="297" t="str">
        <f t="shared" si="36"/>
        <v>0</v>
      </c>
      <c r="BG67" s="300">
        <f t="shared" si="37"/>
        <v>0</v>
      </c>
      <c r="BH67" s="301">
        <f>[1]COMMANDE!W65</f>
        <v>0</v>
      </c>
      <c r="BI67" s="297" t="str">
        <f t="shared" si="38"/>
        <v>0</v>
      </c>
      <c r="BJ67" s="298">
        <f t="shared" si="39"/>
        <v>0</v>
      </c>
      <c r="BK67" s="299">
        <f>[1]COMMANDE!Y65</f>
        <v>0</v>
      </c>
      <c r="BL67" s="297" t="str">
        <f t="shared" si="40"/>
        <v>0</v>
      </c>
      <c r="BM67" s="300">
        <f t="shared" si="41"/>
        <v>0</v>
      </c>
      <c r="BN67" s="301">
        <f>[1]COMMANDE!AA65</f>
        <v>0</v>
      </c>
      <c r="BO67" s="297" t="str">
        <f t="shared" si="42"/>
        <v>0</v>
      </c>
      <c r="BP67" s="298">
        <f t="shared" si="43"/>
        <v>0</v>
      </c>
      <c r="BQ67" s="299">
        <f>[1]COMMANDE!AC65</f>
        <v>0</v>
      </c>
      <c r="BR67" s="297" t="str">
        <f t="shared" si="44"/>
        <v>0</v>
      </c>
      <c r="BS67" s="300">
        <f t="shared" si="45"/>
        <v>0</v>
      </c>
      <c r="BT67" s="301">
        <f>[1]COMMANDE!AE65</f>
        <v>0</v>
      </c>
      <c r="BU67" s="297" t="str">
        <f t="shared" si="46"/>
        <v>0</v>
      </c>
      <c r="BV67" s="298">
        <f t="shared" si="47"/>
        <v>0</v>
      </c>
      <c r="BW67" s="299">
        <f>[1]COMMANDE!AG65</f>
        <v>0</v>
      </c>
      <c r="BX67" s="297" t="str">
        <f t="shared" si="48"/>
        <v>0</v>
      </c>
      <c r="BY67" s="300">
        <f t="shared" si="49"/>
        <v>0</v>
      </c>
      <c r="BZ67" s="301">
        <f>[1]COMMANDE!AI65</f>
        <v>0</v>
      </c>
      <c r="CA67" s="297" t="str">
        <f t="shared" si="50"/>
        <v>0</v>
      </c>
      <c r="CB67" s="298">
        <f t="shared" si="51"/>
        <v>0</v>
      </c>
      <c r="CC67" s="299">
        <f>[1]COMMANDE!AK65</f>
        <v>0</v>
      </c>
      <c r="CD67" s="297" t="str">
        <f t="shared" si="52"/>
        <v>0</v>
      </c>
      <c r="CE67" s="300">
        <f t="shared" si="53"/>
        <v>0</v>
      </c>
      <c r="CF67" s="301">
        <f>[1]COMMANDE!AM65</f>
        <v>0</v>
      </c>
      <c r="CG67" s="297" t="str">
        <f t="shared" si="54"/>
        <v>0</v>
      </c>
      <c r="CH67" s="298">
        <f t="shared" si="55"/>
        <v>0</v>
      </c>
      <c r="CI67" s="299">
        <f>[1]COMMANDE!AO65</f>
        <v>0</v>
      </c>
      <c r="CJ67" s="297" t="str">
        <f t="shared" si="56"/>
        <v>0</v>
      </c>
      <c r="CK67" s="300">
        <f t="shared" si="57"/>
        <v>0</v>
      </c>
      <c r="CL67" s="301">
        <f>[1]COMMANDE!AQ65</f>
        <v>0</v>
      </c>
      <c r="CM67" s="297" t="str">
        <f t="shared" si="58"/>
        <v>0</v>
      </c>
      <c r="CN67" s="298">
        <f t="shared" si="59"/>
        <v>0</v>
      </c>
      <c r="CO67" s="299">
        <f>[1]COMMANDE!AS65</f>
        <v>0</v>
      </c>
      <c r="CP67" s="297" t="str">
        <f t="shared" si="60"/>
        <v>0</v>
      </c>
      <c r="CQ67" s="300">
        <f t="shared" si="61"/>
        <v>0</v>
      </c>
      <c r="CR67" s="301">
        <f>[1]COMMANDE!AU65</f>
        <v>0</v>
      </c>
      <c r="CS67" s="297" t="str">
        <f t="shared" si="62"/>
        <v>0</v>
      </c>
      <c r="CT67" s="298">
        <f t="shared" si="63"/>
        <v>0</v>
      </c>
      <c r="CU67" s="299">
        <f>[1]COMMANDE!AW65</f>
        <v>0</v>
      </c>
      <c r="CV67" s="297" t="str">
        <f t="shared" si="64"/>
        <v>0</v>
      </c>
      <c r="CW67" s="300">
        <f t="shared" si="65"/>
        <v>0</v>
      </c>
      <c r="CX67" s="301">
        <f>[1]COMMANDE!AY65</f>
        <v>0</v>
      </c>
      <c r="CY67" s="297" t="str">
        <f t="shared" si="66"/>
        <v>0</v>
      </c>
      <c r="CZ67" s="298">
        <f t="shared" si="67"/>
        <v>0</v>
      </c>
      <c r="DA67" s="299">
        <f>[1]COMMANDE!BA65</f>
        <v>0</v>
      </c>
      <c r="DB67" s="297" t="str">
        <f t="shared" si="68"/>
        <v>0</v>
      </c>
      <c r="DC67" s="302">
        <f t="shared" si="69"/>
        <v>0</v>
      </c>
      <c r="DD67" s="303"/>
      <c r="DE67" s="304"/>
    </row>
    <row r="68" spans="1:109" ht="39.950000000000003" customHeight="1" x14ac:dyDescent="0.25">
      <c r="A68" s="284">
        <f t="shared" si="2"/>
        <v>0</v>
      </c>
      <c r="B68" s="284">
        <f t="shared" si="3"/>
        <v>0</v>
      </c>
      <c r="C68" s="284">
        <f t="shared" si="4"/>
        <v>0</v>
      </c>
      <c r="D68" s="284">
        <f t="shared" si="5"/>
        <v>0</v>
      </c>
      <c r="E68" s="284">
        <f t="shared" si="6"/>
        <v>0</v>
      </c>
      <c r="F68" s="284">
        <f t="shared" si="7"/>
        <v>0</v>
      </c>
      <c r="G68" s="284">
        <f t="shared" si="8"/>
        <v>0</v>
      </c>
      <c r="H68" s="284">
        <f t="shared" si="9"/>
        <v>0</v>
      </c>
      <c r="I68" s="284">
        <f t="shared" si="10"/>
        <v>0</v>
      </c>
      <c r="J68" s="284">
        <f t="shared" si="11"/>
        <v>0</v>
      </c>
      <c r="K68" s="284">
        <f t="shared" si="12"/>
        <v>0</v>
      </c>
      <c r="L68" s="284">
        <f t="shared" si="13"/>
        <v>0</v>
      </c>
      <c r="M68" s="284">
        <f t="shared" si="14"/>
        <v>0</v>
      </c>
      <c r="N68" s="284">
        <f t="shared" si="15"/>
        <v>0</v>
      </c>
      <c r="O68" s="284">
        <f t="shared" si="16"/>
        <v>0</v>
      </c>
      <c r="P68" s="284">
        <f t="shared" si="17"/>
        <v>0</v>
      </c>
      <c r="Q68" s="284">
        <f t="shared" si="18"/>
        <v>0</v>
      </c>
      <c r="R68" s="284">
        <f t="shared" si="19"/>
        <v>0</v>
      </c>
      <c r="S68" s="284">
        <f t="shared" si="20"/>
        <v>0</v>
      </c>
      <c r="T68" s="284">
        <f t="shared" si="21"/>
        <v>0</v>
      </c>
      <c r="U68" s="285">
        <f t="shared" si="22"/>
        <v>0</v>
      </c>
      <c r="V68" s="286">
        <f>[1]BDD!A58</f>
        <v>1611</v>
      </c>
      <c r="W68" s="287" t="str">
        <f>[1]BDD!B58</f>
        <v>Chips de coco CRU BIO (env. 1kg)</v>
      </c>
      <c r="X68" s="288" t="str">
        <f>IF([1]BDD!F58=0, "", [1]BDD!F58)</f>
        <v>❤️</v>
      </c>
      <c r="Y68" s="214">
        <f>ROUND([1]BDD!G58+FDP_CMD_KG, 2)</f>
        <v>10.17</v>
      </c>
      <c r="Z68" s="214">
        <f>ROUND([1]BDD!G58+FDP_FACT_KG, 2)</f>
        <v>10.17</v>
      </c>
      <c r="AA68" s="215" t="str">
        <f>[1]BDD!H58</f>
        <v>Pièce</v>
      </c>
      <c r="AB68" s="225">
        <f>IF(NOT(ISBLANK([1]BDD!I58)), ROUND(SUM(([1]BDD!G58*reduc1),FDP_CMD_KG), 2), "")</f>
        <v>9.24</v>
      </c>
      <c r="AC68" s="225">
        <f>IF(NOT(ISBLANK([1]BDD!J58)), ROUND(SUM(([1]BDD!G58*reduc2),FDP_CMD_KG), 2), "")</f>
        <v>8.31</v>
      </c>
      <c r="AD68" s="225" t="str">
        <f>IF(NOT(ISBLANK([1]BDD!K58)), ROUND(SUM(([1]BDD!G58*reduc3),FDP_CMD_KG), 2), "")</f>
        <v/>
      </c>
      <c r="AE68" s="225">
        <f>IF(NOT(ISBLANK([1]BDD!I58)), ROUND(SUM(([1]BDD!G58*reduc1),FDP_FACT_KG), 2), "")</f>
        <v>9.24</v>
      </c>
      <c r="AF68" s="225">
        <f>IF(NOT(ISBLANK([1]BDD!J58)), ROUND(SUM(([1]BDD!G58*reduc2),FDP_FACT_KG), 2), "")</f>
        <v>8.31</v>
      </c>
      <c r="AG68" s="225" t="str">
        <f>IF(NOT(ISBLANK([1]BDD!K58)), ROUND(SUM(([1]BDD!G58*reduc3),FDP_FACT_KG), 2), "")</f>
        <v/>
      </c>
      <c r="AH68" s="289" t="str">
        <f>[1]BDD!C58</f>
        <v>Sri Lanka</v>
      </c>
      <c r="AI68" s="290">
        <f t="shared" si="23"/>
        <v>0</v>
      </c>
      <c r="AJ68" s="216">
        <f t="shared" si="24"/>
        <v>8.31</v>
      </c>
      <c r="AK68" s="291">
        <f t="shared" si="25"/>
        <v>0</v>
      </c>
      <c r="AL68" s="429"/>
      <c r="AM68" s="292"/>
      <c r="AN68" s="216">
        <f t="shared" si="26"/>
        <v>10.17</v>
      </c>
      <c r="AO68" s="293">
        <f t="shared" si="27"/>
        <v>0</v>
      </c>
      <c r="AP68" s="294"/>
      <c r="AQ68" s="294"/>
      <c r="AR68" s="429"/>
      <c r="AS68" s="295">
        <f t="shared" si="28"/>
        <v>0</v>
      </c>
      <c r="AT68" s="216">
        <f t="shared" si="29"/>
        <v>10.17</v>
      </c>
      <c r="AU68" s="291">
        <f t="shared" si="1"/>
        <v>0</v>
      </c>
      <c r="AV68" s="296">
        <f>[1]COMMANDE!O66</f>
        <v>0</v>
      </c>
      <c r="AW68" s="297" t="str">
        <f t="shared" si="30"/>
        <v>0</v>
      </c>
      <c r="AX68" s="298">
        <f t="shared" si="31"/>
        <v>0</v>
      </c>
      <c r="AY68" s="299">
        <f>[1]COMMANDE!Q66</f>
        <v>0</v>
      </c>
      <c r="AZ68" s="297" t="str">
        <f t="shared" si="32"/>
        <v>0</v>
      </c>
      <c r="BA68" s="300">
        <f t="shared" si="33"/>
        <v>0</v>
      </c>
      <c r="BB68" s="301">
        <f>[1]COMMANDE!S66</f>
        <v>0</v>
      </c>
      <c r="BC68" s="297" t="str">
        <f t="shared" si="34"/>
        <v>0</v>
      </c>
      <c r="BD68" s="298">
        <f t="shared" si="35"/>
        <v>0</v>
      </c>
      <c r="BE68" s="299">
        <f>[1]COMMANDE!U66</f>
        <v>0</v>
      </c>
      <c r="BF68" s="297" t="str">
        <f t="shared" si="36"/>
        <v>0</v>
      </c>
      <c r="BG68" s="300">
        <f t="shared" si="37"/>
        <v>0</v>
      </c>
      <c r="BH68" s="301">
        <f>[1]COMMANDE!W66</f>
        <v>0</v>
      </c>
      <c r="BI68" s="297" t="str">
        <f t="shared" si="38"/>
        <v>0</v>
      </c>
      <c r="BJ68" s="298">
        <f t="shared" si="39"/>
        <v>0</v>
      </c>
      <c r="BK68" s="299">
        <f>[1]COMMANDE!Y66</f>
        <v>0</v>
      </c>
      <c r="BL68" s="297" t="str">
        <f t="shared" si="40"/>
        <v>0</v>
      </c>
      <c r="BM68" s="300">
        <f t="shared" si="41"/>
        <v>0</v>
      </c>
      <c r="BN68" s="301">
        <f>[1]COMMANDE!AA66</f>
        <v>0</v>
      </c>
      <c r="BO68" s="297" t="str">
        <f t="shared" si="42"/>
        <v>0</v>
      </c>
      <c r="BP68" s="298">
        <f t="shared" si="43"/>
        <v>0</v>
      </c>
      <c r="BQ68" s="299">
        <f>[1]COMMANDE!AC66</f>
        <v>0</v>
      </c>
      <c r="BR68" s="297" t="str">
        <f t="shared" si="44"/>
        <v>0</v>
      </c>
      <c r="BS68" s="300">
        <f t="shared" si="45"/>
        <v>0</v>
      </c>
      <c r="BT68" s="301">
        <f>[1]COMMANDE!AE66</f>
        <v>0</v>
      </c>
      <c r="BU68" s="297" t="str">
        <f t="shared" si="46"/>
        <v>0</v>
      </c>
      <c r="BV68" s="298">
        <f t="shared" si="47"/>
        <v>0</v>
      </c>
      <c r="BW68" s="299">
        <f>[1]COMMANDE!AG66</f>
        <v>0</v>
      </c>
      <c r="BX68" s="297" t="str">
        <f t="shared" si="48"/>
        <v>0</v>
      </c>
      <c r="BY68" s="300">
        <f t="shared" si="49"/>
        <v>0</v>
      </c>
      <c r="BZ68" s="301">
        <f>[1]COMMANDE!AI66</f>
        <v>0</v>
      </c>
      <c r="CA68" s="297" t="str">
        <f t="shared" si="50"/>
        <v>0</v>
      </c>
      <c r="CB68" s="298">
        <f t="shared" si="51"/>
        <v>0</v>
      </c>
      <c r="CC68" s="299">
        <f>[1]COMMANDE!AK66</f>
        <v>0</v>
      </c>
      <c r="CD68" s="297" t="str">
        <f t="shared" si="52"/>
        <v>0</v>
      </c>
      <c r="CE68" s="300">
        <f t="shared" si="53"/>
        <v>0</v>
      </c>
      <c r="CF68" s="301">
        <f>[1]COMMANDE!AM66</f>
        <v>0</v>
      </c>
      <c r="CG68" s="297" t="str">
        <f t="shared" si="54"/>
        <v>0</v>
      </c>
      <c r="CH68" s="298">
        <f t="shared" si="55"/>
        <v>0</v>
      </c>
      <c r="CI68" s="299">
        <f>[1]COMMANDE!AO66</f>
        <v>0</v>
      </c>
      <c r="CJ68" s="297" t="str">
        <f t="shared" si="56"/>
        <v>0</v>
      </c>
      <c r="CK68" s="300">
        <f t="shared" si="57"/>
        <v>0</v>
      </c>
      <c r="CL68" s="301">
        <f>[1]COMMANDE!AQ66</f>
        <v>0</v>
      </c>
      <c r="CM68" s="297" t="str">
        <f t="shared" si="58"/>
        <v>0</v>
      </c>
      <c r="CN68" s="298">
        <f t="shared" si="59"/>
        <v>0</v>
      </c>
      <c r="CO68" s="299">
        <f>[1]COMMANDE!AS66</f>
        <v>0</v>
      </c>
      <c r="CP68" s="297" t="str">
        <f t="shared" si="60"/>
        <v>0</v>
      </c>
      <c r="CQ68" s="300">
        <f t="shared" si="61"/>
        <v>0</v>
      </c>
      <c r="CR68" s="301">
        <f>[1]COMMANDE!AU66</f>
        <v>0</v>
      </c>
      <c r="CS68" s="297" t="str">
        <f t="shared" si="62"/>
        <v>0</v>
      </c>
      <c r="CT68" s="298">
        <f t="shared" si="63"/>
        <v>0</v>
      </c>
      <c r="CU68" s="299">
        <f>[1]COMMANDE!AW66</f>
        <v>0</v>
      </c>
      <c r="CV68" s="297" t="str">
        <f t="shared" si="64"/>
        <v>0</v>
      </c>
      <c r="CW68" s="300">
        <f t="shared" si="65"/>
        <v>0</v>
      </c>
      <c r="CX68" s="301">
        <f>[1]COMMANDE!AY66</f>
        <v>0</v>
      </c>
      <c r="CY68" s="297" t="str">
        <f t="shared" si="66"/>
        <v>0</v>
      </c>
      <c r="CZ68" s="298">
        <f t="shared" si="67"/>
        <v>0</v>
      </c>
      <c r="DA68" s="299">
        <f>[1]COMMANDE!BA66</f>
        <v>0</v>
      </c>
      <c r="DB68" s="297" t="str">
        <f t="shared" si="68"/>
        <v>0</v>
      </c>
      <c r="DC68" s="302">
        <f t="shared" si="69"/>
        <v>0</v>
      </c>
      <c r="DD68" s="303"/>
      <c r="DE68" s="304"/>
    </row>
    <row r="69" spans="1:109" ht="39.950000000000003" customHeight="1" x14ac:dyDescent="0.25">
      <c r="A69" s="284">
        <f t="shared" si="2"/>
        <v>0</v>
      </c>
      <c r="B69" s="284">
        <f t="shared" si="3"/>
        <v>0</v>
      </c>
      <c r="C69" s="284">
        <f t="shared" si="4"/>
        <v>0</v>
      </c>
      <c r="D69" s="284">
        <f t="shared" si="5"/>
        <v>0</v>
      </c>
      <c r="E69" s="284">
        <f t="shared" si="6"/>
        <v>0</v>
      </c>
      <c r="F69" s="284">
        <f t="shared" si="7"/>
        <v>0</v>
      </c>
      <c r="G69" s="284">
        <f t="shared" si="8"/>
        <v>0</v>
      </c>
      <c r="H69" s="284">
        <f t="shared" si="9"/>
        <v>0</v>
      </c>
      <c r="I69" s="284">
        <f t="shared" si="10"/>
        <v>0</v>
      </c>
      <c r="J69" s="284">
        <f t="shared" si="11"/>
        <v>0</v>
      </c>
      <c r="K69" s="284">
        <f t="shared" si="12"/>
        <v>0</v>
      </c>
      <c r="L69" s="284">
        <f t="shared" si="13"/>
        <v>0</v>
      </c>
      <c r="M69" s="284">
        <f t="shared" si="14"/>
        <v>0</v>
      </c>
      <c r="N69" s="284">
        <f t="shared" si="15"/>
        <v>0</v>
      </c>
      <c r="O69" s="284">
        <f t="shared" si="16"/>
        <v>0</v>
      </c>
      <c r="P69" s="284">
        <f t="shared" si="17"/>
        <v>0</v>
      </c>
      <c r="Q69" s="284">
        <f t="shared" si="18"/>
        <v>0</v>
      </c>
      <c r="R69" s="284">
        <f t="shared" si="19"/>
        <v>0</v>
      </c>
      <c r="S69" s="284">
        <f t="shared" si="20"/>
        <v>0</v>
      </c>
      <c r="T69" s="284">
        <f t="shared" si="21"/>
        <v>0</v>
      </c>
      <c r="U69" s="285">
        <f t="shared" si="22"/>
        <v>0</v>
      </c>
      <c r="V69" s="286">
        <f>[1]BDD!A59</f>
        <v>1178</v>
      </c>
      <c r="W69" s="287" t="str">
        <f>[1]BDD!B59</f>
        <v>Chirimoya BIO (production Rufino)</v>
      </c>
      <c r="X69" s="288" t="str">
        <f>IF([1]BDD!F59=0, "", [1]BDD!F59)</f>
        <v/>
      </c>
      <c r="Y69" s="214">
        <f>ROUND([1]BDD!G59+FDP_CMD_KG, 2)</f>
        <v>5.65</v>
      </c>
      <c r="Z69" s="214">
        <f>ROUND([1]BDD!G59+FDP_FACT_KG, 2)</f>
        <v>5.65</v>
      </c>
      <c r="AA69" s="215" t="str">
        <f>[1]BDD!H59</f>
        <v>kg</v>
      </c>
      <c r="AB69" s="225">
        <f>IF(NOT(ISBLANK([1]BDD!I59)), ROUND(SUM(([1]BDD!G59*reduc1),FDP_CMD_KG), 2), "")</f>
        <v>5.18</v>
      </c>
      <c r="AC69" s="225">
        <f>IF(NOT(ISBLANK([1]BDD!J59)), ROUND(SUM(([1]BDD!G59*reduc2),FDP_CMD_KG), 2), "")</f>
        <v>4.7</v>
      </c>
      <c r="AD69" s="225">
        <f>IF(NOT(ISBLANK([1]BDD!K59)), ROUND(SUM(([1]BDD!G59*reduc3),FDP_CMD_KG), 2), "")</f>
        <v>4.22</v>
      </c>
      <c r="AE69" s="225">
        <f>IF(NOT(ISBLANK([1]BDD!I59)), ROUND(SUM(([1]BDD!G59*reduc1),FDP_FACT_KG), 2), "")</f>
        <v>5.17</v>
      </c>
      <c r="AF69" s="225">
        <f>IF(NOT(ISBLANK([1]BDD!J59)), ROUND(SUM(([1]BDD!G59*reduc2),FDP_FACT_KG), 2), "")</f>
        <v>4.6900000000000004</v>
      </c>
      <c r="AG69" s="225">
        <f>IF(NOT(ISBLANK([1]BDD!K59)), ROUND(SUM(([1]BDD!G59*reduc3),FDP_FACT_KG), 2), "")</f>
        <v>4.21</v>
      </c>
      <c r="AH69" s="289" t="str">
        <f>[1]BDD!C59</f>
        <v>Grenade</v>
      </c>
      <c r="AI69" s="290">
        <f t="shared" si="23"/>
        <v>0</v>
      </c>
      <c r="AJ69" s="216">
        <f t="shared" si="24"/>
        <v>4.22</v>
      </c>
      <c r="AK69" s="291">
        <f t="shared" si="25"/>
        <v>0</v>
      </c>
      <c r="AL69" s="429"/>
      <c r="AM69" s="292"/>
      <c r="AN69" s="216">
        <f t="shared" si="26"/>
        <v>5.65</v>
      </c>
      <c r="AO69" s="293">
        <f t="shared" si="27"/>
        <v>0</v>
      </c>
      <c r="AP69" s="294"/>
      <c r="AQ69" s="294"/>
      <c r="AR69" s="429"/>
      <c r="AS69" s="295">
        <f t="shared" si="28"/>
        <v>0</v>
      </c>
      <c r="AT69" s="216">
        <f t="shared" si="29"/>
        <v>5.65</v>
      </c>
      <c r="AU69" s="291">
        <f t="shared" si="1"/>
        <v>0</v>
      </c>
      <c r="AV69" s="296">
        <f>[1]COMMANDE!O67</f>
        <v>0</v>
      </c>
      <c r="AW69" s="297" t="str">
        <f t="shared" si="30"/>
        <v>0</v>
      </c>
      <c r="AX69" s="298">
        <f t="shared" si="31"/>
        <v>0</v>
      </c>
      <c r="AY69" s="299">
        <f>[1]COMMANDE!Q67</f>
        <v>0</v>
      </c>
      <c r="AZ69" s="297" t="str">
        <f t="shared" si="32"/>
        <v>0</v>
      </c>
      <c r="BA69" s="300">
        <f t="shared" si="33"/>
        <v>0</v>
      </c>
      <c r="BB69" s="301">
        <f>[1]COMMANDE!S67</f>
        <v>0</v>
      </c>
      <c r="BC69" s="297" t="str">
        <f t="shared" si="34"/>
        <v>0</v>
      </c>
      <c r="BD69" s="298">
        <f t="shared" si="35"/>
        <v>0</v>
      </c>
      <c r="BE69" s="299">
        <f>[1]COMMANDE!U67</f>
        <v>0</v>
      </c>
      <c r="BF69" s="297" t="str">
        <f t="shared" si="36"/>
        <v>0</v>
      </c>
      <c r="BG69" s="300">
        <f t="shared" si="37"/>
        <v>0</v>
      </c>
      <c r="BH69" s="301">
        <f>[1]COMMANDE!W67</f>
        <v>0</v>
      </c>
      <c r="BI69" s="297" t="str">
        <f t="shared" si="38"/>
        <v>0</v>
      </c>
      <c r="BJ69" s="298">
        <f t="shared" si="39"/>
        <v>0</v>
      </c>
      <c r="BK69" s="299">
        <f>[1]COMMANDE!Y67</f>
        <v>0</v>
      </c>
      <c r="BL69" s="297" t="str">
        <f t="shared" si="40"/>
        <v>0</v>
      </c>
      <c r="BM69" s="300">
        <f t="shared" si="41"/>
        <v>0</v>
      </c>
      <c r="BN69" s="301">
        <f>[1]COMMANDE!AA67</f>
        <v>0</v>
      </c>
      <c r="BO69" s="297" t="str">
        <f t="shared" si="42"/>
        <v>0</v>
      </c>
      <c r="BP69" s="298">
        <f t="shared" si="43"/>
        <v>0</v>
      </c>
      <c r="BQ69" s="299">
        <f>[1]COMMANDE!AC67</f>
        <v>0</v>
      </c>
      <c r="BR69" s="297" t="str">
        <f t="shared" si="44"/>
        <v>0</v>
      </c>
      <c r="BS69" s="300">
        <f t="shared" si="45"/>
        <v>0</v>
      </c>
      <c r="BT69" s="301">
        <f>[1]COMMANDE!AE67</f>
        <v>0</v>
      </c>
      <c r="BU69" s="297" t="str">
        <f t="shared" si="46"/>
        <v>0</v>
      </c>
      <c r="BV69" s="298">
        <f t="shared" si="47"/>
        <v>0</v>
      </c>
      <c r="BW69" s="299">
        <f>[1]COMMANDE!AG67</f>
        <v>0</v>
      </c>
      <c r="BX69" s="297" t="str">
        <f t="shared" si="48"/>
        <v>0</v>
      </c>
      <c r="BY69" s="300">
        <f t="shared" si="49"/>
        <v>0</v>
      </c>
      <c r="BZ69" s="301">
        <f>[1]COMMANDE!AI67</f>
        <v>0</v>
      </c>
      <c r="CA69" s="297" t="str">
        <f t="shared" si="50"/>
        <v>0</v>
      </c>
      <c r="CB69" s="298">
        <f t="shared" si="51"/>
        <v>0</v>
      </c>
      <c r="CC69" s="299">
        <f>[1]COMMANDE!AK67</f>
        <v>0</v>
      </c>
      <c r="CD69" s="297" t="str">
        <f t="shared" si="52"/>
        <v>0</v>
      </c>
      <c r="CE69" s="300">
        <f t="shared" si="53"/>
        <v>0</v>
      </c>
      <c r="CF69" s="301">
        <f>[1]COMMANDE!AM67</f>
        <v>0</v>
      </c>
      <c r="CG69" s="297" t="str">
        <f t="shared" si="54"/>
        <v>0</v>
      </c>
      <c r="CH69" s="298">
        <f t="shared" si="55"/>
        <v>0</v>
      </c>
      <c r="CI69" s="299">
        <f>[1]COMMANDE!AO67</f>
        <v>0</v>
      </c>
      <c r="CJ69" s="297" t="str">
        <f t="shared" si="56"/>
        <v>0</v>
      </c>
      <c r="CK69" s="300">
        <f t="shared" si="57"/>
        <v>0</v>
      </c>
      <c r="CL69" s="301">
        <f>[1]COMMANDE!AQ67</f>
        <v>0</v>
      </c>
      <c r="CM69" s="297" t="str">
        <f t="shared" si="58"/>
        <v>0</v>
      </c>
      <c r="CN69" s="298">
        <f t="shared" si="59"/>
        <v>0</v>
      </c>
      <c r="CO69" s="299">
        <f>[1]COMMANDE!AS67</f>
        <v>0</v>
      </c>
      <c r="CP69" s="297" t="str">
        <f t="shared" si="60"/>
        <v>0</v>
      </c>
      <c r="CQ69" s="300">
        <f t="shared" si="61"/>
        <v>0</v>
      </c>
      <c r="CR69" s="301">
        <f>[1]COMMANDE!AU67</f>
        <v>0</v>
      </c>
      <c r="CS69" s="297" t="str">
        <f t="shared" si="62"/>
        <v>0</v>
      </c>
      <c r="CT69" s="298">
        <f t="shared" si="63"/>
        <v>0</v>
      </c>
      <c r="CU69" s="299">
        <f>[1]COMMANDE!AW67</f>
        <v>0</v>
      </c>
      <c r="CV69" s="297" t="str">
        <f t="shared" si="64"/>
        <v>0</v>
      </c>
      <c r="CW69" s="300">
        <f t="shared" si="65"/>
        <v>0</v>
      </c>
      <c r="CX69" s="301">
        <f>[1]COMMANDE!AY67</f>
        <v>0</v>
      </c>
      <c r="CY69" s="297" t="str">
        <f t="shared" si="66"/>
        <v>0</v>
      </c>
      <c r="CZ69" s="298">
        <f t="shared" si="67"/>
        <v>0</v>
      </c>
      <c r="DA69" s="299">
        <f>[1]COMMANDE!BA67</f>
        <v>0</v>
      </c>
      <c r="DB69" s="297" t="str">
        <f t="shared" si="68"/>
        <v>0</v>
      </c>
      <c r="DC69" s="302">
        <f t="shared" si="69"/>
        <v>0</v>
      </c>
      <c r="DD69" s="303"/>
      <c r="DE69" s="304"/>
    </row>
    <row r="70" spans="1:109" ht="39.950000000000003" customHeight="1" x14ac:dyDescent="0.25">
      <c r="A70" s="284">
        <f t="shared" si="2"/>
        <v>0</v>
      </c>
      <c r="B70" s="284">
        <f t="shared" si="3"/>
        <v>0</v>
      </c>
      <c r="C70" s="284">
        <f t="shared" si="4"/>
        <v>0</v>
      </c>
      <c r="D70" s="284">
        <f t="shared" si="5"/>
        <v>0</v>
      </c>
      <c r="E70" s="284">
        <f t="shared" si="6"/>
        <v>0</v>
      </c>
      <c r="F70" s="284">
        <f t="shared" si="7"/>
        <v>0</v>
      </c>
      <c r="G70" s="284">
        <f t="shared" si="8"/>
        <v>0</v>
      </c>
      <c r="H70" s="284">
        <f t="shared" si="9"/>
        <v>0</v>
      </c>
      <c r="I70" s="284">
        <f t="shared" si="10"/>
        <v>0</v>
      </c>
      <c r="J70" s="284">
        <f t="shared" si="11"/>
        <v>0</v>
      </c>
      <c r="K70" s="284">
        <f t="shared" si="12"/>
        <v>0</v>
      </c>
      <c r="L70" s="284">
        <f t="shared" si="13"/>
        <v>0</v>
      </c>
      <c r="M70" s="284">
        <f t="shared" si="14"/>
        <v>0</v>
      </c>
      <c r="N70" s="284">
        <f t="shared" si="15"/>
        <v>0</v>
      </c>
      <c r="O70" s="284">
        <f t="shared" si="16"/>
        <v>0</v>
      </c>
      <c r="P70" s="284">
        <f t="shared" si="17"/>
        <v>0</v>
      </c>
      <c r="Q70" s="284">
        <f t="shared" si="18"/>
        <v>0</v>
      </c>
      <c r="R70" s="284">
        <f t="shared" si="19"/>
        <v>0</v>
      </c>
      <c r="S70" s="284">
        <f t="shared" si="20"/>
        <v>0</v>
      </c>
      <c r="T70" s="284">
        <f t="shared" si="21"/>
        <v>0</v>
      </c>
      <c r="U70" s="285">
        <f t="shared" si="22"/>
        <v>0</v>
      </c>
      <c r="V70" s="286" t="str">
        <f>[1]BDD!A60</f>
        <v>3032-5034</v>
      </c>
      <c r="W70" s="287" t="str">
        <f>[1]BDD!B60</f>
        <v>Chirimoya en Reconversion agriculture BIO         (gros calibre - production Rufino)</v>
      </c>
      <c r="X70" s="288" t="str">
        <f>IF([1]BDD!F60=0, "", [1]BDD!F60)</f>
        <v/>
      </c>
      <c r="Y70" s="214">
        <f>ROUND([1]BDD!G60+FDP_CMD_KG, 2)</f>
        <v>5.24</v>
      </c>
      <c r="Z70" s="214">
        <f>ROUND([1]BDD!G60+FDP_FACT_KG, 2)</f>
        <v>5.24</v>
      </c>
      <c r="AA70" s="215" t="str">
        <f>[1]BDD!H60</f>
        <v>kg</v>
      </c>
      <c r="AB70" s="225">
        <f>IF(NOT(ISBLANK([1]BDD!I60)), ROUND(SUM(([1]BDD!G60*reduc1),FDP_CMD_KG), 2), "")</f>
        <v>4.8099999999999996</v>
      </c>
      <c r="AC70" s="225">
        <f>IF(NOT(ISBLANK([1]BDD!J60)), ROUND(SUM(([1]BDD!G60*reduc2),FDP_CMD_KG), 2), "")</f>
        <v>4.37</v>
      </c>
      <c r="AD70" s="225">
        <f>IF(NOT(ISBLANK([1]BDD!K60)), ROUND(SUM(([1]BDD!G60*reduc3),FDP_CMD_KG), 2), "")</f>
        <v>3.93</v>
      </c>
      <c r="AE70" s="225">
        <f>IF(NOT(ISBLANK([1]BDD!I60)), ROUND(SUM(([1]BDD!G60*reduc1),FDP_FACT_KG), 2), "")</f>
        <v>4.8</v>
      </c>
      <c r="AF70" s="225">
        <f>IF(NOT(ISBLANK([1]BDD!J60)), ROUND(SUM(([1]BDD!G60*reduc2),FDP_FACT_KG), 2), "")</f>
        <v>4.3600000000000003</v>
      </c>
      <c r="AG70" s="225">
        <f>IF(NOT(ISBLANK([1]BDD!K60)), ROUND(SUM(([1]BDD!G60*reduc3),FDP_FACT_KG), 2), "")</f>
        <v>3.93</v>
      </c>
      <c r="AH70" s="289" t="str">
        <f>[1]BDD!C60</f>
        <v>Salobrena</v>
      </c>
      <c r="AI70" s="290">
        <f t="shared" si="23"/>
        <v>0</v>
      </c>
      <c r="AJ70" s="216">
        <f t="shared" si="24"/>
        <v>3.93</v>
      </c>
      <c r="AK70" s="291">
        <f t="shared" si="25"/>
        <v>0</v>
      </c>
      <c r="AL70" s="429"/>
      <c r="AM70" s="292"/>
      <c r="AN70" s="216">
        <f t="shared" si="26"/>
        <v>5.24</v>
      </c>
      <c r="AO70" s="293">
        <f t="shared" si="27"/>
        <v>0</v>
      </c>
      <c r="AP70" s="294"/>
      <c r="AQ70" s="294"/>
      <c r="AR70" s="429"/>
      <c r="AS70" s="295">
        <f t="shared" si="28"/>
        <v>0</v>
      </c>
      <c r="AT70" s="216">
        <f t="shared" si="29"/>
        <v>5.24</v>
      </c>
      <c r="AU70" s="291">
        <f t="shared" si="1"/>
        <v>0</v>
      </c>
      <c r="AV70" s="296">
        <f>[1]COMMANDE!O68</f>
        <v>0</v>
      </c>
      <c r="AW70" s="297" t="str">
        <f t="shared" si="30"/>
        <v>0</v>
      </c>
      <c r="AX70" s="298">
        <f t="shared" si="31"/>
        <v>0</v>
      </c>
      <c r="AY70" s="299">
        <f>[1]COMMANDE!Q68</f>
        <v>0</v>
      </c>
      <c r="AZ70" s="297" t="str">
        <f t="shared" si="32"/>
        <v>0</v>
      </c>
      <c r="BA70" s="300">
        <f t="shared" si="33"/>
        <v>0</v>
      </c>
      <c r="BB70" s="301">
        <f>[1]COMMANDE!S68</f>
        <v>0</v>
      </c>
      <c r="BC70" s="297" t="str">
        <f t="shared" si="34"/>
        <v>0</v>
      </c>
      <c r="BD70" s="298">
        <f t="shared" si="35"/>
        <v>0</v>
      </c>
      <c r="BE70" s="299">
        <f>[1]COMMANDE!U68</f>
        <v>0</v>
      </c>
      <c r="BF70" s="297" t="str">
        <f t="shared" si="36"/>
        <v>0</v>
      </c>
      <c r="BG70" s="300">
        <f t="shared" si="37"/>
        <v>0</v>
      </c>
      <c r="BH70" s="301">
        <f>[1]COMMANDE!W68</f>
        <v>0</v>
      </c>
      <c r="BI70" s="297" t="str">
        <f t="shared" si="38"/>
        <v>0</v>
      </c>
      <c r="BJ70" s="298">
        <f t="shared" si="39"/>
        <v>0</v>
      </c>
      <c r="BK70" s="299">
        <f>[1]COMMANDE!Y68</f>
        <v>0</v>
      </c>
      <c r="BL70" s="297" t="str">
        <f t="shared" si="40"/>
        <v>0</v>
      </c>
      <c r="BM70" s="300">
        <f t="shared" si="41"/>
        <v>0</v>
      </c>
      <c r="BN70" s="301">
        <f>[1]COMMANDE!AA68</f>
        <v>0</v>
      </c>
      <c r="BO70" s="297" t="str">
        <f t="shared" si="42"/>
        <v>0</v>
      </c>
      <c r="BP70" s="298">
        <f t="shared" si="43"/>
        <v>0</v>
      </c>
      <c r="BQ70" s="299">
        <f>[1]COMMANDE!AC68</f>
        <v>0</v>
      </c>
      <c r="BR70" s="297" t="str">
        <f t="shared" si="44"/>
        <v>0</v>
      </c>
      <c r="BS70" s="300">
        <f t="shared" si="45"/>
        <v>0</v>
      </c>
      <c r="BT70" s="301">
        <f>[1]COMMANDE!AE68</f>
        <v>0</v>
      </c>
      <c r="BU70" s="297" t="str">
        <f t="shared" si="46"/>
        <v>0</v>
      </c>
      <c r="BV70" s="298">
        <f t="shared" si="47"/>
        <v>0</v>
      </c>
      <c r="BW70" s="299">
        <f>[1]COMMANDE!AG68</f>
        <v>0</v>
      </c>
      <c r="BX70" s="297" t="str">
        <f t="shared" si="48"/>
        <v>0</v>
      </c>
      <c r="BY70" s="300">
        <f t="shared" si="49"/>
        <v>0</v>
      </c>
      <c r="BZ70" s="301">
        <f>[1]COMMANDE!AI68</f>
        <v>0</v>
      </c>
      <c r="CA70" s="297" t="str">
        <f t="shared" si="50"/>
        <v>0</v>
      </c>
      <c r="CB70" s="298">
        <f t="shared" si="51"/>
        <v>0</v>
      </c>
      <c r="CC70" s="299">
        <f>[1]COMMANDE!AK68</f>
        <v>0</v>
      </c>
      <c r="CD70" s="297" t="str">
        <f t="shared" si="52"/>
        <v>0</v>
      </c>
      <c r="CE70" s="300">
        <f t="shared" si="53"/>
        <v>0</v>
      </c>
      <c r="CF70" s="301">
        <f>[1]COMMANDE!AM68</f>
        <v>0</v>
      </c>
      <c r="CG70" s="297" t="str">
        <f t="shared" si="54"/>
        <v>0</v>
      </c>
      <c r="CH70" s="298">
        <f t="shared" si="55"/>
        <v>0</v>
      </c>
      <c r="CI70" s="299">
        <f>[1]COMMANDE!AO68</f>
        <v>0</v>
      </c>
      <c r="CJ70" s="297" t="str">
        <f t="shared" si="56"/>
        <v>0</v>
      </c>
      <c r="CK70" s="300">
        <f t="shared" si="57"/>
        <v>0</v>
      </c>
      <c r="CL70" s="301">
        <f>[1]COMMANDE!AQ68</f>
        <v>0</v>
      </c>
      <c r="CM70" s="297" t="str">
        <f t="shared" si="58"/>
        <v>0</v>
      </c>
      <c r="CN70" s="298">
        <f t="shared" si="59"/>
        <v>0</v>
      </c>
      <c r="CO70" s="299">
        <f>[1]COMMANDE!AS68</f>
        <v>0</v>
      </c>
      <c r="CP70" s="297" t="str">
        <f t="shared" si="60"/>
        <v>0</v>
      </c>
      <c r="CQ70" s="300">
        <f t="shared" si="61"/>
        <v>0</v>
      </c>
      <c r="CR70" s="301">
        <f>[1]COMMANDE!AU68</f>
        <v>0</v>
      </c>
      <c r="CS70" s="297" t="str">
        <f t="shared" si="62"/>
        <v>0</v>
      </c>
      <c r="CT70" s="298">
        <f t="shared" si="63"/>
        <v>0</v>
      </c>
      <c r="CU70" s="299">
        <f>[1]COMMANDE!AW68</f>
        <v>0</v>
      </c>
      <c r="CV70" s="297" t="str">
        <f t="shared" si="64"/>
        <v>0</v>
      </c>
      <c r="CW70" s="300">
        <f t="shared" si="65"/>
        <v>0</v>
      </c>
      <c r="CX70" s="301">
        <f>[1]COMMANDE!AY68</f>
        <v>0</v>
      </c>
      <c r="CY70" s="297" t="str">
        <f t="shared" si="66"/>
        <v>0</v>
      </c>
      <c r="CZ70" s="298">
        <f t="shared" si="67"/>
        <v>0</v>
      </c>
      <c r="DA70" s="299">
        <f>[1]COMMANDE!BA68</f>
        <v>0</v>
      </c>
      <c r="DB70" s="297" t="str">
        <f t="shared" si="68"/>
        <v>0</v>
      </c>
      <c r="DC70" s="302">
        <f t="shared" si="69"/>
        <v>0</v>
      </c>
      <c r="DD70" s="303"/>
      <c r="DE70" s="304"/>
    </row>
    <row r="71" spans="1:109" ht="39.950000000000003" customHeight="1" x14ac:dyDescent="0.25">
      <c r="A71" s="284">
        <f t="shared" si="2"/>
        <v>0</v>
      </c>
      <c r="B71" s="284">
        <f t="shared" si="3"/>
        <v>0</v>
      </c>
      <c r="C71" s="284">
        <f t="shared" si="4"/>
        <v>0</v>
      </c>
      <c r="D71" s="284">
        <f t="shared" si="5"/>
        <v>0</v>
      </c>
      <c r="E71" s="284">
        <f t="shared" si="6"/>
        <v>0</v>
      </c>
      <c r="F71" s="284">
        <f t="shared" si="7"/>
        <v>0</v>
      </c>
      <c r="G71" s="284">
        <f t="shared" si="8"/>
        <v>0</v>
      </c>
      <c r="H71" s="284">
        <f t="shared" si="9"/>
        <v>0</v>
      </c>
      <c r="I71" s="284">
        <f t="shared" si="10"/>
        <v>0</v>
      </c>
      <c r="J71" s="284">
        <f t="shared" si="11"/>
        <v>0</v>
      </c>
      <c r="K71" s="284">
        <f t="shared" si="12"/>
        <v>0</v>
      </c>
      <c r="L71" s="284">
        <f t="shared" si="13"/>
        <v>0</v>
      </c>
      <c r="M71" s="284">
        <f t="shared" si="14"/>
        <v>0</v>
      </c>
      <c r="N71" s="284">
        <f t="shared" si="15"/>
        <v>0</v>
      </c>
      <c r="O71" s="284">
        <f t="shared" si="16"/>
        <v>0</v>
      </c>
      <c r="P71" s="284">
        <f t="shared" si="17"/>
        <v>0</v>
      </c>
      <c r="Q71" s="284">
        <f t="shared" si="18"/>
        <v>0</v>
      </c>
      <c r="R71" s="284">
        <f t="shared" si="19"/>
        <v>0</v>
      </c>
      <c r="S71" s="284">
        <f t="shared" si="20"/>
        <v>0</v>
      </c>
      <c r="T71" s="284">
        <f t="shared" si="21"/>
        <v>0</v>
      </c>
      <c r="U71" s="285">
        <f t="shared" si="22"/>
        <v>0</v>
      </c>
      <c r="V71" s="286">
        <f>[1]BDD!A61</f>
        <v>6035</v>
      </c>
      <c r="W71" s="287" t="str">
        <f>[1]BDD!B61</f>
        <v>Chocolat de Algorroba BIO (tablette 100g)</v>
      </c>
      <c r="X71" s="288" t="str">
        <f>IF([1]BDD!F61=0, "", [1]BDD!F61)</f>
        <v/>
      </c>
      <c r="Y71" s="214">
        <f>ROUND([1]BDD!G61+FDP_CMD_KG, 2)</f>
        <v>5.51</v>
      </c>
      <c r="Z71" s="214">
        <f>ROUND([1]BDD!G61+FDP_FACT_KG, 2)</f>
        <v>5.51</v>
      </c>
      <c r="AA71" s="215" t="str">
        <f>[1]BDD!H61</f>
        <v>Pièce</v>
      </c>
      <c r="AB71" s="225">
        <f>IF(NOT(ISBLANK([1]BDD!I61)), ROUND(SUM(([1]BDD!G61*reduc1),FDP_CMD_KG), 2), "")</f>
        <v>5.05</v>
      </c>
      <c r="AC71" s="225" t="str">
        <f>IF(NOT(ISBLANK([1]BDD!J61)), ROUND(SUM(([1]BDD!G61*reduc2),FDP_CMD_KG), 2), "")</f>
        <v/>
      </c>
      <c r="AD71" s="225" t="str">
        <f>IF(NOT(ISBLANK([1]BDD!K61)), ROUND(SUM(([1]BDD!G61*reduc3),FDP_CMD_KG), 2), "")</f>
        <v/>
      </c>
      <c r="AE71" s="225">
        <f>IF(NOT(ISBLANK([1]BDD!I61)), ROUND(SUM(([1]BDD!G61*reduc1),FDP_FACT_KG), 2), "")</f>
        <v>5.04</v>
      </c>
      <c r="AF71" s="225" t="str">
        <f>IF(NOT(ISBLANK([1]BDD!J61)), ROUND(SUM(([1]BDD!G61*reduc2),FDP_FACT_KG), 2), "")</f>
        <v/>
      </c>
      <c r="AG71" s="225" t="str">
        <f>IF(NOT(ISBLANK([1]BDD!K61)), ROUND(SUM(([1]BDD!G61*reduc3),FDP_FACT_KG), 2), "")</f>
        <v/>
      </c>
      <c r="AH71" s="289" t="str">
        <f>[1]BDD!C61</f>
        <v>National</v>
      </c>
      <c r="AI71" s="290">
        <f t="shared" si="23"/>
        <v>0</v>
      </c>
      <c r="AJ71" s="216">
        <f t="shared" si="24"/>
        <v>5.05</v>
      </c>
      <c r="AK71" s="291">
        <f t="shared" si="25"/>
        <v>0</v>
      </c>
      <c r="AL71" s="429"/>
      <c r="AM71" s="292"/>
      <c r="AN71" s="216">
        <f t="shared" si="26"/>
        <v>5.51</v>
      </c>
      <c r="AO71" s="293">
        <f t="shared" si="27"/>
        <v>0</v>
      </c>
      <c r="AP71" s="294"/>
      <c r="AQ71" s="294"/>
      <c r="AR71" s="429"/>
      <c r="AS71" s="295">
        <f t="shared" si="28"/>
        <v>0</v>
      </c>
      <c r="AT71" s="216">
        <f t="shared" si="29"/>
        <v>5.51</v>
      </c>
      <c r="AU71" s="291">
        <f t="shared" si="1"/>
        <v>0</v>
      </c>
      <c r="AV71" s="296">
        <f>[1]COMMANDE!O69</f>
        <v>0</v>
      </c>
      <c r="AW71" s="297" t="str">
        <f t="shared" si="30"/>
        <v>0</v>
      </c>
      <c r="AX71" s="298">
        <f t="shared" si="31"/>
        <v>0</v>
      </c>
      <c r="AY71" s="299">
        <f>[1]COMMANDE!Q69</f>
        <v>0</v>
      </c>
      <c r="AZ71" s="297" t="str">
        <f t="shared" si="32"/>
        <v>0</v>
      </c>
      <c r="BA71" s="300">
        <f t="shared" si="33"/>
        <v>0</v>
      </c>
      <c r="BB71" s="301">
        <f>[1]COMMANDE!S69</f>
        <v>0</v>
      </c>
      <c r="BC71" s="297" t="str">
        <f t="shared" si="34"/>
        <v>0</v>
      </c>
      <c r="BD71" s="298">
        <f t="shared" si="35"/>
        <v>0</v>
      </c>
      <c r="BE71" s="299">
        <f>[1]COMMANDE!U69</f>
        <v>0</v>
      </c>
      <c r="BF71" s="297" t="str">
        <f t="shared" si="36"/>
        <v>0</v>
      </c>
      <c r="BG71" s="300">
        <f t="shared" si="37"/>
        <v>0</v>
      </c>
      <c r="BH71" s="301">
        <f>[1]COMMANDE!W69</f>
        <v>0</v>
      </c>
      <c r="BI71" s="297" t="str">
        <f t="shared" si="38"/>
        <v>0</v>
      </c>
      <c r="BJ71" s="298">
        <f t="shared" si="39"/>
        <v>0</v>
      </c>
      <c r="BK71" s="299">
        <f>[1]COMMANDE!Y69</f>
        <v>0</v>
      </c>
      <c r="BL71" s="297" t="str">
        <f t="shared" si="40"/>
        <v>0</v>
      </c>
      <c r="BM71" s="300">
        <f t="shared" si="41"/>
        <v>0</v>
      </c>
      <c r="BN71" s="301">
        <f>[1]COMMANDE!AA69</f>
        <v>0</v>
      </c>
      <c r="BO71" s="297" t="str">
        <f t="shared" si="42"/>
        <v>0</v>
      </c>
      <c r="BP71" s="298">
        <f t="shared" si="43"/>
        <v>0</v>
      </c>
      <c r="BQ71" s="299">
        <f>[1]COMMANDE!AC69</f>
        <v>0</v>
      </c>
      <c r="BR71" s="297" t="str">
        <f t="shared" si="44"/>
        <v>0</v>
      </c>
      <c r="BS71" s="300">
        <f t="shared" si="45"/>
        <v>0</v>
      </c>
      <c r="BT71" s="301">
        <f>[1]COMMANDE!AE69</f>
        <v>0</v>
      </c>
      <c r="BU71" s="297" t="str">
        <f t="shared" si="46"/>
        <v>0</v>
      </c>
      <c r="BV71" s="298">
        <f t="shared" si="47"/>
        <v>0</v>
      </c>
      <c r="BW71" s="299">
        <f>[1]COMMANDE!AG69</f>
        <v>0</v>
      </c>
      <c r="BX71" s="297" t="str">
        <f t="shared" si="48"/>
        <v>0</v>
      </c>
      <c r="BY71" s="300">
        <f t="shared" si="49"/>
        <v>0</v>
      </c>
      <c r="BZ71" s="301">
        <f>[1]COMMANDE!AI69</f>
        <v>0</v>
      </c>
      <c r="CA71" s="297" t="str">
        <f t="shared" si="50"/>
        <v>0</v>
      </c>
      <c r="CB71" s="298">
        <f t="shared" si="51"/>
        <v>0</v>
      </c>
      <c r="CC71" s="299">
        <f>[1]COMMANDE!AK69</f>
        <v>0</v>
      </c>
      <c r="CD71" s="297" t="str">
        <f t="shared" si="52"/>
        <v>0</v>
      </c>
      <c r="CE71" s="300">
        <f t="shared" si="53"/>
        <v>0</v>
      </c>
      <c r="CF71" s="301">
        <f>[1]COMMANDE!AM69</f>
        <v>0</v>
      </c>
      <c r="CG71" s="297" t="str">
        <f t="shared" si="54"/>
        <v>0</v>
      </c>
      <c r="CH71" s="298">
        <f t="shared" si="55"/>
        <v>0</v>
      </c>
      <c r="CI71" s="299">
        <f>[1]COMMANDE!AO69</f>
        <v>0</v>
      </c>
      <c r="CJ71" s="297" t="str">
        <f t="shared" si="56"/>
        <v>0</v>
      </c>
      <c r="CK71" s="300">
        <f t="shared" si="57"/>
        <v>0</v>
      </c>
      <c r="CL71" s="301">
        <f>[1]COMMANDE!AQ69</f>
        <v>0</v>
      </c>
      <c r="CM71" s="297" t="str">
        <f t="shared" si="58"/>
        <v>0</v>
      </c>
      <c r="CN71" s="298">
        <f t="shared" si="59"/>
        <v>0</v>
      </c>
      <c r="CO71" s="299">
        <f>[1]COMMANDE!AS69</f>
        <v>0</v>
      </c>
      <c r="CP71" s="297" t="str">
        <f t="shared" si="60"/>
        <v>0</v>
      </c>
      <c r="CQ71" s="300">
        <f t="shared" si="61"/>
        <v>0</v>
      </c>
      <c r="CR71" s="301">
        <f>[1]COMMANDE!AU69</f>
        <v>0</v>
      </c>
      <c r="CS71" s="297" t="str">
        <f t="shared" si="62"/>
        <v>0</v>
      </c>
      <c r="CT71" s="298">
        <f t="shared" si="63"/>
        <v>0</v>
      </c>
      <c r="CU71" s="299">
        <f>[1]COMMANDE!AW69</f>
        <v>0</v>
      </c>
      <c r="CV71" s="297" t="str">
        <f t="shared" si="64"/>
        <v>0</v>
      </c>
      <c r="CW71" s="300">
        <f t="shared" si="65"/>
        <v>0</v>
      </c>
      <c r="CX71" s="301">
        <f>[1]COMMANDE!AY69</f>
        <v>0</v>
      </c>
      <c r="CY71" s="297" t="str">
        <f t="shared" si="66"/>
        <v>0</v>
      </c>
      <c r="CZ71" s="298">
        <f t="shared" si="67"/>
        <v>0</v>
      </c>
      <c r="DA71" s="299">
        <f>[1]COMMANDE!BA69</f>
        <v>0</v>
      </c>
      <c r="DB71" s="297" t="str">
        <f t="shared" si="68"/>
        <v>0</v>
      </c>
      <c r="DC71" s="302">
        <f t="shared" si="69"/>
        <v>0</v>
      </c>
      <c r="DD71" s="303"/>
      <c r="DE71" s="304"/>
    </row>
    <row r="72" spans="1:109" ht="39.950000000000003" customHeight="1" x14ac:dyDescent="0.25">
      <c r="A72" s="284">
        <f t="shared" si="2"/>
        <v>0</v>
      </c>
      <c r="B72" s="284">
        <f t="shared" si="3"/>
        <v>0</v>
      </c>
      <c r="C72" s="284">
        <f t="shared" si="4"/>
        <v>0</v>
      </c>
      <c r="D72" s="284">
        <f t="shared" si="5"/>
        <v>0</v>
      </c>
      <c r="E72" s="284">
        <f t="shared" si="6"/>
        <v>0</v>
      </c>
      <c r="F72" s="284">
        <f t="shared" si="7"/>
        <v>0</v>
      </c>
      <c r="G72" s="284">
        <f t="shared" si="8"/>
        <v>0</v>
      </c>
      <c r="H72" s="284">
        <f t="shared" si="9"/>
        <v>0</v>
      </c>
      <c r="I72" s="284">
        <f t="shared" si="10"/>
        <v>0</v>
      </c>
      <c r="J72" s="284">
        <f t="shared" si="11"/>
        <v>0</v>
      </c>
      <c r="K72" s="284">
        <f t="shared" si="12"/>
        <v>0</v>
      </c>
      <c r="L72" s="284">
        <f t="shared" si="13"/>
        <v>0</v>
      </c>
      <c r="M72" s="284">
        <f t="shared" si="14"/>
        <v>0</v>
      </c>
      <c r="N72" s="284">
        <f t="shared" si="15"/>
        <v>0</v>
      </c>
      <c r="O72" s="284">
        <f t="shared" si="16"/>
        <v>0</v>
      </c>
      <c r="P72" s="284">
        <f t="shared" si="17"/>
        <v>0</v>
      </c>
      <c r="Q72" s="284">
        <f t="shared" si="18"/>
        <v>0</v>
      </c>
      <c r="R72" s="284">
        <f t="shared" si="19"/>
        <v>0</v>
      </c>
      <c r="S72" s="284">
        <f t="shared" si="20"/>
        <v>0</v>
      </c>
      <c r="T72" s="284">
        <f t="shared" si="21"/>
        <v>0</v>
      </c>
      <c r="U72" s="285">
        <f t="shared" si="22"/>
        <v>0</v>
      </c>
      <c r="V72" s="286">
        <f>[1]BDD!A62</f>
        <v>1209</v>
      </c>
      <c r="W72" s="287" t="str">
        <f>[1]BDD!B62</f>
        <v>Chou Kale Lacitano/Cavolo baby BIO (production Rufino)</v>
      </c>
      <c r="X72" s="288" t="str">
        <f>IF([1]BDD!F62=0, "", [1]BDD!F62)</f>
        <v>OFFRE</v>
      </c>
      <c r="Y72" s="214">
        <f>ROUND([1]BDD!G62+FDP_CMD_KG, 2)</f>
        <v>5.65</v>
      </c>
      <c r="Z72" s="214">
        <f>ROUND([1]BDD!G62+FDP_FACT_KG, 2)</f>
        <v>5.65</v>
      </c>
      <c r="AA72" s="215" t="str">
        <f>[1]BDD!H62</f>
        <v>kg</v>
      </c>
      <c r="AB72" s="225">
        <f>IF(NOT(ISBLANK([1]BDD!I62)), ROUND(SUM(([1]BDD!G62*reduc1),FDP_CMD_KG), 2), "")</f>
        <v>5.18</v>
      </c>
      <c r="AC72" s="225">
        <f>IF(NOT(ISBLANK([1]BDD!J62)), ROUND(SUM(([1]BDD!G62*reduc2),FDP_CMD_KG), 2), "")</f>
        <v>4.7</v>
      </c>
      <c r="AD72" s="225" t="str">
        <f>IF(NOT(ISBLANK([1]BDD!K62)), ROUND(SUM(([1]BDD!G62*reduc3),FDP_CMD_KG), 2), "")</f>
        <v/>
      </c>
      <c r="AE72" s="225">
        <f>IF(NOT(ISBLANK([1]BDD!I62)), ROUND(SUM(([1]BDD!G62*reduc1),FDP_FACT_KG), 2), "")</f>
        <v>5.17</v>
      </c>
      <c r="AF72" s="225">
        <f>IF(NOT(ISBLANK([1]BDD!J62)), ROUND(SUM(([1]BDD!G62*reduc2),FDP_FACT_KG), 2), "")</f>
        <v>4.6900000000000004</v>
      </c>
      <c r="AG72" s="225" t="str">
        <f>IF(NOT(ISBLANK([1]BDD!K62)), ROUND(SUM(([1]BDD!G62*reduc3),FDP_FACT_KG), 2), "")</f>
        <v/>
      </c>
      <c r="AH72" s="289" t="str">
        <f>[1]BDD!C62</f>
        <v>Grenade</v>
      </c>
      <c r="AI72" s="290">
        <f t="shared" si="23"/>
        <v>0</v>
      </c>
      <c r="AJ72" s="216">
        <f t="shared" si="24"/>
        <v>4.7</v>
      </c>
      <c r="AK72" s="291">
        <f t="shared" si="25"/>
        <v>0</v>
      </c>
      <c r="AL72" s="429"/>
      <c r="AM72" s="292"/>
      <c r="AN72" s="216">
        <f t="shared" si="26"/>
        <v>5.65</v>
      </c>
      <c r="AO72" s="293">
        <f t="shared" si="27"/>
        <v>0</v>
      </c>
      <c r="AP72" s="294"/>
      <c r="AQ72" s="294"/>
      <c r="AR72" s="429"/>
      <c r="AS72" s="295">
        <f t="shared" si="28"/>
        <v>0</v>
      </c>
      <c r="AT72" s="216">
        <f t="shared" si="29"/>
        <v>5.65</v>
      </c>
      <c r="AU72" s="291">
        <f t="shared" si="1"/>
        <v>0</v>
      </c>
      <c r="AV72" s="296">
        <f>[1]COMMANDE!O70</f>
        <v>0</v>
      </c>
      <c r="AW72" s="297" t="str">
        <f t="shared" si="30"/>
        <v>0</v>
      </c>
      <c r="AX72" s="298">
        <f t="shared" si="31"/>
        <v>0</v>
      </c>
      <c r="AY72" s="299">
        <f>[1]COMMANDE!Q70</f>
        <v>0</v>
      </c>
      <c r="AZ72" s="297" t="str">
        <f t="shared" si="32"/>
        <v>0</v>
      </c>
      <c r="BA72" s="300">
        <f t="shared" si="33"/>
        <v>0</v>
      </c>
      <c r="BB72" s="301">
        <f>[1]COMMANDE!S70</f>
        <v>0</v>
      </c>
      <c r="BC72" s="297" t="str">
        <f t="shared" si="34"/>
        <v>0</v>
      </c>
      <c r="BD72" s="298">
        <f t="shared" si="35"/>
        <v>0</v>
      </c>
      <c r="BE72" s="299">
        <f>[1]COMMANDE!U70</f>
        <v>0</v>
      </c>
      <c r="BF72" s="297" t="str">
        <f t="shared" si="36"/>
        <v>0</v>
      </c>
      <c r="BG72" s="300">
        <f t="shared" si="37"/>
        <v>0</v>
      </c>
      <c r="BH72" s="301">
        <f>[1]COMMANDE!W70</f>
        <v>0</v>
      </c>
      <c r="BI72" s="297" t="str">
        <f t="shared" si="38"/>
        <v>0</v>
      </c>
      <c r="BJ72" s="298">
        <f t="shared" si="39"/>
        <v>0</v>
      </c>
      <c r="BK72" s="299">
        <f>[1]COMMANDE!Y70</f>
        <v>0</v>
      </c>
      <c r="BL72" s="297" t="str">
        <f t="shared" si="40"/>
        <v>0</v>
      </c>
      <c r="BM72" s="300">
        <f t="shared" si="41"/>
        <v>0</v>
      </c>
      <c r="BN72" s="301">
        <f>[1]COMMANDE!AA70</f>
        <v>0</v>
      </c>
      <c r="BO72" s="297" t="str">
        <f t="shared" si="42"/>
        <v>0</v>
      </c>
      <c r="BP72" s="298">
        <f t="shared" si="43"/>
        <v>0</v>
      </c>
      <c r="BQ72" s="299">
        <f>[1]COMMANDE!AC70</f>
        <v>0</v>
      </c>
      <c r="BR72" s="297" t="str">
        <f t="shared" si="44"/>
        <v>0</v>
      </c>
      <c r="BS72" s="300">
        <f t="shared" si="45"/>
        <v>0</v>
      </c>
      <c r="BT72" s="301">
        <f>[1]COMMANDE!AE70</f>
        <v>0</v>
      </c>
      <c r="BU72" s="297" t="str">
        <f t="shared" si="46"/>
        <v>0</v>
      </c>
      <c r="BV72" s="298">
        <f t="shared" si="47"/>
        <v>0</v>
      </c>
      <c r="BW72" s="299">
        <f>[1]COMMANDE!AG70</f>
        <v>0</v>
      </c>
      <c r="BX72" s="297" t="str">
        <f t="shared" si="48"/>
        <v>0</v>
      </c>
      <c r="BY72" s="300">
        <f t="shared" si="49"/>
        <v>0</v>
      </c>
      <c r="BZ72" s="301">
        <f>[1]COMMANDE!AI70</f>
        <v>0</v>
      </c>
      <c r="CA72" s="297" t="str">
        <f t="shared" si="50"/>
        <v>0</v>
      </c>
      <c r="CB72" s="298">
        <f t="shared" si="51"/>
        <v>0</v>
      </c>
      <c r="CC72" s="299">
        <f>[1]COMMANDE!AK70</f>
        <v>0</v>
      </c>
      <c r="CD72" s="297" t="str">
        <f t="shared" si="52"/>
        <v>0</v>
      </c>
      <c r="CE72" s="300">
        <f t="shared" si="53"/>
        <v>0</v>
      </c>
      <c r="CF72" s="301">
        <f>[1]COMMANDE!AM70</f>
        <v>0</v>
      </c>
      <c r="CG72" s="297" t="str">
        <f t="shared" si="54"/>
        <v>0</v>
      </c>
      <c r="CH72" s="298">
        <f t="shared" si="55"/>
        <v>0</v>
      </c>
      <c r="CI72" s="299">
        <f>[1]COMMANDE!AO70</f>
        <v>0</v>
      </c>
      <c r="CJ72" s="297" t="str">
        <f t="shared" si="56"/>
        <v>0</v>
      </c>
      <c r="CK72" s="300">
        <f t="shared" si="57"/>
        <v>0</v>
      </c>
      <c r="CL72" s="301">
        <f>[1]COMMANDE!AQ70</f>
        <v>0</v>
      </c>
      <c r="CM72" s="297" t="str">
        <f t="shared" si="58"/>
        <v>0</v>
      </c>
      <c r="CN72" s="298">
        <f t="shared" si="59"/>
        <v>0</v>
      </c>
      <c r="CO72" s="299">
        <f>[1]COMMANDE!AS70</f>
        <v>0</v>
      </c>
      <c r="CP72" s="297" t="str">
        <f t="shared" si="60"/>
        <v>0</v>
      </c>
      <c r="CQ72" s="300">
        <f t="shared" si="61"/>
        <v>0</v>
      </c>
      <c r="CR72" s="301">
        <f>[1]COMMANDE!AU70</f>
        <v>0</v>
      </c>
      <c r="CS72" s="297" t="str">
        <f t="shared" si="62"/>
        <v>0</v>
      </c>
      <c r="CT72" s="298">
        <f t="shared" si="63"/>
        <v>0</v>
      </c>
      <c r="CU72" s="299">
        <f>[1]COMMANDE!AW70</f>
        <v>0</v>
      </c>
      <c r="CV72" s="297" t="str">
        <f t="shared" si="64"/>
        <v>0</v>
      </c>
      <c r="CW72" s="300">
        <f t="shared" si="65"/>
        <v>0</v>
      </c>
      <c r="CX72" s="301">
        <f>[1]COMMANDE!AY70</f>
        <v>0</v>
      </c>
      <c r="CY72" s="297" t="str">
        <f t="shared" si="66"/>
        <v>0</v>
      </c>
      <c r="CZ72" s="298">
        <f t="shared" si="67"/>
        <v>0</v>
      </c>
      <c r="DA72" s="299">
        <f>[1]COMMANDE!BA70</f>
        <v>0</v>
      </c>
      <c r="DB72" s="297" t="str">
        <f t="shared" si="68"/>
        <v>0</v>
      </c>
      <c r="DC72" s="302">
        <f t="shared" si="69"/>
        <v>0</v>
      </c>
      <c r="DD72" s="303"/>
      <c r="DE72" s="304"/>
    </row>
    <row r="73" spans="1:109" ht="39.950000000000003" customHeight="1" x14ac:dyDescent="0.25">
      <c r="A73" s="284">
        <f t="shared" si="2"/>
        <v>0</v>
      </c>
      <c r="B73" s="284">
        <f t="shared" si="3"/>
        <v>0</v>
      </c>
      <c r="C73" s="284">
        <f t="shared" si="4"/>
        <v>0</v>
      </c>
      <c r="D73" s="284">
        <f t="shared" si="5"/>
        <v>0</v>
      </c>
      <c r="E73" s="284">
        <f t="shared" si="6"/>
        <v>0</v>
      </c>
      <c r="F73" s="284">
        <f t="shared" si="7"/>
        <v>0</v>
      </c>
      <c r="G73" s="284">
        <f t="shared" si="8"/>
        <v>0</v>
      </c>
      <c r="H73" s="284">
        <f t="shared" si="9"/>
        <v>0</v>
      </c>
      <c r="I73" s="284">
        <f t="shared" si="10"/>
        <v>0</v>
      </c>
      <c r="J73" s="284">
        <f t="shared" si="11"/>
        <v>0</v>
      </c>
      <c r="K73" s="284">
        <f t="shared" si="12"/>
        <v>0</v>
      </c>
      <c r="L73" s="284">
        <f t="shared" si="13"/>
        <v>0</v>
      </c>
      <c r="M73" s="284">
        <f t="shared" si="14"/>
        <v>0</v>
      </c>
      <c r="N73" s="284">
        <f t="shared" si="15"/>
        <v>0</v>
      </c>
      <c r="O73" s="284">
        <f t="shared" si="16"/>
        <v>0</v>
      </c>
      <c r="P73" s="284">
        <f t="shared" si="17"/>
        <v>0</v>
      </c>
      <c r="Q73" s="284">
        <f t="shared" si="18"/>
        <v>0</v>
      </c>
      <c r="R73" s="284">
        <f t="shared" si="19"/>
        <v>0</v>
      </c>
      <c r="S73" s="284">
        <f t="shared" si="20"/>
        <v>0</v>
      </c>
      <c r="T73" s="284">
        <f t="shared" si="21"/>
        <v>0</v>
      </c>
      <c r="U73" s="285">
        <f t="shared" si="22"/>
        <v>0</v>
      </c>
      <c r="V73" s="286">
        <f>[1]BDD!A63</f>
        <v>1626</v>
      </c>
      <c r="W73" s="287" t="str">
        <f>[1]BDD!B63</f>
        <v>Chou Kale Winterbor Crespa baby BIO (production Rufino)</v>
      </c>
      <c r="X73" s="288" t="str">
        <f>IF([1]BDD!F63=0, "", [1]BDD!F63)</f>
        <v>OFFRE</v>
      </c>
      <c r="Y73" s="214">
        <f>ROUND([1]BDD!G63+FDP_CMD_KG, 2)</f>
        <v>5.65</v>
      </c>
      <c r="Z73" s="214">
        <f>ROUND([1]BDD!G63+FDP_FACT_KG, 2)</f>
        <v>5.65</v>
      </c>
      <c r="AA73" s="215" t="str">
        <f>[1]BDD!H63</f>
        <v>kg</v>
      </c>
      <c r="AB73" s="225">
        <f>IF(NOT(ISBLANK([1]BDD!I63)), ROUND(SUM(([1]BDD!G63*reduc1),FDP_CMD_KG), 2), "")</f>
        <v>5.18</v>
      </c>
      <c r="AC73" s="225">
        <f>IF(NOT(ISBLANK([1]BDD!J63)), ROUND(SUM(([1]BDD!G63*reduc2),FDP_CMD_KG), 2), "")</f>
        <v>4.7</v>
      </c>
      <c r="AD73" s="225" t="str">
        <f>IF(NOT(ISBLANK([1]BDD!K63)), ROUND(SUM(([1]BDD!G63*reduc3),FDP_CMD_KG), 2), "")</f>
        <v/>
      </c>
      <c r="AE73" s="225">
        <f>IF(NOT(ISBLANK([1]BDD!I63)), ROUND(SUM(([1]BDD!G63*reduc1),FDP_FACT_KG), 2), "")</f>
        <v>5.17</v>
      </c>
      <c r="AF73" s="225">
        <f>IF(NOT(ISBLANK([1]BDD!J63)), ROUND(SUM(([1]BDD!G63*reduc2),FDP_FACT_KG), 2), "")</f>
        <v>4.6900000000000004</v>
      </c>
      <c r="AG73" s="225" t="str">
        <f>IF(NOT(ISBLANK([1]BDD!K63)), ROUND(SUM(([1]BDD!G63*reduc3),FDP_FACT_KG), 2), "")</f>
        <v/>
      </c>
      <c r="AH73" s="289" t="str">
        <f>[1]BDD!C63</f>
        <v>Grenade</v>
      </c>
      <c r="AI73" s="290">
        <f t="shared" si="23"/>
        <v>0</v>
      </c>
      <c r="AJ73" s="216">
        <f t="shared" si="24"/>
        <v>4.7</v>
      </c>
      <c r="AK73" s="291">
        <f t="shared" si="25"/>
        <v>0</v>
      </c>
      <c r="AL73" s="429"/>
      <c r="AM73" s="292"/>
      <c r="AN73" s="216">
        <f t="shared" si="26"/>
        <v>5.65</v>
      </c>
      <c r="AO73" s="293">
        <f t="shared" si="27"/>
        <v>0</v>
      </c>
      <c r="AP73" s="294"/>
      <c r="AQ73" s="294"/>
      <c r="AR73" s="429"/>
      <c r="AS73" s="295">
        <f t="shared" si="28"/>
        <v>0</v>
      </c>
      <c r="AT73" s="216">
        <f t="shared" si="29"/>
        <v>5.65</v>
      </c>
      <c r="AU73" s="291">
        <f t="shared" si="1"/>
        <v>0</v>
      </c>
      <c r="AV73" s="296">
        <f>[1]COMMANDE!O71</f>
        <v>0</v>
      </c>
      <c r="AW73" s="297" t="str">
        <f t="shared" si="30"/>
        <v>0</v>
      </c>
      <c r="AX73" s="298">
        <f t="shared" si="31"/>
        <v>0</v>
      </c>
      <c r="AY73" s="299">
        <f>[1]COMMANDE!Q71</f>
        <v>0</v>
      </c>
      <c r="AZ73" s="297" t="str">
        <f t="shared" si="32"/>
        <v>0</v>
      </c>
      <c r="BA73" s="300">
        <f t="shared" si="33"/>
        <v>0</v>
      </c>
      <c r="BB73" s="301">
        <f>[1]COMMANDE!S71</f>
        <v>0</v>
      </c>
      <c r="BC73" s="297" t="str">
        <f t="shared" si="34"/>
        <v>0</v>
      </c>
      <c r="BD73" s="298">
        <f t="shared" si="35"/>
        <v>0</v>
      </c>
      <c r="BE73" s="299">
        <f>[1]COMMANDE!U71</f>
        <v>0</v>
      </c>
      <c r="BF73" s="297" t="str">
        <f t="shared" si="36"/>
        <v>0</v>
      </c>
      <c r="BG73" s="300">
        <f t="shared" si="37"/>
        <v>0</v>
      </c>
      <c r="BH73" s="301">
        <f>[1]COMMANDE!W71</f>
        <v>0</v>
      </c>
      <c r="BI73" s="297" t="str">
        <f t="shared" si="38"/>
        <v>0</v>
      </c>
      <c r="BJ73" s="298">
        <f t="shared" si="39"/>
        <v>0</v>
      </c>
      <c r="BK73" s="299">
        <f>[1]COMMANDE!Y71</f>
        <v>0</v>
      </c>
      <c r="BL73" s="297" t="str">
        <f t="shared" si="40"/>
        <v>0</v>
      </c>
      <c r="BM73" s="300">
        <f t="shared" si="41"/>
        <v>0</v>
      </c>
      <c r="BN73" s="301">
        <f>[1]COMMANDE!AA71</f>
        <v>0</v>
      </c>
      <c r="BO73" s="297" t="str">
        <f t="shared" si="42"/>
        <v>0</v>
      </c>
      <c r="BP73" s="298">
        <f t="shared" si="43"/>
        <v>0</v>
      </c>
      <c r="BQ73" s="299">
        <f>[1]COMMANDE!AC71</f>
        <v>0</v>
      </c>
      <c r="BR73" s="297" t="str">
        <f t="shared" si="44"/>
        <v>0</v>
      </c>
      <c r="BS73" s="300">
        <f t="shared" si="45"/>
        <v>0</v>
      </c>
      <c r="BT73" s="301">
        <f>[1]COMMANDE!AE71</f>
        <v>0</v>
      </c>
      <c r="BU73" s="297" t="str">
        <f t="shared" si="46"/>
        <v>0</v>
      </c>
      <c r="BV73" s="298">
        <f t="shared" si="47"/>
        <v>0</v>
      </c>
      <c r="BW73" s="299">
        <f>[1]COMMANDE!AG71</f>
        <v>0</v>
      </c>
      <c r="BX73" s="297" t="str">
        <f t="shared" si="48"/>
        <v>0</v>
      </c>
      <c r="BY73" s="300">
        <f t="shared" si="49"/>
        <v>0</v>
      </c>
      <c r="BZ73" s="301">
        <f>[1]COMMANDE!AI71</f>
        <v>0</v>
      </c>
      <c r="CA73" s="297" t="str">
        <f t="shared" si="50"/>
        <v>0</v>
      </c>
      <c r="CB73" s="298">
        <f t="shared" si="51"/>
        <v>0</v>
      </c>
      <c r="CC73" s="299">
        <f>[1]COMMANDE!AK71</f>
        <v>0</v>
      </c>
      <c r="CD73" s="297" t="str">
        <f t="shared" si="52"/>
        <v>0</v>
      </c>
      <c r="CE73" s="300">
        <f t="shared" si="53"/>
        <v>0</v>
      </c>
      <c r="CF73" s="301">
        <f>[1]COMMANDE!AM71</f>
        <v>0</v>
      </c>
      <c r="CG73" s="297" t="str">
        <f t="shared" si="54"/>
        <v>0</v>
      </c>
      <c r="CH73" s="298">
        <f t="shared" si="55"/>
        <v>0</v>
      </c>
      <c r="CI73" s="299">
        <f>[1]COMMANDE!AO71</f>
        <v>0</v>
      </c>
      <c r="CJ73" s="297" t="str">
        <f t="shared" si="56"/>
        <v>0</v>
      </c>
      <c r="CK73" s="300">
        <f t="shared" si="57"/>
        <v>0</v>
      </c>
      <c r="CL73" s="301">
        <f>[1]COMMANDE!AQ71</f>
        <v>0</v>
      </c>
      <c r="CM73" s="297" t="str">
        <f t="shared" si="58"/>
        <v>0</v>
      </c>
      <c r="CN73" s="298">
        <f t="shared" si="59"/>
        <v>0</v>
      </c>
      <c r="CO73" s="299">
        <f>[1]COMMANDE!AS71</f>
        <v>0</v>
      </c>
      <c r="CP73" s="297" t="str">
        <f t="shared" si="60"/>
        <v>0</v>
      </c>
      <c r="CQ73" s="300">
        <f t="shared" si="61"/>
        <v>0</v>
      </c>
      <c r="CR73" s="301">
        <f>[1]COMMANDE!AU71</f>
        <v>0</v>
      </c>
      <c r="CS73" s="297" t="str">
        <f t="shared" si="62"/>
        <v>0</v>
      </c>
      <c r="CT73" s="298">
        <f t="shared" si="63"/>
        <v>0</v>
      </c>
      <c r="CU73" s="299">
        <f>[1]COMMANDE!AW71</f>
        <v>0</v>
      </c>
      <c r="CV73" s="297" t="str">
        <f t="shared" si="64"/>
        <v>0</v>
      </c>
      <c r="CW73" s="300">
        <f t="shared" si="65"/>
        <v>0</v>
      </c>
      <c r="CX73" s="301">
        <f>[1]COMMANDE!AY71</f>
        <v>0</v>
      </c>
      <c r="CY73" s="297" t="str">
        <f t="shared" si="66"/>
        <v>0</v>
      </c>
      <c r="CZ73" s="298">
        <f t="shared" si="67"/>
        <v>0</v>
      </c>
      <c r="DA73" s="299">
        <f>[1]COMMANDE!BA71</f>
        <v>0</v>
      </c>
      <c r="DB73" s="297" t="str">
        <f t="shared" si="68"/>
        <v>0</v>
      </c>
      <c r="DC73" s="302">
        <f t="shared" si="69"/>
        <v>0</v>
      </c>
      <c r="DD73" s="303"/>
      <c r="DE73" s="304"/>
    </row>
    <row r="74" spans="1:109" ht="39.950000000000003" customHeight="1" x14ac:dyDescent="0.25">
      <c r="A74" s="284">
        <f t="shared" si="2"/>
        <v>0</v>
      </c>
      <c r="B74" s="284">
        <f t="shared" si="3"/>
        <v>0</v>
      </c>
      <c r="C74" s="284">
        <f t="shared" si="4"/>
        <v>0</v>
      </c>
      <c r="D74" s="284">
        <f t="shared" si="5"/>
        <v>0</v>
      </c>
      <c r="E74" s="284">
        <f t="shared" si="6"/>
        <v>0</v>
      </c>
      <c r="F74" s="284">
        <f t="shared" si="7"/>
        <v>0</v>
      </c>
      <c r="G74" s="284">
        <f t="shared" si="8"/>
        <v>0</v>
      </c>
      <c r="H74" s="284">
        <f t="shared" si="9"/>
        <v>0</v>
      </c>
      <c r="I74" s="284">
        <f t="shared" si="10"/>
        <v>0</v>
      </c>
      <c r="J74" s="284">
        <f t="shared" si="11"/>
        <v>0</v>
      </c>
      <c r="K74" s="284">
        <f t="shared" si="12"/>
        <v>0</v>
      </c>
      <c r="L74" s="284">
        <f t="shared" si="13"/>
        <v>0</v>
      </c>
      <c r="M74" s="284">
        <f t="shared" si="14"/>
        <v>0</v>
      </c>
      <c r="N74" s="284">
        <f t="shared" si="15"/>
        <v>0</v>
      </c>
      <c r="O74" s="284">
        <f t="shared" si="16"/>
        <v>0</v>
      </c>
      <c r="P74" s="284">
        <f t="shared" si="17"/>
        <v>0</v>
      </c>
      <c r="Q74" s="284">
        <f t="shared" si="18"/>
        <v>0</v>
      </c>
      <c r="R74" s="284">
        <f t="shared" si="19"/>
        <v>0</v>
      </c>
      <c r="S74" s="284">
        <f t="shared" si="20"/>
        <v>0</v>
      </c>
      <c r="T74" s="284">
        <f t="shared" si="21"/>
        <v>0</v>
      </c>
      <c r="U74" s="285">
        <f t="shared" si="22"/>
        <v>0</v>
      </c>
      <c r="V74" s="286">
        <f>[1]BDD!A64</f>
        <v>1006</v>
      </c>
      <c r="W74" s="287" t="str">
        <f>[1]BDD!B64</f>
        <v>Chou vert BIO</v>
      </c>
      <c r="X74" s="288" t="str">
        <f>IF([1]BDD!F64=0, "", [1]BDD!F64)</f>
        <v/>
      </c>
      <c r="Y74" s="214">
        <f>ROUND([1]BDD!G64+FDP_CMD_KG, 2)</f>
        <v>4.01</v>
      </c>
      <c r="Z74" s="214">
        <f>ROUND([1]BDD!G64+FDP_FACT_KG, 2)</f>
        <v>4.01</v>
      </c>
      <c r="AA74" s="215" t="str">
        <f>[1]BDD!H64</f>
        <v>kg</v>
      </c>
      <c r="AB74" s="225">
        <f>IF(NOT(ISBLANK([1]BDD!I64)), ROUND(SUM(([1]BDD!G64*reduc1),FDP_CMD_KG), 2), "")</f>
        <v>3.7</v>
      </c>
      <c r="AC74" s="225" t="str">
        <f>IF(NOT(ISBLANK([1]BDD!J64)), ROUND(SUM(([1]BDD!G64*reduc2),FDP_CMD_KG), 2), "")</f>
        <v/>
      </c>
      <c r="AD74" s="225" t="str">
        <f>IF(NOT(ISBLANK([1]BDD!K64)), ROUND(SUM(([1]BDD!G64*reduc3),FDP_CMD_KG), 2), "")</f>
        <v/>
      </c>
      <c r="AE74" s="225">
        <f>IF(NOT(ISBLANK([1]BDD!I64)), ROUND(SUM(([1]BDD!G64*reduc1),FDP_FACT_KG), 2), "")</f>
        <v>3.69</v>
      </c>
      <c r="AF74" s="225" t="str">
        <f>IF(NOT(ISBLANK([1]BDD!J64)), ROUND(SUM(([1]BDD!G64*reduc2),FDP_FACT_KG), 2), "")</f>
        <v/>
      </c>
      <c r="AG74" s="225" t="str">
        <f>IF(NOT(ISBLANK([1]BDD!K64)), ROUND(SUM(([1]BDD!G64*reduc3),FDP_FACT_KG), 2), "")</f>
        <v/>
      </c>
      <c r="AH74" s="289" t="str">
        <f>[1]BDD!C64</f>
        <v>Malaga</v>
      </c>
      <c r="AI74" s="290">
        <f t="shared" si="23"/>
        <v>0</v>
      </c>
      <c r="AJ74" s="216">
        <f t="shared" si="24"/>
        <v>3.7</v>
      </c>
      <c r="AK74" s="291">
        <f t="shared" si="25"/>
        <v>0</v>
      </c>
      <c r="AL74" s="429"/>
      <c r="AM74" s="292"/>
      <c r="AN74" s="216">
        <f t="shared" si="26"/>
        <v>4.01</v>
      </c>
      <c r="AO74" s="293">
        <f t="shared" si="27"/>
        <v>0</v>
      </c>
      <c r="AP74" s="294"/>
      <c r="AQ74" s="294"/>
      <c r="AR74" s="429"/>
      <c r="AS74" s="295">
        <f t="shared" si="28"/>
        <v>0</v>
      </c>
      <c r="AT74" s="216">
        <f t="shared" si="29"/>
        <v>4.01</v>
      </c>
      <c r="AU74" s="291">
        <f t="shared" si="1"/>
        <v>0</v>
      </c>
      <c r="AV74" s="296">
        <f>[1]COMMANDE!O72</f>
        <v>0</v>
      </c>
      <c r="AW74" s="297" t="str">
        <f t="shared" si="30"/>
        <v>0</v>
      </c>
      <c r="AX74" s="298">
        <f t="shared" si="31"/>
        <v>0</v>
      </c>
      <c r="AY74" s="299">
        <f>[1]COMMANDE!Q72</f>
        <v>0</v>
      </c>
      <c r="AZ74" s="297" t="str">
        <f t="shared" si="32"/>
        <v>0</v>
      </c>
      <c r="BA74" s="300">
        <f t="shared" si="33"/>
        <v>0</v>
      </c>
      <c r="BB74" s="301">
        <f>[1]COMMANDE!S72</f>
        <v>0</v>
      </c>
      <c r="BC74" s="297" t="str">
        <f t="shared" si="34"/>
        <v>0</v>
      </c>
      <c r="BD74" s="298">
        <f t="shared" si="35"/>
        <v>0</v>
      </c>
      <c r="BE74" s="299">
        <f>[1]COMMANDE!U72</f>
        <v>0</v>
      </c>
      <c r="BF74" s="297" t="str">
        <f t="shared" si="36"/>
        <v>0</v>
      </c>
      <c r="BG74" s="300">
        <f t="shared" si="37"/>
        <v>0</v>
      </c>
      <c r="BH74" s="301">
        <f>[1]COMMANDE!W72</f>
        <v>0</v>
      </c>
      <c r="BI74" s="297" t="str">
        <f t="shared" si="38"/>
        <v>0</v>
      </c>
      <c r="BJ74" s="298">
        <f t="shared" si="39"/>
        <v>0</v>
      </c>
      <c r="BK74" s="299">
        <f>[1]COMMANDE!Y72</f>
        <v>0</v>
      </c>
      <c r="BL74" s="297" t="str">
        <f t="shared" si="40"/>
        <v>0</v>
      </c>
      <c r="BM74" s="300">
        <f t="shared" si="41"/>
        <v>0</v>
      </c>
      <c r="BN74" s="301">
        <f>[1]COMMANDE!AA72</f>
        <v>0</v>
      </c>
      <c r="BO74" s="297" t="str">
        <f t="shared" si="42"/>
        <v>0</v>
      </c>
      <c r="BP74" s="298">
        <f t="shared" si="43"/>
        <v>0</v>
      </c>
      <c r="BQ74" s="299">
        <f>[1]COMMANDE!AC72</f>
        <v>0</v>
      </c>
      <c r="BR74" s="297" t="str">
        <f t="shared" si="44"/>
        <v>0</v>
      </c>
      <c r="BS74" s="300">
        <f t="shared" si="45"/>
        <v>0</v>
      </c>
      <c r="BT74" s="301">
        <f>[1]COMMANDE!AE72</f>
        <v>0</v>
      </c>
      <c r="BU74" s="297" t="str">
        <f t="shared" si="46"/>
        <v>0</v>
      </c>
      <c r="BV74" s="298">
        <f t="shared" si="47"/>
        <v>0</v>
      </c>
      <c r="BW74" s="299">
        <f>[1]COMMANDE!AG72</f>
        <v>0</v>
      </c>
      <c r="BX74" s="297" t="str">
        <f t="shared" si="48"/>
        <v>0</v>
      </c>
      <c r="BY74" s="300">
        <f t="shared" si="49"/>
        <v>0</v>
      </c>
      <c r="BZ74" s="301">
        <f>[1]COMMANDE!AI72</f>
        <v>0</v>
      </c>
      <c r="CA74" s="297" t="str">
        <f t="shared" si="50"/>
        <v>0</v>
      </c>
      <c r="CB74" s="298">
        <f t="shared" si="51"/>
        <v>0</v>
      </c>
      <c r="CC74" s="299">
        <f>[1]COMMANDE!AK72</f>
        <v>0</v>
      </c>
      <c r="CD74" s="297" t="str">
        <f t="shared" si="52"/>
        <v>0</v>
      </c>
      <c r="CE74" s="300">
        <f t="shared" si="53"/>
        <v>0</v>
      </c>
      <c r="CF74" s="301">
        <f>[1]COMMANDE!AM72</f>
        <v>0</v>
      </c>
      <c r="CG74" s="297" t="str">
        <f t="shared" si="54"/>
        <v>0</v>
      </c>
      <c r="CH74" s="298">
        <f t="shared" si="55"/>
        <v>0</v>
      </c>
      <c r="CI74" s="299">
        <f>[1]COMMANDE!AO72</f>
        <v>0</v>
      </c>
      <c r="CJ74" s="297" t="str">
        <f t="shared" si="56"/>
        <v>0</v>
      </c>
      <c r="CK74" s="300">
        <f t="shared" si="57"/>
        <v>0</v>
      </c>
      <c r="CL74" s="301">
        <f>[1]COMMANDE!AQ72</f>
        <v>0</v>
      </c>
      <c r="CM74" s="297" t="str">
        <f t="shared" si="58"/>
        <v>0</v>
      </c>
      <c r="CN74" s="298">
        <f t="shared" si="59"/>
        <v>0</v>
      </c>
      <c r="CO74" s="299">
        <f>[1]COMMANDE!AS72</f>
        <v>0</v>
      </c>
      <c r="CP74" s="297" t="str">
        <f t="shared" si="60"/>
        <v>0</v>
      </c>
      <c r="CQ74" s="300">
        <f t="shared" si="61"/>
        <v>0</v>
      </c>
      <c r="CR74" s="301">
        <f>[1]COMMANDE!AU72</f>
        <v>0</v>
      </c>
      <c r="CS74" s="297" t="str">
        <f t="shared" si="62"/>
        <v>0</v>
      </c>
      <c r="CT74" s="298">
        <f t="shared" si="63"/>
        <v>0</v>
      </c>
      <c r="CU74" s="299">
        <f>[1]COMMANDE!AW72</f>
        <v>0</v>
      </c>
      <c r="CV74" s="297" t="str">
        <f t="shared" si="64"/>
        <v>0</v>
      </c>
      <c r="CW74" s="300">
        <f t="shared" si="65"/>
        <v>0</v>
      </c>
      <c r="CX74" s="301">
        <f>[1]COMMANDE!AY72</f>
        <v>0</v>
      </c>
      <c r="CY74" s="297" t="str">
        <f t="shared" si="66"/>
        <v>0</v>
      </c>
      <c r="CZ74" s="298">
        <f t="shared" si="67"/>
        <v>0</v>
      </c>
      <c r="DA74" s="299">
        <f>[1]COMMANDE!BA72</f>
        <v>0</v>
      </c>
      <c r="DB74" s="297" t="str">
        <f t="shared" si="68"/>
        <v>0</v>
      </c>
      <c r="DC74" s="302">
        <f t="shared" si="69"/>
        <v>0</v>
      </c>
      <c r="DD74" s="303"/>
      <c r="DE74" s="304"/>
    </row>
    <row r="75" spans="1:109" ht="39.950000000000003" customHeight="1" x14ac:dyDescent="0.25">
      <c r="A75" s="284">
        <f t="shared" si="2"/>
        <v>0</v>
      </c>
      <c r="B75" s="284">
        <f t="shared" si="3"/>
        <v>0</v>
      </c>
      <c r="C75" s="284">
        <f t="shared" si="4"/>
        <v>0</v>
      </c>
      <c r="D75" s="284">
        <f t="shared" si="5"/>
        <v>0</v>
      </c>
      <c r="E75" s="284">
        <f t="shared" si="6"/>
        <v>0</v>
      </c>
      <c r="F75" s="284">
        <f t="shared" si="7"/>
        <v>0</v>
      </c>
      <c r="G75" s="284">
        <f t="shared" si="8"/>
        <v>0</v>
      </c>
      <c r="H75" s="284">
        <f t="shared" si="9"/>
        <v>0</v>
      </c>
      <c r="I75" s="284">
        <f t="shared" si="10"/>
        <v>0</v>
      </c>
      <c r="J75" s="284">
        <f t="shared" si="11"/>
        <v>0</v>
      </c>
      <c r="K75" s="284">
        <f t="shared" si="12"/>
        <v>0</v>
      </c>
      <c r="L75" s="284">
        <f t="shared" si="13"/>
        <v>0</v>
      </c>
      <c r="M75" s="284">
        <f t="shared" si="14"/>
        <v>0</v>
      </c>
      <c r="N75" s="284">
        <f t="shared" si="15"/>
        <v>0</v>
      </c>
      <c r="O75" s="284">
        <f t="shared" si="16"/>
        <v>0</v>
      </c>
      <c r="P75" s="284">
        <f t="shared" si="17"/>
        <v>0</v>
      </c>
      <c r="Q75" s="284">
        <f t="shared" si="18"/>
        <v>0</v>
      </c>
      <c r="R75" s="284">
        <f t="shared" si="19"/>
        <v>0</v>
      </c>
      <c r="S75" s="284">
        <f t="shared" si="20"/>
        <v>0</v>
      </c>
      <c r="T75" s="284">
        <f t="shared" si="21"/>
        <v>0</v>
      </c>
      <c r="U75" s="285">
        <f t="shared" si="22"/>
        <v>0</v>
      </c>
      <c r="V75" s="286">
        <f>[1]BDD!A65</f>
        <v>4125</v>
      </c>
      <c r="W75" s="287" t="str">
        <f>[1]BDD!B65</f>
        <v>Chufa mix Classic Vegan Milker (pour lait végétal)</v>
      </c>
      <c r="X75" s="288" t="str">
        <f>IF([1]BDD!F65=0, "", [1]BDD!F65)</f>
        <v/>
      </c>
      <c r="Y75" s="214">
        <f>ROUND([1]BDD!G65+FDP_CMD_KG, 2)</f>
        <v>41.52</v>
      </c>
      <c r="Z75" s="214">
        <f>ROUND([1]BDD!G65+FDP_FACT_KG, 2)</f>
        <v>41.52</v>
      </c>
      <c r="AA75" s="215" t="str">
        <f>[1]BDD!H65</f>
        <v>Pièce</v>
      </c>
      <c r="AB75" s="225" t="str">
        <f>IF(NOT(ISBLANK([1]BDD!I65)), ROUND(SUM(([1]BDD!G65*reduc1),FDP_CMD_KG), 2), "")</f>
        <v/>
      </c>
      <c r="AC75" s="225" t="str">
        <f>IF(NOT(ISBLANK([1]BDD!J65)), ROUND(SUM(([1]BDD!G65*reduc2),FDP_CMD_KG), 2), "")</f>
        <v/>
      </c>
      <c r="AD75" s="225" t="str">
        <f>IF(NOT(ISBLANK([1]BDD!K65)), ROUND(SUM(([1]BDD!G65*reduc3),FDP_CMD_KG), 2), "")</f>
        <v/>
      </c>
      <c r="AE75" s="225" t="str">
        <f>IF(NOT(ISBLANK([1]BDD!I65)), ROUND(SUM(([1]BDD!G65*reduc1),FDP_FACT_KG), 2), "")</f>
        <v/>
      </c>
      <c r="AF75" s="225" t="str">
        <f>IF(NOT(ISBLANK([1]BDD!J65)), ROUND(SUM(([1]BDD!G65*reduc2),FDP_FACT_KG), 2), "")</f>
        <v/>
      </c>
      <c r="AG75" s="225" t="str">
        <f>IF(NOT(ISBLANK([1]BDD!K65)), ROUND(SUM(([1]BDD!G65*reduc3),FDP_FACT_KG), 2), "")</f>
        <v/>
      </c>
      <c r="AH75" s="289" t="str">
        <f>[1]BDD!C65</f>
        <v>National</v>
      </c>
      <c r="AI75" s="290">
        <f t="shared" si="23"/>
        <v>0</v>
      </c>
      <c r="AJ75" s="216">
        <f t="shared" si="24"/>
        <v>41.52</v>
      </c>
      <c r="AK75" s="291">
        <f t="shared" si="25"/>
        <v>0</v>
      </c>
      <c r="AL75" s="429"/>
      <c r="AM75" s="292"/>
      <c r="AN75" s="216">
        <f t="shared" si="26"/>
        <v>41.52</v>
      </c>
      <c r="AO75" s="293">
        <f t="shared" si="27"/>
        <v>0</v>
      </c>
      <c r="AP75" s="294"/>
      <c r="AQ75" s="294"/>
      <c r="AR75" s="429"/>
      <c r="AS75" s="295">
        <f t="shared" si="28"/>
        <v>0</v>
      </c>
      <c r="AT75" s="216">
        <f t="shared" si="29"/>
        <v>41.52</v>
      </c>
      <c r="AU75" s="291">
        <f t="shared" si="1"/>
        <v>0</v>
      </c>
      <c r="AV75" s="296">
        <f>[1]COMMANDE!O73</f>
        <v>0</v>
      </c>
      <c r="AW75" s="297" t="str">
        <f t="shared" si="30"/>
        <v>0</v>
      </c>
      <c r="AX75" s="298">
        <f t="shared" si="31"/>
        <v>0</v>
      </c>
      <c r="AY75" s="299">
        <f>[1]COMMANDE!Q73</f>
        <v>0</v>
      </c>
      <c r="AZ75" s="297" t="str">
        <f t="shared" si="32"/>
        <v>0</v>
      </c>
      <c r="BA75" s="300">
        <f t="shared" si="33"/>
        <v>0</v>
      </c>
      <c r="BB75" s="301">
        <f>[1]COMMANDE!S73</f>
        <v>0</v>
      </c>
      <c r="BC75" s="297" t="str">
        <f t="shared" si="34"/>
        <v>0</v>
      </c>
      <c r="BD75" s="298">
        <f t="shared" si="35"/>
        <v>0</v>
      </c>
      <c r="BE75" s="299">
        <f>[1]COMMANDE!U73</f>
        <v>0</v>
      </c>
      <c r="BF75" s="297" t="str">
        <f t="shared" si="36"/>
        <v>0</v>
      </c>
      <c r="BG75" s="300">
        <f t="shared" si="37"/>
        <v>0</v>
      </c>
      <c r="BH75" s="301">
        <f>[1]COMMANDE!W73</f>
        <v>0</v>
      </c>
      <c r="BI75" s="297" t="str">
        <f t="shared" si="38"/>
        <v>0</v>
      </c>
      <c r="BJ75" s="298">
        <f t="shared" si="39"/>
        <v>0</v>
      </c>
      <c r="BK75" s="299">
        <f>[1]COMMANDE!Y73</f>
        <v>0</v>
      </c>
      <c r="BL75" s="297" t="str">
        <f t="shared" si="40"/>
        <v>0</v>
      </c>
      <c r="BM75" s="300">
        <f t="shared" si="41"/>
        <v>0</v>
      </c>
      <c r="BN75" s="301">
        <f>[1]COMMANDE!AA73</f>
        <v>0</v>
      </c>
      <c r="BO75" s="297" t="str">
        <f t="shared" si="42"/>
        <v>0</v>
      </c>
      <c r="BP75" s="298">
        <f t="shared" si="43"/>
        <v>0</v>
      </c>
      <c r="BQ75" s="299">
        <f>[1]COMMANDE!AC73</f>
        <v>0</v>
      </c>
      <c r="BR75" s="297" t="str">
        <f t="shared" si="44"/>
        <v>0</v>
      </c>
      <c r="BS75" s="300">
        <f t="shared" si="45"/>
        <v>0</v>
      </c>
      <c r="BT75" s="301">
        <f>[1]COMMANDE!AE73</f>
        <v>0</v>
      </c>
      <c r="BU75" s="297" t="str">
        <f t="shared" si="46"/>
        <v>0</v>
      </c>
      <c r="BV75" s="298">
        <f t="shared" si="47"/>
        <v>0</v>
      </c>
      <c r="BW75" s="299">
        <f>[1]COMMANDE!AG73</f>
        <v>0</v>
      </c>
      <c r="BX75" s="297" t="str">
        <f t="shared" si="48"/>
        <v>0</v>
      </c>
      <c r="BY75" s="300">
        <f t="shared" si="49"/>
        <v>0</v>
      </c>
      <c r="BZ75" s="301">
        <f>[1]COMMANDE!AI73</f>
        <v>0</v>
      </c>
      <c r="CA75" s="297" t="str">
        <f t="shared" si="50"/>
        <v>0</v>
      </c>
      <c r="CB75" s="298">
        <f t="shared" si="51"/>
        <v>0</v>
      </c>
      <c r="CC75" s="299">
        <f>[1]COMMANDE!AK73</f>
        <v>0</v>
      </c>
      <c r="CD75" s="297" t="str">
        <f t="shared" si="52"/>
        <v>0</v>
      </c>
      <c r="CE75" s="300">
        <f t="shared" si="53"/>
        <v>0</v>
      </c>
      <c r="CF75" s="301">
        <f>[1]COMMANDE!AM73</f>
        <v>0</v>
      </c>
      <c r="CG75" s="297" t="str">
        <f t="shared" si="54"/>
        <v>0</v>
      </c>
      <c r="CH75" s="298">
        <f t="shared" si="55"/>
        <v>0</v>
      </c>
      <c r="CI75" s="299">
        <f>[1]COMMANDE!AO73</f>
        <v>0</v>
      </c>
      <c r="CJ75" s="297" t="str">
        <f t="shared" si="56"/>
        <v>0</v>
      </c>
      <c r="CK75" s="300">
        <f t="shared" si="57"/>
        <v>0</v>
      </c>
      <c r="CL75" s="301">
        <f>[1]COMMANDE!AQ73</f>
        <v>0</v>
      </c>
      <c r="CM75" s="297" t="str">
        <f t="shared" si="58"/>
        <v>0</v>
      </c>
      <c r="CN75" s="298">
        <f t="shared" si="59"/>
        <v>0</v>
      </c>
      <c r="CO75" s="299">
        <f>[1]COMMANDE!AS73</f>
        <v>0</v>
      </c>
      <c r="CP75" s="297" t="str">
        <f t="shared" si="60"/>
        <v>0</v>
      </c>
      <c r="CQ75" s="300">
        <f t="shared" si="61"/>
        <v>0</v>
      </c>
      <c r="CR75" s="301">
        <f>[1]COMMANDE!AU73</f>
        <v>0</v>
      </c>
      <c r="CS75" s="297" t="str">
        <f t="shared" si="62"/>
        <v>0</v>
      </c>
      <c r="CT75" s="298">
        <f t="shared" si="63"/>
        <v>0</v>
      </c>
      <c r="CU75" s="299">
        <f>[1]COMMANDE!AW73</f>
        <v>0</v>
      </c>
      <c r="CV75" s="297" t="str">
        <f t="shared" si="64"/>
        <v>0</v>
      </c>
      <c r="CW75" s="300">
        <f t="shared" si="65"/>
        <v>0</v>
      </c>
      <c r="CX75" s="301">
        <f>[1]COMMANDE!AY73</f>
        <v>0</v>
      </c>
      <c r="CY75" s="297" t="str">
        <f t="shared" si="66"/>
        <v>0</v>
      </c>
      <c r="CZ75" s="298">
        <f t="shared" si="67"/>
        <v>0</v>
      </c>
      <c r="DA75" s="299">
        <f>[1]COMMANDE!BA73</f>
        <v>0</v>
      </c>
      <c r="DB75" s="297" t="str">
        <f t="shared" si="68"/>
        <v>0</v>
      </c>
      <c r="DC75" s="302">
        <f t="shared" si="69"/>
        <v>0</v>
      </c>
      <c r="DD75" s="303"/>
      <c r="DE75" s="304"/>
    </row>
    <row r="76" spans="1:109" ht="39.950000000000003" customHeight="1" x14ac:dyDescent="0.25">
      <c r="A76" s="284">
        <f t="shared" si="2"/>
        <v>0</v>
      </c>
      <c r="B76" s="284">
        <f t="shared" si="3"/>
        <v>0</v>
      </c>
      <c r="C76" s="284">
        <f t="shared" si="4"/>
        <v>0</v>
      </c>
      <c r="D76" s="284">
        <f t="shared" si="5"/>
        <v>0</v>
      </c>
      <c r="E76" s="284">
        <f t="shared" si="6"/>
        <v>0</v>
      </c>
      <c r="F76" s="284">
        <f t="shared" si="7"/>
        <v>0</v>
      </c>
      <c r="G76" s="284">
        <f t="shared" si="8"/>
        <v>0</v>
      </c>
      <c r="H76" s="284">
        <f t="shared" si="9"/>
        <v>0</v>
      </c>
      <c r="I76" s="284">
        <f t="shared" si="10"/>
        <v>0</v>
      </c>
      <c r="J76" s="284">
        <f t="shared" si="11"/>
        <v>0</v>
      </c>
      <c r="K76" s="284">
        <f t="shared" si="12"/>
        <v>0</v>
      </c>
      <c r="L76" s="284">
        <f t="shared" si="13"/>
        <v>0</v>
      </c>
      <c r="M76" s="284">
        <f t="shared" si="14"/>
        <v>0</v>
      </c>
      <c r="N76" s="284">
        <f t="shared" si="15"/>
        <v>0</v>
      </c>
      <c r="O76" s="284">
        <f t="shared" si="16"/>
        <v>0</v>
      </c>
      <c r="P76" s="284">
        <f t="shared" si="17"/>
        <v>0</v>
      </c>
      <c r="Q76" s="284">
        <f t="shared" si="18"/>
        <v>0</v>
      </c>
      <c r="R76" s="284">
        <f t="shared" si="19"/>
        <v>0</v>
      </c>
      <c r="S76" s="284">
        <f t="shared" si="20"/>
        <v>0</v>
      </c>
      <c r="T76" s="284">
        <f t="shared" si="21"/>
        <v>0</v>
      </c>
      <c r="U76" s="285">
        <f t="shared" si="22"/>
        <v>0</v>
      </c>
      <c r="V76" s="286">
        <f>[1]BDD!A66</f>
        <v>5037</v>
      </c>
      <c r="W76" s="287" t="str">
        <f>[1]BDD!B66</f>
        <v>Citron Caviar (culture naturelle, plateau 200g)</v>
      </c>
      <c r="X76" s="288" t="str">
        <f>IF([1]BDD!F66=0, "", [1]BDD!F66)</f>
        <v>❤️ OFFRE</v>
      </c>
      <c r="Y76" s="214">
        <f>ROUND([1]BDD!G66+FDP_CMD_KG, 2)</f>
        <v>7.69</v>
      </c>
      <c r="Z76" s="214">
        <f>ROUND([1]BDD!G66+FDP_FACT_KG, 2)</f>
        <v>7.69</v>
      </c>
      <c r="AA76" s="215" t="str">
        <f>[1]BDD!H66</f>
        <v>Pièce</v>
      </c>
      <c r="AB76" s="225" t="str">
        <f>IF(NOT(ISBLANK([1]BDD!I66)), ROUND(SUM(([1]BDD!G66*reduc1),FDP_CMD_KG), 2), "")</f>
        <v/>
      </c>
      <c r="AC76" s="225" t="str">
        <f>IF(NOT(ISBLANK([1]BDD!J66)), ROUND(SUM(([1]BDD!G66*reduc2),FDP_CMD_KG), 2), "")</f>
        <v/>
      </c>
      <c r="AD76" s="225" t="str">
        <f>IF(NOT(ISBLANK([1]BDD!K66)), ROUND(SUM(([1]BDD!G66*reduc3),FDP_CMD_KG), 2), "")</f>
        <v/>
      </c>
      <c r="AE76" s="225" t="str">
        <f>IF(NOT(ISBLANK([1]BDD!I66)), ROUND(SUM(([1]BDD!G66*reduc1),FDP_FACT_KG), 2), "")</f>
        <v/>
      </c>
      <c r="AF76" s="225" t="str">
        <f>IF(NOT(ISBLANK([1]BDD!J66)), ROUND(SUM(([1]BDD!G66*reduc2),FDP_FACT_KG), 2), "")</f>
        <v/>
      </c>
      <c r="AG76" s="225" t="str">
        <f>IF(NOT(ISBLANK([1]BDD!K66)), ROUND(SUM(([1]BDD!G66*reduc3),FDP_FACT_KG), 2), "")</f>
        <v/>
      </c>
      <c r="AH76" s="289" t="str">
        <f>[1]BDD!C66</f>
        <v>Salobrena</v>
      </c>
      <c r="AI76" s="290">
        <f t="shared" si="23"/>
        <v>0</v>
      </c>
      <c r="AJ76" s="216">
        <f t="shared" si="24"/>
        <v>7.69</v>
      </c>
      <c r="AK76" s="291">
        <f t="shared" si="25"/>
        <v>0</v>
      </c>
      <c r="AL76" s="429"/>
      <c r="AM76" s="292"/>
      <c r="AN76" s="216">
        <f t="shared" si="26"/>
        <v>7.69</v>
      </c>
      <c r="AO76" s="293">
        <f t="shared" si="27"/>
        <v>0</v>
      </c>
      <c r="AP76" s="294"/>
      <c r="AQ76" s="294"/>
      <c r="AR76" s="429"/>
      <c r="AS76" s="295">
        <f t="shared" si="28"/>
        <v>0</v>
      </c>
      <c r="AT76" s="216">
        <f t="shared" si="29"/>
        <v>7.69</v>
      </c>
      <c r="AU76" s="291">
        <f t="shared" ref="AU76:AU139" si="70">$AS76*$AT76</f>
        <v>0</v>
      </c>
      <c r="AV76" s="296">
        <f>[1]COMMANDE!O74</f>
        <v>0</v>
      </c>
      <c r="AW76" s="297" t="str">
        <f t="shared" si="30"/>
        <v>0</v>
      </c>
      <c r="AX76" s="298">
        <f t="shared" si="31"/>
        <v>0</v>
      </c>
      <c r="AY76" s="299">
        <f>[1]COMMANDE!Q74</f>
        <v>0</v>
      </c>
      <c r="AZ76" s="297" t="str">
        <f t="shared" si="32"/>
        <v>0</v>
      </c>
      <c r="BA76" s="300">
        <f t="shared" si="33"/>
        <v>0</v>
      </c>
      <c r="BB76" s="301">
        <f>[1]COMMANDE!S74</f>
        <v>0</v>
      </c>
      <c r="BC76" s="297" t="str">
        <f t="shared" si="34"/>
        <v>0</v>
      </c>
      <c r="BD76" s="298">
        <f t="shared" si="35"/>
        <v>0</v>
      </c>
      <c r="BE76" s="299">
        <f>[1]COMMANDE!U74</f>
        <v>0</v>
      </c>
      <c r="BF76" s="297" t="str">
        <f t="shared" si="36"/>
        <v>0</v>
      </c>
      <c r="BG76" s="300">
        <f t="shared" si="37"/>
        <v>0</v>
      </c>
      <c r="BH76" s="301">
        <f>[1]COMMANDE!W74</f>
        <v>0</v>
      </c>
      <c r="BI76" s="297" t="str">
        <f t="shared" si="38"/>
        <v>0</v>
      </c>
      <c r="BJ76" s="298">
        <f t="shared" si="39"/>
        <v>0</v>
      </c>
      <c r="BK76" s="299">
        <f>[1]COMMANDE!Y74</f>
        <v>0</v>
      </c>
      <c r="BL76" s="297" t="str">
        <f t="shared" si="40"/>
        <v>0</v>
      </c>
      <c r="BM76" s="300">
        <f t="shared" si="41"/>
        <v>0</v>
      </c>
      <c r="BN76" s="301">
        <f>[1]COMMANDE!AA74</f>
        <v>0</v>
      </c>
      <c r="BO76" s="297" t="str">
        <f t="shared" si="42"/>
        <v>0</v>
      </c>
      <c r="BP76" s="298">
        <f t="shared" si="43"/>
        <v>0</v>
      </c>
      <c r="BQ76" s="299">
        <f>[1]COMMANDE!AC74</f>
        <v>0</v>
      </c>
      <c r="BR76" s="297" t="str">
        <f t="shared" si="44"/>
        <v>0</v>
      </c>
      <c r="BS76" s="300">
        <f t="shared" si="45"/>
        <v>0</v>
      </c>
      <c r="BT76" s="301">
        <f>[1]COMMANDE!AE74</f>
        <v>0</v>
      </c>
      <c r="BU76" s="297" t="str">
        <f t="shared" si="46"/>
        <v>0</v>
      </c>
      <c r="BV76" s="298">
        <f t="shared" si="47"/>
        <v>0</v>
      </c>
      <c r="BW76" s="299">
        <f>[1]COMMANDE!AG74</f>
        <v>0</v>
      </c>
      <c r="BX76" s="297" t="str">
        <f t="shared" si="48"/>
        <v>0</v>
      </c>
      <c r="BY76" s="300">
        <f t="shared" si="49"/>
        <v>0</v>
      </c>
      <c r="BZ76" s="301">
        <f>[1]COMMANDE!AI74</f>
        <v>0</v>
      </c>
      <c r="CA76" s="297" t="str">
        <f t="shared" si="50"/>
        <v>0</v>
      </c>
      <c r="CB76" s="298">
        <f t="shared" si="51"/>
        <v>0</v>
      </c>
      <c r="CC76" s="299">
        <f>[1]COMMANDE!AK74</f>
        <v>0</v>
      </c>
      <c r="CD76" s="297" t="str">
        <f t="shared" si="52"/>
        <v>0</v>
      </c>
      <c r="CE76" s="300">
        <f t="shared" si="53"/>
        <v>0</v>
      </c>
      <c r="CF76" s="301">
        <f>[1]COMMANDE!AM74</f>
        <v>0</v>
      </c>
      <c r="CG76" s="297" t="str">
        <f t="shared" si="54"/>
        <v>0</v>
      </c>
      <c r="CH76" s="298">
        <f t="shared" si="55"/>
        <v>0</v>
      </c>
      <c r="CI76" s="299">
        <f>[1]COMMANDE!AO74</f>
        <v>0</v>
      </c>
      <c r="CJ76" s="297" t="str">
        <f t="shared" si="56"/>
        <v>0</v>
      </c>
      <c r="CK76" s="300">
        <f t="shared" si="57"/>
        <v>0</v>
      </c>
      <c r="CL76" s="301">
        <f>[1]COMMANDE!AQ74</f>
        <v>0</v>
      </c>
      <c r="CM76" s="297" t="str">
        <f t="shared" si="58"/>
        <v>0</v>
      </c>
      <c r="CN76" s="298">
        <f t="shared" si="59"/>
        <v>0</v>
      </c>
      <c r="CO76" s="299">
        <f>[1]COMMANDE!AS74</f>
        <v>0</v>
      </c>
      <c r="CP76" s="297" t="str">
        <f t="shared" si="60"/>
        <v>0</v>
      </c>
      <c r="CQ76" s="300">
        <f t="shared" si="61"/>
        <v>0</v>
      </c>
      <c r="CR76" s="301">
        <f>[1]COMMANDE!AU74</f>
        <v>0</v>
      </c>
      <c r="CS76" s="297" t="str">
        <f t="shared" si="62"/>
        <v>0</v>
      </c>
      <c r="CT76" s="298">
        <f t="shared" si="63"/>
        <v>0</v>
      </c>
      <c r="CU76" s="299">
        <f>[1]COMMANDE!AW74</f>
        <v>0</v>
      </c>
      <c r="CV76" s="297" t="str">
        <f t="shared" si="64"/>
        <v>0</v>
      </c>
      <c r="CW76" s="300">
        <f t="shared" si="65"/>
        <v>0</v>
      </c>
      <c r="CX76" s="301">
        <f>[1]COMMANDE!AY74</f>
        <v>0</v>
      </c>
      <c r="CY76" s="297" t="str">
        <f t="shared" si="66"/>
        <v>0</v>
      </c>
      <c r="CZ76" s="298">
        <f t="shared" si="67"/>
        <v>0</v>
      </c>
      <c r="DA76" s="299">
        <f>[1]COMMANDE!BA74</f>
        <v>0</v>
      </c>
      <c r="DB76" s="297" t="str">
        <f t="shared" si="68"/>
        <v>0</v>
      </c>
      <c r="DC76" s="302">
        <f t="shared" si="69"/>
        <v>0</v>
      </c>
      <c r="DD76" s="303"/>
      <c r="DE76" s="304"/>
    </row>
    <row r="77" spans="1:109" ht="39.950000000000003" customHeight="1" x14ac:dyDescent="0.25">
      <c r="A77" s="284">
        <f t="shared" ref="A77:A140" si="71">IF(OR($AV77&gt;0, $AX77&gt;0), 1, 0)</f>
        <v>0</v>
      </c>
      <c r="B77" s="284">
        <f t="shared" ref="B77:B140" si="72">IF(OR($AY77&gt;0, $BA77&gt;0), 1, 0)</f>
        <v>0</v>
      </c>
      <c r="C77" s="284">
        <f t="shared" ref="C77:C140" si="73">IF(OR($BB77&gt;0, $BD77&gt;0), 1, 0)</f>
        <v>0</v>
      </c>
      <c r="D77" s="284">
        <f t="shared" ref="D77:D140" si="74">IF(OR($BE77&gt;0, $BG77&gt;0), 1, 0)</f>
        <v>0</v>
      </c>
      <c r="E77" s="284">
        <f t="shared" ref="E77:E140" si="75">IF(OR($BH77&gt;0, $BJ77&gt;0), 1, 0)</f>
        <v>0</v>
      </c>
      <c r="F77" s="284">
        <f t="shared" ref="F77:F140" si="76">IF(OR($BK77&gt;0, $BM77&gt;0), 1, 0)</f>
        <v>0</v>
      </c>
      <c r="G77" s="284">
        <f t="shared" ref="G77:G140" si="77">IF(OR($BN77&gt;0, $BP77&gt;0), 1, 0)</f>
        <v>0</v>
      </c>
      <c r="H77" s="284">
        <f t="shared" ref="H77:H140" si="78">IF(OR($BQ77&gt;0, $BS77&gt;0), 1, 0)</f>
        <v>0</v>
      </c>
      <c r="I77" s="284">
        <f t="shared" ref="I77:I140" si="79">IF(OR($BT77&gt;0, $BV77&gt;0), 1, 0)</f>
        <v>0</v>
      </c>
      <c r="J77" s="284">
        <f t="shared" ref="J77:J140" si="80">IF(OR($BW77&gt;0, $BY77&gt;0), 1, 0)</f>
        <v>0</v>
      </c>
      <c r="K77" s="284">
        <f t="shared" ref="K77:K140" si="81">IF(OR($BZ77&gt;0, $CB77&gt;0), 1, 0)</f>
        <v>0</v>
      </c>
      <c r="L77" s="284">
        <f t="shared" ref="L77:L140" si="82">IF(OR($CC77&gt;0, $CE77&gt;0), 1, 0)</f>
        <v>0</v>
      </c>
      <c r="M77" s="284">
        <f t="shared" ref="M77:M140" si="83">IF(OR($CF77&gt;0, $CH77&gt;0), 1, 0)</f>
        <v>0</v>
      </c>
      <c r="N77" s="284">
        <f t="shared" ref="N77:N140" si="84">IF(OR($CI77&gt;0, $CK77&gt;0), 1, 0)</f>
        <v>0</v>
      </c>
      <c r="O77" s="284">
        <f t="shared" ref="O77:O140" si="85">IF(OR($CL77&gt;0, $CN77&gt;0), 1, 0)</f>
        <v>0</v>
      </c>
      <c r="P77" s="284">
        <f t="shared" ref="P77:P140" si="86">IF(OR($CO77&gt;0, $CQ77&gt;0), 1, 0)</f>
        <v>0</v>
      </c>
      <c r="Q77" s="284">
        <f t="shared" ref="Q77:Q140" si="87">IF(OR($CR77&gt;0, $CT77&gt;0), 1, 0)</f>
        <v>0</v>
      </c>
      <c r="R77" s="284">
        <f t="shared" ref="R77:R140" si="88">IF(OR($CU77&gt;0, $CW77&gt;0), 1, 0)</f>
        <v>0</v>
      </c>
      <c r="S77" s="284">
        <f t="shared" ref="S77:S140" si="89">IF(OR($CX77&gt;0, $CZ77&gt;0), 1, 0)</f>
        <v>0</v>
      </c>
      <c r="T77" s="284">
        <f t="shared" ref="T77:T140" si="90">IF(OR($DA77&gt;0, $DC77&gt;0), 1, 0)</f>
        <v>0</v>
      </c>
      <c r="U77" s="285">
        <f t="shared" ref="U77:U140" si="91">IF(OR($AI77&gt;0,$AM77&gt;0,$AS77&gt;0), 1, 0)</f>
        <v>0</v>
      </c>
      <c r="V77" s="286">
        <f>[1]BDD!A67</f>
        <v>5037</v>
      </c>
      <c r="W77" s="287" t="str">
        <f>[1]BDD!B67</f>
        <v>Citron Caviar (culture naturelle, plateau 500g)</v>
      </c>
      <c r="X77" s="288" t="str">
        <f>IF([1]BDD!F67=0, "", [1]BDD!F67)</f>
        <v>❤️ OFFRE</v>
      </c>
      <c r="Y77" s="214">
        <f>ROUND([1]BDD!G67+FDP_CMD_KG, 2)</f>
        <v>17.71</v>
      </c>
      <c r="Z77" s="214">
        <f>ROUND([1]BDD!G67+FDP_FACT_KG, 2)</f>
        <v>17.71</v>
      </c>
      <c r="AA77" s="215" t="str">
        <f>[1]BDD!H67</f>
        <v>Pièce</v>
      </c>
      <c r="AB77" s="225" t="str">
        <f>IF(NOT(ISBLANK([1]BDD!I67)), ROUND(SUM(([1]BDD!G67*reduc1),FDP_CMD_KG), 2), "")</f>
        <v/>
      </c>
      <c r="AC77" s="225" t="str">
        <f>IF(NOT(ISBLANK([1]BDD!J67)), ROUND(SUM(([1]BDD!G67*reduc2),FDP_CMD_KG), 2), "")</f>
        <v/>
      </c>
      <c r="AD77" s="225" t="str">
        <f>IF(NOT(ISBLANK([1]BDD!K67)), ROUND(SUM(([1]BDD!G67*reduc3),FDP_CMD_KG), 2), "")</f>
        <v/>
      </c>
      <c r="AE77" s="225" t="str">
        <f>IF(NOT(ISBLANK([1]BDD!I67)), ROUND(SUM(([1]BDD!G67*reduc1),FDP_FACT_KG), 2), "")</f>
        <v/>
      </c>
      <c r="AF77" s="225" t="str">
        <f>IF(NOT(ISBLANK([1]BDD!J67)), ROUND(SUM(([1]BDD!G67*reduc2),FDP_FACT_KG), 2), "")</f>
        <v/>
      </c>
      <c r="AG77" s="225" t="str">
        <f>IF(NOT(ISBLANK([1]BDD!K67)), ROUND(SUM(([1]BDD!G67*reduc3),FDP_FACT_KG), 2), "")</f>
        <v/>
      </c>
      <c r="AH77" s="289" t="str">
        <f>[1]BDD!C67</f>
        <v>Salobrena</v>
      </c>
      <c r="AI77" s="290">
        <f t="shared" ref="AI77:AI140" si="92">SUM(AV77,AY77,BB77,BE77,BH77,BK77,BN77,BQ77,BT77,BW77,BZ77,CC77,CF77,CI77,CL77,CO77,CR77,CU77,CX77,DA77)</f>
        <v>0</v>
      </c>
      <c r="AJ77" s="216">
        <f t="shared" ref="AJ77:AJ140" si="93">_xlfn.IFS($AD77&lt;&gt;"", $AD77,    $AC77&lt;&gt;"", $AC77,    $AB77&lt;&gt;"", $AB77,    TRUE, $Y77)</f>
        <v>17.71</v>
      </c>
      <c r="AK77" s="291">
        <f t="shared" ref="AK77:AK140" si="94">$AI77*$AJ77</f>
        <v>0</v>
      </c>
      <c r="AL77" s="429"/>
      <c r="AM77" s="292"/>
      <c r="AN77" s="216">
        <f t="shared" ref="AN77:AN140" si="95">_xlfn.IFS(AND(AM77&gt;=60,$AG77&lt;&gt;""), $AG77,    AND(AM77&gt;=30,$AF77&lt;&gt;""), $AF77,    AND(AM77&gt;=10,$AE77&lt;&gt;""), $AE77,    TRUE, $Z77)</f>
        <v>17.71</v>
      </c>
      <c r="AO77" s="293">
        <f t="shared" ref="AO77:AO140" si="96">AM77*AN77</f>
        <v>0</v>
      </c>
      <c r="AP77" s="294"/>
      <c r="AQ77" s="294"/>
      <c r="AR77" s="429"/>
      <c r="AS77" s="295">
        <f t="shared" ref="AS77:AS140" si="97">SUM(AW77,AZ77,BC77,BF77,BI77,BL77,BO77,BR77,BU77,BX77,CA77,CD77,CG77,CJ77,CM77,CP77,CS77,CV77,CY77,DB77)</f>
        <v>0</v>
      </c>
      <c r="AT77" s="216">
        <f t="shared" ref="AT77:AT140" si="98">_xlfn.IFS(AND(AS77&gt;=60,$AG77&lt;&gt;""), $AG77,    AND(AS77&gt;=30,$AF77&lt;&gt;""), $AF77,    AND(AS77&gt;=10,$AE77&lt;&gt;""), $AE77,    TRUE, $Z77)</f>
        <v>17.71</v>
      </c>
      <c r="AU77" s="291">
        <f t="shared" si="70"/>
        <v>0</v>
      </c>
      <c r="AV77" s="296">
        <f>[1]COMMANDE!O75</f>
        <v>0</v>
      </c>
      <c r="AW77" s="297" t="str">
        <f t="shared" ref="AW77:AW140" si="99">_xlfn.IFS(AND($AI77=$AM77,$AI77&gt;0,$AM77&gt;0,AV77&gt;0), AV77,     AND(NOT($AI77=$AM77),$AI77&gt;0,$AM77&gt;0,AV77&gt;0), ($AM77*AV77)/$AI77,     AND($AI77=0,$AM77&gt;0,$AQ77&gt;0), IF(INDEX(AV$12:AV$263,MATCH($AQ77,$AP$12:$AP$263,0))&gt;0,($AM77*INDEX(AV$12:AV$263,MATCH($AQ77,$AP$12:$AP$263,0)))/INDEX($AI$12:$AI$263,MATCH($AQ77,$AP$12:$AP$263,0)), "-"),     TRUE, "0")</f>
        <v>0</v>
      </c>
      <c r="AX77" s="298">
        <f t="shared" ref="AX77:AX140" si="100">IF(AW$9&gt;0, IF(OR(AW77="",AW77="-"), 0, AW77*$AT77), AV77*$AJ77)</f>
        <v>0</v>
      </c>
      <c r="AY77" s="299">
        <f>[1]COMMANDE!Q75</f>
        <v>0</v>
      </c>
      <c r="AZ77" s="297" t="str">
        <f t="shared" ref="AZ77:AZ140" si="101">_xlfn.IFS(AND($AI77=$AM77,$AI77&gt;0,$AM77&gt;0,AY77&gt;0), AY77,     AND(NOT($AI77=$AM77),$AI77&gt;0,$AM77&gt;0,AY77&gt;0), ($AM77*AY77)/$AI77,     AND($AI77=0,$AM77&gt;0,$AQ77&gt;0), IF(INDEX(AY$12:AY$263,MATCH($AQ77,$AP$12:$AP$263,0))&gt;0,($AM77*INDEX(AY$12:AY$263,MATCH($AQ77,$AP$12:$AP$263,0)))/INDEX($AI$12:$AI$263,MATCH($AQ77,$AP$12:$AP$263,0)), "-"),     TRUE, "0")</f>
        <v>0</v>
      </c>
      <c r="BA77" s="300">
        <f t="shared" ref="BA77:BA140" si="102">IF(AZ$9&gt;0, IF(OR(AZ77="",AZ77="-"), 0, AZ77*$AT77), AY77*$AJ77)</f>
        <v>0</v>
      </c>
      <c r="BB77" s="301">
        <f>[1]COMMANDE!S75</f>
        <v>0</v>
      </c>
      <c r="BC77" s="297" t="str">
        <f t="shared" ref="BC77:BC140" si="103">_xlfn.IFS(AND($AI77=$AM77,$AI77&gt;0,$AM77&gt;0,BB77&gt;0), BB77,     AND(NOT($AI77=$AM77),$AI77&gt;0,$AM77&gt;0,BB77&gt;0), ($AM77*BB77)/$AI77,     AND($AI77=0,$AM77&gt;0,$AQ77&gt;0), IF(INDEX(BB$12:BB$263,MATCH($AQ77,$AP$12:$AP$263,0))&gt;0,($AM77*INDEX(BB$12:BB$263,MATCH($AQ77,$AP$12:$AP$263,0)))/INDEX($AI$12:$AI$263,MATCH($AQ77,$AP$12:$AP$263,0)), "-"),     TRUE, "0")</f>
        <v>0</v>
      </c>
      <c r="BD77" s="298">
        <f t="shared" ref="BD77:BD140" si="104">IF(BC$9&gt;0, IF(OR(BC77="",BC77="-"), 0, BC77*$AT77), BB77*$AJ77)</f>
        <v>0</v>
      </c>
      <c r="BE77" s="299">
        <f>[1]COMMANDE!U75</f>
        <v>0</v>
      </c>
      <c r="BF77" s="297" t="str">
        <f t="shared" ref="BF77:BF140" si="105">_xlfn.IFS(AND($AI77=$AM77,$AI77&gt;0,$AM77&gt;0,BE77&gt;0), BE77,     AND(NOT($AI77=$AM77),$AI77&gt;0,$AM77&gt;0,BE77&gt;0), ($AM77*BE77)/$AI77,     AND($AI77=0,$AM77&gt;0,$AQ77&gt;0), IF(INDEX(BE$12:BE$263,MATCH($AQ77,$AP$12:$AP$263,0))&gt;0,($AM77*INDEX(BE$12:BE$263,MATCH($AQ77,$AP$12:$AP$263,0)))/INDEX($AI$12:$AI$263,MATCH($AQ77,$AP$12:$AP$263,0)), "-"),     TRUE, "0")</f>
        <v>0</v>
      </c>
      <c r="BG77" s="300">
        <f t="shared" ref="BG77:BG140" si="106">IF(BF$9&gt;0, IF(OR(BF77="",BF77="-"), 0, BF77*$AT77), BE77*$AJ77)</f>
        <v>0</v>
      </c>
      <c r="BH77" s="301">
        <f>[1]COMMANDE!W75</f>
        <v>0</v>
      </c>
      <c r="BI77" s="297" t="str">
        <f t="shared" ref="BI77:BI140" si="107">_xlfn.IFS(AND($AI77=$AM77,$AI77&gt;0,$AM77&gt;0,BH77&gt;0), BH77,     AND(NOT($AI77=$AM77),$AI77&gt;0,$AM77&gt;0,BH77&gt;0), ($AM77*BH77)/$AI77,     AND($AI77=0,$AM77&gt;0,$AQ77&gt;0), IF(INDEX(BH$12:BH$263,MATCH($AQ77,$AP$12:$AP$263,0))&gt;0,($AM77*INDEX(BH$12:BH$263,MATCH($AQ77,$AP$12:$AP$263,0)))/INDEX($AI$12:$AI$263,MATCH($AQ77,$AP$12:$AP$263,0)), "-"),     TRUE, "0")</f>
        <v>0</v>
      </c>
      <c r="BJ77" s="298">
        <f t="shared" ref="BJ77:BJ140" si="108">IF(BI$9&gt;0, IF(OR(BI77="",BI77="-"), 0, BI77*$AT77), BH77*$AJ77)</f>
        <v>0</v>
      </c>
      <c r="BK77" s="299">
        <f>[1]COMMANDE!Y75</f>
        <v>0</v>
      </c>
      <c r="BL77" s="297" t="str">
        <f t="shared" ref="BL77:BL140" si="109">_xlfn.IFS(AND($AI77=$AM77,$AI77&gt;0,$AM77&gt;0,BK77&gt;0), BK77,     AND(NOT($AI77=$AM77),$AI77&gt;0,$AM77&gt;0,BK77&gt;0), ($AM77*BK77)/$AI77,     AND($AI77=0,$AM77&gt;0,$AQ77&gt;0), IF(INDEX(BK$12:BK$263,MATCH($AQ77,$AP$12:$AP$263,0))&gt;0,($AM77*INDEX(BK$12:BK$263,MATCH($AQ77,$AP$12:$AP$263,0)))/INDEX($AI$12:$AI$263,MATCH($AQ77,$AP$12:$AP$263,0)), "-"),     TRUE, "0")</f>
        <v>0</v>
      </c>
      <c r="BM77" s="300">
        <f t="shared" ref="BM77:BM140" si="110">IF(BL$9&gt;0, IF(OR(BL77="",BL77="-"), 0, BL77*$AT77), BK77*$AJ77)</f>
        <v>0</v>
      </c>
      <c r="BN77" s="301">
        <f>[1]COMMANDE!AA75</f>
        <v>0</v>
      </c>
      <c r="BO77" s="297" t="str">
        <f t="shared" ref="BO77:BO140" si="111">_xlfn.IFS(AND($AI77=$AM77,$AI77&gt;0,$AM77&gt;0,BN77&gt;0), BN77,     AND(NOT($AI77=$AM77),$AI77&gt;0,$AM77&gt;0,BN77&gt;0), ($AM77*BN77)/$AI77,     AND($AI77=0,$AM77&gt;0,$AQ77&gt;0), IF(INDEX(BN$12:BN$263,MATCH($AQ77,$AP$12:$AP$263,0))&gt;0,($AM77*INDEX(BN$12:BN$263,MATCH($AQ77,$AP$12:$AP$263,0)))/INDEX($AI$12:$AI$263,MATCH($AQ77,$AP$12:$AP$263,0)), "-"),     TRUE, "0")</f>
        <v>0</v>
      </c>
      <c r="BP77" s="298">
        <f t="shared" ref="BP77:BP140" si="112">IF(BO$9&gt;0, IF(OR(BO77="",BO77="-"), 0, BO77*$AT77), BN77*$AJ77)</f>
        <v>0</v>
      </c>
      <c r="BQ77" s="299">
        <f>[1]COMMANDE!AC75</f>
        <v>0</v>
      </c>
      <c r="BR77" s="297" t="str">
        <f t="shared" ref="BR77:BR140" si="113">_xlfn.IFS(AND($AI77=$AM77,$AI77&gt;0,$AM77&gt;0,BQ77&gt;0), BQ77,     AND(NOT($AI77=$AM77),$AI77&gt;0,$AM77&gt;0,BQ77&gt;0), ($AM77*BQ77)/$AI77,     AND($AI77=0,$AM77&gt;0,$AQ77&gt;0), IF(INDEX(BQ$12:BQ$263,MATCH($AQ77,$AP$12:$AP$263,0))&gt;0,($AM77*INDEX(BQ$12:BQ$263,MATCH($AQ77,$AP$12:$AP$263,0)))/INDEX($AI$12:$AI$263,MATCH($AQ77,$AP$12:$AP$263,0)), "-"),     TRUE, "0")</f>
        <v>0</v>
      </c>
      <c r="BS77" s="300">
        <f t="shared" ref="BS77:BS140" si="114">IF(BR$9&gt;0, IF(OR(BR77="",BR77="-"), 0, BR77*$AT77), BQ77*$AJ77)</f>
        <v>0</v>
      </c>
      <c r="BT77" s="301">
        <f>[1]COMMANDE!AE75</f>
        <v>0</v>
      </c>
      <c r="BU77" s="297" t="str">
        <f t="shared" ref="BU77:BU140" si="115">_xlfn.IFS(AND($AI77=$AM77,$AI77&gt;0,$AM77&gt;0,BT77&gt;0), BT77,     AND(NOT($AI77=$AM77),$AI77&gt;0,$AM77&gt;0,BT77&gt;0), ($AM77*BT77)/$AI77,     AND($AI77=0,$AM77&gt;0,$AQ77&gt;0), IF(INDEX(BT$12:BT$263,MATCH($AQ77,$AP$12:$AP$263,0))&gt;0,($AM77*INDEX(BT$12:BT$263,MATCH($AQ77,$AP$12:$AP$263,0)))/INDEX($AI$12:$AI$263,MATCH($AQ77,$AP$12:$AP$263,0)), "-"),     TRUE, "0")</f>
        <v>0</v>
      </c>
      <c r="BV77" s="298">
        <f t="shared" ref="BV77:BV140" si="116">IF(BU$9&gt;0, IF(OR(BU77="",BU77="-"), 0, BU77*$AT77), BT77*$AJ77)</f>
        <v>0</v>
      </c>
      <c r="BW77" s="299">
        <f>[1]COMMANDE!AG75</f>
        <v>0</v>
      </c>
      <c r="BX77" s="297" t="str">
        <f t="shared" ref="BX77:BX140" si="117">_xlfn.IFS(AND($AI77=$AM77,$AI77&gt;0,$AM77&gt;0,BW77&gt;0), BW77,     AND(NOT($AI77=$AM77),$AI77&gt;0,$AM77&gt;0,BW77&gt;0), ($AM77*BW77)/$AI77,     AND($AI77=0,$AM77&gt;0,$AQ77&gt;0), IF(INDEX(BW$12:BW$263,MATCH($AQ77,$AP$12:$AP$263,0))&gt;0,($AM77*INDEX(BW$12:BW$263,MATCH($AQ77,$AP$12:$AP$263,0)))/INDEX($AI$12:$AI$263,MATCH($AQ77,$AP$12:$AP$263,0)), "-"),     TRUE, "0")</f>
        <v>0</v>
      </c>
      <c r="BY77" s="300">
        <f t="shared" ref="BY77:BY140" si="118">IF(BX$9&gt;0, IF(OR(BX77="",BX77="-"), 0, BX77*$AT77), BW77*$AJ77)</f>
        <v>0</v>
      </c>
      <c r="BZ77" s="301">
        <f>[1]COMMANDE!AI75</f>
        <v>0</v>
      </c>
      <c r="CA77" s="297" t="str">
        <f t="shared" ref="CA77:CA140" si="119">_xlfn.IFS(AND($AI77=$AM77,$AI77&gt;0,$AM77&gt;0,BZ77&gt;0), BZ77,     AND(NOT($AI77=$AM77),$AI77&gt;0,$AM77&gt;0,BZ77&gt;0), ($AM77*BZ77)/$AI77,     AND($AI77=0,$AM77&gt;0,$AQ77&gt;0), IF(INDEX(BZ$12:BZ$263,MATCH($AQ77,$AP$12:$AP$263,0))&gt;0,($AM77*INDEX(BZ$12:BZ$263,MATCH($AQ77,$AP$12:$AP$263,0)))/INDEX($AI$12:$AI$263,MATCH($AQ77,$AP$12:$AP$263,0)), "-"),     TRUE, "0")</f>
        <v>0</v>
      </c>
      <c r="CB77" s="298">
        <f t="shared" ref="CB77:CB140" si="120">IF(CA$9&gt;0, IF(OR(CA77="",CA77="-"), 0, CA77*$AT77), BZ77*$AJ77)</f>
        <v>0</v>
      </c>
      <c r="CC77" s="299">
        <f>[1]COMMANDE!AK75</f>
        <v>0</v>
      </c>
      <c r="CD77" s="297" t="str">
        <f t="shared" ref="CD77:CD140" si="121">_xlfn.IFS(AND($AI77=$AM77,$AI77&gt;0,$AM77&gt;0,CC77&gt;0), CC77,     AND(NOT($AI77=$AM77),$AI77&gt;0,$AM77&gt;0,CC77&gt;0), ($AM77*CC77)/$AI77,     AND($AI77=0,$AM77&gt;0,$AQ77&gt;0), IF(INDEX(CC$12:CC$263,MATCH($AQ77,$AP$12:$AP$263,0))&gt;0,($AM77*INDEX(CC$12:CC$263,MATCH($AQ77,$AP$12:$AP$263,0)))/INDEX($AI$12:$AI$263,MATCH($AQ77,$AP$12:$AP$263,0)), "-"),     TRUE, "0")</f>
        <v>0</v>
      </c>
      <c r="CE77" s="300">
        <f t="shared" ref="CE77:CE140" si="122">IF(CD$9&gt;0, IF(OR(CD77="",CD77="-"), 0, CD77*$AT77), CC77*$AJ77)</f>
        <v>0</v>
      </c>
      <c r="CF77" s="301">
        <f>[1]COMMANDE!AM75</f>
        <v>0</v>
      </c>
      <c r="CG77" s="297" t="str">
        <f t="shared" ref="CG77:CG140" si="123">_xlfn.IFS(AND($AI77=$AM77,$AI77&gt;0,$AM77&gt;0,CF77&gt;0), CF77,     AND(NOT($AI77=$AM77),$AI77&gt;0,$AM77&gt;0,CF77&gt;0), ($AM77*CF77)/$AI77,     AND($AI77=0,$AM77&gt;0,$AQ77&gt;0), IF(INDEX(CF$12:CF$263,MATCH($AQ77,$AP$12:$AP$263,0))&gt;0,($AM77*INDEX(CF$12:CF$263,MATCH($AQ77,$AP$12:$AP$263,0)))/INDEX($AI$12:$AI$263,MATCH($AQ77,$AP$12:$AP$263,0)), "-"),     TRUE, "0")</f>
        <v>0</v>
      </c>
      <c r="CH77" s="298">
        <f t="shared" ref="CH77:CH140" si="124">IF(CG$9&gt;0, IF(OR(CG77="",CG77="-"), 0, CG77*$AT77), CF77*$AJ77)</f>
        <v>0</v>
      </c>
      <c r="CI77" s="299">
        <f>[1]COMMANDE!AO75</f>
        <v>0</v>
      </c>
      <c r="CJ77" s="297" t="str">
        <f t="shared" ref="CJ77:CJ140" si="125">_xlfn.IFS(AND($AI77=$AM77,$AI77&gt;0,$AM77&gt;0,CI77&gt;0), CI77,     AND(NOT($AI77=$AM77),$AI77&gt;0,$AM77&gt;0,CI77&gt;0), ($AM77*CI77)/$AI77,     AND($AI77=0,$AM77&gt;0,$AQ77&gt;0), IF(INDEX(CI$12:CI$263,MATCH($AQ77,$AP$12:$AP$263,0))&gt;0,($AM77*INDEX(CI$12:CI$263,MATCH($AQ77,$AP$12:$AP$263,0)))/INDEX($AI$12:$AI$263,MATCH($AQ77,$AP$12:$AP$263,0)), "-"),     TRUE, "0")</f>
        <v>0</v>
      </c>
      <c r="CK77" s="300">
        <f t="shared" ref="CK77:CK140" si="126">IF(CJ$9&gt;0, IF(OR(CJ77="",CJ77="-"), 0, CJ77*$AT77), CI77*$AJ77)</f>
        <v>0</v>
      </c>
      <c r="CL77" s="301">
        <f>[1]COMMANDE!AQ75</f>
        <v>0</v>
      </c>
      <c r="CM77" s="297" t="str">
        <f t="shared" ref="CM77:CM140" si="127">_xlfn.IFS(AND($AI77=$AM77,$AI77&gt;0,$AM77&gt;0,CL77&gt;0), CL77,     AND(NOT($AI77=$AM77),$AI77&gt;0,$AM77&gt;0,CL77&gt;0), ($AM77*CL77)/$AI77,     AND($AI77=0,$AM77&gt;0,$AQ77&gt;0), IF(INDEX(CL$12:CL$263,MATCH($AQ77,$AP$12:$AP$263,0))&gt;0,($AM77*INDEX(CL$12:CL$263,MATCH($AQ77,$AP$12:$AP$263,0)))/INDEX($AI$12:$AI$263,MATCH($AQ77,$AP$12:$AP$263,0)), "-"),     TRUE, "0")</f>
        <v>0</v>
      </c>
      <c r="CN77" s="298">
        <f t="shared" ref="CN77:CN140" si="128">IF(CM$9&gt;0, IF(OR(CM77="",CM77="-"), 0, CM77*$AT77), CL77*$AJ77)</f>
        <v>0</v>
      </c>
      <c r="CO77" s="299">
        <f>[1]COMMANDE!AS75</f>
        <v>0</v>
      </c>
      <c r="CP77" s="297" t="str">
        <f t="shared" ref="CP77:CP140" si="129">_xlfn.IFS(AND($AI77=$AM77,$AI77&gt;0,$AM77&gt;0,CO77&gt;0), CO77,     AND(NOT($AI77=$AM77),$AI77&gt;0,$AM77&gt;0,CO77&gt;0), ($AM77*CO77)/$AI77,     AND($AI77=0,$AM77&gt;0,$AQ77&gt;0), IF(INDEX(CO$12:CO$263,MATCH($AQ77,$AP$12:$AP$263,0))&gt;0,($AM77*INDEX(CO$12:CO$263,MATCH($AQ77,$AP$12:$AP$263,0)))/INDEX($AI$12:$AI$263,MATCH($AQ77,$AP$12:$AP$263,0)), "-"),     TRUE, "0")</f>
        <v>0</v>
      </c>
      <c r="CQ77" s="300">
        <f t="shared" ref="CQ77:CQ140" si="130">IF(CP$9&gt;0, IF(OR(CP77="",CP77="-"), 0, CP77*$AT77), CO77*$AJ77)</f>
        <v>0</v>
      </c>
      <c r="CR77" s="301">
        <f>[1]COMMANDE!AU75</f>
        <v>0</v>
      </c>
      <c r="CS77" s="297" t="str">
        <f t="shared" ref="CS77:CS140" si="131">_xlfn.IFS(AND($AI77=$AM77,$AI77&gt;0,$AM77&gt;0,CR77&gt;0), CR77,     AND(NOT($AI77=$AM77),$AI77&gt;0,$AM77&gt;0,CR77&gt;0), ($AM77*CR77)/$AI77,     AND($AI77=0,$AM77&gt;0,$AQ77&gt;0), IF(INDEX(CR$12:CR$263,MATCH($AQ77,$AP$12:$AP$263,0))&gt;0,($AM77*INDEX(CR$12:CR$263,MATCH($AQ77,$AP$12:$AP$263,0)))/INDEX($AI$12:$AI$263,MATCH($AQ77,$AP$12:$AP$263,0)), "-"),     TRUE, "0")</f>
        <v>0</v>
      </c>
      <c r="CT77" s="298">
        <f t="shared" ref="CT77:CT140" si="132">IF(CS$9&gt;0, IF(OR(CS77="",CS77="-"), 0, CS77*$AT77), CR77*$AJ77)</f>
        <v>0</v>
      </c>
      <c r="CU77" s="299">
        <f>[1]COMMANDE!AW75</f>
        <v>0</v>
      </c>
      <c r="CV77" s="297" t="str">
        <f t="shared" ref="CV77:CV140" si="133">_xlfn.IFS(AND($AI77=$AM77,$AI77&gt;0,$AM77&gt;0,CU77&gt;0), CU77,     AND(NOT($AI77=$AM77),$AI77&gt;0,$AM77&gt;0,CU77&gt;0), ($AM77*CU77)/$AI77,     AND($AI77=0,$AM77&gt;0,$AQ77&gt;0), IF(INDEX(CU$12:CU$263,MATCH($AQ77,$AP$12:$AP$263,0))&gt;0,($AM77*INDEX(CU$12:CU$263,MATCH($AQ77,$AP$12:$AP$263,0)))/INDEX($AI$12:$AI$263,MATCH($AQ77,$AP$12:$AP$263,0)), "-"),     TRUE, "0")</f>
        <v>0</v>
      </c>
      <c r="CW77" s="300">
        <f t="shared" ref="CW77:CW140" si="134">IF(CV$9&gt;0, IF(OR(CV77="",CV77="-"), 0, CV77*$AT77), CU77*$AJ77)</f>
        <v>0</v>
      </c>
      <c r="CX77" s="301">
        <f>[1]COMMANDE!AY75</f>
        <v>0</v>
      </c>
      <c r="CY77" s="297" t="str">
        <f t="shared" ref="CY77:CY140" si="135">_xlfn.IFS(AND($AI77=$AM77,$AI77&gt;0,$AM77&gt;0,CX77&gt;0), CX77,     AND(NOT($AI77=$AM77),$AI77&gt;0,$AM77&gt;0,CX77&gt;0), ($AM77*CX77)/$AI77,     AND($AI77=0,$AM77&gt;0,$AQ77&gt;0), IF(INDEX(CX$12:CX$263,MATCH($AQ77,$AP$12:$AP$263,0))&gt;0,($AM77*INDEX(CX$12:CX$263,MATCH($AQ77,$AP$12:$AP$263,0)))/INDEX($AI$12:$AI$263,MATCH($AQ77,$AP$12:$AP$263,0)), "-"),     TRUE, "0")</f>
        <v>0</v>
      </c>
      <c r="CZ77" s="298">
        <f t="shared" ref="CZ77:CZ140" si="136">IF(CY$9&gt;0, IF(OR(CY77="",CY77="-"), 0, CY77*$AT77), CX77*$AJ77)</f>
        <v>0</v>
      </c>
      <c r="DA77" s="299">
        <f>[1]COMMANDE!BA75</f>
        <v>0</v>
      </c>
      <c r="DB77" s="297" t="str">
        <f t="shared" ref="DB77:DB140" si="137">_xlfn.IFS(AND($AI77=$AM77,$AI77&gt;0,$AM77&gt;0,DA77&gt;0), DA77,     AND(NOT($AI77=$AM77),$AI77&gt;0,$AM77&gt;0,DA77&gt;0), ($AM77*DA77)/$AI77,     AND($AI77=0,$AM77&gt;0,$AQ77&gt;0), IF(INDEX(DA$12:DA$263,MATCH($AQ77,$AP$12:$AP$263,0))&gt;0,($AM77*INDEX(DA$12:DA$263,MATCH($AQ77,$AP$12:$AP$263,0)))/INDEX($AI$12:$AI$263,MATCH($AQ77,$AP$12:$AP$263,0)), "-"),     TRUE, "0")</f>
        <v>0</v>
      </c>
      <c r="DC77" s="302">
        <f t="shared" ref="DC77:DC140" si="138">IF(DB$9&gt;0, IF(OR(DB77="",DB77="-"), 0, DB77*$AT77), DA77*$AJ77)</f>
        <v>0</v>
      </c>
      <c r="DD77" s="303"/>
      <c r="DE77" s="304"/>
    </row>
    <row r="78" spans="1:109" ht="39.950000000000003" customHeight="1" x14ac:dyDescent="0.25">
      <c r="A78" s="284">
        <f t="shared" si="71"/>
        <v>0</v>
      </c>
      <c r="B78" s="284">
        <f t="shared" si="72"/>
        <v>0</v>
      </c>
      <c r="C78" s="284">
        <f t="shared" si="73"/>
        <v>0</v>
      </c>
      <c r="D78" s="284">
        <f t="shared" si="74"/>
        <v>0</v>
      </c>
      <c r="E78" s="284">
        <f t="shared" si="75"/>
        <v>0</v>
      </c>
      <c r="F78" s="284">
        <f t="shared" si="76"/>
        <v>0</v>
      </c>
      <c r="G78" s="284">
        <f t="shared" si="77"/>
        <v>0</v>
      </c>
      <c r="H78" s="284">
        <f t="shared" si="78"/>
        <v>0</v>
      </c>
      <c r="I78" s="284">
        <f t="shared" si="79"/>
        <v>0</v>
      </c>
      <c r="J78" s="284">
        <f t="shared" si="80"/>
        <v>0</v>
      </c>
      <c r="K78" s="284">
        <f t="shared" si="81"/>
        <v>0</v>
      </c>
      <c r="L78" s="284">
        <f t="shared" si="82"/>
        <v>0</v>
      </c>
      <c r="M78" s="284">
        <f t="shared" si="83"/>
        <v>0</v>
      </c>
      <c r="N78" s="284">
        <f t="shared" si="84"/>
        <v>0</v>
      </c>
      <c r="O78" s="284">
        <f t="shared" si="85"/>
        <v>0</v>
      </c>
      <c r="P78" s="284">
        <f t="shared" si="86"/>
        <v>0</v>
      </c>
      <c r="Q78" s="284">
        <f t="shared" si="87"/>
        <v>0</v>
      </c>
      <c r="R78" s="284">
        <f t="shared" si="88"/>
        <v>0</v>
      </c>
      <c r="S78" s="284">
        <f t="shared" si="89"/>
        <v>0</v>
      </c>
      <c r="T78" s="284">
        <f t="shared" si="90"/>
        <v>0</v>
      </c>
      <c r="U78" s="285">
        <f t="shared" si="91"/>
        <v>0</v>
      </c>
      <c r="V78" s="286">
        <f>[1]BDD!A68</f>
        <v>6019</v>
      </c>
      <c r="W78" s="287" t="str">
        <f>[1]BDD!B68</f>
        <v>Citron Caviar BIO
    - (plateau de 200g)</v>
      </c>
      <c r="X78" s="288" t="str">
        <f>IF([1]BDD!F68=0, "", [1]BDD!F68)</f>
        <v>❤️</v>
      </c>
      <c r="Y78" s="214">
        <f>ROUND([1]BDD!G68+FDP_CMD_KG, 2)</f>
        <v>12.5</v>
      </c>
      <c r="Z78" s="214">
        <f>ROUND([1]BDD!G68+FDP_FACT_KG, 2)</f>
        <v>12.5</v>
      </c>
      <c r="AA78" s="215" t="str">
        <f>[1]BDD!H68</f>
        <v>200g</v>
      </c>
      <c r="AB78" s="225" t="str">
        <f>IF(NOT(ISBLANK([1]BDD!I68)), ROUND(SUM(([1]BDD!G68*reduc1),FDP_CMD_KG), 2), "")</f>
        <v/>
      </c>
      <c r="AC78" s="225" t="str">
        <f>IF(NOT(ISBLANK([1]BDD!J68)), ROUND(SUM(([1]BDD!G68*reduc2),FDP_CMD_KG), 2), "")</f>
        <v/>
      </c>
      <c r="AD78" s="225" t="str">
        <f>IF(NOT(ISBLANK([1]BDD!K68)), ROUND(SUM(([1]BDD!G68*reduc3),FDP_CMD_KG), 2), "")</f>
        <v/>
      </c>
      <c r="AE78" s="225" t="str">
        <f>IF(NOT(ISBLANK([1]BDD!I68)), ROUND(SUM(([1]BDD!G68*reduc1),FDP_FACT_KG), 2), "")</f>
        <v/>
      </c>
      <c r="AF78" s="225" t="str">
        <f>IF(NOT(ISBLANK([1]BDD!J68)), ROUND(SUM(([1]BDD!G68*reduc2),FDP_FACT_KG), 2), "")</f>
        <v/>
      </c>
      <c r="AG78" s="225" t="str">
        <f>IF(NOT(ISBLANK([1]BDD!K68)), ROUND(SUM(([1]BDD!G68*reduc3),FDP_FACT_KG), 2), "")</f>
        <v/>
      </c>
      <c r="AH78" s="289" t="str">
        <f>[1]BDD!C68</f>
        <v>Grenade</v>
      </c>
      <c r="AI78" s="290">
        <f t="shared" si="92"/>
        <v>0</v>
      </c>
      <c r="AJ78" s="216">
        <f t="shared" si="93"/>
        <v>12.5</v>
      </c>
      <c r="AK78" s="291">
        <f t="shared" si="94"/>
        <v>0</v>
      </c>
      <c r="AL78" s="429"/>
      <c r="AM78" s="292"/>
      <c r="AN78" s="216">
        <f t="shared" si="95"/>
        <v>12.5</v>
      </c>
      <c r="AO78" s="293">
        <f t="shared" si="96"/>
        <v>0</v>
      </c>
      <c r="AP78" s="294"/>
      <c r="AQ78" s="294"/>
      <c r="AR78" s="429"/>
      <c r="AS78" s="295">
        <f t="shared" si="97"/>
        <v>0</v>
      </c>
      <c r="AT78" s="216">
        <f t="shared" si="98"/>
        <v>12.5</v>
      </c>
      <c r="AU78" s="291">
        <f t="shared" si="70"/>
        <v>0</v>
      </c>
      <c r="AV78" s="296">
        <f>[1]COMMANDE!O76</f>
        <v>0</v>
      </c>
      <c r="AW78" s="297" t="str">
        <f t="shared" si="99"/>
        <v>0</v>
      </c>
      <c r="AX78" s="298">
        <f t="shared" si="100"/>
        <v>0</v>
      </c>
      <c r="AY78" s="299">
        <f>[1]COMMANDE!Q76</f>
        <v>0</v>
      </c>
      <c r="AZ78" s="297" t="str">
        <f t="shared" si="101"/>
        <v>0</v>
      </c>
      <c r="BA78" s="300">
        <f t="shared" si="102"/>
        <v>0</v>
      </c>
      <c r="BB78" s="301">
        <f>[1]COMMANDE!S76</f>
        <v>0</v>
      </c>
      <c r="BC78" s="297" t="str">
        <f t="shared" si="103"/>
        <v>0</v>
      </c>
      <c r="BD78" s="298">
        <f t="shared" si="104"/>
        <v>0</v>
      </c>
      <c r="BE78" s="299">
        <f>[1]COMMANDE!U76</f>
        <v>0</v>
      </c>
      <c r="BF78" s="297" t="str">
        <f t="shared" si="105"/>
        <v>0</v>
      </c>
      <c r="BG78" s="300">
        <f t="shared" si="106"/>
        <v>0</v>
      </c>
      <c r="BH78" s="301">
        <f>[1]COMMANDE!W76</f>
        <v>0</v>
      </c>
      <c r="BI78" s="297" t="str">
        <f t="shared" si="107"/>
        <v>0</v>
      </c>
      <c r="BJ78" s="298">
        <f t="shared" si="108"/>
        <v>0</v>
      </c>
      <c r="BK78" s="299">
        <f>[1]COMMANDE!Y76</f>
        <v>0</v>
      </c>
      <c r="BL78" s="297" t="str">
        <f t="shared" si="109"/>
        <v>0</v>
      </c>
      <c r="BM78" s="300">
        <f t="shared" si="110"/>
        <v>0</v>
      </c>
      <c r="BN78" s="301">
        <f>[1]COMMANDE!AA76</f>
        <v>0</v>
      </c>
      <c r="BO78" s="297" t="str">
        <f t="shared" si="111"/>
        <v>0</v>
      </c>
      <c r="BP78" s="298">
        <f t="shared" si="112"/>
        <v>0</v>
      </c>
      <c r="BQ78" s="299">
        <f>[1]COMMANDE!AC76</f>
        <v>0</v>
      </c>
      <c r="BR78" s="297" t="str">
        <f t="shared" si="113"/>
        <v>0</v>
      </c>
      <c r="BS78" s="300">
        <f t="shared" si="114"/>
        <v>0</v>
      </c>
      <c r="BT78" s="301">
        <f>[1]COMMANDE!AE76</f>
        <v>0</v>
      </c>
      <c r="BU78" s="297" t="str">
        <f t="shared" si="115"/>
        <v>0</v>
      </c>
      <c r="BV78" s="298">
        <f t="shared" si="116"/>
        <v>0</v>
      </c>
      <c r="BW78" s="299">
        <f>[1]COMMANDE!AG76</f>
        <v>0</v>
      </c>
      <c r="BX78" s="297" t="str">
        <f t="shared" si="117"/>
        <v>0</v>
      </c>
      <c r="BY78" s="300">
        <f t="shared" si="118"/>
        <v>0</v>
      </c>
      <c r="BZ78" s="301">
        <f>[1]COMMANDE!AI76</f>
        <v>0</v>
      </c>
      <c r="CA78" s="297" t="str">
        <f t="shared" si="119"/>
        <v>0</v>
      </c>
      <c r="CB78" s="298">
        <f t="shared" si="120"/>
        <v>0</v>
      </c>
      <c r="CC78" s="299">
        <f>[1]COMMANDE!AK76</f>
        <v>0</v>
      </c>
      <c r="CD78" s="297" t="str">
        <f t="shared" si="121"/>
        <v>0</v>
      </c>
      <c r="CE78" s="300">
        <f t="shared" si="122"/>
        <v>0</v>
      </c>
      <c r="CF78" s="301">
        <f>[1]COMMANDE!AM76</f>
        <v>0</v>
      </c>
      <c r="CG78" s="297" t="str">
        <f t="shared" si="123"/>
        <v>0</v>
      </c>
      <c r="CH78" s="298">
        <f t="shared" si="124"/>
        <v>0</v>
      </c>
      <c r="CI78" s="299">
        <f>[1]COMMANDE!AO76</f>
        <v>0</v>
      </c>
      <c r="CJ78" s="297" t="str">
        <f t="shared" si="125"/>
        <v>0</v>
      </c>
      <c r="CK78" s="300">
        <f t="shared" si="126"/>
        <v>0</v>
      </c>
      <c r="CL78" s="301">
        <f>[1]COMMANDE!AQ76</f>
        <v>0</v>
      </c>
      <c r="CM78" s="297" t="str">
        <f t="shared" si="127"/>
        <v>0</v>
      </c>
      <c r="CN78" s="298">
        <f t="shared" si="128"/>
        <v>0</v>
      </c>
      <c r="CO78" s="299">
        <f>[1]COMMANDE!AS76</f>
        <v>0</v>
      </c>
      <c r="CP78" s="297" t="str">
        <f t="shared" si="129"/>
        <v>0</v>
      </c>
      <c r="CQ78" s="300">
        <f t="shared" si="130"/>
        <v>0</v>
      </c>
      <c r="CR78" s="301">
        <f>[1]COMMANDE!AU76</f>
        <v>0</v>
      </c>
      <c r="CS78" s="297" t="str">
        <f t="shared" si="131"/>
        <v>0</v>
      </c>
      <c r="CT78" s="298">
        <f t="shared" si="132"/>
        <v>0</v>
      </c>
      <c r="CU78" s="299">
        <f>[1]COMMANDE!AW76</f>
        <v>0</v>
      </c>
      <c r="CV78" s="297" t="str">
        <f t="shared" si="133"/>
        <v>0</v>
      </c>
      <c r="CW78" s="300">
        <f t="shared" si="134"/>
        <v>0</v>
      </c>
      <c r="CX78" s="301">
        <f>[1]COMMANDE!AY76</f>
        <v>0</v>
      </c>
      <c r="CY78" s="297" t="str">
        <f t="shared" si="135"/>
        <v>0</v>
      </c>
      <c r="CZ78" s="298">
        <f t="shared" si="136"/>
        <v>0</v>
      </c>
      <c r="DA78" s="299">
        <f>[1]COMMANDE!BA76</f>
        <v>0</v>
      </c>
      <c r="DB78" s="297" t="str">
        <f t="shared" si="137"/>
        <v>0</v>
      </c>
      <c r="DC78" s="302">
        <f t="shared" si="138"/>
        <v>0</v>
      </c>
      <c r="DD78" s="303"/>
      <c r="DE78" s="304"/>
    </row>
    <row r="79" spans="1:109" ht="39.950000000000003" customHeight="1" x14ac:dyDescent="0.25">
      <c r="A79" s="284">
        <f t="shared" si="71"/>
        <v>0</v>
      </c>
      <c r="B79" s="284">
        <f t="shared" si="72"/>
        <v>0</v>
      </c>
      <c r="C79" s="284">
        <f t="shared" si="73"/>
        <v>0</v>
      </c>
      <c r="D79" s="284">
        <f t="shared" si="74"/>
        <v>0</v>
      </c>
      <c r="E79" s="284">
        <f t="shared" si="75"/>
        <v>0</v>
      </c>
      <c r="F79" s="284">
        <f t="shared" si="76"/>
        <v>0</v>
      </c>
      <c r="G79" s="284">
        <f t="shared" si="77"/>
        <v>0</v>
      </c>
      <c r="H79" s="284">
        <f t="shared" si="78"/>
        <v>0</v>
      </c>
      <c r="I79" s="284">
        <f t="shared" si="79"/>
        <v>0</v>
      </c>
      <c r="J79" s="284">
        <f t="shared" si="80"/>
        <v>0</v>
      </c>
      <c r="K79" s="284">
        <f t="shared" si="81"/>
        <v>0</v>
      </c>
      <c r="L79" s="284">
        <f t="shared" si="82"/>
        <v>0</v>
      </c>
      <c r="M79" s="284">
        <f t="shared" si="83"/>
        <v>0</v>
      </c>
      <c r="N79" s="284">
        <f t="shared" si="84"/>
        <v>0</v>
      </c>
      <c r="O79" s="284">
        <f t="shared" si="85"/>
        <v>0</v>
      </c>
      <c r="P79" s="284">
        <f t="shared" si="86"/>
        <v>0</v>
      </c>
      <c r="Q79" s="284">
        <f t="shared" si="87"/>
        <v>0</v>
      </c>
      <c r="R79" s="284">
        <f t="shared" si="88"/>
        <v>0</v>
      </c>
      <c r="S79" s="284">
        <f t="shared" si="89"/>
        <v>0</v>
      </c>
      <c r="T79" s="284">
        <f t="shared" si="90"/>
        <v>0</v>
      </c>
      <c r="U79" s="285">
        <f t="shared" si="91"/>
        <v>0</v>
      </c>
      <c r="V79" s="286">
        <f>[1]BDD!A69</f>
        <v>6019</v>
      </c>
      <c r="W79" s="287" t="str">
        <f>[1]BDD!B69</f>
        <v>Citron Caviar BIO
    - (plateau de 500g)</v>
      </c>
      <c r="X79" s="288" t="str">
        <f>IF([1]BDD!F69=0, "", [1]BDD!F69)</f>
        <v>❤️</v>
      </c>
      <c r="Y79" s="214">
        <f>ROUND([1]BDD!G69+FDP_CMD_KG, 2)</f>
        <v>28.24</v>
      </c>
      <c r="Z79" s="214">
        <f>ROUND([1]BDD!G69+FDP_FACT_KG, 2)</f>
        <v>28.24</v>
      </c>
      <c r="AA79" s="215" t="str">
        <f>[1]BDD!H69</f>
        <v>500g</v>
      </c>
      <c r="AB79" s="225" t="str">
        <f>IF(NOT(ISBLANK([1]BDD!I69)), ROUND(SUM(([1]BDD!G69*reduc1),FDP_CMD_KG), 2), "")</f>
        <v/>
      </c>
      <c r="AC79" s="225" t="str">
        <f>IF(NOT(ISBLANK([1]BDD!J69)), ROUND(SUM(([1]BDD!G69*reduc2),FDP_CMD_KG), 2), "")</f>
        <v/>
      </c>
      <c r="AD79" s="225" t="str">
        <f>IF(NOT(ISBLANK([1]BDD!K69)), ROUND(SUM(([1]BDD!G69*reduc3),FDP_CMD_KG), 2), "")</f>
        <v/>
      </c>
      <c r="AE79" s="225" t="str">
        <f>IF(NOT(ISBLANK([1]BDD!I69)), ROUND(SUM(([1]BDD!G69*reduc1),FDP_FACT_KG), 2), "")</f>
        <v/>
      </c>
      <c r="AF79" s="225" t="str">
        <f>IF(NOT(ISBLANK([1]BDD!J69)), ROUND(SUM(([1]BDD!G69*reduc2),FDP_FACT_KG), 2), "")</f>
        <v/>
      </c>
      <c r="AG79" s="225" t="str">
        <f>IF(NOT(ISBLANK([1]BDD!K69)), ROUND(SUM(([1]BDD!G69*reduc3),FDP_FACT_KG), 2), "")</f>
        <v/>
      </c>
      <c r="AH79" s="289" t="str">
        <f>[1]BDD!C69</f>
        <v>Grenade</v>
      </c>
      <c r="AI79" s="290">
        <f t="shared" si="92"/>
        <v>0</v>
      </c>
      <c r="AJ79" s="216">
        <f t="shared" si="93"/>
        <v>28.24</v>
      </c>
      <c r="AK79" s="291">
        <f t="shared" si="94"/>
        <v>0</v>
      </c>
      <c r="AL79" s="429"/>
      <c r="AM79" s="292"/>
      <c r="AN79" s="216">
        <f t="shared" si="95"/>
        <v>28.24</v>
      </c>
      <c r="AO79" s="293">
        <f t="shared" si="96"/>
        <v>0</v>
      </c>
      <c r="AP79" s="294"/>
      <c r="AQ79" s="294"/>
      <c r="AR79" s="429"/>
      <c r="AS79" s="295">
        <f t="shared" si="97"/>
        <v>0</v>
      </c>
      <c r="AT79" s="216">
        <f t="shared" si="98"/>
        <v>28.24</v>
      </c>
      <c r="AU79" s="291">
        <f t="shared" si="70"/>
        <v>0</v>
      </c>
      <c r="AV79" s="296">
        <f>[1]COMMANDE!O77</f>
        <v>0</v>
      </c>
      <c r="AW79" s="297" t="str">
        <f t="shared" si="99"/>
        <v>0</v>
      </c>
      <c r="AX79" s="298">
        <f t="shared" si="100"/>
        <v>0</v>
      </c>
      <c r="AY79" s="299">
        <f>[1]COMMANDE!Q77</f>
        <v>0</v>
      </c>
      <c r="AZ79" s="297" t="str">
        <f t="shared" si="101"/>
        <v>0</v>
      </c>
      <c r="BA79" s="300">
        <f t="shared" si="102"/>
        <v>0</v>
      </c>
      <c r="BB79" s="301">
        <f>[1]COMMANDE!S77</f>
        <v>0</v>
      </c>
      <c r="BC79" s="297" t="str">
        <f t="shared" si="103"/>
        <v>0</v>
      </c>
      <c r="BD79" s="298">
        <f t="shared" si="104"/>
        <v>0</v>
      </c>
      <c r="BE79" s="299">
        <f>[1]COMMANDE!U77</f>
        <v>0</v>
      </c>
      <c r="BF79" s="297" t="str">
        <f t="shared" si="105"/>
        <v>0</v>
      </c>
      <c r="BG79" s="300">
        <f t="shared" si="106"/>
        <v>0</v>
      </c>
      <c r="BH79" s="301">
        <f>[1]COMMANDE!W77</f>
        <v>0</v>
      </c>
      <c r="BI79" s="297" t="str">
        <f t="shared" si="107"/>
        <v>0</v>
      </c>
      <c r="BJ79" s="298">
        <f t="shared" si="108"/>
        <v>0</v>
      </c>
      <c r="BK79" s="299">
        <f>[1]COMMANDE!Y77</f>
        <v>0</v>
      </c>
      <c r="BL79" s="297" t="str">
        <f t="shared" si="109"/>
        <v>0</v>
      </c>
      <c r="BM79" s="300">
        <f t="shared" si="110"/>
        <v>0</v>
      </c>
      <c r="BN79" s="301">
        <f>[1]COMMANDE!AA77</f>
        <v>0</v>
      </c>
      <c r="BO79" s="297" t="str">
        <f t="shared" si="111"/>
        <v>0</v>
      </c>
      <c r="BP79" s="298">
        <f t="shared" si="112"/>
        <v>0</v>
      </c>
      <c r="BQ79" s="299">
        <f>[1]COMMANDE!AC77</f>
        <v>0</v>
      </c>
      <c r="BR79" s="297" t="str">
        <f t="shared" si="113"/>
        <v>0</v>
      </c>
      <c r="BS79" s="300">
        <f t="shared" si="114"/>
        <v>0</v>
      </c>
      <c r="BT79" s="301">
        <f>[1]COMMANDE!AE77</f>
        <v>0</v>
      </c>
      <c r="BU79" s="297" t="str">
        <f t="shared" si="115"/>
        <v>0</v>
      </c>
      <c r="BV79" s="298">
        <f t="shared" si="116"/>
        <v>0</v>
      </c>
      <c r="BW79" s="299">
        <f>[1]COMMANDE!AG77</f>
        <v>0</v>
      </c>
      <c r="BX79" s="297" t="str">
        <f t="shared" si="117"/>
        <v>0</v>
      </c>
      <c r="BY79" s="300">
        <f t="shared" si="118"/>
        <v>0</v>
      </c>
      <c r="BZ79" s="301">
        <f>[1]COMMANDE!AI77</f>
        <v>0</v>
      </c>
      <c r="CA79" s="297" t="str">
        <f t="shared" si="119"/>
        <v>0</v>
      </c>
      <c r="CB79" s="298">
        <f t="shared" si="120"/>
        <v>0</v>
      </c>
      <c r="CC79" s="299">
        <f>[1]COMMANDE!AK77</f>
        <v>0</v>
      </c>
      <c r="CD79" s="297" t="str">
        <f t="shared" si="121"/>
        <v>0</v>
      </c>
      <c r="CE79" s="300">
        <f t="shared" si="122"/>
        <v>0</v>
      </c>
      <c r="CF79" s="301">
        <f>[1]COMMANDE!AM77</f>
        <v>0</v>
      </c>
      <c r="CG79" s="297" t="str">
        <f t="shared" si="123"/>
        <v>0</v>
      </c>
      <c r="CH79" s="298">
        <f t="shared" si="124"/>
        <v>0</v>
      </c>
      <c r="CI79" s="299">
        <f>[1]COMMANDE!AO77</f>
        <v>0</v>
      </c>
      <c r="CJ79" s="297" t="str">
        <f t="shared" si="125"/>
        <v>0</v>
      </c>
      <c r="CK79" s="300">
        <f t="shared" si="126"/>
        <v>0</v>
      </c>
      <c r="CL79" s="301">
        <f>[1]COMMANDE!AQ77</f>
        <v>0</v>
      </c>
      <c r="CM79" s="297" t="str">
        <f t="shared" si="127"/>
        <v>0</v>
      </c>
      <c r="CN79" s="298">
        <f t="shared" si="128"/>
        <v>0</v>
      </c>
      <c r="CO79" s="299">
        <f>[1]COMMANDE!AS77</f>
        <v>0</v>
      </c>
      <c r="CP79" s="297" t="str">
        <f t="shared" si="129"/>
        <v>0</v>
      </c>
      <c r="CQ79" s="300">
        <f t="shared" si="130"/>
        <v>0</v>
      </c>
      <c r="CR79" s="301">
        <f>[1]COMMANDE!AU77</f>
        <v>0</v>
      </c>
      <c r="CS79" s="297" t="str">
        <f t="shared" si="131"/>
        <v>0</v>
      </c>
      <c r="CT79" s="298">
        <f t="shared" si="132"/>
        <v>0</v>
      </c>
      <c r="CU79" s="299">
        <f>[1]COMMANDE!AW77</f>
        <v>0</v>
      </c>
      <c r="CV79" s="297" t="str">
        <f t="shared" si="133"/>
        <v>0</v>
      </c>
      <c r="CW79" s="300">
        <f t="shared" si="134"/>
        <v>0</v>
      </c>
      <c r="CX79" s="301">
        <f>[1]COMMANDE!AY77</f>
        <v>0</v>
      </c>
      <c r="CY79" s="297" t="str">
        <f t="shared" si="135"/>
        <v>0</v>
      </c>
      <c r="CZ79" s="298">
        <f t="shared" si="136"/>
        <v>0</v>
      </c>
      <c r="DA79" s="299">
        <f>[1]COMMANDE!BA77</f>
        <v>0</v>
      </c>
      <c r="DB79" s="297" t="str">
        <f t="shared" si="137"/>
        <v>0</v>
      </c>
      <c r="DC79" s="302">
        <f t="shared" si="138"/>
        <v>0</v>
      </c>
      <c r="DD79" s="303"/>
      <c r="DE79" s="304"/>
    </row>
    <row r="80" spans="1:109" ht="39.950000000000003" customHeight="1" x14ac:dyDescent="0.25">
      <c r="A80" s="284">
        <f t="shared" si="71"/>
        <v>0</v>
      </c>
      <c r="B80" s="284">
        <f t="shared" si="72"/>
        <v>0</v>
      </c>
      <c r="C80" s="284">
        <f t="shared" si="73"/>
        <v>0</v>
      </c>
      <c r="D80" s="284">
        <f t="shared" si="74"/>
        <v>0</v>
      </c>
      <c r="E80" s="284">
        <f t="shared" si="75"/>
        <v>0</v>
      </c>
      <c r="F80" s="284">
        <f t="shared" si="76"/>
        <v>0</v>
      </c>
      <c r="G80" s="284">
        <f t="shared" si="77"/>
        <v>0</v>
      </c>
      <c r="H80" s="284">
        <f t="shared" si="78"/>
        <v>0</v>
      </c>
      <c r="I80" s="284">
        <f t="shared" si="79"/>
        <v>0</v>
      </c>
      <c r="J80" s="284">
        <f t="shared" si="80"/>
        <v>0</v>
      </c>
      <c r="K80" s="284">
        <f t="shared" si="81"/>
        <v>0</v>
      </c>
      <c r="L80" s="284">
        <f t="shared" si="82"/>
        <v>0</v>
      </c>
      <c r="M80" s="284">
        <f t="shared" si="83"/>
        <v>0</v>
      </c>
      <c r="N80" s="284">
        <f t="shared" si="84"/>
        <v>0</v>
      </c>
      <c r="O80" s="284">
        <f t="shared" si="85"/>
        <v>0</v>
      </c>
      <c r="P80" s="284">
        <f t="shared" si="86"/>
        <v>0</v>
      </c>
      <c r="Q80" s="284">
        <f t="shared" si="87"/>
        <v>0</v>
      </c>
      <c r="R80" s="284">
        <f t="shared" si="88"/>
        <v>0</v>
      </c>
      <c r="S80" s="284">
        <f t="shared" si="89"/>
        <v>0</v>
      </c>
      <c r="T80" s="284">
        <f t="shared" si="90"/>
        <v>0</v>
      </c>
      <c r="U80" s="285">
        <f t="shared" si="91"/>
        <v>0</v>
      </c>
      <c r="V80" s="286">
        <f>[1]BDD!A70</f>
        <v>3421</v>
      </c>
      <c r="W80" s="287" t="str">
        <f>[1]BDD!B70</f>
        <v>Citron jaune (mûri sur plante)</v>
      </c>
      <c r="X80" s="288" t="str">
        <f>IF([1]BDD!F70=0, "", [1]BDD!F70)</f>
        <v>❤️</v>
      </c>
      <c r="Y80" s="214">
        <f>ROUND([1]BDD!G70+FDP_CMD_KG, 2)</f>
        <v>3.73</v>
      </c>
      <c r="Z80" s="214">
        <f>ROUND([1]BDD!G70+FDP_FACT_KG, 2)</f>
        <v>3.73</v>
      </c>
      <c r="AA80" s="215" t="str">
        <f>[1]BDD!H70</f>
        <v>kg</v>
      </c>
      <c r="AB80" s="225">
        <f>IF(NOT(ISBLANK([1]BDD!I70)), ROUND(SUM(([1]BDD!G70*reduc1),FDP_CMD_KG), 2), "")</f>
        <v>3.45</v>
      </c>
      <c r="AC80" s="225">
        <f>IF(NOT(ISBLANK([1]BDD!J70)), ROUND(SUM(([1]BDD!G70*reduc2),FDP_CMD_KG), 2), "")</f>
        <v>3.16</v>
      </c>
      <c r="AD80" s="225">
        <f>IF(NOT(ISBLANK([1]BDD!K70)), ROUND(SUM(([1]BDD!G70*reduc3),FDP_CMD_KG), 2), "")</f>
        <v>2.88</v>
      </c>
      <c r="AE80" s="225">
        <f>IF(NOT(ISBLANK([1]BDD!I70)), ROUND(SUM(([1]BDD!G70*reduc1),FDP_FACT_KG), 2), "")</f>
        <v>3.44</v>
      </c>
      <c r="AF80" s="225">
        <f>IF(NOT(ISBLANK([1]BDD!J70)), ROUND(SUM(([1]BDD!G70*reduc2),FDP_FACT_KG), 2), "")</f>
        <v>3.15</v>
      </c>
      <c r="AG80" s="225">
        <f>IF(NOT(ISBLANK([1]BDD!K70)), ROUND(SUM(([1]BDD!G70*reduc3),FDP_FACT_KG), 2), "")</f>
        <v>2.87</v>
      </c>
      <c r="AH80" s="289" t="str">
        <f>[1]BDD!C70</f>
        <v>Grenade</v>
      </c>
      <c r="AI80" s="290">
        <f t="shared" si="92"/>
        <v>0</v>
      </c>
      <c r="AJ80" s="216">
        <f t="shared" si="93"/>
        <v>2.88</v>
      </c>
      <c r="AK80" s="291">
        <f t="shared" si="94"/>
        <v>0</v>
      </c>
      <c r="AL80" s="429"/>
      <c r="AM80" s="292"/>
      <c r="AN80" s="216">
        <f t="shared" si="95"/>
        <v>3.73</v>
      </c>
      <c r="AO80" s="293">
        <f t="shared" si="96"/>
        <v>0</v>
      </c>
      <c r="AP80" s="294"/>
      <c r="AQ80" s="294"/>
      <c r="AR80" s="429"/>
      <c r="AS80" s="295">
        <f t="shared" si="97"/>
        <v>0</v>
      </c>
      <c r="AT80" s="216">
        <f t="shared" si="98"/>
        <v>3.73</v>
      </c>
      <c r="AU80" s="291">
        <f t="shared" si="70"/>
        <v>0</v>
      </c>
      <c r="AV80" s="296">
        <f>[1]COMMANDE!O78</f>
        <v>0</v>
      </c>
      <c r="AW80" s="297" t="str">
        <f t="shared" si="99"/>
        <v>0</v>
      </c>
      <c r="AX80" s="298">
        <f t="shared" si="100"/>
        <v>0</v>
      </c>
      <c r="AY80" s="299">
        <f>[1]COMMANDE!Q78</f>
        <v>0</v>
      </c>
      <c r="AZ80" s="297" t="str">
        <f t="shared" si="101"/>
        <v>0</v>
      </c>
      <c r="BA80" s="300">
        <f t="shared" si="102"/>
        <v>0</v>
      </c>
      <c r="BB80" s="301">
        <f>[1]COMMANDE!S78</f>
        <v>0</v>
      </c>
      <c r="BC80" s="297" t="str">
        <f t="shared" si="103"/>
        <v>0</v>
      </c>
      <c r="BD80" s="298">
        <f t="shared" si="104"/>
        <v>0</v>
      </c>
      <c r="BE80" s="299">
        <f>[1]COMMANDE!U78</f>
        <v>0</v>
      </c>
      <c r="BF80" s="297" t="str">
        <f t="shared" si="105"/>
        <v>0</v>
      </c>
      <c r="BG80" s="300">
        <f t="shared" si="106"/>
        <v>0</v>
      </c>
      <c r="BH80" s="301">
        <f>[1]COMMANDE!W78</f>
        <v>0</v>
      </c>
      <c r="BI80" s="297" t="str">
        <f t="shared" si="107"/>
        <v>0</v>
      </c>
      <c r="BJ80" s="298">
        <f t="shared" si="108"/>
        <v>0</v>
      </c>
      <c r="BK80" s="299">
        <f>[1]COMMANDE!Y78</f>
        <v>0</v>
      </c>
      <c r="BL80" s="297" t="str">
        <f t="shared" si="109"/>
        <v>0</v>
      </c>
      <c r="BM80" s="300">
        <f t="shared" si="110"/>
        <v>0</v>
      </c>
      <c r="BN80" s="301">
        <f>[1]COMMANDE!AA78</f>
        <v>0</v>
      </c>
      <c r="BO80" s="297" t="str">
        <f t="shared" si="111"/>
        <v>0</v>
      </c>
      <c r="BP80" s="298">
        <f t="shared" si="112"/>
        <v>0</v>
      </c>
      <c r="BQ80" s="299">
        <f>[1]COMMANDE!AC78</f>
        <v>0</v>
      </c>
      <c r="BR80" s="297" t="str">
        <f t="shared" si="113"/>
        <v>0</v>
      </c>
      <c r="BS80" s="300">
        <f t="shared" si="114"/>
        <v>0</v>
      </c>
      <c r="BT80" s="301">
        <f>[1]COMMANDE!AE78</f>
        <v>0</v>
      </c>
      <c r="BU80" s="297" t="str">
        <f t="shared" si="115"/>
        <v>0</v>
      </c>
      <c r="BV80" s="298">
        <f t="shared" si="116"/>
        <v>0</v>
      </c>
      <c r="BW80" s="299">
        <f>[1]COMMANDE!AG78</f>
        <v>0</v>
      </c>
      <c r="BX80" s="297" t="str">
        <f t="shared" si="117"/>
        <v>0</v>
      </c>
      <c r="BY80" s="300">
        <f t="shared" si="118"/>
        <v>0</v>
      </c>
      <c r="BZ80" s="301">
        <f>[1]COMMANDE!AI78</f>
        <v>0</v>
      </c>
      <c r="CA80" s="297" t="str">
        <f t="shared" si="119"/>
        <v>0</v>
      </c>
      <c r="CB80" s="298">
        <f t="shared" si="120"/>
        <v>0</v>
      </c>
      <c r="CC80" s="299">
        <f>[1]COMMANDE!AK78</f>
        <v>0</v>
      </c>
      <c r="CD80" s="297" t="str">
        <f t="shared" si="121"/>
        <v>0</v>
      </c>
      <c r="CE80" s="300">
        <f t="shared" si="122"/>
        <v>0</v>
      </c>
      <c r="CF80" s="301">
        <f>[1]COMMANDE!AM78</f>
        <v>0</v>
      </c>
      <c r="CG80" s="297" t="str">
        <f t="shared" si="123"/>
        <v>0</v>
      </c>
      <c r="CH80" s="298">
        <f t="shared" si="124"/>
        <v>0</v>
      </c>
      <c r="CI80" s="299">
        <f>[1]COMMANDE!AO78</f>
        <v>0</v>
      </c>
      <c r="CJ80" s="297" t="str">
        <f t="shared" si="125"/>
        <v>0</v>
      </c>
      <c r="CK80" s="300">
        <f t="shared" si="126"/>
        <v>0</v>
      </c>
      <c r="CL80" s="301">
        <f>[1]COMMANDE!AQ78</f>
        <v>0</v>
      </c>
      <c r="CM80" s="297" t="str">
        <f t="shared" si="127"/>
        <v>0</v>
      </c>
      <c r="CN80" s="298">
        <f t="shared" si="128"/>
        <v>0</v>
      </c>
      <c r="CO80" s="299">
        <f>[1]COMMANDE!AS78</f>
        <v>0</v>
      </c>
      <c r="CP80" s="297" t="str">
        <f t="shared" si="129"/>
        <v>0</v>
      </c>
      <c r="CQ80" s="300">
        <f t="shared" si="130"/>
        <v>0</v>
      </c>
      <c r="CR80" s="301">
        <f>[1]COMMANDE!AU78</f>
        <v>0</v>
      </c>
      <c r="CS80" s="297" t="str">
        <f t="shared" si="131"/>
        <v>0</v>
      </c>
      <c r="CT80" s="298">
        <f t="shared" si="132"/>
        <v>0</v>
      </c>
      <c r="CU80" s="299">
        <f>[1]COMMANDE!AW78</f>
        <v>0</v>
      </c>
      <c r="CV80" s="297" t="str">
        <f t="shared" si="133"/>
        <v>0</v>
      </c>
      <c r="CW80" s="300">
        <f t="shared" si="134"/>
        <v>0</v>
      </c>
      <c r="CX80" s="301">
        <f>[1]COMMANDE!AY78</f>
        <v>0</v>
      </c>
      <c r="CY80" s="297" t="str">
        <f t="shared" si="135"/>
        <v>0</v>
      </c>
      <c r="CZ80" s="298">
        <f t="shared" si="136"/>
        <v>0</v>
      </c>
      <c r="DA80" s="299">
        <f>[1]COMMANDE!BA78</f>
        <v>0</v>
      </c>
      <c r="DB80" s="297" t="str">
        <f t="shared" si="137"/>
        <v>0</v>
      </c>
      <c r="DC80" s="302">
        <f t="shared" si="138"/>
        <v>0</v>
      </c>
      <c r="DD80" s="303"/>
      <c r="DE80" s="304"/>
    </row>
    <row r="81" spans="1:109" ht="39.950000000000003" customHeight="1" x14ac:dyDescent="0.25">
      <c r="A81" s="284">
        <f t="shared" si="71"/>
        <v>0</v>
      </c>
      <c r="B81" s="284">
        <f t="shared" si="72"/>
        <v>0</v>
      </c>
      <c r="C81" s="284">
        <f t="shared" si="73"/>
        <v>0</v>
      </c>
      <c r="D81" s="284">
        <f t="shared" si="74"/>
        <v>0</v>
      </c>
      <c r="E81" s="284">
        <f t="shared" si="75"/>
        <v>0</v>
      </c>
      <c r="F81" s="284">
        <f t="shared" si="76"/>
        <v>0</v>
      </c>
      <c r="G81" s="284">
        <f t="shared" si="77"/>
        <v>0</v>
      </c>
      <c r="H81" s="284">
        <f t="shared" si="78"/>
        <v>0</v>
      </c>
      <c r="I81" s="284">
        <f t="shared" si="79"/>
        <v>0</v>
      </c>
      <c r="J81" s="284">
        <f t="shared" si="80"/>
        <v>0</v>
      </c>
      <c r="K81" s="284">
        <f t="shared" si="81"/>
        <v>0</v>
      </c>
      <c r="L81" s="284">
        <f t="shared" si="82"/>
        <v>0</v>
      </c>
      <c r="M81" s="284">
        <f t="shared" si="83"/>
        <v>0</v>
      </c>
      <c r="N81" s="284">
        <f t="shared" si="84"/>
        <v>0</v>
      </c>
      <c r="O81" s="284">
        <f t="shared" si="85"/>
        <v>0</v>
      </c>
      <c r="P81" s="284">
        <f t="shared" si="86"/>
        <v>0</v>
      </c>
      <c r="Q81" s="284">
        <f t="shared" si="87"/>
        <v>0</v>
      </c>
      <c r="R81" s="284">
        <f t="shared" si="88"/>
        <v>0</v>
      </c>
      <c r="S81" s="284">
        <f t="shared" si="89"/>
        <v>0</v>
      </c>
      <c r="T81" s="284">
        <f t="shared" si="90"/>
        <v>0</v>
      </c>
      <c r="U81" s="285">
        <f t="shared" si="91"/>
        <v>0</v>
      </c>
      <c r="V81" s="286">
        <f>[1]BDD!A71</f>
        <v>6094</v>
      </c>
      <c r="W81" s="287" t="str">
        <f>[1]BDD!B71</f>
        <v>Citron jaune BIO (seconde catégorie)</v>
      </c>
      <c r="X81" s="288" t="str">
        <f>IF([1]BDD!F71=0, "", [1]BDD!F71)</f>
        <v/>
      </c>
      <c r="Y81" s="214">
        <f>ROUND([1]BDD!G71+FDP_CMD_KG, 2)</f>
        <v>2.36</v>
      </c>
      <c r="Z81" s="214">
        <f>ROUND([1]BDD!G71+FDP_FACT_KG, 2)</f>
        <v>2.36</v>
      </c>
      <c r="AA81" s="215" t="str">
        <f>[1]BDD!H71</f>
        <v>kg</v>
      </c>
      <c r="AB81" s="225">
        <f>IF(NOT(ISBLANK([1]BDD!I71)), ROUND(SUM(([1]BDD!G71*reduc1),FDP_CMD_KG), 2), "")</f>
        <v>2.21</v>
      </c>
      <c r="AC81" s="225">
        <f>IF(NOT(ISBLANK([1]BDD!J71)), ROUND(SUM(([1]BDD!G71*reduc2),FDP_CMD_KG), 2), "")</f>
        <v>2.0699999999999998</v>
      </c>
      <c r="AD81" s="225">
        <f>IF(NOT(ISBLANK([1]BDD!K71)), ROUND(SUM(([1]BDD!G71*reduc3),FDP_CMD_KG), 2), "")</f>
        <v>1.92</v>
      </c>
      <c r="AE81" s="225">
        <f>IF(NOT(ISBLANK([1]BDD!I71)), ROUND(SUM(([1]BDD!G71*reduc1),FDP_FACT_KG), 2), "")</f>
        <v>2.21</v>
      </c>
      <c r="AF81" s="225">
        <f>IF(NOT(ISBLANK([1]BDD!J71)), ROUND(SUM(([1]BDD!G71*reduc2),FDP_FACT_KG), 2), "")</f>
        <v>2.06</v>
      </c>
      <c r="AG81" s="225">
        <f>IF(NOT(ISBLANK([1]BDD!K71)), ROUND(SUM(([1]BDD!G71*reduc3),FDP_FACT_KG), 2), "")</f>
        <v>1.91</v>
      </c>
      <c r="AH81" s="289" t="str">
        <f>[1]BDD!C71</f>
        <v>Malaga</v>
      </c>
      <c r="AI81" s="290">
        <f t="shared" si="92"/>
        <v>0</v>
      </c>
      <c r="AJ81" s="216">
        <f t="shared" si="93"/>
        <v>1.92</v>
      </c>
      <c r="AK81" s="291">
        <f t="shared" si="94"/>
        <v>0</v>
      </c>
      <c r="AL81" s="429"/>
      <c r="AM81" s="292"/>
      <c r="AN81" s="216">
        <f t="shared" si="95"/>
        <v>2.36</v>
      </c>
      <c r="AO81" s="293">
        <f t="shared" si="96"/>
        <v>0</v>
      </c>
      <c r="AP81" s="294"/>
      <c r="AQ81" s="294"/>
      <c r="AR81" s="429"/>
      <c r="AS81" s="295">
        <f t="shared" si="97"/>
        <v>0</v>
      </c>
      <c r="AT81" s="216">
        <f t="shared" si="98"/>
        <v>2.36</v>
      </c>
      <c r="AU81" s="291">
        <f t="shared" si="70"/>
        <v>0</v>
      </c>
      <c r="AV81" s="296">
        <f>[1]COMMANDE!O79</f>
        <v>0</v>
      </c>
      <c r="AW81" s="297" t="str">
        <f t="shared" si="99"/>
        <v>0</v>
      </c>
      <c r="AX81" s="298">
        <f t="shared" si="100"/>
        <v>0</v>
      </c>
      <c r="AY81" s="299">
        <f>[1]COMMANDE!Q79</f>
        <v>0</v>
      </c>
      <c r="AZ81" s="297" t="str">
        <f t="shared" si="101"/>
        <v>0</v>
      </c>
      <c r="BA81" s="300">
        <f t="shared" si="102"/>
        <v>0</v>
      </c>
      <c r="BB81" s="301">
        <f>[1]COMMANDE!S79</f>
        <v>0</v>
      </c>
      <c r="BC81" s="297" t="str">
        <f t="shared" si="103"/>
        <v>0</v>
      </c>
      <c r="BD81" s="298">
        <f t="shared" si="104"/>
        <v>0</v>
      </c>
      <c r="BE81" s="299">
        <f>[1]COMMANDE!U79</f>
        <v>0</v>
      </c>
      <c r="BF81" s="297" t="str">
        <f t="shared" si="105"/>
        <v>0</v>
      </c>
      <c r="BG81" s="300">
        <f t="shared" si="106"/>
        <v>0</v>
      </c>
      <c r="BH81" s="301">
        <f>[1]COMMANDE!W79</f>
        <v>0</v>
      </c>
      <c r="BI81" s="297" t="str">
        <f t="shared" si="107"/>
        <v>0</v>
      </c>
      <c r="BJ81" s="298">
        <f t="shared" si="108"/>
        <v>0</v>
      </c>
      <c r="BK81" s="299">
        <f>[1]COMMANDE!Y79</f>
        <v>0</v>
      </c>
      <c r="BL81" s="297" t="str">
        <f t="shared" si="109"/>
        <v>0</v>
      </c>
      <c r="BM81" s="300">
        <f t="shared" si="110"/>
        <v>0</v>
      </c>
      <c r="BN81" s="301">
        <f>[1]COMMANDE!AA79</f>
        <v>0</v>
      </c>
      <c r="BO81" s="297" t="str">
        <f t="shared" si="111"/>
        <v>0</v>
      </c>
      <c r="BP81" s="298">
        <f t="shared" si="112"/>
        <v>0</v>
      </c>
      <c r="BQ81" s="299">
        <f>[1]COMMANDE!AC79</f>
        <v>0</v>
      </c>
      <c r="BR81" s="297" t="str">
        <f t="shared" si="113"/>
        <v>0</v>
      </c>
      <c r="BS81" s="300">
        <f t="shared" si="114"/>
        <v>0</v>
      </c>
      <c r="BT81" s="301">
        <f>[1]COMMANDE!AE79</f>
        <v>0</v>
      </c>
      <c r="BU81" s="297" t="str">
        <f t="shared" si="115"/>
        <v>0</v>
      </c>
      <c r="BV81" s="298">
        <f t="shared" si="116"/>
        <v>0</v>
      </c>
      <c r="BW81" s="299">
        <f>[1]COMMANDE!AG79</f>
        <v>0</v>
      </c>
      <c r="BX81" s="297" t="str">
        <f t="shared" si="117"/>
        <v>0</v>
      </c>
      <c r="BY81" s="300">
        <f t="shared" si="118"/>
        <v>0</v>
      </c>
      <c r="BZ81" s="301">
        <f>[1]COMMANDE!AI79</f>
        <v>0</v>
      </c>
      <c r="CA81" s="297" t="str">
        <f t="shared" si="119"/>
        <v>0</v>
      </c>
      <c r="CB81" s="298">
        <f t="shared" si="120"/>
        <v>0</v>
      </c>
      <c r="CC81" s="299">
        <f>[1]COMMANDE!AK79</f>
        <v>0</v>
      </c>
      <c r="CD81" s="297" t="str">
        <f t="shared" si="121"/>
        <v>0</v>
      </c>
      <c r="CE81" s="300">
        <f t="shared" si="122"/>
        <v>0</v>
      </c>
      <c r="CF81" s="301">
        <f>[1]COMMANDE!AM79</f>
        <v>0</v>
      </c>
      <c r="CG81" s="297" t="str">
        <f t="shared" si="123"/>
        <v>0</v>
      </c>
      <c r="CH81" s="298">
        <f t="shared" si="124"/>
        <v>0</v>
      </c>
      <c r="CI81" s="299">
        <f>[1]COMMANDE!AO79</f>
        <v>0</v>
      </c>
      <c r="CJ81" s="297" t="str">
        <f t="shared" si="125"/>
        <v>0</v>
      </c>
      <c r="CK81" s="300">
        <f t="shared" si="126"/>
        <v>0</v>
      </c>
      <c r="CL81" s="301">
        <f>[1]COMMANDE!AQ79</f>
        <v>0</v>
      </c>
      <c r="CM81" s="297" t="str">
        <f t="shared" si="127"/>
        <v>0</v>
      </c>
      <c r="CN81" s="298">
        <f t="shared" si="128"/>
        <v>0</v>
      </c>
      <c r="CO81" s="299">
        <f>[1]COMMANDE!AS79</f>
        <v>0</v>
      </c>
      <c r="CP81" s="297" t="str">
        <f t="shared" si="129"/>
        <v>0</v>
      </c>
      <c r="CQ81" s="300">
        <f t="shared" si="130"/>
        <v>0</v>
      </c>
      <c r="CR81" s="301">
        <f>[1]COMMANDE!AU79</f>
        <v>0</v>
      </c>
      <c r="CS81" s="297" t="str">
        <f t="shared" si="131"/>
        <v>0</v>
      </c>
      <c r="CT81" s="298">
        <f t="shared" si="132"/>
        <v>0</v>
      </c>
      <c r="CU81" s="299">
        <f>[1]COMMANDE!AW79</f>
        <v>0</v>
      </c>
      <c r="CV81" s="297" t="str">
        <f t="shared" si="133"/>
        <v>0</v>
      </c>
      <c r="CW81" s="300">
        <f t="shared" si="134"/>
        <v>0</v>
      </c>
      <c r="CX81" s="301">
        <f>[1]COMMANDE!AY79</f>
        <v>0</v>
      </c>
      <c r="CY81" s="297" t="str">
        <f t="shared" si="135"/>
        <v>0</v>
      </c>
      <c r="CZ81" s="298">
        <f t="shared" si="136"/>
        <v>0</v>
      </c>
      <c r="DA81" s="299">
        <f>[1]COMMANDE!BA79</f>
        <v>0</v>
      </c>
      <c r="DB81" s="297" t="str">
        <f t="shared" si="137"/>
        <v>0</v>
      </c>
      <c r="DC81" s="302">
        <f t="shared" si="138"/>
        <v>0</v>
      </c>
      <c r="DD81" s="303"/>
      <c r="DE81" s="304"/>
    </row>
    <row r="82" spans="1:109" ht="39.950000000000003" customHeight="1" x14ac:dyDescent="0.25">
      <c r="A82" s="284">
        <f t="shared" si="71"/>
        <v>0</v>
      </c>
      <c r="B82" s="284">
        <f t="shared" si="72"/>
        <v>0</v>
      </c>
      <c r="C82" s="284">
        <f t="shared" si="73"/>
        <v>0</v>
      </c>
      <c r="D82" s="284">
        <f t="shared" si="74"/>
        <v>0</v>
      </c>
      <c r="E82" s="284">
        <f t="shared" si="75"/>
        <v>0</v>
      </c>
      <c r="F82" s="284">
        <f t="shared" si="76"/>
        <v>0</v>
      </c>
      <c r="G82" s="284">
        <f t="shared" si="77"/>
        <v>0</v>
      </c>
      <c r="H82" s="284">
        <f t="shared" si="78"/>
        <v>0</v>
      </c>
      <c r="I82" s="284">
        <f t="shared" si="79"/>
        <v>0</v>
      </c>
      <c r="J82" s="284">
        <f t="shared" si="80"/>
        <v>0</v>
      </c>
      <c r="K82" s="284">
        <f t="shared" si="81"/>
        <v>0</v>
      </c>
      <c r="L82" s="284">
        <f t="shared" si="82"/>
        <v>0</v>
      </c>
      <c r="M82" s="284">
        <f t="shared" si="83"/>
        <v>0</v>
      </c>
      <c r="N82" s="284">
        <f t="shared" si="84"/>
        <v>0</v>
      </c>
      <c r="O82" s="284">
        <f t="shared" si="85"/>
        <v>0</v>
      </c>
      <c r="P82" s="284">
        <f t="shared" si="86"/>
        <v>0</v>
      </c>
      <c r="Q82" s="284">
        <f t="shared" si="87"/>
        <v>0</v>
      </c>
      <c r="R82" s="284">
        <f t="shared" si="88"/>
        <v>0</v>
      </c>
      <c r="S82" s="284">
        <f t="shared" si="89"/>
        <v>0</v>
      </c>
      <c r="T82" s="284">
        <f t="shared" si="90"/>
        <v>0</v>
      </c>
      <c r="U82" s="285">
        <f t="shared" si="91"/>
        <v>0</v>
      </c>
      <c r="V82" s="286">
        <f>[1]BDD!A72</f>
        <v>1023</v>
      </c>
      <c r="W82" s="287" t="str">
        <f>[1]BDD!B72</f>
        <v>Citron jaune Verna BIO (mûri sur plante) - grand</v>
      </c>
      <c r="X82" s="288" t="str">
        <f>IF([1]BDD!F72=0, "", [1]BDD!F72)</f>
        <v>❤️</v>
      </c>
      <c r="Y82" s="214">
        <f>ROUND([1]BDD!G72+FDP_CMD_KG, 2)</f>
        <v>4.01</v>
      </c>
      <c r="Z82" s="214">
        <f>ROUND([1]BDD!G72+FDP_FACT_KG, 2)</f>
        <v>4.01</v>
      </c>
      <c r="AA82" s="215" t="str">
        <f>[1]BDD!H72</f>
        <v>kg</v>
      </c>
      <c r="AB82" s="225">
        <f>IF(NOT(ISBLANK([1]BDD!I72)), ROUND(SUM(([1]BDD!G72*reduc1),FDP_CMD_KG), 2), "")</f>
        <v>3.7</v>
      </c>
      <c r="AC82" s="225">
        <f>IF(NOT(ISBLANK([1]BDD!J72)), ROUND(SUM(([1]BDD!G72*reduc2),FDP_CMD_KG), 2), "")</f>
        <v>3.39</v>
      </c>
      <c r="AD82" s="225">
        <f>IF(NOT(ISBLANK([1]BDD!K72)), ROUND(SUM(([1]BDD!G72*reduc3),FDP_CMD_KG), 2), "")</f>
        <v>3.07</v>
      </c>
      <c r="AE82" s="225">
        <f>IF(NOT(ISBLANK([1]BDD!I72)), ROUND(SUM(([1]BDD!G72*reduc1),FDP_FACT_KG), 2), "")</f>
        <v>3.69</v>
      </c>
      <c r="AF82" s="225">
        <f>IF(NOT(ISBLANK([1]BDD!J72)), ROUND(SUM(([1]BDD!G72*reduc2),FDP_FACT_KG), 2), "")</f>
        <v>3.38</v>
      </c>
      <c r="AG82" s="225">
        <f>IF(NOT(ISBLANK([1]BDD!K72)), ROUND(SUM(([1]BDD!G72*reduc3),FDP_FACT_KG), 2), "")</f>
        <v>3.06</v>
      </c>
      <c r="AH82" s="289" t="str">
        <f>[1]BDD!C72</f>
        <v>Malaga</v>
      </c>
      <c r="AI82" s="290">
        <f t="shared" si="92"/>
        <v>0</v>
      </c>
      <c r="AJ82" s="216">
        <f t="shared" si="93"/>
        <v>3.07</v>
      </c>
      <c r="AK82" s="291">
        <f t="shared" si="94"/>
        <v>0</v>
      </c>
      <c r="AL82" s="429"/>
      <c r="AM82" s="292"/>
      <c r="AN82" s="216">
        <f t="shared" si="95"/>
        <v>4.01</v>
      </c>
      <c r="AO82" s="293">
        <f t="shared" si="96"/>
        <v>0</v>
      </c>
      <c r="AP82" s="294"/>
      <c r="AQ82" s="294"/>
      <c r="AR82" s="429"/>
      <c r="AS82" s="295">
        <f t="shared" si="97"/>
        <v>0</v>
      </c>
      <c r="AT82" s="216">
        <f t="shared" si="98"/>
        <v>4.01</v>
      </c>
      <c r="AU82" s="291">
        <f t="shared" si="70"/>
        <v>0</v>
      </c>
      <c r="AV82" s="296">
        <f>[1]COMMANDE!O80</f>
        <v>0</v>
      </c>
      <c r="AW82" s="297" t="str">
        <f t="shared" si="99"/>
        <v>0</v>
      </c>
      <c r="AX82" s="298">
        <f t="shared" si="100"/>
        <v>0</v>
      </c>
      <c r="AY82" s="299">
        <f>[1]COMMANDE!Q80</f>
        <v>0</v>
      </c>
      <c r="AZ82" s="297" t="str">
        <f t="shared" si="101"/>
        <v>0</v>
      </c>
      <c r="BA82" s="300">
        <f t="shared" si="102"/>
        <v>0</v>
      </c>
      <c r="BB82" s="301">
        <f>[1]COMMANDE!S80</f>
        <v>0</v>
      </c>
      <c r="BC82" s="297" t="str">
        <f t="shared" si="103"/>
        <v>0</v>
      </c>
      <c r="BD82" s="298">
        <f t="shared" si="104"/>
        <v>0</v>
      </c>
      <c r="BE82" s="299">
        <f>[1]COMMANDE!U80</f>
        <v>0</v>
      </c>
      <c r="BF82" s="297" t="str">
        <f t="shared" si="105"/>
        <v>0</v>
      </c>
      <c r="BG82" s="300">
        <f t="shared" si="106"/>
        <v>0</v>
      </c>
      <c r="BH82" s="301">
        <f>[1]COMMANDE!W80</f>
        <v>0</v>
      </c>
      <c r="BI82" s="297" t="str">
        <f t="shared" si="107"/>
        <v>0</v>
      </c>
      <c r="BJ82" s="298">
        <f t="shared" si="108"/>
        <v>0</v>
      </c>
      <c r="BK82" s="299">
        <f>[1]COMMANDE!Y80</f>
        <v>0</v>
      </c>
      <c r="BL82" s="297" t="str">
        <f t="shared" si="109"/>
        <v>0</v>
      </c>
      <c r="BM82" s="300">
        <f t="shared" si="110"/>
        <v>0</v>
      </c>
      <c r="BN82" s="301">
        <f>[1]COMMANDE!AA80</f>
        <v>0</v>
      </c>
      <c r="BO82" s="297" t="str">
        <f t="shared" si="111"/>
        <v>0</v>
      </c>
      <c r="BP82" s="298">
        <f t="shared" si="112"/>
        <v>0</v>
      </c>
      <c r="BQ82" s="299">
        <f>[1]COMMANDE!AC80</f>
        <v>0</v>
      </c>
      <c r="BR82" s="297" t="str">
        <f t="shared" si="113"/>
        <v>0</v>
      </c>
      <c r="BS82" s="300">
        <f t="shared" si="114"/>
        <v>0</v>
      </c>
      <c r="BT82" s="301">
        <f>[1]COMMANDE!AE80</f>
        <v>0</v>
      </c>
      <c r="BU82" s="297" t="str">
        <f t="shared" si="115"/>
        <v>0</v>
      </c>
      <c r="BV82" s="298">
        <f t="shared" si="116"/>
        <v>0</v>
      </c>
      <c r="BW82" s="299">
        <f>[1]COMMANDE!AG80</f>
        <v>0</v>
      </c>
      <c r="BX82" s="297" t="str">
        <f t="shared" si="117"/>
        <v>0</v>
      </c>
      <c r="BY82" s="300">
        <f t="shared" si="118"/>
        <v>0</v>
      </c>
      <c r="BZ82" s="301">
        <f>[1]COMMANDE!AI80</f>
        <v>0</v>
      </c>
      <c r="CA82" s="297" t="str">
        <f t="shared" si="119"/>
        <v>0</v>
      </c>
      <c r="CB82" s="298">
        <f t="shared" si="120"/>
        <v>0</v>
      </c>
      <c r="CC82" s="299">
        <f>[1]COMMANDE!AK80</f>
        <v>0</v>
      </c>
      <c r="CD82" s="297" t="str">
        <f t="shared" si="121"/>
        <v>0</v>
      </c>
      <c r="CE82" s="300">
        <f t="shared" si="122"/>
        <v>0</v>
      </c>
      <c r="CF82" s="301">
        <f>[1]COMMANDE!AM80</f>
        <v>0</v>
      </c>
      <c r="CG82" s="297" t="str">
        <f t="shared" si="123"/>
        <v>0</v>
      </c>
      <c r="CH82" s="298">
        <f t="shared" si="124"/>
        <v>0</v>
      </c>
      <c r="CI82" s="299">
        <f>[1]COMMANDE!AO80</f>
        <v>0</v>
      </c>
      <c r="CJ82" s="297" t="str">
        <f t="shared" si="125"/>
        <v>0</v>
      </c>
      <c r="CK82" s="300">
        <f t="shared" si="126"/>
        <v>0</v>
      </c>
      <c r="CL82" s="301">
        <f>[1]COMMANDE!AQ80</f>
        <v>0</v>
      </c>
      <c r="CM82" s="297" t="str">
        <f t="shared" si="127"/>
        <v>0</v>
      </c>
      <c r="CN82" s="298">
        <f t="shared" si="128"/>
        <v>0</v>
      </c>
      <c r="CO82" s="299">
        <f>[1]COMMANDE!AS80</f>
        <v>0</v>
      </c>
      <c r="CP82" s="297" t="str">
        <f t="shared" si="129"/>
        <v>0</v>
      </c>
      <c r="CQ82" s="300">
        <f t="shared" si="130"/>
        <v>0</v>
      </c>
      <c r="CR82" s="301">
        <f>[1]COMMANDE!AU80</f>
        <v>0</v>
      </c>
      <c r="CS82" s="297" t="str">
        <f t="shared" si="131"/>
        <v>0</v>
      </c>
      <c r="CT82" s="298">
        <f t="shared" si="132"/>
        <v>0</v>
      </c>
      <c r="CU82" s="299">
        <f>[1]COMMANDE!AW80</f>
        <v>0</v>
      </c>
      <c r="CV82" s="297" t="str">
        <f t="shared" si="133"/>
        <v>0</v>
      </c>
      <c r="CW82" s="300">
        <f t="shared" si="134"/>
        <v>0</v>
      </c>
      <c r="CX82" s="301">
        <f>[1]COMMANDE!AY80</f>
        <v>0</v>
      </c>
      <c r="CY82" s="297" t="str">
        <f t="shared" si="135"/>
        <v>0</v>
      </c>
      <c r="CZ82" s="298">
        <f t="shared" si="136"/>
        <v>0</v>
      </c>
      <c r="DA82" s="299">
        <f>[1]COMMANDE!BA80</f>
        <v>0</v>
      </c>
      <c r="DB82" s="297" t="str">
        <f t="shared" si="137"/>
        <v>0</v>
      </c>
      <c r="DC82" s="302">
        <f t="shared" si="138"/>
        <v>0</v>
      </c>
      <c r="DD82" s="303"/>
      <c r="DE82" s="304"/>
    </row>
    <row r="83" spans="1:109" ht="39.950000000000003" customHeight="1" x14ac:dyDescent="0.25">
      <c r="A83" s="284">
        <f t="shared" si="71"/>
        <v>0</v>
      </c>
      <c r="B83" s="284">
        <f t="shared" si="72"/>
        <v>0</v>
      </c>
      <c r="C83" s="284">
        <f t="shared" si="73"/>
        <v>0</v>
      </c>
      <c r="D83" s="284">
        <f t="shared" si="74"/>
        <v>0</v>
      </c>
      <c r="E83" s="284">
        <f t="shared" si="75"/>
        <v>0</v>
      </c>
      <c r="F83" s="284">
        <f t="shared" si="76"/>
        <v>0</v>
      </c>
      <c r="G83" s="284">
        <f t="shared" si="77"/>
        <v>0</v>
      </c>
      <c r="H83" s="284">
        <f t="shared" si="78"/>
        <v>0</v>
      </c>
      <c r="I83" s="284">
        <f t="shared" si="79"/>
        <v>0</v>
      </c>
      <c r="J83" s="284">
        <f t="shared" si="80"/>
        <v>0</v>
      </c>
      <c r="K83" s="284">
        <f t="shared" si="81"/>
        <v>0</v>
      </c>
      <c r="L83" s="284">
        <f t="shared" si="82"/>
        <v>0</v>
      </c>
      <c r="M83" s="284">
        <f t="shared" si="83"/>
        <v>0</v>
      </c>
      <c r="N83" s="284">
        <f t="shared" si="84"/>
        <v>0</v>
      </c>
      <c r="O83" s="284">
        <f t="shared" si="85"/>
        <v>0</v>
      </c>
      <c r="P83" s="284">
        <f t="shared" si="86"/>
        <v>0</v>
      </c>
      <c r="Q83" s="284">
        <f t="shared" si="87"/>
        <v>0</v>
      </c>
      <c r="R83" s="284">
        <f t="shared" si="88"/>
        <v>0</v>
      </c>
      <c r="S83" s="284">
        <f t="shared" si="89"/>
        <v>0</v>
      </c>
      <c r="T83" s="284">
        <f t="shared" si="90"/>
        <v>0</v>
      </c>
      <c r="U83" s="285">
        <f t="shared" si="91"/>
        <v>0</v>
      </c>
      <c r="V83" s="286">
        <f>[1]BDD!A73</f>
        <v>3169</v>
      </c>
      <c r="W83" s="287" t="str">
        <f>[1]BDD!B73</f>
        <v>Citron vert</v>
      </c>
      <c r="X83" s="288" t="str">
        <f>IF([1]BDD!F73=0, "", [1]BDD!F73)</f>
        <v>❤️</v>
      </c>
      <c r="Y83" s="214">
        <f>ROUND([1]BDD!G73+FDP_CMD_KG, 2)</f>
        <v>3.87</v>
      </c>
      <c r="Z83" s="214">
        <f>ROUND([1]BDD!G73+FDP_FACT_KG, 2)</f>
        <v>3.87</v>
      </c>
      <c r="AA83" s="215" t="str">
        <f>[1]BDD!H73</f>
        <v>kg</v>
      </c>
      <c r="AB83" s="225">
        <f>IF(NOT(ISBLANK([1]BDD!I73)), ROUND(SUM(([1]BDD!G73*reduc1),FDP_CMD_KG), 2), "")</f>
        <v>3.57</v>
      </c>
      <c r="AC83" s="225">
        <f>IF(NOT(ISBLANK([1]BDD!J73)), ROUND(SUM(([1]BDD!G73*reduc2),FDP_CMD_KG), 2), "")</f>
        <v>3.27</v>
      </c>
      <c r="AD83" s="225" t="str">
        <f>IF(NOT(ISBLANK([1]BDD!K73)), ROUND(SUM(([1]BDD!G73*reduc3),FDP_CMD_KG), 2), "")</f>
        <v/>
      </c>
      <c r="AE83" s="225">
        <f>IF(NOT(ISBLANK([1]BDD!I73)), ROUND(SUM(([1]BDD!G73*reduc1),FDP_FACT_KG), 2), "")</f>
        <v>3.57</v>
      </c>
      <c r="AF83" s="225">
        <f>IF(NOT(ISBLANK([1]BDD!J73)), ROUND(SUM(([1]BDD!G73*reduc2),FDP_FACT_KG), 2), "")</f>
        <v>3.27</v>
      </c>
      <c r="AG83" s="225" t="str">
        <f>IF(NOT(ISBLANK([1]BDD!K73)), ROUND(SUM(([1]BDD!G73*reduc3),FDP_FACT_KG), 2), "")</f>
        <v/>
      </c>
      <c r="AH83" s="289" t="str">
        <f>[1]BDD!C73</f>
        <v>Grenade</v>
      </c>
      <c r="AI83" s="290">
        <f t="shared" si="92"/>
        <v>0</v>
      </c>
      <c r="AJ83" s="216">
        <f t="shared" si="93"/>
        <v>3.27</v>
      </c>
      <c r="AK83" s="291">
        <f t="shared" si="94"/>
        <v>0</v>
      </c>
      <c r="AL83" s="429"/>
      <c r="AM83" s="292"/>
      <c r="AN83" s="216">
        <f t="shared" si="95"/>
        <v>3.87</v>
      </c>
      <c r="AO83" s="293">
        <f t="shared" si="96"/>
        <v>0</v>
      </c>
      <c r="AP83" s="294"/>
      <c r="AQ83" s="294"/>
      <c r="AR83" s="429"/>
      <c r="AS83" s="295">
        <f t="shared" si="97"/>
        <v>0</v>
      </c>
      <c r="AT83" s="216">
        <f t="shared" si="98"/>
        <v>3.87</v>
      </c>
      <c r="AU83" s="291">
        <f t="shared" si="70"/>
        <v>0</v>
      </c>
      <c r="AV83" s="296">
        <f>[1]COMMANDE!O81</f>
        <v>0</v>
      </c>
      <c r="AW83" s="297" t="str">
        <f t="shared" si="99"/>
        <v>0</v>
      </c>
      <c r="AX83" s="298">
        <f t="shared" si="100"/>
        <v>0</v>
      </c>
      <c r="AY83" s="299">
        <f>[1]COMMANDE!Q81</f>
        <v>0</v>
      </c>
      <c r="AZ83" s="297" t="str">
        <f t="shared" si="101"/>
        <v>0</v>
      </c>
      <c r="BA83" s="300">
        <f t="shared" si="102"/>
        <v>0</v>
      </c>
      <c r="BB83" s="301">
        <f>[1]COMMANDE!S81</f>
        <v>0</v>
      </c>
      <c r="BC83" s="297" t="str">
        <f t="shared" si="103"/>
        <v>0</v>
      </c>
      <c r="BD83" s="298">
        <f t="shared" si="104"/>
        <v>0</v>
      </c>
      <c r="BE83" s="299">
        <f>[1]COMMANDE!U81</f>
        <v>0</v>
      </c>
      <c r="BF83" s="297" t="str">
        <f t="shared" si="105"/>
        <v>0</v>
      </c>
      <c r="BG83" s="300">
        <f t="shared" si="106"/>
        <v>0</v>
      </c>
      <c r="BH83" s="301">
        <f>[1]COMMANDE!W81</f>
        <v>0</v>
      </c>
      <c r="BI83" s="297" t="str">
        <f t="shared" si="107"/>
        <v>0</v>
      </c>
      <c r="BJ83" s="298">
        <f t="shared" si="108"/>
        <v>0</v>
      </c>
      <c r="BK83" s="299">
        <f>[1]COMMANDE!Y81</f>
        <v>0</v>
      </c>
      <c r="BL83" s="297" t="str">
        <f t="shared" si="109"/>
        <v>0</v>
      </c>
      <c r="BM83" s="300">
        <f t="shared" si="110"/>
        <v>0</v>
      </c>
      <c r="BN83" s="301">
        <f>[1]COMMANDE!AA81</f>
        <v>0</v>
      </c>
      <c r="BO83" s="297" t="str">
        <f t="shared" si="111"/>
        <v>0</v>
      </c>
      <c r="BP83" s="298">
        <f t="shared" si="112"/>
        <v>0</v>
      </c>
      <c r="BQ83" s="299">
        <f>[1]COMMANDE!AC81</f>
        <v>0</v>
      </c>
      <c r="BR83" s="297" t="str">
        <f t="shared" si="113"/>
        <v>0</v>
      </c>
      <c r="BS83" s="300">
        <f t="shared" si="114"/>
        <v>0</v>
      </c>
      <c r="BT83" s="301">
        <f>[1]COMMANDE!AE81</f>
        <v>0</v>
      </c>
      <c r="BU83" s="297" t="str">
        <f t="shared" si="115"/>
        <v>0</v>
      </c>
      <c r="BV83" s="298">
        <f t="shared" si="116"/>
        <v>0</v>
      </c>
      <c r="BW83" s="299">
        <f>[1]COMMANDE!AG81</f>
        <v>0</v>
      </c>
      <c r="BX83" s="297" t="str">
        <f t="shared" si="117"/>
        <v>0</v>
      </c>
      <c r="BY83" s="300">
        <f t="shared" si="118"/>
        <v>0</v>
      </c>
      <c r="BZ83" s="301">
        <f>[1]COMMANDE!AI81</f>
        <v>0</v>
      </c>
      <c r="CA83" s="297" t="str">
        <f t="shared" si="119"/>
        <v>0</v>
      </c>
      <c r="CB83" s="298">
        <f t="shared" si="120"/>
        <v>0</v>
      </c>
      <c r="CC83" s="299">
        <f>[1]COMMANDE!AK81</f>
        <v>0</v>
      </c>
      <c r="CD83" s="297" t="str">
        <f t="shared" si="121"/>
        <v>0</v>
      </c>
      <c r="CE83" s="300">
        <f t="shared" si="122"/>
        <v>0</v>
      </c>
      <c r="CF83" s="301">
        <f>[1]COMMANDE!AM81</f>
        <v>0</v>
      </c>
      <c r="CG83" s="297" t="str">
        <f t="shared" si="123"/>
        <v>0</v>
      </c>
      <c r="CH83" s="298">
        <f t="shared" si="124"/>
        <v>0</v>
      </c>
      <c r="CI83" s="299">
        <f>[1]COMMANDE!AO81</f>
        <v>0</v>
      </c>
      <c r="CJ83" s="297" t="str">
        <f t="shared" si="125"/>
        <v>0</v>
      </c>
      <c r="CK83" s="300">
        <f t="shared" si="126"/>
        <v>0</v>
      </c>
      <c r="CL83" s="301">
        <f>[1]COMMANDE!AQ81</f>
        <v>0</v>
      </c>
      <c r="CM83" s="297" t="str">
        <f t="shared" si="127"/>
        <v>0</v>
      </c>
      <c r="CN83" s="298">
        <f t="shared" si="128"/>
        <v>0</v>
      </c>
      <c r="CO83" s="299">
        <f>[1]COMMANDE!AS81</f>
        <v>0</v>
      </c>
      <c r="CP83" s="297" t="str">
        <f t="shared" si="129"/>
        <v>0</v>
      </c>
      <c r="CQ83" s="300">
        <f t="shared" si="130"/>
        <v>0</v>
      </c>
      <c r="CR83" s="301">
        <f>[1]COMMANDE!AU81</f>
        <v>0</v>
      </c>
      <c r="CS83" s="297" t="str">
        <f t="shared" si="131"/>
        <v>0</v>
      </c>
      <c r="CT83" s="298">
        <f t="shared" si="132"/>
        <v>0</v>
      </c>
      <c r="CU83" s="299">
        <f>[1]COMMANDE!AW81</f>
        <v>0</v>
      </c>
      <c r="CV83" s="297" t="str">
        <f t="shared" si="133"/>
        <v>0</v>
      </c>
      <c r="CW83" s="300">
        <f t="shared" si="134"/>
        <v>0</v>
      </c>
      <c r="CX83" s="301">
        <f>[1]COMMANDE!AY81</f>
        <v>0</v>
      </c>
      <c r="CY83" s="297" t="str">
        <f t="shared" si="135"/>
        <v>0</v>
      </c>
      <c r="CZ83" s="298">
        <f t="shared" si="136"/>
        <v>0</v>
      </c>
      <c r="DA83" s="299">
        <f>[1]COMMANDE!BA81</f>
        <v>0</v>
      </c>
      <c r="DB83" s="297" t="str">
        <f t="shared" si="137"/>
        <v>0</v>
      </c>
      <c r="DC83" s="302">
        <f t="shared" si="138"/>
        <v>0</v>
      </c>
      <c r="DD83" s="303"/>
      <c r="DE83" s="304"/>
    </row>
    <row r="84" spans="1:109" ht="39.950000000000003" customHeight="1" x14ac:dyDescent="0.25">
      <c r="A84" s="284">
        <f t="shared" si="71"/>
        <v>0</v>
      </c>
      <c r="B84" s="284">
        <f t="shared" si="72"/>
        <v>0</v>
      </c>
      <c r="C84" s="284">
        <f t="shared" si="73"/>
        <v>0</v>
      </c>
      <c r="D84" s="284">
        <f t="shared" si="74"/>
        <v>0</v>
      </c>
      <c r="E84" s="284">
        <f t="shared" si="75"/>
        <v>0</v>
      </c>
      <c r="F84" s="284">
        <f t="shared" si="76"/>
        <v>0</v>
      </c>
      <c r="G84" s="284">
        <f t="shared" si="77"/>
        <v>0</v>
      </c>
      <c r="H84" s="284">
        <f t="shared" si="78"/>
        <v>0</v>
      </c>
      <c r="I84" s="284">
        <f t="shared" si="79"/>
        <v>0</v>
      </c>
      <c r="J84" s="284">
        <f t="shared" si="80"/>
        <v>0</v>
      </c>
      <c r="K84" s="284">
        <f t="shared" si="81"/>
        <v>0</v>
      </c>
      <c r="L84" s="284">
        <f t="shared" si="82"/>
        <v>0</v>
      </c>
      <c r="M84" s="284">
        <f t="shared" si="83"/>
        <v>0</v>
      </c>
      <c r="N84" s="284">
        <f t="shared" si="84"/>
        <v>0</v>
      </c>
      <c r="O84" s="284">
        <f t="shared" si="85"/>
        <v>0</v>
      </c>
      <c r="P84" s="284">
        <f t="shared" si="86"/>
        <v>0</v>
      </c>
      <c r="Q84" s="284">
        <f t="shared" si="87"/>
        <v>0</v>
      </c>
      <c r="R84" s="284">
        <f t="shared" si="88"/>
        <v>0</v>
      </c>
      <c r="S84" s="284">
        <f t="shared" si="89"/>
        <v>0</v>
      </c>
      <c r="T84" s="284">
        <f t="shared" si="90"/>
        <v>0</v>
      </c>
      <c r="U84" s="285">
        <f t="shared" si="91"/>
        <v>0</v>
      </c>
      <c r="V84" s="286">
        <f>[1]BDD!A74</f>
        <v>3725</v>
      </c>
      <c r="W84" s="287" t="str">
        <f>[1]BDD!B74</f>
        <v xml:space="preserve">Citronnelle BIO (production Rufino)
    - (bouquet de 5 tiges) </v>
      </c>
      <c r="X84" s="288" t="str">
        <f>IF([1]BDD!F74=0, "", [1]BDD!F74)</f>
        <v/>
      </c>
      <c r="Y84" s="214">
        <f>ROUND([1]BDD!G74+FDP_CMD_KG, 2)</f>
        <v>3.46</v>
      </c>
      <c r="Z84" s="214">
        <f>ROUND([1]BDD!G74+FDP_FACT_KG, 2)</f>
        <v>3.46</v>
      </c>
      <c r="AA84" s="215" t="str">
        <f>[1]BDD!H74</f>
        <v>Pièce</v>
      </c>
      <c r="AB84" s="225" t="str">
        <f>IF(NOT(ISBLANK([1]BDD!I74)), ROUND(SUM(([1]BDD!G74*reduc1),FDP_CMD_KG), 2), "")</f>
        <v/>
      </c>
      <c r="AC84" s="225" t="str">
        <f>IF(NOT(ISBLANK([1]BDD!J74)), ROUND(SUM(([1]BDD!G74*reduc2),FDP_CMD_KG), 2), "")</f>
        <v/>
      </c>
      <c r="AD84" s="225" t="str">
        <f>IF(NOT(ISBLANK([1]BDD!K74)), ROUND(SUM(([1]BDD!G74*reduc3),FDP_CMD_KG), 2), "")</f>
        <v/>
      </c>
      <c r="AE84" s="225" t="str">
        <f>IF(NOT(ISBLANK([1]BDD!I74)), ROUND(SUM(([1]BDD!G74*reduc1),FDP_FACT_KG), 2), "")</f>
        <v/>
      </c>
      <c r="AF84" s="225" t="str">
        <f>IF(NOT(ISBLANK([1]BDD!J74)), ROUND(SUM(([1]BDD!G74*reduc2),FDP_FACT_KG), 2), "")</f>
        <v/>
      </c>
      <c r="AG84" s="225" t="str">
        <f>IF(NOT(ISBLANK([1]BDD!K74)), ROUND(SUM(([1]BDD!G74*reduc3),FDP_FACT_KG), 2), "")</f>
        <v/>
      </c>
      <c r="AH84" s="289" t="str">
        <f>[1]BDD!C74</f>
        <v>Grenade</v>
      </c>
      <c r="AI84" s="290">
        <f t="shared" si="92"/>
        <v>0</v>
      </c>
      <c r="AJ84" s="216">
        <f t="shared" si="93"/>
        <v>3.46</v>
      </c>
      <c r="AK84" s="291">
        <f t="shared" si="94"/>
        <v>0</v>
      </c>
      <c r="AL84" s="429"/>
      <c r="AM84" s="292"/>
      <c r="AN84" s="216">
        <f t="shared" si="95"/>
        <v>3.46</v>
      </c>
      <c r="AO84" s="293">
        <f t="shared" si="96"/>
        <v>0</v>
      </c>
      <c r="AP84" s="294"/>
      <c r="AQ84" s="294"/>
      <c r="AR84" s="429"/>
      <c r="AS84" s="295">
        <f t="shared" si="97"/>
        <v>0</v>
      </c>
      <c r="AT84" s="216">
        <f t="shared" si="98"/>
        <v>3.46</v>
      </c>
      <c r="AU84" s="291">
        <f t="shared" si="70"/>
        <v>0</v>
      </c>
      <c r="AV84" s="296">
        <f>[1]COMMANDE!O82</f>
        <v>0</v>
      </c>
      <c r="AW84" s="297" t="str">
        <f t="shared" si="99"/>
        <v>0</v>
      </c>
      <c r="AX84" s="298">
        <f t="shared" si="100"/>
        <v>0</v>
      </c>
      <c r="AY84" s="299">
        <f>[1]COMMANDE!Q82</f>
        <v>0</v>
      </c>
      <c r="AZ84" s="297" t="str">
        <f t="shared" si="101"/>
        <v>0</v>
      </c>
      <c r="BA84" s="300">
        <f t="shared" si="102"/>
        <v>0</v>
      </c>
      <c r="BB84" s="301">
        <f>[1]COMMANDE!S82</f>
        <v>0</v>
      </c>
      <c r="BC84" s="297" t="str">
        <f t="shared" si="103"/>
        <v>0</v>
      </c>
      <c r="BD84" s="298">
        <f t="shared" si="104"/>
        <v>0</v>
      </c>
      <c r="BE84" s="299">
        <f>[1]COMMANDE!U82</f>
        <v>0</v>
      </c>
      <c r="BF84" s="297" t="str">
        <f t="shared" si="105"/>
        <v>0</v>
      </c>
      <c r="BG84" s="300">
        <f t="shared" si="106"/>
        <v>0</v>
      </c>
      <c r="BH84" s="301">
        <f>[1]COMMANDE!W82</f>
        <v>0</v>
      </c>
      <c r="BI84" s="297" t="str">
        <f t="shared" si="107"/>
        <v>0</v>
      </c>
      <c r="BJ84" s="298">
        <f t="shared" si="108"/>
        <v>0</v>
      </c>
      <c r="BK84" s="299">
        <f>[1]COMMANDE!Y82</f>
        <v>0</v>
      </c>
      <c r="BL84" s="297" t="str">
        <f t="shared" si="109"/>
        <v>0</v>
      </c>
      <c r="BM84" s="300">
        <f t="shared" si="110"/>
        <v>0</v>
      </c>
      <c r="BN84" s="301">
        <f>[1]COMMANDE!AA82</f>
        <v>0</v>
      </c>
      <c r="BO84" s="297" t="str">
        <f t="shared" si="111"/>
        <v>0</v>
      </c>
      <c r="BP84" s="298">
        <f t="shared" si="112"/>
        <v>0</v>
      </c>
      <c r="BQ84" s="299">
        <f>[1]COMMANDE!AC82</f>
        <v>0</v>
      </c>
      <c r="BR84" s="297" t="str">
        <f t="shared" si="113"/>
        <v>0</v>
      </c>
      <c r="BS84" s="300">
        <f t="shared" si="114"/>
        <v>0</v>
      </c>
      <c r="BT84" s="301">
        <f>[1]COMMANDE!AE82</f>
        <v>0</v>
      </c>
      <c r="BU84" s="297" t="str">
        <f t="shared" si="115"/>
        <v>0</v>
      </c>
      <c r="BV84" s="298">
        <f t="shared" si="116"/>
        <v>0</v>
      </c>
      <c r="BW84" s="299">
        <f>[1]COMMANDE!AG82</f>
        <v>0</v>
      </c>
      <c r="BX84" s="297" t="str">
        <f t="shared" si="117"/>
        <v>0</v>
      </c>
      <c r="BY84" s="300">
        <f t="shared" si="118"/>
        <v>0</v>
      </c>
      <c r="BZ84" s="301">
        <f>[1]COMMANDE!AI82</f>
        <v>0</v>
      </c>
      <c r="CA84" s="297" t="str">
        <f t="shared" si="119"/>
        <v>0</v>
      </c>
      <c r="CB84" s="298">
        <f t="shared" si="120"/>
        <v>0</v>
      </c>
      <c r="CC84" s="299">
        <f>[1]COMMANDE!AK82</f>
        <v>0</v>
      </c>
      <c r="CD84" s="297" t="str">
        <f t="shared" si="121"/>
        <v>0</v>
      </c>
      <c r="CE84" s="300">
        <f t="shared" si="122"/>
        <v>0</v>
      </c>
      <c r="CF84" s="301">
        <f>[1]COMMANDE!AM82</f>
        <v>0</v>
      </c>
      <c r="CG84" s="297" t="str">
        <f t="shared" si="123"/>
        <v>0</v>
      </c>
      <c r="CH84" s="298">
        <f t="shared" si="124"/>
        <v>0</v>
      </c>
      <c r="CI84" s="299">
        <f>[1]COMMANDE!AO82</f>
        <v>0</v>
      </c>
      <c r="CJ84" s="297" t="str">
        <f t="shared" si="125"/>
        <v>0</v>
      </c>
      <c r="CK84" s="300">
        <f t="shared" si="126"/>
        <v>0</v>
      </c>
      <c r="CL84" s="301">
        <f>[1]COMMANDE!AQ82</f>
        <v>0</v>
      </c>
      <c r="CM84" s="297" t="str">
        <f t="shared" si="127"/>
        <v>0</v>
      </c>
      <c r="CN84" s="298">
        <f t="shared" si="128"/>
        <v>0</v>
      </c>
      <c r="CO84" s="299">
        <f>[1]COMMANDE!AS82</f>
        <v>0</v>
      </c>
      <c r="CP84" s="297" t="str">
        <f t="shared" si="129"/>
        <v>0</v>
      </c>
      <c r="CQ84" s="300">
        <f t="shared" si="130"/>
        <v>0</v>
      </c>
      <c r="CR84" s="301">
        <f>[1]COMMANDE!AU82</f>
        <v>0</v>
      </c>
      <c r="CS84" s="297" t="str">
        <f t="shared" si="131"/>
        <v>0</v>
      </c>
      <c r="CT84" s="298">
        <f t="shared" si="132"/>
        <v>0</v>
      </c>
      <c r="CU84" s="299">
        <f>[1]COMMANDE!AW82</f>
        <v>0</v>
      </c>
      <c r="CV84" s="297" t="str">
        <f t="shared" si="133"/>
        <v>0</v>
      </c>
      <c r="CW84" s="300">
        <f t="shared" si="134"/>
        <v>0</v>
      </c>
      <c r="CX84" s="301">
        <f>[1]COMMANDE!AY82</f>
        <v>0</v>
      </c>
      <c r="CY84" s="297" t="str">
        <f t="shared" si="135"/>
        <v>0</v>
      </c>
      <c r="CZ84" s="298">
        <f t="shared" si="136"/>
        <v>0</v>
      </c>
      <c r="DA84" s="299">
        <f>[1]COMMANDE!BA82</f>
        <v>0</v>
      </c>
      <c r="DB84" s="297" t="str">
        <f t="shared" si="137"/>
        <v>0</v>
      </c>
      <c r="DC84" s="302">
        <f t="shared" si="138"/>
        <v>0</v>
      </c>
      <c r="DD84" s="303"/>
      <c r="DE84" s="304"/>
    </row>
    <row r="85" spans="1:109" ht="39.950000000000003" customHeight="1" x14ac:dyDescent="0.25">
      <c r="A85" s="284">
        <f t="shared" si="71"/>
        <v>0</v>
      </c>
      <c r="B85" s="284">
        <f t="shared" si="72"/>
        <v>0</v>
      </c>
      <c r="C85" s="284">
        <f t="shared" si="73"/>
        <v>0</v>
      </c>
      <c r="D85" s="284">
        <f t="shared" si="74"/>
        <v>0</v>
      </c>
      <c r="E85" s="284">
        <f t="shared" si="75"/>
        <v>0</v>
      </c>
      <c r="F85" s="284">
        <f t="shared" si="76"/>
        <v>0</v>
      </c>
      <c r="G85" s="284">
        <f t="shared" si="77"/>
        <v>0</v>
      </c>
      <c r="H85" s="284">
        <f t="shared" si="78"/>
        <v>0</v>
      </c>
      <c r="I85" s="284">
        <f t="shared" si="79"/>
        <v>0</v>
      </c>
      <c r="J85" s="284">
        <f t="shared" si="80"/>
        <v>0</v>
      </c>
      <c r="K85" s="284">
        <f t="shared" si="81"/>
        <v>0</v>
      </c>
      <c r="L85" s="284">
        <f t="shared" si="82"/>
        <v>0</v>
      </c>
      <c r="M85" s="284">
        <f t="shared" si="83"/>
        <v>0</v>
      </c>
      <c r="N85" s="284">
        <f t="shared" si="84"/>
        <v>0</v>
      </c>
      <c r="O85" s="284">
        <f t="shared" si="85"/>
        <v>0</v>
      </c>
      <c r="P85" s="284">
        <f t="shared" si="86"/>
        <v>0</v>
      </c>
      <c r="Q85" s="284">
        <f t="shared" si="87"/>
        <v>0</v>
      </c>
      <c r="R85" s="284">
        <f t="shared" si="88"/>
        <v>0</v>
      </c>
      <c r="S85" s="284">
        <f t="shared" si="89"/>
        <v>0</v>
      </c>
      <c r="T85" s="284">
        <f t="shared" si="90"/>
        <v>0</v>
      </c>
      <c r="U85" s="285">
        <f t="shared" si="91"/>
        <v>0</v>
      </c>
      <c r="V85" s="286">
        <f>[1]BDD!A75</f>
        <v>3391</v>
      </c>
      <c r="W85" s="287" t="str">
        <f>[1]BDD!B75</f>
        <v>Coco Pagode fraîche</v>
      </c>
      <c r="X85" s="288" t="str">
        <f>IF([1]BDD!F75=0, "", [1]BDD!F75)</f>
        <v>❤️</v>
      </c>
      <c r="Y85" s="214">
        <f>ROUND([1]BDD!G75+FDP_CMD_KG, 2)</f>
        <v>5.24</v>
      </c>
      <c r="Z85" s="214">
        <f>ROUND([1]BDD!G75+FDP_FACT_KG, 2)</f>
        <v>5.24</v>
      </c>
      <c r="AA85" s="215" t="str">
        <f>[1]BDD!H75</f>
        <v>Pièce</v>
      </c>
      <c r="AB85" s="225">
        <f>IF(NOT(ISBLANK([1]BDD!I75)), ROUND(SUM(([1]BDD!G75*reduc1),FDP_CMD_KG), 2), "")</f>
        <v>4.8099999999999996</v>
      </c>
      <c r="AC85" s="225">
        <f>IF(NOT(ISBLANK([1]BDD!J75)), ROUND(SUM(([1]BDD!G75*reduc2),FDP_CMD_KG), 2), "")</f>
        <v>4.37</v>
      </c>
      <c r="AD85" s="225" t="str">
        <f>IF(NOT(ISBLANK([1]BDD!K75)), ROUND(SUM(([1]BDD!G75*reduc3),FDP_CMD_KG), 2), "")</f>
        <v/>
      </c>
      <c r="AE85" s="225">
        <f>IF(NOT(ISBLANK([1]BDD!I75)), ROUND(SUM(([1]BDD!G75*reduc1),FDP_FACT_KG), 2), "")</f>
        <v>4.8</v>
      </c>
      <c r="AF85" s="225">
        <f>IF(NOT(ISBLANK([1]BDD!J75)), ROUND(SUM(([1]BDD!G75*reduc2),FDP_FACT_KG), 2), "")</f>
        <v>4.3600000000000003</v>
      </c>
      <c r="AG85" s="225" t="str">
        <f>IF(NOT(ISBLANK([1]BDD!K75)), ROUND(SUM(([1]BDD!G75*reduc3),FDP_FACT_KG), 2), "")</f>
        <v/>
      </c>
      <c r="AH85" s="289" t="str">
        <f>[1]BDD!C75</f>
        <v>Taîlande</v>
      </c>
      <c r="AI85" s="290">
        <f t="shared" si="92"/>
        <v>0</v>
      </c>
      <c r="AJ85" s="216">
        <f t="shared" si="93"/>
        <v>4.37</v>
      </c>
      <c r="AK85" s="291">
        <f t="shared" si="94"/>
        <v>0</v>
      </c>
      <c r="AL85" s="429"/>
      <c r="AM85" s="292"/>
      <c r="AN85" s="216">
        <f t="shared" si="95"/>
        <v>5.24</v>
      </c>
      <c r="AO85" s="293">
        <f t="shared" si="96"/>
        <v>0</v>
      </c>
      <c r="AP85" s="294"/>
      <c r="AQ85" s="294"/>
      <c r="AR85" s="429"/>
      <c r="AS85" s="295">
        <f t="shared" si="97"/>
        <v>0</v>
      </c>
      <c r="AT85" s="216">
        <f t="shared" si="98"/>
        <v>5.24</v>
      </c>
      <c r="AU85" s="291">
        <f t="shared" si="70"/>
        <v>0</v>
      </c>
      <c r="AV85" s="296">
        <f>[1]COMMANDE!O83</f>
        <v>0</v>
      </c>
      <c r="AW85" s="297" t="str">
        <f t="shared" si="99"/>
        <v>0</v>
      </c>
      <c r="AX85" s="298">
        <f t="shared" si="100"/>
        <v>0</v>
      </c>
      <c r="AY85" s="299">
        <f>[1]COMMANDE!Q83</f>
        <v>0</v>
      </c>
      <c r="AZ85" s="297" t="str">
        <f t="shared" si="101"/>
        <v>0</v>
      </c>
      <c r="BA85" s="300">
        <f t="shared" si="102"/>
        <v>0</v>
      </c>
      <c r="BB85" s="301">
        <f>[1]COMMANDE!S83</f>
        <v>0</v>
      </c>
      <c r="BC85" s="297" t="str">
        <f t="shared" si="103"/>
        <v>0</v>
      </c>
      <c r="BD85" s="298">
        <f t="shared" si="104"/>
        <v>0</v>
      </c>
      <c r="BE85" s="299">
        <f>[1]COMMANDE!U83</f>
        <v>0</v>
      </c>
      <c r="BF85" s="297" t="str">
        <f t="shared" si="105"/>
        <v>0</v>
      </c>
      <c r="BG85" s="300">
        <f t="shared" si="106"/>
        <v>0</v>
      </c>
      <c r="BH85" s="301">
        <f>[1]COMMANDE!W83</f>
        <v>0</v>
      </c>
      <c r="BI85" s="297" t="str">
        <f t="shared" si="107"/>
        <v>0</v>
      </c>
      <c r="BJ85" s="298">
        <f t="shared" si="108"/>
        <v>0</v>
      </c>
      <c r="BK85" s="299">
        <f>[1]COMMANDE!Y83</f>
        <v>0</v>
      </c>
      <c r="BL85" s="297" t="str">
        <f t="shared" si="109"/>
        <v>0</v>
      </c>
      <c r="BM85" s="300">
        <f t="shared" si="110"/>
        <v>0</v>
      </c>
      <c r="BN85" s="301">
        <f>[1]COMMANDE!AA83</f>
        <v>0</v>
      </c>
      <c r="BO85" s="297" t="str">
        <f t="shared" si="111"/>
        <v>0</v>
      </c>
      <c r="BP85" s="298">
        <f t="shared" si="112"/>
        <v>0</v>
      </c>
      <c r="BQ85" s="299">
        <f>[1]COMMANDE!AC83</f>
        <v>0</v>
      </c>
      <c r="BR85" s="297" t="str">
        <f t="shared" si="113"/>
        <v>0</v>
      </c>
      <c r="BS85" s="300">
        <f t="shared" si="114"/>
        <v>0</v>
      </c>
      <c r="BT85" s="301">
        <f>[1]COMMANDE!AE83</f>
        <v>0</v>
      </c>
      <c r="BU85" s="297" t="str">
        <f t="shared" si="115"/>
        <v>0</v>
      </c>
      <c r="BV85" s="298">
        <f t="shared" si="116"/>
        <v>0</v>
      </c>
      <c r="BW85" s="299">
        <f>[1]COMMANDE!AG83</f>
        <v>0</v>
      </c>
      <c r="BX85" s="297" t="str">
        <f t="shared" si="117"/>
        <v>0</v>
      </c>
      <c r="BY85" s="300">
        <f t="shared" si="118"/>
        <v>0</v>
      </c>
      <c r="BZ85" s="301">
        <f>[1]COMMANDE!AI83</f>
        <v>0</v>
      </c>
      <c r="CA85" s="297" t="str">
        <f t="shared" si="119"/>
        <v>0</v>
      </c>
      <c r="CB85" s="298">
        <f t="shared" si="120"/>
        <v>0</v>
      </c>
      <c r="CC85" s="299">
        <f>[1]COMMANDE!AK83</f>
        <v>0</v>
      </c>
      <c r="CD85" s="297" t="str">
        <f t="shared" si="121"/>
        <v>0</v>
      </c>
      <c r="CE85" s="300">
        <f t="shared" si="122"/>
        <v>0</v>
      </c>
      <c r="CF85" s="301">
        <f>[1]COMMANDE!AM83</f>
        <v>0</v>
      </c>
      <c r="CG85" s="297" t="str">
        <f t="shared" si="123"/>
        <v>0</v>
      </c>
      <c r="CH85" s="298">
        <f t="shared" si="124"/>
        <v>0</v>
      </c>
      <c r="CI85" s="299">
        <f>[1]COMMANDE!AO83</f>
        <v>0</v>
      </c>
      <c r="CJ85" s="297" t="str">
        <f t="shared" si="125"/>
        <v>0</v>
      </c>
      <c r="CK85" s="300">
        <f t="shared" si="126"/>
        <v>0</v>
      </c>
      <c r="CL85" s="301">
        <f>[1]COMMANDE!AQ83</f>
        <v>0</v>
      </c>
      <c r="CM85" s="297" t="str">
        <f t="shared" si="127"/>
        <v>0</v>
      </c>
      <c r="CN85" s="298">
        <f t="shared" si="128"/>
        <v>0</v>
      </c>
      <c r="CO85" s="299">
        <f>[1]COMMANDE!AS83</f>
        <v>0</v>
      </c>
      <c r="CP85" s="297" t="str">
        <f t="shared" si="129"/>
        <v>0</v>
      </c>
      <c r="CQ85" s="300">
        <f t="shared" si="130"/>
        <v>0</v>
      </c>
      <c r="CR85" s="301">
        <f>[1]COMMANDE!AU83</f>
        <v>0</v>
      </c>
      <c r="CS85" s="297" t="str">
        <f t="shared" si="131"/>
        <v>0</v>
      </c>
      <c r="CT85" s="298">
        <f t="shared" si="132"/>
        <v>0</v>
      </c>
      <c r="CU85" s="299">
        <f>[1]COMMANDE!AW83</f>
        <v>0</v>
      </c>
      <c r="CV85" s="297" t="str">
        <f t="shared" si="133"/>
        <v>0</v>
      </c>
      <c r="CW85" s="300">
        <f t="shared" si="134"/>
        <v>0</v>
      </c>
      <c r="CX85" s="301">
        <f>[1]COMMANDE!AY83</f>
        <v>0</v>
      </c>
      <c r="CY85" s="297" t="str">
        <f t="shared" si="135"/>
        <v>0</v>
      </c>
      <c r="CZ85" s="298">
        <f t="shared" si="136"/>
        <v>0</v>
      </c>
      <c r="DA85" s="299">
        <f>[1]COMMANDE!BA83</f>
        <v>0</v>
      </c>
      <c r="DB85" s="297" t="str">
        <f t="shared" si="137"/>
        <v>0</v>
      </c>
      <c r="DC85" s="302">
        <f t="shared" si="138"/>
        <v>0</v>
      </c>
      <c r="DD85" s="303"/>
      <c r="DE85" s="304"/>
    </row>
    <row r="86" spans="1:109" ht="39.950000000000003" customHeight="1" x14ac:dyDescent="0.25">
      <c r="A86" s="284">
        <f t="shared" si="71"/>
        <v>0</v>
      </c>
      <c r="B86" s="284">
        <f t="shared" si="72"/>
        <v>0</v>
      </c>
      <c r="C86" s="284">
        <f t="shared" si="73"/>
        <v>0</v>
      </c>
      <c r="D86" s="284">
        <f t="shared" si="74"/>
        <v>0</v>
      </c>
      <c r="E86" s="284">
        <f t="shared" si="75"/>
        <v>0</v>
      </c>
      <c r="F86" s="284">
        <f t="shared" si="76"/>
        <v>0</v>
      </c>
      <c r="G86" s="284">
        <f t="shared" si="77"/>
        <v>0</v>
      </c>
      <c r="H86" s="284">
        <f t="shared" si="78"/>
        <v>0</v>
      </c>
      <c r="I86" s="284">
        <f t="shared" si="79"/>
        <v>0</v>
      </c>
      <c r="J86" s="284">
        <f t="shared" si="80"/>
        <v>0</v>
      </c>
      <c r="K86" s="284">
        <f t="shared" si="81"/>
        <v>0</v>
      </c>
      <c r="L86" s="284">
        <f t="shared" si="82"/>
        <v>0</v>
      </c>
      <c r="M86" s="284">
        <f t="shared" si="83"/>
        <v>0</v>
      </c>
      <c r="N86" s="284">
        <f t="shared" si="84"/>
        <v>0</v>
      </c>
      <c r="O86" s="284">
        <f t="shared" si="85"/>
        <v>0</v>
      </c>
      <c r="P86" s="284">
        <f t="shared" si="86"/>
        <v>0</v>
      </c>
      <c r="Q86" s="284">
        <f t="shared" si="87"/>
        <v>0</v>
      </c>
      <c r="R86" s="284">
        <f t="shared" si="88"/>
        <v>0</v>
      </c>
      <c r="S86" s="284">
        <f t="shared" si="89"/>
        <v>0</v>
      </c>
      <c r="T86" s="284">
        <f t="shared" si="90"/>
        <v>0</v>
      </c>
      <c r="U86" s="285">
        <f t="shared" si="91"/>
        <v>0</v>
      </c>
      <c r="V86" s="286">
        <f>[1]BDD!A76</f>
        <v>3678</v>
      </c>
      <c r="W86" s="287" t="str">
        <f>[1]BDD!B76</f>
        <v>Coing</v>
      </c>
      <c r="X86" s="288" t="str">
        <f>IF([1]BDD!F76=0, "", [1]BDD!F76)</f>
        <v/>
      </c>
      <c r="Y86" s="214">
        <f>ROUND([1]BDD!G76+FDP_CMD_KG, 2)</f>
        <v>2.77</v>
      </c>
      <c r="Z86" s="214">
        <f>ROUND([1]BDD!G76+FDP_FACT_KG, 2)</f>
        <v>2.77</v>
      </c>
      <c r="AA86" s="215" t="str">
        <f>[1]BDD!H76</f>
        <v>kg</v>
      </c>
      <c r="AB86" s="225">
        <f>IF(NOT(ISBLANK([1]BDD!I76)), ROUND(SUM(([1]BDD!G76*reduc1),FDP_CMD_KG), 2), "")</f>
        <v>2.58</v>
      </c>
      <c r="AC86" s="225">
        <f>IF(NOT(ISBLANK([1]BDD!J76)), ROUND(SUM(([1]BDD!G76*reduc2),FDP_CMD_KG), 2), "")</f>
        <v>2.39</v>
      </c>
      <c r="AD86" s="225" t="str">
        <f>IF(NOT(ISBLANK([1]BDD!K76)), ROUND(SUM(([1]BDD!G76*reduc3),FDP_CMD_KG), 2), "")</f>
        <v/>
      </c>
      <c r="AE86" s="225">
        <f>IF(NOT(ISBLANK([1]BDD!I76)), ROUND(SUM(([1]BDD!G76*reduc1),FDP_FACT_KG), 2), "")</f>
        <v>2.58</v>
      </c>
      <c r="AF86" s="225">
        <f>IF(NOT(ISBLANK([1]BDD!J76)), ROUND(SUM(([1]BDD!G76*reduc2),FDP_FACT_KG), 2), "")</f>
        <v>2.39</v>
      </c>
      <c r="AG86" s="225" t="str">
        <f>IF(NOT(ISBLANK([1]BDD!K76)), ROUND(SUM(([1]BDD!G76*reduc3),FDP_FACT_KG), 2), "")</f>
        <v/>
      </c>
      <c r="AH86" s="289" t="str">
        <f>[1]BDD!C76</f>
        <v>Malaga</v>
      </c>
      <c r="AI86" s="290">
        <f t="shared" si="92"/>
        <v>0</v>
      </c>
      <c r="AJ86" s="216">
        <f t="shared" si="93"/>
        <v>2.39</v>
      </c>
      <c r="AK86" s="291">
        <f t="shared" si="94"/>
        <v>0</v>
      </c>
      <c r="AL86" s="429"/>
      <c r="AM86" s="292"/>
      <c r="AN86" s="216">
        <f t="shared" si="95"/>
        <v>2.77</v>
      </c>
      <c r="AO86" s="293">
        <f t="shared" si="96"/>
        <v>0</v>
      </c>
      <c r="AP86" s="294"/>
      <c r="AQ86" s="294"/>
      <c r="AR86" s="429"/>
      <c r="AS86" s="295">
        <f t="shared" si="97"/>
        <v>0</v>
      </c>
      <c r="AT86" s="216">
        <f t="shared" si="98"/>
        <v>2.77</v>
      </c>
      <c r="AU86" s="291">
        <f t="shared" si="70"/>
        <v>0</v>
      </c>
      <c r="AV86" s="296">
        <f>[1]COMMANDE!O84</f>
        <v>0</v>
      </c>
      <c r="AW86" s="297" t="str">
        <f t="shared" si="99"/>
        <v>0</v>
      </c>
      <c r="AX86" s="298">
        <f t="shared" si="100"/>
        <v>0</v>
      </c>
      <c r="AY86" s="299">
        <f>[1]COMMANDE!Q84</f>
        <v>0</v>
      </c>
      <c r="AZ86" s="297" t="str">
        <f t="shared" si="101"/>
        <v>0</v>
      </c>
      <c r="BA86" s="300">
        <f t="shared" si="102"/>
        <v>0</v>
      </c>
      <c r="BB86" s="301">
        <f>[1]COMMANDE!S84</f>
        <v>0</v>
      </c>
      <c r="BC86" s="297" t="str">
        <f t="shared" si="103"/>
        <v>0</v>
      </c>
      <c r="BD86" s="298">
        <f t="shared" si="104"/>
        <v>0</v>
      </c>
      <c r="BE86" s="299">
        <f>[1]COMMANDE!U84</f>
        <v>0</v>
      </c>
      <c r="BF86" s="297" t="str">
        <f t="shared" si="105"/>
        <v>0</v>
      </c>
      <c r="BG86" s="300">
        <f t="shared" si="106"/>
        <v>0</v>
      </c>
      <c r="BH86" s="301">
        <f>[1]COMMANDE!W84</f>
        <v>0</v>
      </c>
      <c r="BI86" s="297" t="str">
        <f t="shared" si="107"/>
        <v>0</v>
      </c>
      <c r="BJ86" s="298">
        <f t="shared" si="108"/>
        <v>0</v>
      </c>
      <c r="BK86" s="299">
        <f>[1]COMMANDE!Y84</f>
        <v>0</v>
      </c>
      <c r="BL86" s="297" t="str">
        <f t="shared" si="109"/>
        <v>0</v>
      </c>
      <c r="BM86" s="300">
        <f t="shared" si="110"/>
        <v>0</v>
      </c>
      <c r="BN86" s="301">
        <f>[1]COMMANDE!AA84</f>
        <v>0</v>
      </c>
      <c r="BO86" s="297" t="str">
        <f t="shared" si="111"/>
        <v>0</v>
      </c>
      <c r="BP86" s="298">
        <f t="shared" si="112"/>
        <v>0</v>
      </c>
      <c r="BQ86" s="299">
        <f>[1]COMMANDE!AC84</f>
        <v>0</v>
      </c>
      <c r="BR86" s="297" t="str">
        <f t="shared" si="113"/>
        <v>0</v>
      </c>
      <c r="BS86" s="300">
        <f t="shared" si="114"/>
        <v>0</v>
      </c>
      <c r="BT86" s="301">
        <f>[1]COMMANDE!AE84</f>
        <v>0</v>
      </c>
      <c r="BU86" s="297" t="str">
        <f t="shared" si="115"/>
        <v>0</v>
      </c>
      <c r="BV86" s="298">
        <f t="shared" si="116"/>
        <v>0</v>
      </c>
      <c r="BW86" s="299">
        <f>[1]COMMANDE!AG84</f>
        <v>0</v>
      </c>
      <c r="BX86" s="297" t="str">
        <f t="shared" si="117"/>
        <v>0</v>
      </c>
      <c r="BY86" s="300">
        <f t="shared" si="118"/>
        <v>0</v>
      </c>
      <c r="BZ86" s="301">
        <f>[1]COMMANDE!AI84</f>
        <v>0</v>
      </c>
      <c r="CA86" s="297" t="str">
        <f t="shared" si="119"/>
        <v>0</v>
      </c>
      <c r="CB86" s="298">
        <f t="shared" si="120"/>
        <v>0</v>
      </c>
      <c r="CC86" s="299">
        <f>[1]COMMANDE!AK84</f>
        <v>0</v>
      </c>
      <c r="CD86" s="297" t="str">
        <f t="shared" si="121"/>
        <v>0</v>
      </c>
      <c r="CE86" s="300">
        <f t="shared" si="122"/>
        <v>0</v>
      </c>
      <c r="CF86" s="301">
        <f>[1]COMMANDE!AM84</f>
        <v>0</v>
      </c>
      <c r="CG86" s="297" t="str">
        <f t="shared" si="123"/>
        <v>0</v>
      </c>
      <c r="CH86" s="298">
        <f t="shared" si="124"/>
        <v>0</v>
      </c>
      <c r="CI86" s="299">
        <f>[1]COMMANDE!AO84</f>
        <v>0</v>
      </c>
      <c r="CJ86" s="297" t="str">
        <f t="shared" si="125"/>
        <v>0</v>
      </c>
      <c r="CK86" s="300">
        <f t="shared" si="126"/>
        <v>0</v>
      </c>
      <c r="CL86" s="301">
        <f>[1]COMMANDE!AQ84</f>
        <v>0</v>
      </c>
      <c r="CM86" s="297" t="str">
        <f t="shared" si="127"/>
        <v>0</v>
      </c>
      <c r="CN86" s="298">
        <f t="shared" si="128"/>
        <v>0</v>
      </c>
      <c r="CO86" s="299">
        <f>[1]COMMANDE!AS84</f>
        <v>0</v>
      </c>
      <c r="CP86" s="297" t="str">
        <f t="shared" si="129"/>
        <v>0</v>
      </c>
      <c r="CQ86" s="300">
        <f t="shared" si="130"/>
        <v>0</v>
      </c>
      <c r="CR86" s="301">
        <f>[1]COMMANDE!AU84</f>
        <v>0</v>
      </c>
      <c r="CS86" s="297" t="str">
        <f t="shared" si="131"/>
        <v>0</v>
      </c>
      <c r="CT86" s="298">
        <f t="shared" si="132"/>
        <v>0</v>
      </c>
      <c r="CU86" s="299">
        <f>[1]COMMANDE!AW84</f>
        <v>0</v>
      </c>
      <c r="CV86" s="297" t="str">
        <f t="shared" si="133"/>
        <v>0</v>
      </c>
      <c r="CW86" s="300">
        <f t="shared" si="134"/>
        <v>0</v>
      </c>
      <c r="CX86" s="301">
        <f>[1]COMMANDE!AY84</f>
        <v>0</v>
      </c>
      <c r="CY86" s="297" t="str">
        <f t="shared" si="135"/>
        <v>0</v>
      </c>
      <c r="CZ86" s="298">
        <f t="shared" si="136"/>
        <v>0</v>
      </c>
      <c r="DA86" s="299">
        <f>[1]COMMANDE!BA84</f>
        <v>0</v>
      </c>
      <c r="DB86" s="297" t="str">
        <f t="shared" si="137"/>
        <v>0</v>
      </c>
      <c r="DC86" s="302">
        <f t="shared" si="138"/>
        <v>0</v>
      </c>
      <c r="DD86" s="303"/>
      <c r="DE86" s="304"/>
    </row>
    <row r="87" spans="1:109" ht="39.950000000000003" customHeight="1" x14ac:dyDescent="0.25">
      <c r="A87" s="284">
        <f t="shared" si="71"/>
        <v>0</v>
      </c>
      <c r="B87" s="284">
        <f t="shared" si="72"/>
        <v>0</v>
      </c>
      <c r="C87" s="284">
        <f t="shared" si="73"/>
        <v>0</v>
      </c>
      <c r="D87" s="284">
        <f t="shared" si="74"/>
        <v>0</v>
      </c>
      <c r="E87" s="284">
        <f t="shared" si="75"/>
        <v>0</v>
      </c>
      <c r="F87" s="284">
        <f t="shared" si="76"/>
        <v>0</v>
      </c>
      <c r="G87" s="284">
        <f t="shared" si="77"/>
        <v>0</v>
      </c>
      <c r="H87" s="284">
        <f t="shared" si="78"/>
        <v>0</v>
      </c>
      <c r="I87" s="284">
        <f t="shared" si="79"/>
        <v>0</v>
      </c>
      <c r="J87" s="284">
        <f t="shared" si="80"/>
        <v>0</v>
      </c>
      <c r="K87" s="284">
        <f t="shared" si="81"/>
        <v>0</v>
      </c>
      <c r="L87" s="284">
        <f t="shared" si="82"/>
        <v>0</v>
      </c>
      <c r="M87" s="284">
        <f t="shared" si="83"/>
        <v>0</v>
      </c>
      <c r="N87" s="284">
        <f t="shared" si="84"/>
        <v>0</v>
      </c>
      <c r="O87" s="284">
        <f t="shared" si="85"/>
        <v>0</v>
      </c>
      <c r="P87" s="284">
        <f t="shared" si="86"/>
        <v>0</v>
      </c>
      <c r="Q87" s="284">
        <f t="shared" si="87"/>
        <v>0</v>
      </c>
      <c r="R87" s="284">
        <f t="shared" si="88"/>
        <v>0</v>
      </c>
      <c r="S87" s="284">
        <f t="shared" si="89"/>
        <v>0</v>
      </c>
      <c r="T87" s="284">
        <f t="shared" si="90"/>
        <v>0</v>
      </c>
      <c r="U87" s="285">
        <f t="shared" si="91"/>
        <v>0</v>
      </c>
      <c r="V87" s="286">
        <f>[1]BDD!A77</f>
        <v>3100</v>
      </c>
      <c r="W87" s="287" t="str">
        <f>[1]BDD!B77</f>
        <v>Concombre Hollandais</v>
      </c>
      <c r="X87" s="288" t="str">
        <f>IF([1]BDD!F77=0, "", [1]BDD!F77)</f>
        <v/>
      </c>
      <c r="Y87" s="214">
        <f>ROUND([1]BDD!G77+FDP_CMD_KG, 2)</f>
        <v>2.77</v>
      </c>
      <c r="Z87" s="214">
        <f>ROUND([1]BDD!G77+FDP_FACT_KG, 2)</f>
        <v>2.77</v>
      </c>
      <c r="AA87" s="215" t="str">
        <f>[1]BDD!H77</f>
        <v>kg</v>
      </c>
      <c r="AB87" s="225">
        <f>IF(NOT(ISBLANK([1]BDD!I77)), ROUND(SUM(([1]BDD!G77*reduc1),FDP_CMD_KG), 2), "")</f>
        <v>2.58</v>
      </c>
      <c r="AC87" s="225">
        <f>IF(NOT(ISBLANK([1]BDD!J77)), ROUND(SUM(([1]BDD!G77*reduc2),FDP_CMD_KG), 2), "")</f>
        <v>2.39</v>
      </c>
      <c r="AD87" s="225" t="str">
        <f>IF(NOT(ISBLANK([1]BDD!K77)), ROUND(SUM(([1]BDD!G77*reduc3),FDP_CMD_KG), 2), "")</f>
        <v/>
      </c>
      <c r="AE87" s="225">
        <f>IF(NOT(ISBLANK([1]BDD!I77)), ROUND(SUM(([1]BDD!G77*reduc1),FDP_FACT_KG), 2), "")</f>
        <v>2.58</v>
      </c>
      <c r="AF87" s="225">
        <f>IF(NOT(ISBLANK([1]BDD!J77)), ROUND(SUM(([1]BDD!G77*reduc2),FDP_FACT_KG), 2), "")</f>
        <v>2.39</v>
      </c>
      <c r="AG87" s="225" t="str">
        <f>IF(NOT(ISBLANK([1]BDD!K77)), ROUND(SUM(([1]BDD!G77*reduc3),FDP_FACT_KG), 2), "")</f>
        <v/>
      </c>
      <c r="AH87" s="289" t="str">
        <f>[1]BDD!C77</f>
        <v>Grenade</v>
      </c>
      <c r="AI87" s="290">
        <f t="shared" si="92"/>
        <v>0</v>
      </c>
      <c r="AJ87" s="216">
        <f t="shared" si="93"/>
        <v>2.39</v>
      </c>
      <c r="AK87" s="291">
        <f t="shared" si="94"/>
        <v>0</v>
      </c>
      <c r="AL87" s="429"/>
      <c r="AM87" s="292"/>
      <c r="AN87" s="216">
        <f t="shared" si="95"/>
        <v>2.77</v>
      </c>
      <c r="AO87" s="293">
        <f t="shared" si="96"/>
        <v>0</v>
      </c>
      <c r="AP87" s="294"/>
      <c r="AQ87" s="294"/>
      <c r="AR87" s="429"/>
      <c r="AS87" s="295">
        <f t="shared" si="97"/>
        <v>0</v>
      </c>
      <c r="AT87" s="216">
        <f t="shared" si="98"/>
        <v>2.77</v>
      </c>
      <c r="AU87" s="291">
        <f t="shared" si="70"/>
        <v>0</v>
      </c>
      <c r="AV87" s="296">
        <f>[1]COMMANDE!O85</f>
        <v>0</v>
      </c>
      <c r="AW87" s="297" t="str">
        <f t="shared" si="99"/>
        <v>0</v>
      </c>
      <c r="AX87" s="298">
        <f t="shared" si="100"/>
        <v>0</v>
      </c>
      <c r="AY87" s="299">
        <f>[1]COMMANDE!Q85</f>
        <v>0</v>
      </c>
      <c r="AZ87" s="297" t="str">
        <f t="shared" si="101"/>
        <v>0</v>
      </c>
      <c r="BA87" s="300">
        <f t="shared" si="102"/>
        <v>0</v>
      </c>
      <c r="BB87" s="301">
        <f>[1]COMMANDE!S85</f>
        <v>0</v>
      </c>
      <c r="BC87" s="297" t="str">
        <f t="shared" si="103"/>
        <v>0</v>
      </c>
      <c r="BD87" s="298">
        <f t="shared" si="104"/>
        <v>0</v>
      </c>
      <c r="BE87" s="299">
        <f>[1]COMMANDE!U85</f>
        <v>0</v>
      </c>
      <c r="BF87" s="297" t="str">
        <f t="shared" si="105"/>
        <v>0</v>
      </c>
      <c r="BG87" s="300">
        <f t="shared" si="106"/>
        <v>0</v>
      </c>
      <c r="BH87" s="301">
        <f>[1]COMMANDE!W85</f>
        <v>0</v>
      </c>
      <c r="BI87" s="297" t="str">
        <f t="shared" si="107"/>
        <v>0</v>
      </c>
      <c r="BJ87" s="298">
        <f t="shared" si="108"/>
        <v>0</v>
      </c>
      <c r="BK87" s="299">
        <f>[1]COMMANDE!Y85</f>
        <v>0</v>
      </c>
      <c r="BL87" s="297" t="str">
        <f t="shared" si="109"/>
        <v>0</v>
      </c>
      <c r="BM87" s="300">
        <f t="shared" si="110"/>
        <v>0</v>
      </c>
      <c r="BN87" s="301">
        <f>[1]COMMANDE!AA85</f>
        <v>0</v>
      </c>
      <c r="BO87" s="297" t="str">
        <f t="shared" si="111"/>
        <v>0</v>
      </c>
      <c r="BP87" s="298">
        <f t="shared" si="112"/>
        <v>0</v>
      </c>
      <c r="BQ87" s="299">
        <f>[1]COMMANDE!AC85</f>
        <v>0</v>
      </c>
      <c r="BR87" s="297" t="str">
        <f t="shared" si="113"/>
        <v>0</v>
      </c>
      <c r="BS87" s="300">
        <f t="shared" si="114"/>
        <v>0</v>
      </c>
      <c r="BT87" s="301">
        <f>[1]COMMANDE!AE85</f>
        <v>0</v>
      </c>
      <c r="BU87" s="297" t="str">
        <f t="shared" si="115"/>
        <v>0</v>
      </c>
      <c r="BV87" s="298">
        <f t="shared" si="116"/>
        <v>0</v>
      </c>
      <c r="BW87" s="299">
        <f>[1]COMMANDE!AG85</f>
        <v>0</v>
      </c>
      <c r="BX87" s="297" t="str">
        <f t="shared" si="117"/>
        <v>0</v>
      </c>
      <c r="BY87" s="300">
        <f t="shared" si="118"/>
        <v>0</v>
      </c>
      <c r="BZ87" s="301">
        <f>[1]COMMANDE!AI85</f>
        <v>0</v>
      </c>
      <c r="CA87" s="297" t="str">
        <f t="shared" si="119"/>
        <v>0</v>
      </c>
      <c r="CB87" s="298">
        <f t="shared" si="120"/>
        <v>0</v>
      </c>
      <c r="CC87" s="299">
        <f>[1]COMMANDE!AK85</f>
        <v>0</v>
      </c>
      <c r="CD87" s="297" t="str">
        <f t="shared" si="121"/>
        <v>0</v>
      </c>
      <c r="CE87" s="300">
        <f t="shared" si="122"/>
        <v>0</v>
      </c>
      <c r="CF87" s="301">
        <f>[1]COMMANDE!AM85</f>
        <v>0</v>
      </c>
      <c r="CG87" s="297" t="str">
        <f t="shared" si="123"/>
        <v>0</v>
      </c>
      <c r="CH87" s="298">
        <f t="shared" si="124"/>
        <v>0</v>
      </c>
      <c r="CI87" s="299">
        <f>[1]COMMANDE!AO85</f>
        <v>0</v>
      </c>
      <c r="CJ87" s="297" t="str">
        <f t="shared" si="125"/>
        <v>0</v>
      </c>
      <c r="CK87" s="300">
        <f t="shared" si="126"/>
        <v>0</v>
      </c>
      <c r="CL87" s="301">
        <f>[1]COMMANDE!AQ85</f>
        <v>0</v>
      </c>
      <c r="CM87" s="297" t="str">
        <f t="shared" si="127"/>
        <v>0</v>
      </c>
      <c r="CN87" s="298">
        <f t="shared" si="128"/>
        <v>0</v>
      </c>
      <c r="CO87" s="299">
        <f>[1]COMMANDE!AS85</f>
        <v>0</v>
      </c>
      <c r="CP87" s="297" t="str">
        <f t="shared" si="129"/>
        <v>0</v>
      </c>
      <c r="CQ87" s="300">
        <f t="shared" si="130"/>
        <v>0</v>
      </c>
      <c r="CR87" s="301">
        <f>[1]COMMANDE!AU85</f>
        <v>0</v>
      </c>
      <c r="CS87" s="297" t="str">
        <f t="shared" si="131"/>
        <v>0</v>
      </c>
      <c r="CT87" s="298">
        <f t="shared" si="132"/>
        <v>0</v>
      </c>
      <c r="CU87" s="299">
        <f>[1]COMMANDE!AW85</f>
        <v>0</v>
      </c>
      <c r="CV87" s="297" t="str">
        <f t="shared" si="133"/>
        <v>0</v>
      </c>
      <c r="CW87" s="300">
        <f t="shared" si="134"/>
        <v>0</v>
      </c>
      <c r="CX87" s="301">
        <f>[1]COMMANDE!AY85</f>
        <v>0</v>
      </c>
      <c r="CY87" s="297" t="str">
        <f t="shared" si="135"/>
        <v>0</v>
      </c>
      <c r="CZ87" s="298">
        <f t="shared" si="136"/>
        <v>0</v>
      </c>
      <c r="DA87" s="299">
        <f>[1]COMMANDE!BA85</f>
        <v>0</v>
      </c>
      <c r="DB87" s="297" t="str">
        <f t="shared" si="137"/>
        <v>0</v>
      </c>
      <c r="DC87" s="302">
        <f t="shared" si="138"/>
        <v>0</v>
      </c>
      <c r="DD87" s="303"/>
      <c r="DE87" s="304"/>
    </row>
    <row r="88" spans="1:109" ht="39.950000000000003" customHeight="1" x14ac:dyDescent="0.25">
      <c r="A88" s="284">
        <f t="shared" si="71"/>
        <v>1</v>
      </c>
      <c r="B88" s="284">
        <f t="shared" si="72"/>
        <v>0</v>
      </c>
      <c r="C88" s="284">
        <f t="shared" si="73"/>
        <v>1</v>
      </c>
      <c r="D88" s="284">
        <f t="shared" si="74"/>
        <v>1</v>
      </c>
      <c r="E88" s="284">
        <f t="shared" si="75"/>
        <v>0</v>
      </c>
      <c r="F88" s="284">
        <f t="shared" si="76"/>
        <v>0</v>
      </c>
      <c r="G88" s="284">
        <f t="shared" si="77"/>
        <v>0</v>
      </c>
      <c r="H88" s="284">
        <f t="shared" si="78"/>
        <v>0</v>
      </c>
      <c r="I88" s="284">
        <f t="shared" si="79"/>
        <v>0</v>
      </c>
      <c r="J88" s="284">
        <f t="shared" si="80"/>
        <v>0</v>
      </c>
      <c r="K88" s="284">
        <f t="shared" si="81"/>
        <v>0</v>
      </c>
      <c r="L88" s="284">
        <f t="shared" si="82"/>
        <v>0</v>
      </c>
      <c r="M88" s="284">
        <f t="shared" si="83"/>
        <v>0</v>
      </c>
      <c r="N88" s="284">
        <f t="shared" si="84"/>
        <v>0</v>
      </c>
      <c r="O88" s="284">
        <f t="shared" si="85"/>
        <v>0</v>
      </c>
      <c r="P88" s="284">
        <f t="shared" si="86"/>
        <v>0</v>
      </c>
      <c r="Q88" s="284">
        <f t="shared" si="87"/>
        <v>0</v>
      </c>
      <c r="R88" s="284">
        <f t="shared" si="88"/>
        <v>0</v>
      </c>
      <c r="S88" s="284">
        <f t="shared" si="89"/>
        <v>0</v>
      </c>
      <c r="T88" s="284">
        <f t="shared" si="90"/>
        <v>0</v>
      </c>
      <c r="U88" s="285">
        <f t="shared" si="91"/>
        <v>1</v>
      </c>
      <c r="V88" s="286">
        <f>[1]BDD!A78</f>
        <v>3924</v>
      </c>
      <c r="W88" s="287" t="str">
        <f>[1]BDD!B78</f>
        <v>Concombre mini gourmet</v>
      </c>
      <c r="X88" s="288" t="str">
        <f>IF([1]BDD!F78=0, "", [1]BDD!F78)</f>
        <v>❤️</v>
      </c>
      <c r="Y88" s="214">
        <f>ROUND([1]BDD!G78+FDP_CMD_KG, 2)</f>
        <v>3.46</v>
      </c>
      <c r="Z88" s="214">
        <f>ROUND([1]BDD!G78+FDP_FACT_KG, 2)</f>
        <v>3.46</v>
      </c>
      <c r="AA88" s="215" t="str">
        <f>[1]BDD!H78</f>
        <v>kg</v>
      </c>
      <c r="AB88" s="225">
        <f>IF(NOT(ISBLANK([1]BDD!I78)), ROUND(SUM(([1]BDD!G78*reduc1),FDP_CMD_KG), 2), "")</f>
        <v>3.2</v>
      </c>
      <c r="AC88" s="225">
        <f>IF(NOT(ISBLANK([1]BDD!J78)), ROUND(SUM(([1]BDD!G78*reduc2),FDP_CMD_KG), 2), "")</f>
        <v>2.95</v>
      </c>
      <c r="AD88" s="225" t="str">
        <f>IF(NOT(ISBLANK([1]BDD!K78)), ROUND(SUM(([1]BDD!G78*reduc3),FDP_CMD_KG), 2), "")</f>
        <v/>
      </c>
      <c r="AE88" s="225">
        <f>IF(NOT(ISBLANK([1]BDD!I78)), ROUND(SUM(([1]BDD!G78*reduc1),FDP_FACT_KG), 2), "")</f>
        <v>3.2</v>
      </c>
      <c r="AF88" s="225">
        <f>IF(NOT(ISBLANK([1]BDD!J78)), ROUND(SUM(([1]BDD!G78*reduc2),FDP_FACT_KG), 2), "")</f>
        <v>2.94</v>
      </c>
      <c r="AG88" s="225" t="str">
        <f>IF(NOT(ISBLANK([1]BDD!K78)), ROUND(SUM(([1]BDD!G78*reduc3),FDP_FACT_KG), 2), "")</f>
        <v/>
      </c>
      <c r="AH88" s="289" t="str">
        <f>[1]BDD!C78</f>
        <v>Grenade</v>
      </c>
      <c r="AI88" s="290">
        <f t="shared" si="92"/>
        <v>5</v>
      </c>
      <c r="AJ88" s="216">
        <f t="shared" si="93"/>
        <v>2.95</v>
      </c>
      <c r="AK88" s="291">
        <f t="shared" si="94"/>
        <v>14.75</v>
      </c>
      <c r="AL88" s="429"/>
      <c r="AM88" s="292">
        <v>5.0199999999999996</v>
      </c>
      <c r="AN88" s="216">
        <f t="shared" si="95"/>
        <v>3.46</v>
      </c>
      <c r="AO88" s="293">
        <f t="shared" si="96"/>
        <v>17.369199999999999</v>
      </c>
      <c r="AP88" s="294"/>
      <c r="AQ88" s="294"/>
      <c r="AR88" s="429"/>
      <c r="AS88" s="295">
        <f t="shared" si="97"/>
        <v>5.0199999999999996</v>
      </c>
      <c r="AT88" s="216">
        <f t="shared" si="98"/>
        <v>3.46</v>
      </c>
      <c r="AU88" s="291">
        <f t="shared" si="70"/>
        <v>17.369199999999999</v>
      </c>
      <c r="AV88" s="296">
        <f>[1]COMMANDE!O86</f>
        <v>3</v>
      </c>
      <c r="AW88" s="297">
        <f t="shared" si="99"/>
        <v>3.0119999999999996</v>
      </c>
      <c r="AX88" s="298">
        <f t="shared" si="100"/>
        <v>10.421519999999999</v>
      </c>
      <c r="AY88" s="299">
        <f>[1]COMMANDE!Q86</f>
        <v>0</v>
      </c>
      <c r="AZ88" s="297" t="str">
        <f t="shared" si="101"/>
        <v>0</v>
      </c>
      <c r="BA88" s="300">
        <f t="shared" si="102"/>
        <v>0</v>
      </c>
      <c r="BB88" s="301">
        <f>[1]COMMANDE!S86</f>
        <v>1</v>
      </c>
      <c r="BC88" s="297">
        <f t="shared" si="103"/>
        <v>1.004</v>
      </c>
      <c r="BD88" s="298">
        <f t="shared" si="104"/>
        <v>3.47384</v>
      </c>
      <c r="BE88" s="299">
        <f>[1]COMMANDE!U86</f>
        <v>1</v>
      </c>
      <c r="BF88" s="297">
        <f t="shared" si="105"/>
        <v>1.004</v>
      </c>
      <c r="BG88" s="300">
        <f t="shared" si="106"/>
        <v>3.47384</v>
      </c>
      <c r="BH88" s="301">
        <f>[1]COMMANDE!W86</f>
        <v>0</v>
      </c>
      <c r="BI88" s="297" t="str">
        <f t="shared" si="107"/>
        <v>0</v>
      </c>
      <c r="BJ88" s="298">
        <f t="shared" si="108"/>
        <v>0</v>
      </c>
      <c r="BK88" s="299">
        <f>[1]COMMANDE!Y86</f>
        <v>0</v>
      </c>
      <c r="BL88" s="297" t="str">
        <f t="shared" si="109"/>
        <v>0</v>
      </c>
      <c r="BM88" s="300">
        <f t="shared" si="110"/>
        <v>0</v>
      </c>
      <c r="BN88" s="301">
        <f>[1]COMMANDE!AA86</f>
        <v>0</v>
      </c>
      <c r="BO88" s="297" t="str">
        <f t="shared" si="111"/>
        <v>0</v>
      </c>
      <c r="BP88" s="298">
        <f t="shared" si="112"/>
        <v>0</v>
      </c>
      <c r="BQ88" s="299">
        <f>[1]COMMANDE!AC86</f>
        <v>0</v>
      </c>
      <c r="BR88" s="297" t="str">
        <f t="shared" si="113"/>
        <v>0</v>
      </c>
      <c r="BS88" s="300">
        <f t="shared" si="114"/>
        <v>0</v>
      </c>
      <c r="BT88" s="301">
        <f>[1]COMMANDE!AE86</f>
        <v>0</v>
      </c>
      <c r="BU88" s="297" t="str">
        <f t="shared" si="115"/>
        <v>0</v>
      </c>
      <c r="BV88" s="298">
        <f t="shared" si="116"/>
        <v>0</v>
      </c>
      <c r="BW88" s="299">
        <f>[1]COMMANDE!AG86</f>
        <v>0</v>
      </c>
      <c r="BX88" s="297" t="str">
        <f t="shared" si="117"/>
        <v>0</v>
      </c>
      <c r="BY88" s="300">
        <f t="shared" si="118"/>
        <v>0</v>
      </c>
      <c r="BZ88" s="301">
        <f>[1]COMMANDE!AI86</f>
        <v>0</v>
      </c>
      <c r="CA88" s="297" t="str">
        <f t="shared" si="119"/>
        <v>0</v>
      </c>
      <c r="CB88" s="298">
        <f t="shared" si="120"/>
        <v>0</v>
      </c>
      <c r="CC88" s="299">
        <f>[1]COMMANDE!AK86</f>
        <v>0</v>
      </c>
      <c r="CD88" s="297" t="str">
        <f t="shared" si="121"/>
        <v>0</v>
      </c>
      <c r="CE88" s="300">
        <f t="shared" si="122"/>
        <v>0</v>
      </c>
      <c r="CF88" s="301">
        <f>[1]COMMANDE!AM86</f>
        <v>0</v>
      </c>
      <c r="CG88" s="297" t="str">
        <f t="shared" si="123"/>
        <v>0</v>
      </c>
      <c r="CH88" s="298">
        <f t="shared" si="124"/>
        <v>0</v>
      </c>
      <c r="CI88" s="299">
        <f>[1]COMMANDE!AO86</f>
        <v>0</v>
      </c>
      <c r="CJ88" s="297" t="str">
        <f t="shared" si="125"/>
        <v>0</v>
      </c>
      <c r="CK88" s="300">
        <f t="shared" si="126"/>
        <v>0</v>
      </c>
      <c r="CL88" s="301">
        <f>[1]COMMANDE!AQ86</f>
        <v>0</v>
      </c>
      <c r="CM88" s="297" t="str">
        <f t="shared" si="127"/>
        <v>0</v>
      </c>
      <c r="CN88" s="298">
        <f t="shared" si="128"/>
        <v>0</v>
      </c>
      <c r="CO88" s="299">
        <f>[1]COMMANDE!AS86</f>
        <v>0</v>
      </c>
      <c r="CP88" s="297" t="str">
        <f t="shared" si="129"/>
        <v>0</v>
      </c>
      <c r="CQ88" s="300">
        <f t="shared" si="130"/>
        <v>0</v>
      </c>
      <c r="CR88" s="301">
        <f>[1]COMMANDE!AU86</f>
        <v>0</v>
      </c>
      <c r="CS88" s="297" t="str">
        <f t="shared" si="131"/>
        <v>0</v>
      </c>
      <c r="CT88" s="298">
        <f t="shared" si="132"/>
        <v>0</v>
      </c>
      <c r="CU88" s="299">
        <f>[1]COMMANDE!AW86</f>
        <v>0</v>
      </c>
      <c r="CV88" s="297" t="str">
        <f t="shared" si="133"/>
        <v>0</v>
      </c>
      <c r="CW88" s="300">
        <f t="shared" si="134"/>
        <v>0</v>
      </c>
      <c r="CX88" s="301">
        <f>[1]COMMANDE!AY86</f>
        <v>0</v>
      </c>
      <c r="CY88" s="297" t="str">
        <f t="shared" si="135"/>
        <v>0</v>
      </c>
      <c r="CZ88" s="298">
        <f t="shared" si="136"/>
        <v>0</v>
      </c>
      <c r="DA88" s="299">
        <f>[1]COMMANDE!BA86</f>
        <v>0</v>
      </c>
      <c r="DB88" s="297" t="str">
        <f t="shared" si="137"/>
        <v>0</v>
      </c>
      <c r="DC88" s="302">
        <f t="shared" si="138"/>
        <v>0</v>
      </c>
      <c r="DD88" s="303"/>
      <c r="DE88" s="304"/>
    </row>
    <row r="89" spans="1:109" ht="39.950000000000003" customHeight="1" x14ac:dyDescent="0.25">
      <c r="A89" s="284">
        <f t="shared" si="71"/>
        <v>0</v>
      </c>
      <c r="B89" s="284">
        <f t="shared" si="72"/>
        <v>0</v>
      </c>
      <c r="C89" s="284">
        <f t="shared" si="73"/>
        <v>0</v>
      </c>
      <c r="D89" s="284">
        <f t="shared" si="74"/>
        <v>0</v>
      </c>
      <c r="E89" s="284">
        <f t="shared" si="75"/>
        <v>0</v>
      </c>
      <c r="F89" s="284">
        <f t="shared" si="76"/>
        <v>0</v>
      </c>
      <c r="G89" s="284">
        <f t="shared" si="77"/>
        <v>0</v>
      </c>
      <c r="H89" s="284">
        <f t="shared" si="78"/>
        <v>0</v>
      </c>
      <c r="I89" s="284">
        <f t="shared" si="79"/>
        <v>0</v>
      </c>
      <c r="J89" s="284">
        <f t="shared" si="80"/>
        <v>0</v>
      </c>
      <c r="K89" s="284">
        <f t="shared" si="81"/>
        <v>0</v>
      </c>
      <c r="L89" s="284">
        <f t="shared" si="82"/>
        <v>0</v>
      </c>
      <c r="M89" s="284">
        <f t="shared" si="83"/>
        <v>0</v>
      </c>
      <c r="N89" s="284">
        <f t="shared" si="84"/>
        <v>0</v>
      </c>
      <c r="O89" s="284">
        <f t="shared" si="85"/>
        <v>0</v>
      </c>
      <c r="P89" s="284">
        <f t="shared" si="86"/>
        <v>0</v>
      </c>
      <c r="Q89" s="284">
        <f t="shared" si="87"/>
        <v>0</v>
      </c>
      <c r="R89" s="284">
        <f t="shared" si="88"/>
        <v>0</v>
      </c>
      <c r="S89" s="284">
        <f t="shared" si="89"/>
        <v>0</v>
      </c>
      <c r="T89" s="284">
        <f t="shared" si="90"/>
        <v>0</v>
      </c>
      <c r="U89" s="285">
        <f t="shared" si="91"/>
        <v>0</v>
      </c>
      <c r="V89" s="286">
        <f>[1]BDD!A79</f>
        <v>3142</v>
      </c>
      <c r="W89" s="287" t="str">
        <f>[1]BDD!B79</f>
        <v>Courge Butternu</v>
      </c>
      <c r="X89" s="288" t="str">
        <f>IF([1]BDD!F79=0, "", [1]BDD!F79)</f>
        <v>OFFRE</v>
      </c>
      <c r="Y89" s="214">
        <f>ROUND([1]BDD!G79+FDP_CMD_KG, 2)</f>
        <v>2.21</v>
      </c>
      <c r="Z89" s="214">
        <f>ROUND([1]BDD!G79+FDP_FACT_KG, 2)</f>
        <v>2.21</v>
      </c>
      <c r="AA89" s="215" t="str">
        <f>[1]BDD!H79</f>
        <v>kg</v>
      </c>
      <c r="AB89" s="225">
        <f>IF(NOT(ISBLANK([1]BDD!I79)), ROUND(SUM(([1]BDD!G79*reduc1),FDP_CMD_KG), 2), "")</f>
        <v>2.08</v>
      </c>
      <c r="AC89" s="225" t="str">
        <f>IF(NOT(ISBLANK([1]BDD!J79)), ROUND(SUM(([1]BDD!G79*reduc2),FDP_CMD_KG), 2), "")</f>
        <v/>
      </c>
      <c r="AD89" s="225" t="str">
        <f>IF(NOT(ISBLANK([1]BDD!K79)), ROUND(SUM(([1]BDD!G79*reduc3),FDP_CMD_KG), 2), "")</f>
        <v/>
      </c>
      <c r="AE89" s="225">
        <f>IF(NOT(ISBLANK([1]BDD!I79)), ROUND(SUM(([1]BDD!G79*reduc1),FDP_FACT_KG), 2), "")</f>
        <v>2.0699999999999998</v>
      </c>
      <c r="AF89" s="225" t="str">
        <f>IF(NOT(ISBLANK([1]BDD!J79)), ROUND(SUM(([1]BDD!G79*reduc2),FDP_FACT_KG), 2), "")</f>
        <v/>
      </c>
      <c r="AG89" s="225" t="str">
        <f>IF(NOT(ISBLANK([1]BDD!K79)), ROUND(SUM(([1]BDD!G79*reduc3),FDP_FACT_KG), 2), "")</f>
        <v/>
      </c>
      <c r="AH89" s="289" t="str">
        <f>[1]BDD!C79</f>
        <v>Grenade</v>
      </c>
      <c r="AI89" s="290">
        <f t="shared" si="92"/>
        <v>0</v>
      </c>
      <c r="AJ89" s="216">
        <f t="shared" si="93"/>
        <v>2.08</v>
      </c>
      <c r="AK89" s="291">
        <f t="shared" si="94"/>
        <v>0</v>
      </c>
      <c r="AL89" s="429"/>
      <c r="AM89" s="292"/>
      <c r="AN89" s="216">
        <f t="shared" si="95"/>
        <v>2.21</v>
      </c>
      <c r="AO89" s="293">
        <f t="shared" si="96"/>
        <v>0</v>
      </c>
      <c r="AP89" s="294"/>
      <c r="AQ89" s="294"/>
      <c r="AR89" s="429"/>
      <c r="AS89" s="295">
        <f t="shared" si="97"/>
        <v>0</v>
      </c>
      <c r="AT89" s="216">
        <f t="shared" si="98"/>
        <v>2.21</v>
      </c>
      <c r="AU89" s="291">
        <f t="shared" si="70"/>
        <v>0</v>
      </c>
      <c r="AV89" s="296">
        <f>[1]COMMANDE!O87</f>
        <v>0</v>
      </c>
      <c r="AW89" s="297" t="str">
        <f t="shared" si="99"/>
        <v>0</v>
      </c>
      <c r="AX89" s="298">
        <f t="shared" si="100"/>
        <v>0</v>
      </c>
      <c r="AY89" s="299">
        <f>[1]COMMANDE!Q87</f>
        <v>0</v>
      </c>
      <c r="AZ89" s="297" t="str">
        <f t="shared" si="101"/>
        <v>0</v>
      </c>
      <c r="BA89" s="300">
        <f t="shared" si="102"/>
        <v>0</v>
      </c>
      <c r="BB89" s="301">
        <f>[1]COMMANDE!S87</f>
        <v>0</v>
      </c>
      <c r="BC89" s="297" t="str">
        <f t="shared" si="103"/>
        <v>0</v>
      </c>
      <c r="BD89" s="298">
        <f t="shared" si="104"/>
        <v>0</v>
      </c>
      <c r="BE89" s="299">
        <f>[1]COMMANDE!U87</f>
        <v>0</v>
      </c>
      <c r="BF89" s="297" t="str">
        <f t="shared" si="105"/>
        <v>0</v>
      </c>
      <c r="BG89" s="300">
        <f t="shared" si="106"/>
        <v>0</v>
      </c>
      <c r="BH89" s="301">
        <f>[1]COMMANDE!W87</f>
        <v>0</v>
      </c>
      <c r="BI89" s="297" t="str">
        <f t="shared" si="107"/>
        <v>0</v>
      </c>
      <c r="BJ89" s="298">
        <f t="shared" si="108"/>
        <v>0</v>
      </c>
      <c r="BK89" s="299">
        <f>[1]COMMANDE!Y87</f>
        <v>0</v>
      </c>
      <c r="BL89" s="297" t="str">
        <f t="shared" si="109"/>
        <v>0</v>
      </c>
      <c r="BM89" s="300">
        <f t="shared" si="110"/>
        <v>0</v>
      </c>
      <c r="BN89" s="301">
        <f>[1]COMMANDE!AA87</f>
        <v>0</v>
      </c>
      <c r="BO89" s="297" t="str">
        <f t="shared" si="111"/>
        <v>0</v>
      </c>
      <c r="BP89" s="298">
        <f t="shared" si="112"/>
        <v>0</v>
      </c>
      <c r="BQ89" s="299">
        <f>[1]COMMANDE!AC87</f>
        <v>0</v>
      </c>
      <c r="BR89" s="297" t="str">
        <f t="shared" si="113"/>
        <v>0</v>
      </c>
      <c r="BS89" s="300">
        <f t="shared" si="114"/>
        <v>0</v>
      </c>
      <c r="BT89" s="301">
        <f>[1]COMMANDE!AE87</f>
        <v>0</v>
      </c>
      <c r="BU89" s="297" t="str">
        <f t="shared" si="115"/>
        <v>0</v>
      </c>
      <c r="BV89" s="298">
        <f t="shared" si="116"/>
        <v>0</v>
      </c>
      <c r="BW89" s="299">
        <f>[1]COMMANDE!AG87</f>
        <v>0</v>
      </c>
      <c r="BX89" s="297" t="str">
        <f t="shared" si="117"/>
        <v>0</v>
      </c>
      <c r="BY89" s="300">
        <f t="shared" si="118"/>
        <v>0</v>
      </c>
      <c r="BZ89" s="301">
        <f>[1]COMMANDE!AI87</f>
        <v>0</v>
      </c>
      <c r="CA89" s="297" t="str">
        <f t="shared" si="119"/>
        <v>0</v>
      </c>
      <c r="CB89" s="298">
        <f t="shared" si="120"/>
        <v>0</v>
      </c>
      <c r="CC89" s="299">
        <f>[1]COMMANDE!AK87</f>
        <v>0</v>
      </c>
      <c r="CD89" s="297" t="str">
        <f t="shared" si="121"/>
        <v>0</v>
      </c>
      <c r="CE89" s="300">
        <f t="shared" si="122"/>
        <v>0</v>
      </c>
      <c r="CF89" s="301">
        <f>[1]COMMANDE!AM87</f>
        <v>0</v>
      </c>
      <c r="CG89" s="297" t="str">
        <f t="shared" si="123"/>
        <v>0</v>
      </c>
      <c r="CH89" s="298">
        <f t="shared" si="124"/>
        <v>0</v>
      </c>
      <c r="CI89" s="299">
        <f>[1]COMMANDE!AO87</f>
        <v>0</v>
      </c>
      <c r="CJ89" s="297" t="str">
        <f t="shared" si="125"/>
        <v>0</v>
      </c>
      <c r="CK89" s="300">
        <f t="shared" si="126"/>
        <v>0</v>
      </c>
      <c r="CL89" s="301">
        <f>[1]COMMANDE!AQ87</f>
        <v>0</v>
      </c>
      <c r="CM89" s="297" t="str">
        <f t="shared" si="127"/>
        <v>0</v>
      </c>
      <c r="CN89" s="298">
        <f t="shared" si="128"/>
        <v>0</v>
      </c>
      <c r="CO89" s="299">
        <f>[1]COMMANDE!AS87</f>
        <v>0</v>
      </c>
      <c r="CP89" s="297" t="str">
        <f t="shared" si="129"/>
        <v>0</v>
      </c>
      <c r="CQ89" s="300">
        <f t="shared" si="130"/>
        <v>0</v>
      </c>
      <c r="CR89" s="301">
        <f>[1]COMMANDE!AU87</f>
        <v>0</v>
      </c>
      <c r="CS89" s="297" t="str">
        <f t="shared" si="131"/>
        <v>0</v>
      </c>
      <c r="CT89" s="298">
        <f t="shared" si="132"/>
        <v>0</v>
      </c>
      <c r="CU89" s="299">
        <f>[1]COMMANDE!AW87</f>
        <v>0</v>
      </c>
      <c r="CV89" s="297" t="str">
        <f t="shared" si="133"/>
        <v>0</v>
      </c>
      <c r="CW89" s="300">
        <f t="shared" si="134"/>
        <v>0</v>
      </c>
      <c r="CX89" s="301">
        <f>[1]COMMANDE!AY87</f>
        <v>0</v>
      </c>
      <c r="CY89" s="297" t="str">
        <f t="shared" si="135"/>
        <v>0</v>
      </c>
      <c r="CZ89" s="298">
        <f t="shared" si="136"/>
        <v>0</v>
      </c>
      <c r="DA89" s="299">
        <f>[1]COMMANDE!BA87</f>
        <v>0</v>
      </c>
      <c r="DB89" s="297" t="str">
        <f t="shared" si="137"/>
        <v>0</v>
      </c>
      <c r="DC89" s="302">
        <f t="shared" si="138"/>
        <v>0</v>
      </c>
      <c r="DD89" s="303"/>
      <c r="DE89" s="304"/>
    </row>
    <row r="90" spans="1:109" ht="39.950000000000003" customHeight="1" x14ac:dyDescent="0.25">
      <c r="A90" s="284">
        <f t="shared" si="71"/>
        <v>0</v>
      </c>
      <c r="B90" s="284">
        <f t="shared" si="72"/>
        <v>0</v>
      </c>
      <c r="C90" s="284">
        <f t="shared" si="73"/>
        <v>0</v>
      </c>
      <c r="D90" s="284">
        <f t="shared" si="74"/>
        <v>0</v>
      </c>
      <c r="E90" s="284">
        <f t="shared" si="75"/>
        <v>0</v>
      </c>
      <c r="F90" s="284">
        <f t="shared" si="76"/>
        <v>0</v>
      </c>
      <c r="G90" s="284">
        <f t="shared" si="77"/>
        <v>0</v>
      </c>
      <c r="H90" s="284">
        <f t="shared" si="78"/>
        <v>0</v>
      </c>
      <c r="I90" s="284">
        <f t="shared" si="79"/>
        <v>0</v>
      </c>
      <c r="J90" s="284">
        <f t="shared" si="80"/>
        <v>0</v>
      </c>
      <c r="K90" s="284">
        <f t="shared" si="81"/>
        <v>0</v>
      </c>
      <c r="L90" s="284">
        <f t="shared" si="82"/>
        <v>0</v>
      </c>
      <c r="M90" s="284">
        <f t="shared" si="83"/>
        <v>0</v>
      </c>
      <c r="N90" s="284">
        <f t="shared" si="84"/>
        <v>0</v>
      </c>
      <c r="O90" s="284">
        <f t="shared" si="85"/>
        <v>0</v>
      </c>
      <c r="P90" s="284">
        <f t="shared" si="86"/>
        <v>0</v>
      </c>
      <c r="Q90" s="284">
        <f t="shared" si="87"/>
        <v>0</v>
      </c>
      <c r="R90" s="284">
        <f t="shared" si="88"/>
        <v>0</v>
      </c>
      <c r="S90" s="284">
        <f t="shared" si="89"/>
        <v>0</v>
      </c>
      <c r="T90" s="284">
        <f t="shared" si="90"/>
        <v>0</v>
      </c>
      <c r="U90" s="285">
        <f t="shared" si="91"/>
        <v>0</v>
      </c>
      <c r="V90" s="286">
        <f>[1]BDD!A80</f>
        <v>6077</v>
      </c>
      <c r="W90" s="287" t="str">
        <f>[1]BDD!B80</f>
        <v>Courge Butternut BIO</v>
      </c>
      <c r="X90" s="288" t="str">
        <f>IF([1]BDD!F80=0, "", [1]BDD!F80)</f>
        <v/>
      </c>
      <c r="Y90" s="214">
        <f>ROUND([1]BDD!G80+FDP_CMD_KG, 2)</f>
        <v>2.5</v>
      </c>
      <c r="Z90" s="214">
        <f>ROUND([1]BDD!G80+FDP_FACT_KG, 2)</f>
        <v>2.5</v>
      </c>
      <c r="AA90" s="215" t="str">
        <f>[1]BDD!H80</f>
        <v>kg</v>
      </c>
      <c r="AB90" s="225">
        <f>IF(NOT(ISBLANK([1]BDD!I80)), ROUND(SUM(([1]BDD!G80*reduc1),FDP_CMD_KG), 2), "")</f>
        <v>2.34</v>
      </c>
      <c r="AC90" s="225" t="str">
        <f>IF(NOT(ISBLANK([1]BDD!J80)), ROUND(SUM(([1]BDD!G80*reduc2),FDP_CMD_KG), 2), "")</f>
        <v/>
      </c>
      <c r="AD90" s="225" t="str">
        <f>IF(NOT(ISBLANK([1]BDD!K80)), ROUND(SUM(([1]BDD!G80*reduc3),FDP_CMD_KG), 2), "")</f>
        <v/>
      </c>
      <c r="AE90" s="225">
        <f>IF(NOT(ISBLANK([1]BDD!I80)), ROUND(SUM(([1]BDD!G80*reduc1),FDP_FACT_KG), 2), "")</f>
        <v>2.33</v>
      </c>
      <c r="AF90" s="225" t="str">
        <f>IF(NOT(ISBLANK([1]BDD!J80)), ROUND(SUM(([1]BDD!G80*reduc2),FDP_FACT_KG), 2), "")</f>
        <v/>
      </c>
      <c r="AG90" s="225" t="str">
        <f>IF(NOT(ISBLANK([1]BDD!K80)), ROUND(SUM(([1]BDD!G80*reduc3),FDP_FACT_KG), 2), "")</f>
        <v/>
      </c>
      <c r="AH90" s="289" t="str">
        <f>[1]BDD!C80</f>
        <v>Malaga</v>
      </c>
      <c r="AI90" s="290">
        <f t="shared" si="92"/>
        <v>0</v>
      </c>
      <c r="AJ90" s="216">
        <f t="shared" si="93"/>
        <v>2.34</v>
      </c>
      <c r="AK90" s="291">
        <f t="shared" si="94"/>
        <v>0</v>
      </c>
      <c r="AL90" s="429"/>
      <c r="AM90" s="292"/>
      <c r="AN90" s="216">
        <f t="shared" si="95"/>
        <v>2.5</v>
      </c>
      <c r="AO90" s="293">
        <f t="shared" si="96"/>
        <v>0</v>
      </c>
      <c r="AP90" s="294"/>
      <c r="AQ90" s="294"/>
      <c r="AR90" s="429"/>
      <c r="AS90" s="295">
        <f t="shared" si="97"/>
        <v>0</v>
      </c>
      <c r="AT90" s="216">
        <f t="shared" si="98"/>
        <v>2.5</v>
      </c>
      <c r="AU90" s="291">
        <f t="shared" si="70"/>
        <v>0</v>
      </c>
      <c r="AV90" s="296">
        <f>[1]COMMANDE!O88</f>
        <v>0</v>
      </c>
      <c r="AW90" s="297" t="str">
        <f t="shared" si="99"/>
        <v>0</v>
      </c>
      <c r="AX90" s="298">
        <f t="shared" si="100"/>
        <v>0</v>
      </c>
      <c r="AY90" s="299">
        <f>[1]COMMANDE!Q88</f>
        <v>0</v>
      </c>
      <c r="AZ90" s="297" t="str">
        <f t="shared" si="101"/>
        <v>0</v>
      </c>
      <c r="BA90" s="300">
        <f t="shared" si="102"/>
        <v>0</v>
      </c>
      <c r="BB90" s="301">
        <f>[1]COMMANDE!S88</f>
        <v>0</v>
      </c>
      <c r="BC90" s="297" t="str">
        <f t="shared" si="103"/>
        <v>0</v>
      </c>
      <c r="BD90" s="298">
        <f t="shared" si="104"/>
        <v>0</v>
      </c>
      <c r="BE90" s="299">
        <f>[1]COMMANDE!U88</f>
        <v>0</v>
      </c>
      <c r="BF90" s="297" t="str">
        <f t="shared" si="105"/>
        <v>0</v>
      </c>
      <c r="BG90" s="300">
        <f t="shared" si="106"/>
        <v>0</v>
      </c>
      <c r="BH90" s="301">
        <f>[1]COMMANDE!W88</f>
        <v>0</v>
      </c>
      <c r="BI90" s="297" t="str">
        <f t="shared" si="107"/>
        <v>0</v>
      </c>
      <c r="BJ90" s="298">
        <f t="shared" si="108"/>
        <v>0</v>
      </c>
      <c r="BK90" s="299">
        <f>[1]COMMANDE!Y88</f>
        <v>0</v>
      </c>
      <c r="BL90" s="297" t="str">
        <f t="shared" si="109"/>
        <v>0</v>
      </c>
      <c r="BM90" s="300">
        <f t="shared" si="110"/>
        <v>0</v>
      </c>
      <c r="BN90" s="301">
        <f>[1]COMMANDE!AA88</f>
        <v>0</v>
      </c>
      <c r="BO90" s="297" t="str">
        <f t="shared" si="111"/>
        <v>0</v>
      </c>
      <c r="BP90" s="298">
        <f t="shared" si="112"/>
        <v>0</v>
      </c>
      <c r="BQ90" s="299">
        <f>[1]COMMANDE!AC88</f>
        <v>0</v>
      </c>
      <c r="BR90" s="297" t="str">
        <f t="shared" si="113"/>
        <v>0</v>
      </c>
      <c r="BS90" s="300">
        <f t="shared" si="114"/>
        <v>0</v>
      </c>
      <c r="BT90" s="301">
        <f>[1]COMMANDE!AE88</f>
        <v>0</v>
      </c>
      <c r="BU90" s="297" t="str">
        <f t="shared" si="115"/>
        <v>0</v>
      </c>
      <c r="BV90" s="298">
        <f t="shared" si="116"/>
        <v>0</v>
      </c>
      <c r="BW90" s="299">
        <f>[1]COMMANDE!AG88</f>
        <v>0</v>
      </c>
      <c r="BX90" s="297" t="str">
        <f t="shared" si="117"/>
        <v>0</v>
      </c>
      <c r="BY90" s="300">
        <f t="shared" si="118"/>
        <v>0</v>
      </c>
      <c r="BZ90" s="301">
        <f>[1]COMMANDE!AI88</f>
        <v>0</v>
      </c>
      <c r="CA90" s="297" t="str">
        <f t="shared" si="119"/>
        <v>0</v>
      </c>
      <c r="CB90" s="298">
        <f t="shared" si="120"/>
        <v>0</v>
      </c>
      <c r="CC90" s="299">
        <f>[1]COMMANDE!AK88</f>
        <v>0</v>
      </c>
      <c r="CD90" s="297" t="str">
        <f t="shared" si="121"/>
        <v>0</v>
      </c>
      <c r="CE90" s="300">
        <f t="shared" si="122"/>
        <v>0</v>
      </c>
      <c r="CF90" s="301">
        <f>[1]COMMANDE!AM88</f>
        <v>0</v>
      </c>
      <c r="CG90" s="297" t="str">
        <f t="shared" si="123"/>
        <v>0</v>
      </c>
      <c r="CH90" s="298">
        <f t="shared" si="124"/>
        <v>0</v>
      </c>
      <c r="CI90" s="299">
        <f>[1]COMMANDE!AO88</f>
        <v>0</v>
      </c>
      <c r="CJ90" s="297" t="str">
        <f t="shared" si="125"/>
        <v>0</v>
      </c>
      <c r="CK90" s="300">
        <f t="shared" si="126"/>
        <v>0</v>
      </c>
      <c r="CL90" s="301">
        <f>[1]COMMANDE!AQ88</f>
        <v>0</v>
      </c>
      <c r="CM90" s="297" t="str">
        <f t="shared" si="127"/>
        <v>0</v>
      </c>
      <c r="CN90" s="298">
        <f t="shared" si="128"/>
        <v>0</v>
      </c>
      <c r="CO90" s="299">
        <f>[1]COMMANDE!AS88</f>
        <v>0</v>
      </c>
      <c r="CP90" s="297" t="str">
        <f t="shared" si="129"/>
        <v>0</v>
      </c>
      <c r="CQ90" s="300">
        <f t="shared" si="130"/>
        <v>0</v>
      </c>
      <c r="CR90" s="301">
        <f>[1]COMMANDE!AU88</f>
        <v>0</v>
      </c>
      <c r="CS90" s="297" t="str">
        <f t="shared" si="131"/>
        <v>0</v>
      </c>
      <c r="CT90" s="298">
        <f t="shared" si="132"/>
        <v>0</v>
      </c>
      <c r="CU90" s="299">
        <f>[1]COMMANDE!AW88</f>
        <v>0</v>
      </c>
      <c r="CV90" s="297" t="str">
        <f t="shared" si="133"/>
        <v>0</v>
      </c>
      <c r="CW90" s="300">
        <f t="shared" si="134"/>
        <v>0</v>
      </c>
      <c r="CX90" s="301">
        <f>[1]COMMANDE!AY88</f>
        <v>0</v>
      </c>
      <c r="CY90" s="297" t="str">
        <f t="shared" si="135"/>
        <v>0</v>
      </c>
      <c r="CZ90" s="298">
        <f t="shared" si="136"/>
        <v>0</v>
      </c>
      <c r="DA90" s="299">
        <f>[1]COMMANDE!BA88</f>
        <v>0</v>
      </c>
      <c r="DB90" s="297" t="str">
        <f t="shared" si="137"/>
        <v>0</v>
      </c>
      <c r="DC90" s="302">
        <f t="shared" si="138"/>
        <v>0</v>
      </c>
      <c r="DD90" s="303"/>
      <c r="DE90" s="304"/>
    </row>
    <row r="91" spans="1:109" ht="39.950000000000003" customHeight="1" x14ac:dyDescent="0.25">
      <c r="A91" s="284">
        <f t="shared" si="71"/>
        <v>0</v>
      </c>
      <c r="B91" s="284">
        <f t="shared" si="72"/>
        <v>0</v>
      </c>
      <c r="C91" s="284">
        <f t="shared" si="73"/>
        <v>0</v>
      </c>
      <c r="D91" s="284">
        <f t="shared" si="74"/>
        <v>0</v>
      </c>
      <c r="E91" s="284">
        <f t="shared" si="75"/>
        <v>0</v>
      </c>
      <c r="F91" s="284">
        <f t="shared" si="76"/>
        <v>0</v>
      </c>
      <c r="G91" s="284">
        <f t="shared" si="77"/>
        <v>0</v>
      </c>
      <c r="H91" s="284">
        <f t="shared" si="78"/>
        <v>0</v>
      </c>
      <c r="I91" s="284">
        <f t="shared" si="79"/>
        <v>0</v>
      </c>
      <c r="J91" s="284">
        <f t="shared" si="80"/>
        <v>0</v>
      </c>
      <c r="K91" s="284">
        <f t="shared" si="81"/>
        <v>0</v>
      </c>
      <c r="L91" s="284">
        <f t="shared" si="82"/>
        <v>0</v>
      </c>
      <c r="M91" s="284">
        <f t="shared" si="83"/>
        <v>0</v>
      </c>
      <c r="N91" s="284">
        <f t="shared" si="84"/>
        <v>0</v>
      </c>
      <c r="O91" s="284">
        <f t="shared" si="85"/>
        <v>0</v>
      </c>
      <c r="P91" s="284">
        <f t="shared" si="86"/>
        <v>0</v>
      </c>
      <c r="Q91" s="284">
        <f t="shared" si="87"/>
        <v>0</v>
      </c>
      <c r="R91" s="284">
        <f t="shared" si="88"/>
        <v>0</v>
      </c>
      <c r="S91" s="284">
        <f t="shared" si="89"/>
        <v>0</v>
      </c>
      <c r="T91" s="284">
        <f t="shared" si="90"/>
        <v>0</v>
      </c>
      <c r="U91" s="285">
        <f t="shared" si="91"/>
        <v>0</v>
      </c>
      <c r="V91" s="286">
        <f>[1]BDD!A81</f>
        <v>3893</v>
      </c>
      <c r="W91" s="287" t="str">
        <f>[1]BDD!B81</f>
        <v>Courge cabello de ángel</v>
      </c>
      <c r="X91" s="288" t="str">
        <f>IF([1]BDD!F81=0, "", [1]BDD!F81)</f>
        <v/>
      </c>
      <c r="Y91" s="214">
        <f>ROUND([1]BDD!G81+FDP_CMD_KG, 2)</f>
        <v>2.5</v>
      </c>
      <c r="Z91" s="214">
        <f>ROUND([1]BDD!G81+FDP_FACT_KG, 2)</f>
        <v>2.5</v>
      </c>
      <c r="AA91" s="215" t="str">
        <f>[1]BDD!H81</f>
        <v>kg</v>
      </c>
      <c r="AB91" s="225">
        <f>IF(NOT(ISBLANK([1]BDD!I81)), ROUND(SUM(([1]BDD!G81*reduc1),FDP_CMD_KG), 2), "")</f>
        <v>2.34</v>
      </c>
      <c r="AC91" s="225" t="str">
        <f>IF(NOT(ISBLANK([1]BDD!J81)), ROUND(SUM(([1]BDD!G81*reduc2),FDP_CMD_KG), 2), "")</f>
        <v/>
      </c>
      <c r="AD91" s="225" t="str">
        <f>IF(NOT(ISBLANK([1]BDD!K81)), ROUND(SUM(([1]BDD!G81*reduc3),FDP_CMD_KG), 2), "")</f>
        <v/>
      </c>
      <c r="AE91" s="225">
        <f>IF(NOT(ISBLANK([1]BDD!I81)), ROUND(SUM(([1]BDD!G81*reduc1),FDP_FACT_KG), 2), "")</f>
        <v>2.33</v>
      </c>
      <c r="AF91" s="225" t="str">
        <f>IF(NOT(ISBLANK([1]BDD!J81)), ROUND(SUM(([1]BDD!G81*reduc2),FDP_FACT_KG), 2), "")</f>
        <v/>
      </c>
      <c r="AG91" s="225" t="str">
        <f>IF(NOT(ISBLANK([1]BDD!K81)), ROUND(SUM(([1]BDD!G81*reduc3),FDP_FACT_KG), 2), "")</f>
        <v/>
      </c>
      <c r="AH91" s="289" t="str">
        <f>[1]BDD!C81</f>
        <v>Grenade</v>
      </c>
      <c r="AI91" s="290">
        <f t="shared" si="92"/>
        <v>0</v>
      </c>
      <c r="AJ91" s="216">
        <f t="shared" si="93"/>
        <v>2.34</v>
      </c>
      <c r="AK91" s="291">
        <f t="shared" si="94"/>
        <v>0</v>
      </c>
      <c r="AL91" s="429"/>
      <c r="AM91" s="292"/>
      <c r="AN91" s="216">
        <f t="shared" si="95"/>
        <v>2.5</v>
      </c>
      <c r="AO91" s="293">
        <f t="shared" si="96"/>
        <v>0</v>
      </c>
      <c r="AP91" s="294"/>
      <c r="AQ91" s="294"/>
      <c r="AR91" s="429"/>
      <c r="AS91" s="295">
        <f t="shared" si="97"/>
        <v>0</v>
      </c>
      <c r="AT91" s="216">
        <f t="shared" si="98"/>
        <v>2.5</v>
      </c>
      <c r="AU91" s="291">
        <f t="shared" si="70"/>
        <v>0</v>
      </c>
      <c r="AV91" s="296">
        <f>[1]COMMANDE!O89</f>
        <v>0</v>
      </c>
      <c r="AW91" s="297" t="str">
        <f t="shared" si="99"/>
        <v>0</v>
      </c>
      <c r="AX91" s="298">
        <f t="shared" si="100"/>
        <v>0</v>
      </c>
      <c r="AY91" s="299">
        <f>[1]COMMANDE!Q89</f>
        <v>0</v>
      </c>
      <c r="AZ91" s="297" t="str">
        <f t="shared" si="101"/>
        <v>0</v>
      </c>
      <c r="BA91" s="300">
        <f t="shared" si="102"/>
        <v>0</v>
      </c>
      <c r="BB91" s="301">
        <f>[1]COMMANDE!S89</f>
        <v>0</v>
      </c>
      <c r="BC91" s="297" t="str">
        <f t="shared" si="103"/>
        <v>0</v>
      </c>
      <c r="BD91" s="298">
        <f t="shared" si="104"/>
        <v>0</v>
      </c>
      <c r="BE91" s="299">
        <f>[1]COMMANDE!U89</f>
        <v>0</v>
      </c>
      <c r="BF91" s="297" t="str">
        <f t="shared" si="105"/>
        <v>0</v>
      </c>
      <c r="BG91" s="300">
        <f t="shared" si="106"/>
        <v>0</v>
      </c>
      <c r="BH91" s="301">
        <f>[1]COMMANDE!W89</f>
        <v>0</v>
      </c>
      <c r="BI91" s="297" t="str">
        <f t="shared" si="107"/>
        <v>0</v>
      </c>
      <c r="BJ91" s="298">
        <f t="shared" si="108"/>
        <v>0</v>
      </c>
      <c r="BK91" s="299">
        <f>[1]COMMANDE!Y89</f>
        <v>0</v>
      </c>
      <c r="BL91" s="297" t="str">
        <f t="shared" si="109"/>
        <v>0</v>
      </c>
      <c r="BM91" s="300">
        <f t="shared" si="110"/>
        <v>0</v>
      </c>
      <c r="BN91" s="301">
        <f>[1]COMMANDE!AA89</f>
        <v>0</v>
      </c>
      <c r="BO91" s="297" t="str">
        <f t="shared" si="111"/>
        <v>0</v>
      </c>
      <c r="BP91" s="298">
        <f t="shared" si="112"/>
        <v>0</v>
      </c>
      <c r="BQ91" s="299">
        <f>[1]COMMANDE!AC89</f>
        <v>0</v>
      </c>
      <c r="BR91" s="297" t="str">
        <f t="shared" si="113"/>
        <v>0</v>
      </c>
      <c r="BS91" s="300">
        <f t="shared" si="114"/>
        <v>0</v>
      </c>
      <c r="BT91" s="301">
        <f>[1]COMMANDE!AE89</f>
        <v>0</v>
      </c>
      <c r="BU91" s="297" t="str">
        <f t="shared" si="115"/>
        <v>0</v>
      </c>
      <c r="BV91" s="298">
        <f t="shared" si="116"/>
        <v>0</v>
      </c>
      <c r="BW91" s="299">
        <f>[1]COMMANDE!AG89</f>
        <v>0</v>
      </c>
      <c r="BX91" s="297" t="str">
        <f t="shared" si="117"/>
        <v>0</v>
      </c>
      <c r="BY91" s="300">
        <f t="shared" si="118"/>
        <v>0</v>
      </c>
      <c r="BZ91" s="301">
        <f>[1]COMMANDE!AI89</f>
        <v>0</v>
      </c>
      <c r="CA91" s="297" t="str">
        <f t="shared" si="119"/>
        <v>0</v>
      </c>
      <c r="CB91" s="298">
        <f t="shared" si="120"/>
        <v>0</v>
      </c>
      <c r="CC91" s="299">
        <f>[1]COMMANDE!AK89</f>
        <v>0</v>
      </c>
      <c r="CD91" s="297" t="str">
        <f t="shared" si="121"/>
        <v>0</v>
      </c>
      <c r="CE91" s="300">
        <f t="shared" si="122"/>
        <v>0</v>
      </c>
      <c r="CF91" s="301">
        <f>[1]COMMANDE!AM89</f>
        <v>0</v>
      </c>
      <c r="CG91" s="297" t="str">
        <f t="shared" si="123"/>
        <v>0</v>
      </c>
      <c r="CH91" s="298">
        <f t="shared" si="124"/>
        <v>0</v>
      </c>
      <c r="CI91" s="299">
        <f>[1]COMMANDE!AO89</f>
        <v>0</v>
      </c>
      <c r="CJ91" s="297" t="str">
        <f t="shared" si="125"/>
        <v>0</v>
      </c>
      <c r="CK91" s="300">
        <f t="shared" si="126"/>
        <v>0</v>
      </c>
      <c r="CL91" s="301">
        <f>[1]COMMANDE!AQ89</f>
        <v>0</v>
      </c>
      <c r="CM91" s="297" t="str">
        <f t="shared" si="127"/>
        <v>0</v>
      </c>
      <c r="CN91" s="298">
        <f t="shared" si="128"/>
        <v>0</v>
      </c>
      <c r="CO91" s="299">
        <f>[1]COMMANDE!AS89</f>
        <v>0</v>
      </c>
      <c r="CP91" s="297" t="str">
        <f t="shared" si="129"/>
        <v>0</v>
      </c>
      <c r="CQ91" s="300">
        <f t="shared" si="130"/>
        <v>0</v>
      </c>
      <c r="CR91" s="301">
        <f>[1]COMMANDE!AU89</f>
        <v>0</v>
      </c>
      <c r="CS91" s="297" t="str">
        <f t="shared" si="131"/>
        <v>0</v>
      </c>
      <c r="CT91" s="298">
        <f t="shared" si="132"/>
        <v>0</v>
      </c>
      <c r="CU91" s="299">
        <f>[1]COMMANDE!AW89</f>
        <v>0</v>
      </c>
      <c r="CV91" s="297" t="str">
        <f t="shared" si="133"/>
        <v>0</v>
      </c>
      <c r="CW91" s="300">
        <f t="shared" si="134"/>
        <v>0</v>
      </c>
      <c r="CX91" s="301">
        <f>[1]COMMANDE!AY89</f>
        <v>0</v>
      </c>
      <c r="CY91" s="297" t="str">
        <f t="shared" si="135"/>
        <v>0</v>
      </c>
      <c r="CZ91" s="298">
        <f t="shared" si="136"/>
        <v>0</v>
      </c>
      <c r="DA91" s="299">
        <f>[1]COMMANDE!BA89</f>
        <v>0</v>
      </c>
      <c r="DB91" s="297" t="str">
        <f t="shared" si="137"/>
        <v>0</v>
      </c>
      <c r="DC91" s="302">
        <f t="shared" si="138"/>
        <v>0</v>
      </c>
      <c r="DD91" s="303"/>
      <c r="DE91" s="304"/>
    </row>
    <row r="92" spans="1:109" ht="39.950000000000003" customHeight="1" x14ac:dyDescent="0.25">
      <c r="A92" s="284">
        <f t="shared" si="71"/>
        <v>1</v>
      </c>
      <c r="B92" s="284">
        <f t="shared" si="72"/>
        <v>0</v>
      </c>
      <c r="C92" s="284">
        <f t="shared" si="73"/>
        <v>1</v>
      </c>
      <c r="D92" s="284">
        <f t="shared" si="74"/>
        <v>1</v>
      </c>
      <c r="E92" s="284">
        <f t="shared" si="75"/>
        <v>0</v>
      </c>
      <c r="F92" s="284">
        <f t="shared" si="76"/>
        <v>0</v>
      </c>
      <c r="G92" s="284">
        <f t="shared" si="77"/>
        <v>0</v>
      </c>
      <c r="H92" s="284">
        <f t="shared" si="78"/>
        <v>0</v>
      </c>
      <c r="I92" s="284">
        <f t="shared" si="79"/>
        <v>0</v>
      </c>
      <c r="J92" s="284">
        <f t="shared" si="80"/>
        <v>0</v>
      </c>
      <c r="K92" s="284">
        <f t="shared" si="81"/>
        <v>0</v>
      </c>
      <c r="L92" s="284">
        <f t="shared" si="82"/>
        <v>0</v>
      </c>
      <c r="M92" s="284">
        <f t="shared" si="83"/>
        <v>0</v>
      </c>
      <c r="N92" s="284">
        <f t="shared" si="84"/>
        <v>0</v>
      </c>
      <c r="O92" s="284">
        <f t="shared" si="85"/>
        <v>0</v>
      </c>
      <c r="P92" s="284">
        <f t="shared" si="86"/>
        <v>0</v>
      </c>
      <c r="Q92" s="284">
        <f t="shared" si="87"/>
        <v>0</v>
      </c>
      <c r="R92" s="284">
        <f t="shared" si="88"/>
        <v>0</v>
      </c>
      <c r="S92" s="284">
        <f t="shared" si="89"/>
        <v>0</v>
      </c>
      <c r="T92" s="284">
        <f t="shared" si="90"/>
        <v>0</v>
      </c>
      <c r="U92" s="285">
        <f t="shared" si="91"/>
        <v>1</v>
      </c>
      <c r="V92" s="286" t="str">
        <f>[1]BDD!A82</f>
        <v>1002. 932</v>
      </c>
      <c r="W92" s="287" t="str">
        <f>[1]BDD!B82</f>
        <v>Courgette BIO (1ère catégorie)</v>
      </c>
      <c r="X92" s="288" t="str">
        <f>IF([1]BDD!F82=0, "", [1]BDD!F82)</f>
        <v/>
      </c>
      <c r="Y92" s="214">
        <f>ROUND([1]BDD!G82+FDP_CMD_KG, 2)</f>
        <v>4.49</v>
      </c>
      <c r="Z92" s="214">
        <f>ROUND([1]BDD!G82+FDP_FACT_KG, 2)</f>
        <v>4.49</v>
      </c>
      <c r="AA92" s="215" t="str">
        <f>[1]BDD!H82</f>
        <v>kg</v>
      </c>
      <c r="AB92" s="225">
        <f>IF(NOT(ISBLANK([1]BDD!I82)), ROUND(SUM(([1]BDD!G82*reduc1),FDP_CMD_KG), 2), "")</f>
        <v>4.13</v>
      </c>
      <c r="AC92" s="225">
        <f>IF(NOT(ISBLANK([1]BDD!J82)), ROUND(SUM(([1]BDD!G82*reduc2),FDP_CMD_KG), 2), "")</f>
        <v>3.77</v>
      </c>
      <c r="AD92" s="225" t="str">
        <f>IF(NOT(ISBLANK([1]BDD!K82)), ROUND(SUM(([1]BDD!G82*reduc3),FDP_CMD_KG), 2), "")</f>
        <v/>
      </c>
      <c r="AE92" s="225">
        <f>IF(NOT(ISBLANK([1]BDD!I82)), ROUND(SUM(([1]BDD!G82*reduc1),FDP_FACT_KG), 2), "")</f>
        <v>4.12</v>
      </c>
      <c r="AF92" s="225">
        <f>IF(NOT(ISBLANK([1]BDD!J82)), ROUND(SUM(([1]BDD!G82*reduc2),FDP_FACT_KG), 2), "")</f>
        <v>3.76</v>
      </c>
      <c r="AG92" s="225" t="str">
        <f>IF(NOT(ISBLANK([1]BDD!K82)), ROUND(SUM(([1]BDD!G82*reduc3),FDP_FACT_KG), 2), "")</f>
        <v/>
      </c>
      <c r="AH92" s="289" t="str">
        <f>[1]BDD!C82</f>
        <v>Malaga</v>
      </c>
      <c r="AI92" s="290">
        <f t="shared" si="92"/>
        <v>5</v>
      </c>
      <c r="AJ92" s="216">
        <f t="shared" si="93"/>
        <v>3.77</v>
      </c>
      <c r="AK92" s="291">
        <f t="shared" si="94"/>
        <v>18.850000000000001</v>
      </c>
      <c r="AL92" s="429"/>
      <c r="AM92" s="292">
        <v>5</v>
      </c>
      <c r="AN92" s="216">
        <f t="shared" si="95"/>
        <v>4.49</v>
      </c>
      <c r="AO92" s="293">
        <f t="shared" si="96"/>
        <v>22.450000000000003</v>
      </c>
      <c r="AP92" s="294"/>
      <c r="AQ92" s="294"/>
      <c r="AR92" s="429"/>
      <c r="AS92" s="295">
        <f t="shared" si="97"/>
        <v>5</v>
      </c>
      <c r="AT92" s="216">
        <f t="shared" si="98"/>
        <v>4.49</v>
      </c>
      <c r="AU92" s="291">
        <f t="shared" si="70"/>
        <v>22.450000000000003</v>
      </c>
      <c r="AV92" s="296">
        <f>[1]COMMANDE!O90</f>
        <v>3</v>
      </c>
      <c r="AW92" s="297">
        <f t="shared" si="99"/>
        <v>3</v>
      </c>
      <c r="AX92" s="298">
        <f t="shared" si="100"/>
        <v>13.47</v>
      </c>
      <c r="AY92" s="299">
        <f>[1]COMMANDE!Q90</f>
        <v>0</v>
      </c>
      <c r="AZ92" s="297" t="str">
        <f t="shared" si="101"/>
        <v>0</v>
      </c>
      <c r="BA92" s="300">
        <f t="shared" si="102"/>
        <v>0</v>
      </c>
      <c r="BB92" s="301">
        <f>[1]COMMANDE!S90</f>
        <v>1</v>
      </c>
      <c r="BC92" s="297">
        <f t="shared" si="103"/>
        <v>1</v>
      </c>
      <c r="BD92" s="298">
        <f t="shared" si="104"/>
        <v>4.49</v>
      </c>
      <c r="BE92" s="299">
        <f>[1]COMMANDE!U90</f>
        <v>1</v>
      </c>
      <c r="BF92" s="297">
        <f t="shared" si="105"/>
        <v>1</v>
      </c>
      <c r="BG92" s="300">
        <f t="shared" si="106"/>
        <v>4.49</v>
      </c>
      <c r="BH92" s="301">
        <f>[1]COMMANDE!W90</f>
        <v>0</v>
      </c>
      <c r="BI92" s="297" t="str">
        <f t="shared" si="107"/>
        <v>0</v>
      </c>
      <c r="BJ92" s="298">
        <f t="shared" si="108"/>
        <v>0</v>
      </c>
      <c r="BK92" s="299">
        <f>[1]COMMANDE!Y90</f>
        <v>0</v>
      </c>
      <c r="BL92" s="297" t="str">
        <f t="shared" si="109"/>
        <v>0</v>
      </c>
      <c r="BM92" s="300">
        <f t="shared" si="110"/>
        <v>0</v>
      </c>
      <c r="BN92" s="301">
        <f>[1]COMMANDE!AA90</f>
        <v>0</v>
      </c>
      <c r="BO92" s="297" t="str">
        <f t="shared" si="111"/>
        <v>0</v>
      </c>
      <c r="BP92" s="298">
        <f t="shared" si="112"/>
        <v>0</v>
      </c>
      <c r="BQ92" s="299">
        <f>[1]COMMANDE!AC90</f>
        <v>0</v>
      </c>
      <c r="BR92" s="297" t="str">
        <f t="shared" si="113"/>
        <v>0</v>
      </c>
      <c r="BS92" s="300">
        <f t="shared" si="114"/>
        <v>0</v>
      </c>
      <c r="BT92" s="301">
        <f>[1]COMMANDE!AE90</f>
        <v>0</v>
      </c>
      <c r="BU92" s="297" t="str">
        <f t="shared" si="115"/>
        <v>0</v>
      </c>
      <c r="BV92" s="298">
        <f t="shared" si="116"/>
        <v>0</v>
      </c>
      <c r="BW92" s="299">
        <f>[1]COMMANDE!AG90</f>
        <v>0</v>
      </c>
      <c r="BX92" s="297" t="str">
        <f t="shared" si="117"/>
        <v>0</v>
      </c>
      <c r="BY92" s="300">
        <f t="shared" si="118"/>
        <v>0</v>
      </c>
      <c r="BZ92" s="301">
        <f>[1]COMMANDE!AI90</f>
        <v>0</v>
      </c>
      <c r="CA92" s="297" t="str">
        <f t="shared" si="119"/>
        <v>0</v>
      </c>
      <c r="CB92" s="298">
        <f t="shared" si="120"/>
        <v>0</v>
      </c>
      <c r="CC92" s="299">
        <f>[1]COMMANDE!AK90</f>
        <v>0</v>
      </c>
      <c r="CD92" s="297" t="str">
        <f t="shared" si="121"/>
        <v>0</v>
      </c>
      <c r="CE92" s="300">
        <f t="shared" si="122"/>
        <v>0</v>
      </c>
      <c r="CF92" s="301">
        <f>[1]COMMANDE!AM90</f>
        <v>0</v>
      </c>
      <c r="CG92" s="297" t="str">
        <f t="shared" si="123"/>
        <v>0</v>
      </c>
      <c r="CH92" s="298">
        <f t="shared" si="124"/>
        <v>0</v>
      </c>
      <c r="CI92" s="299">
        <f>[1]COMMANDE!AO90</f>
        <v>0</v>
      </c>
      <c r="CJ92" s="297" t="str">
        <f t="shared" si="125"/>
        <v>0</v>
      </c>
      <c r="CK92" s="300">
        <f t="shared" si="126"/>
        <v>0</v>
      </c>
      <c r="CL92" s="301">
        <f>[1]COMMANDE!AQ90</f>
        <v>0</v>
      </c>
      <c r="CM92" s="297" t="str">
        <f t="shared" si="127"/>
        <v>0</v>
      </c>
      <c r="CN92" s="298">
        <f t="shared" si="128"/>
        <v>0</v>
      </c>
      <c r="CO92" s="299">
        <f>[1]COMMANDE!AS90</f>
        <v>0</v>
      </c>
      <c r="CP92" s="297" t="str">
        <f t="shared" si="129"/>
        <v>0</v>
      </c>
      <c r="CQ92" s="300">
        <f t="shared" si="130"/>
        <v>0</v>
      </c>
      <c r="CR92" s="301">
        <f>[1]COMMANDE!AU90</f>
        <v>0</v>
      </c>
      <c r="CS92" s="297" t="str">
        <f t="shared" si="131"/>
        <v>0</v>
      </c>
      <c r="CT92" s="298">
        <f t="shared" si="132"/>
        <v>0</v>
      </c>
      <c r="CU92" s="299">
        <f>[1]COMMANDE!AW90</f>
        <v>0</v>
      </c>
      <c r="CV92" s="297" t="str">
        <f t="shared" si="133"/>
        <v>0</v>
      </c>
      <c r="CW92" s="300">
        <f t="shared" si="134"/>
        <v>0</v>
      </c>
      <c r="CX92" s="301">
        <f>[1]COMMANDE!AY90</f>
        <v>0</v>
      </c>
      <c r="CY92" s="297" t="str">
        <f t="shared" si="135"/>
        <v>0</v>
      </c>
      <c r="CZ92" s="298">
        <f t="shared" si="136"/>
        <v>0</v>
      </c>
      <c r="DA92" s="299">
        <f>[1]COMMANDE!BA90</f>
        <v>0</v>
      </c>
      <c r="DB92" s="297" t="str">
        <f t="shared" si="137"/>
        <v>0</v>
      </c>
      <c r="DC92" s="302">
        <f t="shared" si="138"/>
        <v>0</v>
      </c>
      <c r="DD92" s="303"/>
      <c r="DE92" s="304"/>
    </row>
    <row r="93" spans="1:109" ht="39.950000000000003" customHeight="1" x14ac:dyDescent="0.25">
      <c r="A93" s="284">
        <f t="shared" si="71"/>
        <v>0</v>
      </c>
      <c r="B93" s="284">
        <f t="shared" si="72"/>
        <v>0</v>
      </c>
      <c r="C93" s="284">
        <f t="shared" si="73"/>
        <v>0</v>
      </c>
      <c r="D93" s="284">
        <f t="shared" si="74"/>
        <v>0</v>
      </c>
      <c r="E93" s="284">
        <f t="shared" si="75"/>
        <v>0</v>
      </c>
      <c r="F93" s="284">
        <f t="shared" si="76"/>
        <v>0</v>
      </c>
      <c r="G93" s="284">
        <f t="shared" si="77"/>
        <v>0</v>
      </c>
      <c r="H93" s="284">
        <f t="shared" si="78"/>
        <v>0</v>
      </c>
      <c r="I93" s="284">
        <f t="shared" si="79"/>
        <v>0</v>
      </c>
      <c r="J93" s="284">
        <f t="shared" si="80"/>
        <v>0</v>
      </c>
      <c r="K93" s="284">
        <f t="shared" si="81"/>
        <v>0</v>
      </c>
      <c r="L93" s="284">
        <f t="shared" si="82"/>
        <v>0</v>
      </c>
      <c r="M93" s="284">
        <f t="shared" si="83"/>
        <v>0</v>
      </c>
      <c r="N93" s="284">
        <f t="shared" si="84"/>
        <v>0</v>
      </c>
      <c r="O93" s="284">
        <f t="shared" si="85"/>
        <v>0</v>
      </c>
      <c r="P93" s="284">
        <f t="shared" si="86"/>
        <v>0</v>
      </c>
      <c r="Q93" s="284">
        <f t="shared" si="87"/>
        <v>0</v>
      </c>
      <c r="R93" s="284">
        <f t="shared" si="88"/>
        <v>0</v>
      </c>
      <c r="S93" s="284">
        <f t="shared" si="89"/>
        <v>0</v>
      </c>
      <c r="T93" s="284">
        <f t="shared" si="90"/>
        <v>0</v>
      </c>
      <c r="U93" s="285">
        <f t="shared" si="91"/>
        <v>0</v>
      </c>
      <c r="V93" s="286" t="str">
        <f>[1]BDD!A83</f>
        <v>1002.133</v>
      </c>
      <c r="W93" s="287" t="str">
        <f>[1]BDD!B83</f>
        <v>Courgette BIO (2nd catégorie)</v>
      </c>
      <c r="X93" s="288" t="str">
        <f>IF([1]BDD!F83=0, "", [1]BDD!F83)</f>
        <v/>
      </c>
      <c r="Y93" s="214">
        <f>ROUND([1]BDD!G83+FDP_CMD_KG, 2)</f>
        <v>2.21</v>
      </c>
      <c r="Z93" s="214">
        <f>ROUND([1]BDD!G83+FDP_FACT_KG, 2)</f>
        <v>2.21</v>
      </c>
      <c r="AA93" s="215" t="str">
        <f>[1]BDD!H83</f>
        <v>kg</v>
      </c>
      <c r="AB93" s="225" t="str">
        <f>IF(NOT(ISBLANK([1]BDD!I83)), ROUND(SUM(([1]BDD!G83*reduc1),FDP_CMD_KG), 2), "")</f>
        <v/>
      </c>
      <c r="AC93" s="225" t="str">
        <f>IF(NOT(ISBLANK([1]BDD!J83)), ROUND(SUM(([1]BDD!G83*reduc2),FDP_CMD_KG), 2), "")</f>
        <v/>
      </c>
      <c r="AD93" s="225" t="str">
        <f>IF(NOT(ISBLANK([1]BDD!K83)), ROUND(SUM(([1]BDD!G83*reduc3),FDP_CMD_KG), 2), "")</f>
        <v/>
      </c>
      <c r="AE93" s="225" t="str">
        <f>IF(NOT(ISBLANK([1]BDD!I83)), ROUND(SUM(([1]BDD!G83*reduc1),FDP_FACT_KG), 2), "")</f>
        <v/>
      </c>
      <c r="AF93" s="225" t="str">
        <f>IF(NOT(ISBLANK([1]BDD!J83)), ROUND(SUM(([1]BDD!G83*reduc2),FDP_FACT_KG), 2), "")</f>
        <v/>
      </c>
      <c r="AG93" s="225" t="str">
        <f>IF(NOT(ISBLANK([1]BDD!K83)), ROUND(SUM(([1]BDD!G83*reduc3),FDP_FACT_KG), 2), "")</f>
        <v/>
      </c>
      <c r="AH93" s="289" t="str">
        <f>[1]BDD!C83</f>
        <v>Malaga</v>
      </c>
      <c r="AI93" s="290">
        <f t="shared" si="92"/>
        <v>0</v>
      </c>
      <c r="AJ93" s="216">
        <f t="shared" si="93"/>
        <v>2.21</v>
      </c>
      <c r="AK93" s="291">
        <f t="shared" si="94"/>
        <v>0</v>
      </c>
      <c r="AL93" s="429"/>
      <c r="AM93" s="292"/>
      <c r="AN93" s="216">
        <f t="shared" si="95"/>
        <v>2.21</v>
      </c>
      <c r="AO93" s="293">
        <f t="shared" si="96"/>
        <v>0</v>
      </c>
      <c r="AP93" s="294"/>
      <c r="AQ93" s="294"/>
      <c r="AR93" s="429"/>
      <c r="AS93" s="295">
        <f t="shared" si="97"/>
        <v>0</v>
      </c>
      <c r="AT93" s="216">
        <f t="shared" si="98"/>
        <v>2.21</v>
      </c>
      <c r="AU93" s="291">
        <f t="shared" si="70"/>
        <v>0</v>
      </c>
      <c r="AV93" s="296">
        <f>[1]COMMANDE!O91</f>
        <v>0</v>
      </c>
      <c r="AW93" s="297" t="str">
        <f t="shared" si="99"/>
        <v>0</v>
      </c>
      <c r="AX93" s="298">
        <f t="shared" si="100"/>
        <v>0</v>
      </c>
      <c r="AY93" s="299">
        <f>[1]COMMANDE!Q91</f>
        <v>0</v>
      </c>
      <c r="AZ93" s="297" t="str">
        <f t="shared" si="101"/>
        <v>0</v>
      </c>
      <c r="BA93" s="300">
        <f t="shared" si="102"/>
        <v>0</v>
      </c>
      <c r="BB93" s="301">
        <f>[1]COMMANDE!S91</f>
        <v>0</v>
      </c>
      <c r="BC93" s="297" t="str">
        <f t="shared" si="103"/>
        <v>0</v>
      </c>
      <c r="BD93" s="298">
        <f t="shared" si="104"/>
        <v>0</v>
      </c>
      <c r="BE93" s="299">
        <f>[1]COMMANDE!U91</f>
        <v>0</v>
      </c>
      <c r="BF93" s="297" t="str">
        <f t="shared" si="105"/>
        <v>0</v>
      </c>
      <c r="BG93" s="300">
        <f t="shared" si="106"/>
        <v>0</v>
      </c>
      <c r="BH93" s="301">
        <f>[1]COMMANDE!W91</f>
        <v>0</v>
      </c>
      <c r="BI93" s="297" t="str">
        <f t="shared" si="107"/>
        <v>0</v>
      </c>
      <c r="BJ93" s="298">
        <f t="shared" si="108"/>
        <v>0</v>
      </c>
      <c r="BK93" s="299">
        <f>[1]COMMANDE!Y91</f>
        <v>0</v>
      </c>
      <c r="BL93" s="297" t="str">
        <f t="shared" si="109"/>
        <v>0</v>
      </c>
      <c r="BM93" s="300">
        <f t="shared" si="110"/>
        <v>0</v>
      </c>
      <c r="BN93" s="301">
        <f>[1]COMMANDE!AA91</f>
        <v>0</v>
      </c>
      <c r="BO93" s="297" t="str">
        <f t="shared" si="111"/>
        <v>0</v>
      </c>
      <c r="BP93" s="298">
        <f t="shared" si="112"/>
        <v>0</v>
      </c>
      <c r="BQ93" s="299">
        <f>[1]COMMANDE!AC91</f>
        <v>0</v>
      </c>
      <c r="BR93" s="297" t="str">
        <f t="shared" si="113"/>
        <v>0</v>
      </c>
      <c r="BS93" s="300">
        <f t="shared" si="114"/>
        <v>0</v>
      </c>
      <c r="BT93" s="301">
        <f>[1]COMMANDE!AE91</f>
        <v>0</v>
      </c>
      <c r="BU93" s="297" t="str">
        <f t="shared" si="115"/>
        <v>0</v>
      </c>
      <c r="BV93" s="298">
        <f t="shared" si="116"/>
        <v>0</v>
      </c>
      <c r="BW93" s="299">
        <f>[1]COMMANDE!AG91</f>
        <v>0</v>
      </c>
      <c r="BX93" s="297" t="str">
        <f t="shared" si="117"/>
        <v>0</v>
      </c>
      <c r="BY93" s="300">
        <f t="shared" si="118"/>
        <v>0</v>
      </c>
      <c r="BZ93" s="301">
        <f>[1]COMMANDE!AI91</f>
        <v>0</v>
      </c>
      <c r="CA93" s="297" t="str">
        <f t="shared" si="119"/>
        <v>0</v>
      </c>
      <c r="CB93" s="298">
        <f t="shared" si="120"/>
        <v>0</v>
      </c>
      <c r="CC93" s="299">
        <f>[1]COMMANDE!AK91</f>
        <v>0</v>
      </c>
      <c r="CD93" s="297" t="str">
        <f t="shared" si="121"/>
        <v>0</v>
      </c>
      <c r="CE93" s="300">
        <f t="shared" si="122"/>
        <v>0</v>
      </c>
      <c r="CF93" s="301">
        <f>[1]COMMANDE!AM91</f>
        <v>0</v>
      </c>
      <c r="CG93" s="297" t="str">
        <f t="shared" si="123"/>
        <v>0</v>
      </c>
      <c r="CH93" s="298">
        <f t="shared" si="124"/>
        <v>0</v>
      </c>
      <c r="CI93" s="299">
        <f>[1]COMMANDE!AO91</f>
        <v>0</v>
      </c>
      <c r="CJ93" s="297" t="str">
        <f t="shared" si="125"/>
        <v>0</v>
      </c>
      <c r="CK93" s="300">
        <f t="shared" si="126"/>
        <v>0</v>
      </c>
      <c r="CL93" s="301">
        <f>[1]COMMANDE!AQ91</f>
        <v>0</v>
      </c>
      <c r="CM93" s="297" t="str">
        <f t="shared" si="127"/>
        <v>0</v>
      </c>
      <c r="CN93" s="298">
        <f t="shared" si="128"/>
        <v>0</v>
      </c>
      <c r="CO93" s="299">
        <f>[1]COMMANDE!AS91</f>
        <v>0</v>
      </c>
      <c r="CP93" s="297" t="str">
        <f t="shared" si="129"/>
        <v>0</v>
      </c>
      <c r="CQ93" s="300">
        <f t="shared" si="130"/>
        <v>0</v>
      </c>
      <c r="CR93" s="301">
        <f>[1]COMMANDE!AU91</f>
        <v>0</v>
      </c>
      <c r="CS93" s="297" t="str">
        <f t="shared" si="131"/>
        <v>0</v>
      </c>
      <c r="CT93" s="298">
        <f t="shared" si="132"/>
        <v>0</v>
      </c>
      <c r="CU93" s="299">
        <f>[1]COMMANDE!AW91</f>
        <v>0</v>
      </c>
      <c r="CV93" s="297" t="str">
        <f t="shared" si="133"/>
        <v>0</v>
      </c>
      <c r="CW93" s="300">
        <f t="shared" si="134"/>
        <v>0</v>
      </c>
      <c r="CX93" s="301">
        <f>[1]COMMANDE!AY91</f>
        <v>0</v>
      </c>
      <c r="CY93" s="297" t="str">
        <f t="shared" si="135"/>
        <v>0</v>
      </c>
      <c r="CZ93" s="298">
        <f t="shared" si="136"/>
        <v>0</v>
      </c>
      <c r="DA93" s="299">
        <f>[1]COMMANDE!BA91</f>
        <v>0</v>
      </c>
      <c r="DB93" s="297" t="str">
        <f t="shared" si="137"/>
        <v>0</v>
      </c>
      <c r="DC93" s="302">
        <f t="shared" si="138"/>
        <v>0</v>
      </c>
      <c r="DD93" s="303"/>
      <c r="DE93" s="304"/>
    </row>
    <row r="94" spans="1:109" ht="39.950000000000003" customHeight="1" x14ac:dyDescent="0.25">
      <c r="A94" s="284">
        <f t="shared" si="71"/>
        <v>0</v>
      </c>
      <c r="B94" s="284">
        <f t="shared" si="72"/>
        <v>0</v>
      </c>
      <c r="C94" s="284">
        <f t="shared" si="73"/>
        <v>0</v>
      </c>
      <c r="D94" s="284">
        <f t="shared" si="74"/>
        <v>0</v>
      </c>
      <c r="E94" s="284">
        <f t="shared" si="75"/>
        <v>0</v>
      </c>
      <c r="F94" s="284">
        <f t="shared" si="76"/>
        <v>0</v>
      </c>
      <c r="G94" s="284">
        <f t="shared" si="77"/>
        <v>0</v>
      </c>
      <c r="H94" s="284">
        <f t="shared" si="78"/>
        <v>0</v>
      </c>
      <c r="I94" s="284">
        <f t="shared" si="79"/>
        <v>0</v>
      </c>
      <c r="J94" s="284">
        <f t="shared" si="80"/>
        <v>0</v>
      </c>
      <c r="K94" s="284">
        <f t="shared" si="81"/>
        <v>0</v>
      </c>
      <c r="L94" s="284">
        <f t="shared" si="82"/>
        <v>0</v>
      </c>
      <c r="M94" s="284">
        <f t="shared" si="83"/>
        <v>0</v>
      </c>
      <c r="N94" s="284">
        <f t="shared" si="84"/>
        <v>0</v>
      </c>
      <c r="O94" s="284">
        <f t="shared" si="85"/>
        <v>0</v>
      </c>
      <c r="P94" s="284">
        <f t="shared" si="86"/>
        <v>0</v>
      </c>
      <c r="Q94" s="284">
        <f t="shared" si="87"/>
        <v>0</v>
      </c>
      <c r="R94" s="284">
        <f t="shared" si="88"/>
        <v>0</v>
      </c>
      <c r="S94" s="284">
        <f t="shared" si="89"/>
        <v>0</v>
      </c>
      <c r="T94" s="284">
        <f t="shared" si="90"/>
        <v>0</v>
      </c>
      <c r="U94" s="285">
        <f t="shared" si="91"/>
        <v>0</v>
      </c>
      <c r="V94" s="286" t="str">
        <f>[1]BDD!A84</f>
        <v>3894</v>
      </c>
      <c r="W94" s="287" t="str">
        <f>[1]BDD!B84</f>
        <v>Courgette déshydratée
    - (production Rufino - env. 100g)</v>
      </c>
      <c r="X94" s="288" t="str">
        <f>IF([1]BDD!F84=0, "", [1]BDD!F84)</f>
        <v/>
      </c>
      <c r="Y94" s="214">
        <f>ROUND([1]BDD!G84+FDP_CMD_KG, 2)</f>
        <v>3.46</v>
      </c>
      <c r="Z94" s="214">
        <f>ROUND([1]BDD!G84+FDP_FACT_KG, 2)</f>
        <v>3.46</v>
      </c>
      <c r="AA94" s="215" t="str">
        <f>[1]BDD!H84</f>
        <v>Pièce</v>
      </c>
      <c r="AB94" s="225" t="str">
        <f>IF(NOT(ISBLANK([1]BDD!I84)), ROUND(SUM(([1]BDD!G84*reduc1),FDP_CMD_KG), 2), "")</f>
        <v/>
      </c>
      <c r="AC94" s="225" t="str">
        <f>IF(NOT(ISBLANK([1]BDD!J84)), ROUND(SUM(([1]BDD!G84*reduc2),FDP_CMD_KG), 2), "")</f>
        <v/>
      </c>
      <c r="AD94" s="225" t="str">
        <f>IF(NOT(ISBLANK([1]BDD!K84)), ROUND(SUM(([1]BDD!G84*reduc3),FDP_CMD_KG), 2), "")</f>
        <v/>
      </c>
      <c r="AE94" s="225" t="str">
        <f>IF(NOT(ISBLANK([1]BDD!I84)), ROUND(SUM(([1]BDD!G84*reduc1),FDP_FACT_KG), 2), "")</f>
        <v/>
      </c>
      <c r="AF94" s="225" t="str">
        <f>IF(NOT(ISBLANK([1]BDD!J84)), ROUND(SUM(([1]BDD!G84*reduc2),FDP_FACT_KG), 2), "")</f>
        <v/>
      </c>
      <c r="AG94" s="225" t="str">
        <f>IF(NOT(ISBLANK([1]BDD!K84)), ROUND(SUM(([1]BDD!G84*reduc3),FDP_FACT_KG), 2), "")</f>
        <v/>
      </c>
      <c r="AH94" s="289" t="str">
        <f>[1]BDD!C84</f>
        <v>Grenade</v>
      </c>
      <c r="AI94" s="290">
        <f t="shared" si="92"/>
        <v>0</v>
      </c>
      <c r="AJ94" s="216">
        <f t="shared" si="93"/>
        <v>3.46</v>
      </c>
      <c r="AK94" s="291">
        <f t="shared" si="94"/>
        <v>0</v>
      </c>
      <c r="AL94" s="429"/>
      <c r="AM94" s="292"/>
      <c r="AN94" s="216">
        <f t="shared" si="95"/>
        <v>3.46</v>
      </c>
      <c r="AO94" s="293">
        <f t="shared" si="96"/>
        <v>0</v>
      </c>
      <c r="AP94" s="294"/>
      <c r="AQ94" s="294"/>
      <c r="AR94" s="429"/>
      <c r="AS94" s="295">
        <f t="shared" si="97"/>
        <v>0</v>
      </c>
      <c r="AT94" s="216">
        <f t="shared" si="98"/>
        <v>3.46</v>
      </c>
      <c r="AU94" s="291">
        <f t="shared" si="70"/>
        <v>0</v>
      </c>
      <c r="AV94" s="296">
        <f>[1]COMMANDE!O92</f>
        <v>0</v>
      </c>
      <c r="AW94" s="297" t="str">
        <f t="shared" si="99"/>
        <v>0</v>
      </c>
      <c r="AX94" s="298">
        <f t="shared" si="100"/>
        <v>0</v>
      </c>
      <c r="AY94" s="299">
        <f>[1]COMMANDE!Q92</f>
        <v>0</v>
      </c>
      <c r="AZ94" s="297" t="str">
        <f t="shared" si="101"/>
        <v>0</v>
      </c>
      <c r="BA94" s="300">
        <f t="shared" si="102"/>
        <v>0</v>
      </c>
      <c r="BB94" s="301">
        <f>[1]COMMANDE!S92</f>
        <v>0</v>
      </c>
      <c r="BC94" s="297" t="str">
        <f t="shared" si="103"/>
        <v>0</v>
      </c>
      <c r="BD94" s="298">
        <f t="shared" si="104"/>
        <v>0</v>
      </c>
      <c r="BE94" s="299">
        <f>[1]COMMANDE!U92</f>
        <v>0</v>
      </c>
      <c r="BF94" s="297" t="str">
        <f t="shared" si="105"/>
        <v>0</v>
      </c>
      <c r="BG94" s="300">
        <f t="shared" si="106"/>
        <v>0</v>
      </c>
      <c r="BH94" s="301">
        <f>[1]COMMANDE!W92</f>
        <v>0</v>
      </c>
      <c r="BI94" s="297" t="str">
        <f t="shared" si="107"/>
        <v>0</v>
      </c>
      <c r="BJ94" s="298">
        <f t="shared" si="108"/>
        <v>0</v>
      </c>
      <c r="BK94" s="299">
        <f>[1]COMMANDE!Y92</f>
        <v>0</v>
      </c>
      <c r="BL94" s="297" t="str">
        <f t="shared" si="109"/>
        <v>0</v>
      </c>
      <c r="BM94" s="300">
        <f t="shared" si="110"/>
        <v>0</v>
      </c>
      <c r="BN94" s="301">
        <f>[1]COMMANDE!AA92</f>
        <v>0</v>
      </c>
      <c r="BO94" s="297" t="str">
        <f t="shared" si="111"/>
        <v>0</v>
      </c>
      <c r="BP94" s="298">
        <f t="shared" si="112"/>
        <v>0</v>
      </c>
      <c r="BQ94" s="299">
        <f>[1]COMMANDE!AC92</f>
        <v>0</v>
      </c>
      <c r="BR94" s="297" t="str">
        <f t="shared" si="113"/>
        <v>0</v>
      </c>
      <c r="BS94" s="300">
        <f t="shared" si="114"/>
        <v>0</v>
      </c>
      <c r="BT94" s="301">
        <f>[1]COMMANDE!AE92</f>
        <v>0</v>
      </c>
      <c r="BU94" s="297" t="str">
        <f t="shared" si="115"/>
        <v>0</v>
      </c>
      <c r="BV94" s="298">
        <f t="shared" si="116"/>
        <v>0</v>
      </c>
      <c r="BW94" s="299">
        <f>[1]COMMANDE!AG92</f>
        <v>0</v>
      </c>
      <c r="BX94" s="297" t="str">
        <f t="shared" si="117"/>
        <v>0</v>
      </c>
      <c r="BY94" s="300">
        <f t="shared" si="118"/>
        <v>0</v>
      </c>
      <c r="BZ94" s="301">
        <f>[1]COMMANDE!AI92</f>
        <v>0</v>
      </c>
      <c r="CA94" s="297" t="str">
        <f t="shared" si="119"/>
        <v>0</v>
      </c>
      <c r="CB94" s="298">
        <f t="shared" si="120"/>
        <v>0</v>
      </c>
      <c r="CC94" s="299">
        <f>[1]COMMANDE!AK92</f>
        <v>0</v>
      </c>
      <c r="CD94" s="297" t="str">
        <f t="shared" si="121"/>
        <v>0</v>
      </c>
      <c r="CE94" s="300">
        <f t="shared" si="122"/>
        <v>0</v>
      </c>
      <c r="CF94" s="301">
        <f>[1]COMMANDE!AM92</f>
        <v>0</v>
      </c>
      <c r="CG94" s="297" t="str">
        <f t="shared" si="123"/>
        <v>0</v>
      </c>
      <c r="CH94" s="298">
        <f t="shared" si="124"/>
        <v>0</v>
      </c>
      <c r="CI94" s="299">
        <f>[1]COMMANDE!AO92</f>
        <v>0</v>
      </c>
      <c r="CJ94" s="297" t="str">
        <f t="shared" si="125"/>
        <v>0</v>
      </c>
      <c r="CK94" s="300">
        <f t="shared" si="126"/>
        <v>0</v>
      </c>
      <c r="CL94" s="301">
        <f>[1]COMMANDE!AQ92</f>
        <v>0</v>
      </c>
      <c r="CM94" s="297" t="str">
        <f t="shared" si="127"/>
        <v>0</v>
      </c>
      <c r="CN94" s="298">
        <f t="shared" si="128"/>
        <v>0</v>
      </c>
      <c r="CO94" s="299">
        <f>[1]COMMANDE!AS92</f>
        <v>0</v>
      </c>
      <c r="CP94" s="297" t="str">
        <f t="shared" si="129"/>
        <v>0</v>
      </c>
      <c r="CQ94" s="300">
        <f t="shared" si="130"/>
        <v>0</v>
      </c>
      <c r="CR94" s="301">
        <f>[1]COMMANDE!AU92</f>
        <v>0</v>
      </c>
      <c r="CS94" s="297" t="str">
        <f t="shared" si="131"/>
        <v>0</v>
      </c>
      <c r="CT94" s="298">
        <f t="shared" si="132"/>
        <v>0</v>
      </c>
      <c r="CU94" s="299">
        <f>[1]COMMANDE!AW92</f>
        <v>0</v>
      </c>
      <c r="CV94" s="297" t="str">
        <f t="shared" si="133"/>
        <v>0</v>
      </c>
      <c r="CW94" s="300">
        <f t="shared" si="134"/>
        <v>0</v>
      </c>
      <c r="CX94" s="301">
        <f>[1]COMMANDE!AY92</f>
        <v>0</v>
      </c>
      <c r="CY94" s="297" t="str">
        <f t="shared" si="135"/>
        <v>0</v>
      </c>
      <c r="CZ94" s="298">
        <f t="shared" si="136"/>
        <v>0</v>
      </c>
      <c r="DA94" s="299">
        <f>[1]COMMANDE!BA92</f>
        <v>0</v>
      </c>
      <c r="DB94" s="297" t="str">
        <f t="shared" si="137"/>
        <v>0</v>
      </c>
      <c r="DC94" s="302">
        <f t="shared" si="138"/>
        <v>0</v>
      </c>
      <c r="DD94" s="303"/>
      <c r="DE94" s="304"/>
    </row>
    <row r="95" spans="1:109" ht="39.950000000000003" customHeight="1" x14ac:dyDescent="0.25">
      <c r="A95" s="284">
        <f t="shared" si="71"/>
        <v>0</v>
      </c>
      <c r="B95" s="284">
        <f t="shared" si="72"/>
        <v>0</v>
      </c>
      <c r="C95" s="284">
        <f t="shared" si="73"/>
        <v>0</v>
      </c>
      <c r="D95" s="284">
        <f t="shared" si="74"/>
        <v>0</v>
      </c>
      <c r="E95" s="284">
        <f t="shared" si="75"/>
        <v>0</v>
      </c>
      <c r="F95" s="284">
        <f t="shared" si="76"/>
        <v>0</v>
      </c>
      <c r="G95" s="284">
        <f t="shared" si="77"/>
        <v>0</v>
      </c>
      <c r="H95" s="284">
        <f t="shared" si="78"/>
        <v>0</v>
      </c>
      <c r="I95" s="284">
        <f t="shared" si="79"/>
        <v>0</v>
      </c>
      <c r="J95" s="284">
        <f t="shared" si="80"/>
        <v>0</v>
      </c>
      <c r="K95" s="284">
        <f t="shared" si="81"/>
        <v>0</v>
      </c>
      <c r="L95" s="284">
        <f t="shared" si="82"/>
        <v>0</v>
      </c>
      <c r="M95" s="284">
        <f t="shared" si="83"/>
        <v>0</v>
      </c>
      <c r="N95" s="284">
        <f t="shared" si="84"/>
        <v>0</v>
      </c>
      <c r="O95" s="284">
        <f t="shared" si="85"/>
        <v>0</v>
      </c>
      <c r="P95" s="284">
        <f t="shared" si="86"/>
        <v>0</v>
      </c>
      <c r="Q95" s="284">
        <f t="shared" si="87"/>
        <v>0</v>
      </c>
      <c r="R95" s="284">
        <f t="shared" si="88"/>
        <v>0</v>
      </c>
      <c r="S95" s="284">
        <f t="shared" si="89"/>
        <v>0</v>
      </c>
      <c r="T95" s="284">
        <f t="shared" si="90"/>
        <v>0</v>
      </c>
      <c r="U95" s="285">
        <f t="shared" si="91"/>
        <v>0</v>
      </c>
      <c r="V95" s="286">
        <f>[1]BDD!A85</f>
        <v>6111</v>
      </c>
      <c r="W95" s="287" t="str">
        <f>[1]BDD!B85</f>
        <v>Crackers déshydratés CRU BIO (env. 200g)
    - (tomate, tournesol, sarrasin, lin, oignons, ...)</v>
      </c>
      <c r="X95" s="288" t="str">
        <f>IF([1]BDD!F85=0, "", [1]BDD!F85)</f>
        <v/>
      </c>
      <c r="Y95" s="214">
        <f>ROUND([1]BDD!G85+FDP_CMD_KG, 2)</f>
        <v>8.25</v>
      </c>
      <c r="Z95" s="214">
        <f>ROUND([1]BDD!G85+FDP_FACT_KG, 2)</f>
        <v>8.25</v>
      </c>
      <c r="AA95" s="215" t="str">
        <f>[1]BDD!H85</f>
        <v>Pièce</v>
      </c>
      <c r="AB95" s="225" t="str">
        <f>IF(NOT(ISBLANK([1]BDD!I85)), ROUND(SUM(([1]BDD!G85*reduc1),FDP_CMD_KG), 2), "")</f>
        <v/>
      </c>
      <c r="AC95" s="225" t="str">
        <f>IF(NOT(ISBLANK([1]BDD!J85)), ROUND(SUM(([1]BDD!G85*reduc2),FDP_CMD_KG), 2), "")</f>
        <v/>
      </c>
      <c r="AD95" s="225" t="str">
        <f>IF(NOT(ISBLANK([1]BDD!K85)), ROUND(SUM(([1]BDD!G85*reduc3),FDP_CMD_KG), 2), "")</f>
        <v/>
      </c>
      <c r="AE95" s="225" t="str">
        <f>IF(NOT(ISBLANK([1]BDD!I85)), ROUND(SUM(([1]BDD!G85*reduc1),FDP_FACT_KG), 2), "")</f>
        <v/>
      </c>
      <c r="AF95" s="225" t="str">
        <f>IF(NOT(ISBLANK([1]BDD!J85)), ROUND(SUM(([1]BDD!G85*reduc2),FDP_FACT_KG), 2), "")</f>
        <v/>
      </c>
      <c r="AG95" s="225" t="str">
        <f>IF(NOT(ISBLANK([1]BDD!K85)), ROUND(SUM(([1]BDD!G85*reduc3),FDP_FACT_KG), 2), "")</f>
        <v/>
      </c>
      <c r="AH95" s="289" t="str">
        <f>[1]BDD!C85</f>
        <v>Espagne</v>
      </c>
      <c r="AI95" s="290">
        <f t="shared" si="92"/>
        <v>0</v>
      </c>
      <c r="AJ95" s="216">
        <f t="shared" si="93"/>
        <v>8.25</v>
      </c>
      <c r="AK95" s="291">
        <f t="shared" si="94"/>
        <v>0</v>
      </c>
      <c r="AL95" s="429"/>
      <c r="AM95" s="292"/>
      <c r="AN95" s="216">
        <f t="shared" si="95"/>
        <v>8.25</v>
      </c>
      <c r="AO95" s="293">
        <f t="shared" si="96"/>
        <v>0</v>
      </c>
      <c r="AP95" s="294"/>
      <c r="AQ95" s="294"/>
      <c r="AR95" s="429"/>
      <c r="AS95" s="295">
        <f t="shared" si="97"/>
        <v>0</v>
      </c>
      <c r="AT95" s="216">
        <f t="shared" si="98"/>
        <v>8.25</v>
      </c>
      <c r="AU95" s="291">
        <f t="shared" si="70"/>
        <v>0</v>
      </c>
      <c r="AV95" s="296">
        <f>[1]COMMANDE!O93</f>
        <v>0</v>
      </c>
      <c r="AW95" s="297" t="str">
        <f t="shared" si="99"/>
        <v>0</v>
      </c>
      <c r="AX95" s="298">
        <f t="shared" si="100"/>
        <v>0</v>
      </c>
      <c r="AY95" s="299">
        <f>[1]COMMANDE!Q93</f>
        <v>0</v>
      </c>
      <c r="AZ95" s="297" t="str">
        <f t="shared" si="101"/>
        <v>0</v>
      </c>
      <c r="BA95" s="300">
        <f t="shared" si="102"/>
        <v>0</v>
      </c>
      <c r="BB95" s="301">
        <f>[1]COMMANDE!S93</f>
        <v>0</v>
      </c>
      <c r="BC95" s="297" t="str">
        <f t="shared" si="103"/>
        <v>0</v>
      </c>
      <c r="BD95" s="298">
        <f t="shared" si="104"/>
        <v>0</v>
      </c>
      <c r="BE95" s="299">
        <f>[1]COMMANDE!U93</f>
        <v>0</v>
      </c>
      <c r="BF95" s="297" t="str">
        <f t="shared" si="105"/>
        <v>0</v>
      </c>
      <c r="BG95" s="300">
        <f t="shared" si="106"/>
        <v>0</v>
      </c>
      <c r="BH95" s="301">
        <f>[1]COMMANDE!W93</f>
        <v>0</v>
      </c>
      <c r="BI95" s="297" t="str">
        <f t="shared" si="107"/>
        <v>0</v>
      </c>
      <c r="BJ95" s="298">
        <f t="shared" si="108"/>
        <v>0</v>
      </c>
      <c r="BK95" s="299">
        <f>[1]COMMANDE!Y93</f>
        <v>0</v>
      </c>
      <c r="BL95" s="297" t="str">
        <f t="shared" si="109"/>
        <v>0</v>
      </c>
      <c r="BM95" s="300">
        <f t="shared" si="110"/>
        <v>0</v>
      </c>
      <c r="BN95" s="301">
        <f>[1]COMMANDE!AA93</f>
        <v>0</v>
      </c>
      <c r="BO95" s="297" t="str">
        <f t="shared" si="111"/>
        <v>0</v>
      </c>
      <c r="BP95" s="298">
        <f t="shared" si="112"/>
        <v>0</v>
      </c>
      <c r="BQ95" s="299">
        <f>[1]COMMANDE!AC93</f>
        <v>0</v>
      </c>
      <c r="BR95" s="297" t="str">
        <f t="shared" si="113"/>
        <v>0</v>
      </c>
      <c r="BS95" s="300">
        <f t="shared" si="114"/>
        <v>0</v>
      </c>
      <c r="BT95" s="301">
        <f>[1]COMMANDE!AE93</f>
        <v>0</v>
      </c>
      <c r="BU95" s="297" t="str">
        <f t="shared" si="115"/>
        <v>0</v>
      </c>
      <c r="BV95" s="298">
        <f t="shared" si="116"/>
        <v>0</v>
      </c>
      <c r="BW95" s="299">
        <f>[1]COMMANDE!AG93</f>
        <v>0</v>
      </c>
      <c r="BX95" s="297" t="str">
        <f t="shared" si="117"/>
        <v>0</v>
      </c>
      <c r="BY95" s="300">
        <f t="shared" si="118"/>
        <v>0</v>
      </c>
      <c r="BZ95" s="301">
        <f>[1]COMMANDE!AI93</f>
        <v>0</v>
      </c>
      <c r="CA95" s="297" t="str">
        <f t="shared" si="119"/>
        <v>0</v>
      </c>
      <c r="CB95" s="298">
        <f t="shared" si="120"/>
        <v>0</v>
      </c>
      <c r="CC95" s="299">
        <f>[1]COMMANDE!AK93</f>
        <v>0</v>
      </c>
      <c r="CD95" s="297" t="str">
        <f t="shared" si="121"/>
        <v>0</v>
      </c>
      <c r="CE95" s="300">
        <f t="shared" si="122"/>
        <v>0</v>
      </c>
      <c r="CF95" s="301">
        <f>[1]COMMANDE!AM93</f>
        <v>0</v>
      </c>
      <c r="CG95" s="297" t="str">
        <f t="shared" si="123"/>
        <v>0</v>
      </c>
      <c r="CH95" s="298">
        <f t="shared" si="124"/>
        <v>0</v>
      </c>
      <c r="CI95" s="299">
        <f>[1]COMMANDE!AO93</f>
        <v>0</v>
      </c>
      <c r="CJ95" s="297" t="str">
        <f t="shared" si="125"/>
        <v>0</v>
      </c>
      <c r="CK95" s="300">
        <f t="shared" si="126"/>
        <v>0</v>
      </c>
      <c r="CL95" s="301">
        <f>[1]COMMANDE!AQ93</f>
        <v>0</v>
      </c>
      <c r="CM95" s="297" t="str">
        <f t="shared" si="127"/>
        <v>0</v>
      </c>
      <c r="CN95" s="298">
        <f t="shared" si="128"/>
        <v>0</v>
      </c>
      <c r="CO95" s="299">
        <f>[1]COMMANDE!AS93</f>
        <v>0</v>
      </c>
      <c r="CP95" s="297" t="str">
        <f t="shared" si="129"/>
        <v>0</v>
      </c>
      <c r="CQ95" s="300">
        <f t="shared" si="130"/>
        <v>0</v>
      </c>
      <c r="CR95" s="301">
        <f>[1]COMMANDE!AU93</f>
        <v>0</v>
      </c>
      <c r="CS95" s="297" t="str">
        <f t="shared" si="131"/>
        <v>0</v>
      </c>
      <c r="CT95" s="298">
        <f t="shared" si="132"/>
        <v>0</v>
      </c>
      <c r="CU95" s="299">
        <f>[1]COMMANDE!AW93</f>
        <v>0</v>
      </c>
      <c r="CV95" s="297" t="str">
        <f t="shared" si="133"/>
        <v>0</v>
      </c>
      <c r="CW95" s="300">
        <f t="shared" si="134"/>
        <v>0</v>
      </c>
      <c r="CX95" s="301">
        <f>[1]COMMANDE!AY93</f>
        <v>0</v>
      </c>
      <c r="CY95" s="297" t="str">
        <f t="shared" si="135"/>
        <v>0</v>
      </c>
      <c r="CZ95" s="298">
        <f t="shared" si="136"/>
        <v>0</v>
      </c>
      <c r="DA95" s="299">
        <f>[1]COMMANDE!BA93</f>
        <v>0</v>
      </c>
      <c r="DB95" s="297" t="str">
        <f t="shared" si="137"/>
        <v>0</v>
      </c>
      <c r="DC95" s="302">
        <f t="shared" si="138"/>
        <v>0</v>
      </c>
      <c r="DD95" s="303"/>
      <c r="DE95" s="304"/>
    </row>
    <row r="96" spans="1:109" ht="39.950000000000003" customHeight="1" x14ac:dyDescent="0.25">
      <c r="A96" s="284">
        <f t="shared" si="71"/>
        <v>0</v>
      </c>
      <c r="B96" s="284">
        <f t="shared" si="72"/>
        <v>0</v>
      </c>
      <c r="C96" s="284">
        <f t="shared" si="73"/>
        <v>0</v>
      </c>
      <c r="D96" s="284">
        <f t="shared" si="74"/>
        <v>0</v>
      </c>
      <c r="E96" s="284">
        <f t="shared" si="75"/>
        <v>0</v>
      </c>
      <c r="F96" s="284">
        <f t="shared" si="76"/>
        <v>0</v>
      </c>
      <c r="G96" s="284">
        <f t="shared" si="77"/>
        <v>0</v>
      </c>
      <c r="H96" s="284">
        <f t="shared" si="78"/>
        <v>0</v>
      </c>
      <c r="I96" s="284">
        <f t="shared" si="79"/>
        <v>0</v>
      </c>
      <c r="J96" s="284">
        <f t="shared" si="80"/>
        <v>0</v>
      </c>
      <c r="K96" s="284">
        <f t="shared" si="81"/>
        <v>0</v>
      </c>
      <c r="L96" s="284">
        <f t="shared" si="82"/>
        <v>0</v>
      </c>
      <c r="M96" s="284">
        <f t="shared" si="83"/>
        <v>0</v>
      </c>
      <c r="N96" s="284">
        <f t="shared" si="84"/>
        <v>0</v>
      </c>
      <c r="O96" s="284">
        <f t="shared" si="85"/>
        <v>0</v>
      </c>
      <c r="P96" s="284">
        <f t="shared" si="86"/>
        <v>0</v>
      </c>
      <c r="Q96" s="284">
        <f t="shared" si="87"/>
        <v>0</v>
      </c>
      <c r="R96" s="284">
        <f t="shared" si="88"/>
        <v>0</v>
      </c>
      <c r="S96" s="284">
        <f t="shared" si="89"/>
        <v>0</v>
      </c>
      <c r="T96" s="284">
        <f t="shared" si="90"/>
        <v>0</v>
      </c>
      <c r="U96" s="285">
        <f t="shared" si="91"/>
        <v>0</v>
      </c>
      <c r="V96" s="286">
        <f>[1]BDD!A86</f>
        <v>1702</v>
      </c>
      <c r="W96" s="287" t="str">
        <f>[1]BDD!B86</f>
        <v>Crème de courgette BIO
    - (bocal en verre, env. 500g)</v>
      </c>
      <c r="X96" s="288" t="str">
        <f>IF([1]BDD!F86=0, "", [1]BDD!F86)</f>
        <v/>
      </c>
      <c r="Y96" s="214">
        <f>ROUND([1]BDD!G86+FDP_CMD_KG, 2)</f>
        <v>3.25</v>
      </c>
      <c r="Z96" s="214">
        <f>ROUND([1]BDD!G86+FDP_FACT_KG, 2)</f>
        <v>3.25</v>
      </c>
      <c r="AA96" s="215" t="str">
        <f>[1]BDD!H86</f>
        <v>Pièce</v>
      </c>
      <c r="AB96" s="225" t="str">
        <f>IF(NOT(ISBLANK([1]BDD!I86)), ROUND(SUM(([1]BDD!G86*reduc1),FDP_CMD_KG), 2), "")</f>
        <v/>
      </c>
      <c r="AC96" s="225" t="str">
        <f>IF(NOT(ISBLANK([1]BDD!J86)), ROUND(SUM(([1]BDD!G86*reduc2),FDP_CMD_KG), 2), "")</f>
        <v/>
      </c>
      <c r="AD96" s="225" t="str">
        <f>IF(NOT(ISBLANK([1]BDD!K86)), ROUND(SUM(([1]BDD!G86*reduc3),FDP_CMD_KG), 2), "")</f>
        <v/>
      </c>
      <c r="AE96" s="225" t="str">
        <f>IF(NOT(ISBLANK([1]BDD!I86)), ROUND(SUM(([1]BDD!G86*reduc1),FDP_FACT_KG), 2), "")</f>
        <v/>
      </c>
      <c r="AF96" s="225" t="str">
        <f>IF(NOT(ISBLANK([1]BDD!J86)), ROUND(SUM(([1]BDD!G86*reduc2),FDP_FACT_KG), 2), "")</f>
        <v/>
      </c>
      <c r="AG96" s="225" t="str">
        <f>IF(NOT(ISBLANK([1]BDD!K86)), ROUND(SUM(([1]BDD!G86*reduc3),FDP_FACT_KG), 2), "")</f>
        <v/>
      </c>
      <c r="AH96" s="289" t="str">
        <f>[1]BDD!C86</f>
        <v>National</v>
      </c>
      <c r="AI96" s="290">
        <f t="shared" si="92"/>
        <v>0</v>
      </c>
      <c r="AJ96" s="216">
        <f t="shared" si="93"/>
        <v>3.25</v>
      </c>
      <c r="AK96" s="291">
        <f t="shared" si="94"/>
        <v>0</v>
      </c>
      <c r="AL96" s="429"/>
      <c r="AM96" s="292"/>
      <c r="AN96" s="216">
        <f t="shared" si="95"/>
        <v>3.25</v>
      </c>
      <c r="AO96" s="293">
        <f t="shared" si="96"/>
        <v>0</v>
      </c>
      <c r="AP96" s="294"/>
      <c r="AQ96" s="294"/>
      <c r="AR96" s="429"/>
      <c r="AS96" s="295">
        <f t="shared" si="97"/>
        <v>0</v>
      </c>
      <c r="AT96" s="216">
        <f t="shared" si="98"/>
        <v>3.25</v>
      </c>
      <c r="AU96" s="291">
        <f t="shared" si="70"/>
        <v>0</v>
      </c>
      <c r="AV96" s="296">
        <f>[1]COMMANDE!O94</f>
        <v>0</v>
      </c>
      <c r="AW96" s="297" t="str">
        <f t="shared" si="99"/>
        <v>0</v>
      </c>
      <c r="AX96" s="298">
        <f t="shared" si="100"/>
        <v>0</v>
      </c>
      <c r="AY96" s="299">
        <f>[1]COMMANDE!Q94</f>
        <v>0</v>
      </c>
      <c r="AZ96" s="297" t="str">
        <f t="shared" si="101"/>
        <v>0</v>
      </c>
      <c r="BA96" s="300">
        <f t="shared" si="102"/>
        <v>0</v>
      </c>
      <c r="BB96" s="301">
        <f>[1]COMMANDE!S94</f>
        <v>0</v>
      </c>
      <c r="BC96" s="297" t="str">
        <f t="shared" si="103"/>
        <v>0</v>
      </c>
      <c r="BD96" s="298">
        <f t="shared" si="104"/>
        <v>0</v>
      </c>
      <c r="BE96" s="299">
        <f>[1]COMMANDE!U94</f>
        <v>0</v>
      </c>
      <c r="BF96" s="297" t="str">
        <f t="shared" si="105"/>
        <v>0</v>
      </c>
      <c r="BG96" s="300">
        <f t="shared" si="106"/>
        <v>0</v>
      </c>
      <c r="BH96" s="301">
        <f>[1]COMMANDE!W94</f>
        <v>0</v>
      </c>
      <c r="BI96" s="297" t="str">
        <f t="shared" si="107"/>
        <v>0</v>
      </c>
      <c r="BJ96" s="298">
        <f t="shared" si="108"/>
        <v>0</v>
      </c>
      <c r="BK96" s="299">
        <f>[1]COMMANDE!Y94</f>
        <v>0</v>
      </c>
      <c r="BL96" s="297" t="str">
        <f t="shared" si="109"/>
        <v>0</v>
      </c>
      <c r="BM96" s="300">
        <f t="shared" si="110"/>
        <v>0</v>
      </c>
      <c r="BN96" s="301">
        <f>[1]COMMANDE!AA94</f>
        <v>0</v>
      </c>
      <c r="BO96" s="297" t="str">
        <f t="shared" si="111"/>
        <v>0</v>
      </c>
      <c r="BP96" s="298">
        <f t="shared" si="112"/>
        <v>0</v>
      </c>
      <c r="BQ96" s="299">
        <f>[1]COMMANDE!AC94</f>
        <v>0</v>
      </c>
      <c r="BR96" s="297" t="str">
        <f t="shared" si="113"/>
        <v>0</v>
      </c>
      <c r="BS96" s="300">
        <f t="shared" si="114"/>
        <v>0</v>
      </c>
      <c r="BT96" s="301">
        <f>[1]COMMANDE!AE94</f>
        <v>0</v>
      </c>
      <c r="BU96" s="297" t="str">
        <f t="shared" si="115"/>
        <v>0</v>
      </c>
      <c r="BV96" s="298">
        <f t="shared" si="116"/>
        <v>0</v>
      </c>
      <c r="BW96" s="299">
        <f>[1]COMMANDE!AG94</f>
        <v>0</v>
      </c>
      <c r="BX96" s="297" t="str">
        <f t="shared" si="117"/>
        <v>0</v>
      </c>
      <c r="BY96" s="300">
        <f t="shared" si="118"/>
        <v>0</v>
      </c>
      <c r="BZ96" s="301">
        <f>[1]COMMANDE!AI94</f>
        <v>0</v>
      </c>
      <c r="CA96" s="297" t="str">
        <f t="shared" si="119"/>
        <v>0</v>
      </c>
      <c r="CB96" s="298">
        <f t="shared" si="120"/>
        <v>0</v>
      </c>
      <c r="CC96" s="299">
        <f>[1]COMMANDE!AK94</f>
        <v>0</v>
      </c>
      <c r="CD96" s="297" t="str">
        <f t="shared" si="121"/>
        <v>0</v>
      </c>
      <c r="CE96" s="300">
        <f t="shared" si="122"/>
        <v>0</v>
      </c>
      <c r="CF96" s="301">
        <f>[1]COMMANDE!AM94</f>
        <v>0</v>
      </c>
      <c r="CG96" s="297" t="str">
        <f t="shared" si="123"/>
        <v>0</v>
      </c>
      <c r="CH96" s="298">
        <f t="shared" si="124"/>
        <v>0</v>
      </c>
      <c r="CI96" s="299">
        <f>[1]COMMANDE!AO94</f>
        <v>0</v>
      </c>
      <c r="CJ96" s="297" t="str">
        <f t="shared" si="125"/>
        <v>0</v>
      </c>
      <c r="CK96" s="300">
        <f t="shared" si="126"/>
        <v>0</v>
      </c>
      <c r="CL96" s="301">
        <f>[1]COMMANDE!AQ94</f>
        <v>0</v>
      </c>
      <c r="CM96" s="297" t="str">
        <f t="shared" si="127"/>
        <v>0</v>
      </c>
      <c r="CN96" s="298">
        <f t="shared" si="128"/>
        <v>0</v>
      </c>
      <c r="CO96" s="299">
        <f>[1]COMMANDE!AS94</f>
        <v>0</v>
      </c>
      <c r="CP96" s="297" t="str">
        <f t="shared" si="129"/>
        <v>0</v>
      </c>
      <c r="CQ96" s="300">
        <f t="shared" si="130"/>
        <v>0</v>
      </c>
      <c r="CR96" s="301">
        <f>[1]COMMANDE!AU94</f>
        <v>0</v>
      </c>
      <c r="CS96" s="297" t="str">
        <f t="shared" si="131"/>
        <v>0</v>
      </c>
      <c r="CT96" s="298">
        <f t="shared" si="132"/>
        <v>0</v>
      </c>
      <c r="CU96" s="299">
        <f>[1]COMMANDE!AW94</f>
        <v>0</v>
      </c>
      <c r="CV96" s="297" t="str">
        <f t="shared" si="133"/>
        <v>0</v>
      </c>
      <c r="CW96" s="300">
        <f t="shared" si="134"/>
        <v>0</v>
      </c>
      <c r="CX96" s="301">
        <f>[1]COMMANDE!AY94</f>
        <v>0</v>
      </c>
      <c r="CY96" s="297" t="str">
        <f t="shared" si="135"/>
        <v>0</v>
      </c>
      <c r="CZ96" s="298">
        <f t="shared" si="136"/>
        <v>0</v>
      </c>
      <c r="DA96" s="299">
        <f>[1]COMMANDE!BA94</f>
        <v>0</v>
      </c>
      <c r="DB96" s="297" t="str">
        <f t="shared" si="137"/>
        <v>0</v>
      </c>
      <c r="DC96" s="302">
        <f t="shared" si="138"/>
        <v>0</v>
      </c>
      <c r="DD96" s="303"/>
      <c r="DE96" s="304"/>
    </row>
    <row r="97" spans="1:109" ht="39.950000000000003" customHeight="1" x14ac:dyDescent="0.25">
      <c r="A97" s="284">
        <f t="shared" si="71"/>
        <v>0</v>
      </c>
      <c r="B97" s="284">
        <f t="shared" si="72"/>
        <v>0</v>
      </c>
      <c r="C97" s="284">
        <f t="shared" si="73"/>
        <v>0</v>
      </c>
      <c r="D97" s="284">
        <f t="shared" si="74"/>
        <v>0</v>
      </c>
      <c r="E97" s="284">
        <f t="shared" si="75"/>
        <v>0</v>
      </c>
      <c r="F97" s="284">
        <f t="shared" si="76"/>
        <v>0</v>
      </c>
      <c r="G97" s="284">
        <f t="shared" si="77"/>
        <v>0</v>
      </c>
      <c r="H97" s="284">
        <f t="shared" si="78"/>
        <v>0</v>
      </c>
      <c r="I97" s="284">
        <f t="shared" si="79"/>
        <v>0</v>
      </c>
      <c r="J97" s="284">
        <f t="shared" si="80"/>
        <v>0</v>
      </c>
      <c r="K97" s="284">
        <f t="shared" si="81"/>
        <v>0</v>
      </c>
      <c r="L97" s="284">
        <f t="shared" si="82"/>
        <v>0</v>
      </c>
      <c r="M97" s="284">
        <f t="shared" si="83"/>
        <v>0</v>
      </c>
      <c r="N97" s="284">
        <f t="shared" si="84"/>
        <v>0</v>
      </c>
      <c r="O97" s="284">
        <f t="shared" si="85"/>
        <v>0</v>
      </c>
      <c r="P97" s="284">
        <f t="shared" si="86"/>
        <v>0</v>
      </c>
      <c r="Q97" s="284">
        <f t="shared" si="87"/>
        <v>0</v>
      </c>
      <c r="R97" s="284">
        <f t="shared" si="88"/>
        <v>0</v>
      </c>
      <c r="S97" s="284">
        <f t="shared" si="89"/>
        <v>0</v>
      </c>
      <c r="T97" s="284">
        <f t="shared" si="90"/>
        <v>0</v>
      </c>
      <c r="U97" s="285">
        <f t="shared" si="91"/>
        <v>0</v>
      </c>
      <c r="V97" s="286">
        <f>[1]BDD!A87</f>
        <v>1393</v>
      </c>
      <c r="W97" s="287" t="str">
        <f>[1]BDD!B87</f>
        <v>Curcuma frais BIO (paquet 500g)</v>
      </c>
      <c r="X97" s="288" t="str">
        <f>IF([1]BDD!F87=0, "", [1]BDD!F87)</f>
        <v>❤️</v>
      </c>
      <c r="Y97" s="214">
        <f>ROUND([1]BDD!G87+FDP_CMD_KG, 2)</f>
        <v>10.43</v>
      </c>
      <c r="Z97" s="214">
        <f>ROUND([1]BDD!G87+FDP_FACT_KG, 2)</f>
        <v>10.43</v>
      </c>
      <c r="AA97" s="215" t="str">
        <f>[1]BDD!H87</f>
        <v>Pièce</v>
      </c>
      <c r="AB97" s="225">
        <f>IF(NOT(ISBLANK([1]BDD!I87)), ROUND(SUM(([1]BDD!G87*reduc1),FDP_CMD_KG), 2), "")</f>
        <v>9.48</v>
      </c>
      <c r="AC97" s="225" t="str">
        <f>IF(NOT(ISBLANK([1]BDD!J87)), ROUND(SUM(([1]BDD!G87*reduc2),FDP_CMD_KG), 2), "")</f>
        <v/>
      </c>
      <c r="AD97" s="225" t="str">
        <f>IF(NOT(ISBLANK([1]BDD!K87)), ROUND(SUM(([1]BDD!G87*reduc3),FDP_CMD_KG), 2), "")</f>
        <v/>
      </c>
      <c r="AE97" s="225">
        <f>IF(NOT(ISBLANK([1]BDD!I87)), ROUND(SUM(([1]BDD!G87*reduc1),FDP_FACT_KG), 2), "")</f>
        <v>9.4700000000000006</v>
      </c>
      <c r="AF97" s="225" t="str">
        <f>IF(NOT(ISBLANK([1]BDD!J87)), ROUND(SUM(([1]BDD!G87*reduc2),FDP_FACT_KG), 2), "")</f>
        <v/>
      </c>
      <c r="AG97" s="225" t="str">
        <f>IF(NOT(ISBLANK([1]BDD!K87)), ROUND(SUM(([1]BDD!G87*reduc3),FDP_FACT_KG), 2), "")</f>
        <v/>
      </c>
      <c r="AH97" s="289" t="str">
        <f>[1]BDD!C87</f>
        <v>Pérou</v>
      </c>
      <c r="AI97" s="290">
        <f t="shared" si="92"/>
        <v>0</v>
      </c>
      <c r="AJ97" s="216">
        <f t="shared" si="93"/>
        <v>9.48</v>
      </c>
      <c r="AK97" s="291">
        <f t="shared" si="94"/>
        <v>0</v>
      </c>
      <c r="AL97" s="429"/>
      <c r="AM97" s="292"/>
      <c r="AN97" s="216">
        <f t="shared" si="95"/>
        <v>10.43</v>
      </c>
      <c r="AO97" s="293">
        <f t="shared" si="96"/>
        <v>0</v>
      </c>
      <c r="AP97" s="294"/>
      <c r="AQ97" s="294"/>
      <c r="AR97" s="429"/>
      <c r="AS97" s="295">
        <f t="shared" si="97"/>
        <v>0</v>
      </c>
      <c r="AT97" s="216">
        <f t="shared" si="98"/>
        <v>10.43</v>
      </c>
      <c r="AU97" s="291">
        <f t="shared" si="70"/>
        <v>0</v>
      </c>
      <c r="AV97" s="296">
        <f>[1]COMMANDE!O95</f>
        <v>0</v>
      </c>
      <c r="AW97" s="297" t="str">
        <f t="shared" si="99"/>
        <v>0</v>
      </c>
      <c r="AX97" s="298">
        <f t="shared" si="100"/>
        <v>0</v>
      </c>
      <c r="AY97" s="299">
        <f>[1]COMMANDE!Q95</f>
        <v>0</v>
      </c>
      <c r="AZ97" s="297" t="str">
        <f t="shared" si="101"/>
        <v>0</v>
      </c>
      <c r="BA97" s="300">
        <f t="shared" si="102"/>
        <v>0</v>
      </c>
      <c r="BB97" s="301">
        <f>[1]COMMANDE!S95</f>
        <v>0</v>
      </c>
      <c r="BC97" s="297" t="str">
        <f t="shared" si="103"/>
        <v>0</v>
      </c>
      <c r="BD97" s="298">
        <f t="shared" si="104"/>
        <v>0</v>
      </c>
      <c r="BE97" s="299">
        <f>[1]COMMANDE!U95</f>
        <v>0</v>
      </c>
      <c r="BF97" s="297" t="str">
        <f t="shared" si="105"/>
        <v>0</v>
      </c>
      <c r="BG97" s="300">
        <f t="shared" si="106"/>
        <v>0</v>
      </c>
      <c r="BH97" s="301">
        <f>[1]COMMANDE!W95</f>
        <v>0</v>
      </c>
      <c r="BI97" s="297" t="str">
        <f t="shared" si="107"/>
        <v>0</v>
      </c>
      <c r="BJ97" s="298">
        <f t="shared" si="108"/>
        <v>0</v>
      </c>
      <c r="BK97" s="299">
        <f>[1]COMMANDE!Y95</f>
        <v>0</v>
      </c>
      <c r="BL97" s="297" t="str">
        <f t="shared" si="109"/>
        <v>0</v>
      </c>
      <c r="BM97" s="300">
        <f t="shared" si="110"/>
        <v>0</v>
      </c>
      <c r="BN97" s="301">
        <f>[1]COMMANDE!AA95</f>
        <v>0</v>
      </c>
      <c r="BO97" s="297" t="str">
        <f t="shared" si="111"/>
        <v>0</v>
      </c>
      <c r="BP97" s="298">
        <f t="shared" si="112"/>
        <v>0</v>
      </c>
      <c r="BQ97" s="299">
        <f>[1]COMMANDE!AC95</f>
        <v>0</v>
      </c>
      <c r="BR97" s="297" t="str">
        <f t="shared" si="113"/>
        <v>0</v>
      </c>
      <c r="BS97" s="300">
        <f t="shared" si="114"/>
        <v>0</v>
      </c>
      <c r="BT97" s="301">
        <f>[1]COMMANDE!AE95</f>
        <v>0</v>
      </c>
      <c r="BU97" s="297" t="str">
        <f t="shared" si="115"/>
        <v>0</v>
      </c>
      <c r="BV97" s="298">
        <f t="shared" si="116"/>
        <v>0</v>
      </c>
      <c r="BW97" s="299">
        <f>[1]COMMANDE!AG95</f>
        <v>0</v>
      </c>
      <c r="BX97" s="297" t="str">
        <f t="shared" si="117"/>
        <v>0</v>
      </c>
      <c r="BY97" s="300">
        <f t="shared" si="118"/>
        <v>0</v>
      </c>
      <c r="BZ97" s="301">
        <f>[1]COMMANDE!AI95</f>
        <v>0</v>
      </c>
      <c r="CA97" s="297" t="str">
        <f t="shared" si="119"/>
        <v>0</v>
      </c>
      <c r="CB97" s="298">
        <f t="shared" si="120"/>
        <v>0</v>
      </c>
      <c r="CC97" s="299">
        <f>[1]COMMANDE!AK95</f>
        <v>0</v>
      </c>
      <c r="CD97" s="297" t="str">
        <f t="shared" si="121"/>
        <v>0</v>
      </c>
      <c r="CE97" s="300">
        <f t="shared" si="122"/>
        <v>0</v>
      </c>
      <c r="CF97" s="301">
        <f>[1]COMMANDE!AM95</f>
        <v>0</v>
      </c>
      <c r="CG97" s="297" t="str">
        <f t="shared" si="123"/>
        <v>0</v>
      </c>
      <c r="CH97" s="298">
        <f t="shared" si="124"/>
        <v>0</v>
      </c>
      <c r="CI97" s="299">
        <f>[1]COMMANDE!AO95</f>
        <v>0</v>
      </c>
      <c r="CJ97" s="297" t="str">
        <f t="shared" si="125"/>
        <v>0</v>
      </c>
      <c r="CK97" s="300">
        <f t="shared" si="126"/>
        <v>0</v>
      </c>
      <c r="CL97" s="301">
        <f>[1]COMMANDE!AQ95</f>
        <v>0</v>
      </c>
      <c r="CM97" s="297" t="str">
        <f t="shared" si="127"/>
        <v>0</v>
      </c>
      <c r="CN97" s="298">
        <f t="shared" si="128"/>
        <v>0</v>
      </c>
      <c r="CO97" s="299">
        <f>[1]COMMANDE!AS95</f>
        <v>0</v>
      </c>
      <c r="CP97" s="297" t="str">
        <f t="shared" si="129"/>
        <v>0</v>
      </c>
      <c r="CQ97" s="300">
        <f t="shared" si="130"/>
        <v>0</v>
      </c>
      <c r="CR97" s="301">
        <f>[1]COMMANDE!AU95</f>
        <v>0</v>
      </c>
      <c r="CS97" s="297" t="str">
        <f t="shared" si="131"/>
        <v>0</v>
      </c>
      <c r="CT97" s="298">
        <f t="shared" si="132"/>
        <v>0</v>
      </c>
      <c r="CU97" s="299">
        <f>[1]COMMANDE!AW95</f>
        <v>0</v>
      </c>
      <c r="CV97" s="297" t="str">
        <f t="shared" si="133"/>
        <v>0</v>
      </c>
      <c r="CW97" s="300">
        <f t="shared" si="134"/>
        <v>0</v>
      </c>
      <c r="CX97" s="301">
        <f>[1]COMMANDE!AY95</f>
        <v>0</v>
      </c>
      <c r="CY97" s="297" t="str">
        <f t="shared" si="135"/>
        <v>0</v>
      </c>
      <c r="CZ97" s="298">
        <f t="shared" si="136"/>
        <v>0</v>
      </c>
      <c r="DA97" s="299">
        <f>[1]COMMANDE!BA95</f>
        <v>0</v>
      </c>
      <c r="DB97" s="297" t="str">
        <f t="shared" si="137"/>
        <v>0</v>
      </c>
      <c r="DC97" s="302">
        <f t="shared" si="138"/>
        <v>0</v>
      </c>
      <c r="DD97" s="303"/>
      <c r="DE97" s="304"/>
    </row>
    <row r="98" spans="1:109" ht="39.950000000000003" customHeight="1" x14ac:dyDescent="0.25">
      <c r="A98" s="284">
        <f t="shared" si="71"/>
        <v>0</v>
      </c>
      <c r="B98" s="284">
        <f t="shared" si="72"/>
        <v>0</v>
      </c>
      <c r="C98" s="284">
        <f t="shared" si="73"/>
        <v>0</v>
      </c>
      <c r="D98" s="284">
        <f t="shared" si="74"/>
        <v>0</v>
      </c>
      <c r="E98" s="284">
        <f t="shared" si="75"/>
        <v>0</v>
      </c>
      <c r="F98" s="284">
        <f t="shared" si="76"/>
        <v>0</v>
      </c>
      <c r="G98" s="284">
        <f t="shared" si="77"/>
        <v>0</v>
      </c>
      <c r="H98" s="284">
        <f t="shared" si="78"/>
        <v>0</v>
      </c>
      <c r="I98" s="284">
        <f t="shared" si="79"/>
        <v>0</v>
      </c>
      <c r="J98" s="284">
        <f t="shared" si="80"/>
        <v>0</v>
      </c>
      <c r="K98" s="284">
        <f t="shared" si="81"/>
        <v>0</v>
      </c>
      <c r="L98" s="284">
        <f t="shared" si="82"/>
        <v>0</v>
      </c>
      <c r="M98" s="284">
        <f t="shared" si="83"/>
        <v>0</v>
      </c>
      <c r="N98" s="284">
        <f t="shared" si="84"/>
        <v>0</v>
      </c>
      <c r="O98" s="284">
        <f t="shared" si="85"/>
        <v>0</v>
      </c>
      <c r="P98" s="284">
        <f t="shared" si="86"/>
        <v>0</v>
      </c>
      <c r="Q98" s="284">
        <f t="shared" si="87"/>
        <v>0</v>
      </c>
      <c r="R98" s="284">
        <f t="shared" si="88"/>
        <v>0</v>
      </c>
      <c r="S98" s="284">
        <f t="shared" si="89"/>
        <v>0</v>
      </c>
      <c r="T98" s="284">
        <f t="shared" si="90"/>
        <v>0</v>
      </c>
      <c r="U98" s="285">
        <f t="shared" si="91"/>
        <v>0</v>
      </c>
      <c r="V98" s="286">
        <f>[1]BDD!A88</f>
        <v>5004</v>
      </c>
      <c r="W98" s="287" t="str">
        <f>[1]BDD!B88</f>
        <v>Datte Deglet Nour en rame</v>
      </c>
      <c r="X98" s="288" t="str">
        <f>IF([1]BDD!F88=0, "", [1]BDD!F88)</f>
        <v/>
      </c>
      <c r="Y98" s="214">
        <f>ROUND([1]BDD!G88+FDP_CMD_KG, 2)</f>
        <v>11.13</v>
      </c>
      <c r="Z98" s="214">
        <f>ROUND([1]BDD!G88+FDP_FACT_KG, 2)</f>
        <v>11.13</v>
      </c>
      <c r="AA98" s="215" t="str">
        <f>[1]BDD!H88</f>
        <v>kg</v>
      </c>
      <c r="AB98" s="225">
        <f>IF(NOT(ISBLANK([1]BDD!I88)), ROUND(SUM(([1]BDD!G88*reduc1),FDP_CMD_KG), 2), "")</f>
        <v>10.11</v>
      </c>
      <c r="AC98" s="225" t="str">
        <f>IF(NOT(ISBLANK([1]BDD!J88)), ROUND(SUM(([1]BDD!G88*reduc2),FDP_CMD_KG), 2), "")</f>
        <v/>
      </c>
      <c r="AD98" s="225" t="str">
        <f>IF(NOT(ISBLANK([1]BDD!K88)), ROUND(SUM(([1]BDD!G88*reduc3),FDP_CMD_KG), 2), "")</f>
        <v/>
      </c>
      <c r="AE98" s="225">
        <f>IF(NOT(ISBLANK([1]BDD!I88)), ROUND(SUM(([1]BDD!G88*reduc1),FDP_FACT_KG), 2), "")</f>
        <v>10.1</v>
      </c>
      <c r="AF98" s="225" t="str">
        <f>IF(NOT(ISBLANK([1]BDD!J88)), ROUND(SUM(([1]BDD!G88*reduc2),FDP_FACT_KG), 2), "")</f>
        <v/>
      </c>
      <c r="AG98" s="225" t="str">
        <f>IF(NOT(ISBLANK([1]BDD!K88)), ROUND(SUM(([1]BDD!G88*reduc3),FDP_FACT_KG), 2), "")</f>
        <v/>
      </c>
      <c r="AH98" s="289" t="str">
        <f>[1]BDD!C88</f>
        <v>Jordanie</v>
      </c>
      <c r="AI98" s="290">
        <f t="shared" si="92"/>
        <v>0</v>
      </c>
      <c r="AJ98" s="216">
        <f t="shared" si="93"/>
        <v>10.11</v>
      </c>
      <c r="AK98" s="291">
        <f t="shared" si="94"/>
        <v>0</v>
      </c>
      <c r="AL98" s="429"/>
      <c r="AM98" s="292"/>
      <c r="AN98" s="216">
        <f t="shared" si="95"/>
        <v>11.13</v>
      </c>
      <c r="AO98" s="293">
        <f t="shared" si="96"/>
        <v>0</v>
      </c>
      <c r="AP98" s="294"/>
      <c r="AQ98" s="294"/>
      <c r="AR98" s="429"/>
      <c r="AS98" s="295">
        <f t="shared" si="97"/>
        <v>0</v>
      </c>
      <c r="AT98" s="216">
        <f t="shared" si="98"/>
        <v>11.13</v>
      </c>
      <c r="AU98" s="291">
        <f t="shared" si="70"/>
        <v>0</v>
      </c>
      <c r="AV98" s="296">
        <f>[1]COMMANDE!O96</f>
        <v>0</v>
      </c>
      <c r="AW98" s="297" t="str">
        <f t="shared" si="99"/>
        <v>0</v>
      </c>
      <c r="AX98" s="298">
        <f t="shared" si="100"/>
        <v>0</v>
      </c>
      <c r="AY98" s="299">
        <f>[1]COMMANDE!Q96</f>
        <v>0</v>
      </c>
      <c r="AZ98" s="297" t="str">
        <f t="shared" si="101"/>
        <v>0</v>
      </c>
      <c r="BA98" s="300">
        <f t="shared" si="102"/>
        <v>0</v>
      </c>
      <c r="BB98" s="301">
        <f>[1]COMMANDE!S96</f>
        <v>0</v>
      </c>
      <c r="BC98" s="297" t="str">
        <f t="shared" si="103"/>
        <v>0</v>
      </c>
      <c r="BD98" s="298">
        <f t="shared" si="104"/>
        <v>0</v>
      </c>
      <c r="BE98" s="299">
        <f>[1]COMMANDE!U96</f>
        <v>0</v>
      </c>
      <c r="BF98" s="297" t="str">
        <f t="shared" si="105"/>
        <v>0</v>
      </c>
      <c r="BG98" s="300">
        <f t="shared" si="106"/>
        <v>0</v>
      </c>
      <c r="BH98" s="301">
        <f>[1]COMMANDE!W96</f>
        <v>0</v>
      </c>
      <c r="BI98" s="297" t="str">
        <f t="shared" si="107"/>
        <v>0</v>
      </c>
      <c r="BJ98" s="298">
        <f t="shared" si="108"/>
        <v>0</v>
      </c>
      <c r="BK98" s="299">
        <f>[1]COMMANDE!Y96</f>
        <v>0</v>
      </c>
      <c r="BL98" s="297" t="str">
        <f t="shared" si="109"/>
        <v>0</v>
      </c>
      <c r="BM98" s="300">
        <f t="shared" si="110"/>
        <v>0</v>
      </c>
      <c r="BN98" s="301">
        <f>[1]COMMANDE!AA96</f>
        <v>0</v>
      </c>
      <c r="BO98" s="297" t="str">
        <f t="shared" si="111"/>
        <v>0</v>
      </c>
      <c r="BP98" s="298">
        <f t="shared" si="112"/>
        <v>0</v>
      </c>
      <c r="BQ98" s="299">
        <f>[1]COMMANDE!AC96</f>
        <v>0</v>
      </c>
      <c r="BR98" s="297" t="str">
        <f t="shared" si="113"/>
        <v>0</v>
      </c>
      <c r="BS98" s="300">
        <f t="shared" si="114"/>
        <v>0</v>
      </c>
      <c r="BT98" s="301">
        <f>[1]COMMANDE!AE96</f>
        <v>0</v>
      </c>
      <c r="BU98" s="297" t="str">
        <f t="shared" si="115"/>
        <v>0</v>
      </c>
      <c r="BV98" s="298">
        <f t="shared" si="116"/>
        <v>0</v>
      </c>
      <c r="BW98" s="299">
        <f>[1]COMMANDE!AG96</f>
        <v>0</v>
      </c>
      <c r="BX98" s="297" t="str">
        <f t="shared" si="117"/>
        <v>0</v>
      </c>
      <c r="BY98" s="300">
        <f t="shared" si="118"/>
        <v>0</v>
      </c>
      <c r="BZ98" s="301">
        <f>[1]COMMANDE!AI96</f>
        <v>0</v>
      </c>
      <c r="CA98" s="297" t="str">
        <f t="shared" si="119"/>
        <v>0</v>
      </c>
      <c r="CB98" s="298">
        <f t="shared" si="120"/>
        <v>0</v>
      </c>
      <c r="CC98" s="299">
        <f>[1]COMMANDE!AK96</f>
        <v>0</v>
      </c>
      <c r="CD98" s="297" t="str">
        <f t="shared" si="121"/>
        <v>0</v>
      </c>
      <c r="CE98" s="300">
        <f t="shared" si="122"/>
        <v>0</v>
      </c>
      <c r="CF98" s="301">
        <f>[1]COMMANDE!AM96</f>
        <v>0</v>
      </c>
      <c r="CG98" s="297" t="str">
        <f t="shared" si="123"/>
        <v>0</v>
      </c>
      <c r="CH98" s="298">
        <f t="shared" si="124"/>
        <v>0</v>
      </c>
      <c r="CI98" s="299">
        <f>[1]COMMANDE!AO96</f>
        <v>0</v>
      </c>
      <c r="CJ98" s="297" t="str">
        <f t="shared" si="125"/>
        <v>0</v>
      </c>
      <c r="CK98" s="300">
        <f t="shared" si="126"/>
        <v>0</v>
      </c>
      <c r="CL98" s="301">
        <f>[1]COMMANDE!AQ96</f>
        <v>0</v>
      </c>
      <c r="CM98" s="297" t="str">
        <f t="shared" si="127"/>
        <v>0</v>
      </c>
      <c r="CN98" s="298">
        <f t="shared" si="128"/>
        <v>0</v>
      </c>
      <c r="CO98" s="299">
        <f>[1]COMMANDE!AS96</f>
        <v>0</v>
      </c>
      <c r="CP98" s="297" t="str">
        <f t="shared" si="129"/>
        <v>0</v>
      </c>
      <c r="CQ98" s="300">
        <f t="shared" si="130"/>
        <v>0</v>
      </c>
      <c r="CR98" s="301">
        <f>[1]COMMANDE!AU96</f>
        <v>0</v>
      </c>
      <c r="CS98" s="297" t="str">
        <f t="shared" si="131"/>
        <v>0</v>
      </c>
      <c r="CT98" s="298">
        <f t="shared" si="132"/>
        <v>0</v>
      </c>
      <c r="CU98" s="299">
        <f>[1]COMMANDE!AW96</f>
        <v>0</v>
      </c>
      <c r="CV98" s="297" t="str">
        <f t="shared" si="133"/>
        <v>0</v>
      </c>
      <c r="CW98" s="300">
        <f t="shared" si="134"/>
        <v>0</v>
      </c>
      <c r="CX98" s="301">
        <f>[1]COMMANDE!AY96</f>
        <v>0</v>
      </c>
      <c r="CY98" s="297" t="str">
        <f t="shared" si="135"/>
        <v>0</v>
      </c>
      <c r="CZ98" s="298">
        <f t="shared" si="136"/>
        <v>0</v>
      </c>
      <c r="DA98" s="299">
        <f>[1]COMMANDE!BA96</f>
        <v>0</v>
      </c>
      <c r="DB98" s="297" t="str">
        <f t="shared" si="137"/>
        <v>0</v>
      </c>
      <c r="DC98" s="302">
        <f t="shared" si="138"/>
        <v>0</v>
      </c>
      <c r="DD98" s="303"/>
      <c r="DE98" s="304"/>
    </row>
    <row r="99" spans="1:109" ht="39.950000000000003" customHeight="1" x14ac:dyDescent="0.25">
      <c r="A99" s="284">
        <f t="shared" si="71"/>
        <v>0</v>
      </c>
      <c r="B99" s="284">
        <f t="shared" si="72"/>
        <v>0</v>
      </c>
      <c r="C99" s="284">
        <f t="shared" si="73"/>
        <v>0</v>
      </c>
      <c r="D99" s="284">
        <f t="shared" si="74"/>
        <v>0</v>
      </c>
      <c r="E99" s="284">
        <f t="shared" si="75"/>
        <v>0</v>
      </c>
      <c r="F99" s="284">
        <f t="shared" si="76"/>
        <v>0</v>
      </c>
      <c r="G99" s="284">
        <f t="shared" si="77"/>
        <v>0</v>
      </c>
      <c r="H99" s="284">
        <f t="shared" si="78"/>
        <v>0</v>
      </c>
      <c r="I99" s="284">
        <f t="shared" si="79"/>
        <v>0</v>
      </c>
      <c r="J99" s="284">
        <f t="shared" si="80"/>
        <v>0</v>
      </c>
      <c r="K99" s="284">
        <f t="shared" si="81"/>
        <v>0</v>
      </c>
      <c r="L99" s="284">
        <f t="shared" si="82"/>
        <v>0</v>
      </c>
      <c r="M99" s="284">
        <f t="shared" si="83"/>
        <v>0</v>
      </c>
      <c r="N99" s="284">
        <f t="shared" si="84"/>
        <v>0</v>
      </c>
      <c r="O99" s="284">
        <f t="shared" si="85"/>
        <v>0</v>
      </c>
      <c r="P99" s="284">
        <f t="shared" si="86"/>
        <v>0</v>
      </c>
      <c r="Q99" s="284">
        <f t="shared" si="87"/>
        <v>0</v>
      </c>
      <c r="R99" s="284">
        <f t="shared" si="88"/>
        <v>0</v>
      </c>
      <c r="S99" s="284">
        <f t="shared" si="89"/>
        <v>0</v>
      </c>
      <c r="T99" s="284">
        <f t="shared" si="90"/>
        <v>0</v>
      </c>
      <c r="U99" s="285">
        <f t="shared" si="91"/>
        <v>0</v>
      </c>
      <c r="V99" s="286">
        <f>[1]BDD!A89</f>
        <v>1320</v>
      </c>
      <c r="W99" s="287" t="str">
        <f>[1]BDD!B89</f>
        <v>Dattes Deglet dénoyautées BIO</v>
      </c>
      <c r="X99" s="288" t="str">
        <f>IF([1]BDD!F89=0, "", [1]BDD!F89)</f>
        <v>❤️</v>
      </c>
      <c r="Y99" s="214">
        <f>ROUND([1]BDD!G89+FDP_CMD_KG, 2)</f>
        <v>11.8</v>
      </c>
      <c r="Z99" s="214">
        <f>ROUND([1]BDD!G89+FDP_FACT_KG, 2)</f>
        <v>11.8</v>
      </c>
      <c r="AA99" s="215" t="str">
        <f>[1]BDD!H89</f>
        <v>kg</v>
      </c>
      <c r="AB99" s="225">
        <f>IF(NOT(ISBLANK([1]BDD!I89)), ROUND(SUM(([1]BDD!G89*reduc1),FDP_CMD_KG), 2), "")</f>
        <v>10.71</v>
      </c>
      <c r="AC99" s="225" t="str">
        <f>IF(NOT(ISBLANK([1]BDD!J89)), ROUND(SUM(([1]BDD!G89*reduc2),FDP_CMD_KG), 2), "")</f>
        <v/>
      </c>
      <c r="AD99" s="225" t="str">
        <f>IF(NOT(ISBLANK([1]BDD!K89)), ROUND(SUM(([1]BDD!G89*reduc3),FDP_CMD_KG), 2), "")</f>
        <v/>
      </c>
      <c r="AE99" s="225">
        <f>IF(NOT(ISBLANK([1]BDD!I89)), ROUND(SUM(([1]BDD!G89*reduc1),FDP_FACT_KG), 2), "")</f>
        <v>10.7</v>
      </c>
      <c r="AF99" s="225" t="str">
        <f>IF(NOT(ISBLANK([1]BDD!J89)), ROUND(SUM(([1]BDD!G89*reduc2),FDP_FACT_KG), 2), "")</f>
        <v/>
      </c>
      <c r="AG99" s="225" t="str">
        <f>IF(NOT(ISBLANK([1]BDD!K89)), ROUND(SUM(([1]BDD!G89*reduc3),FDP_FACT_KG), 2), "")</f>
        <v/>
      </c>
      <c r="AH99" s="289" t="str">
        <f>[1]BDD!C89</f>
        <v>Tunisie</v>
      </c>
      <c r="AI99" s="290">
        <f t="shared" si="92"/>
        <v>0</v>
      </c>
      <c r="AJ99" s="216">
        <f t="shared" si="93"/>
        <v>10.71</v>
      </c>
      <c r="AK99" s="291">
        <f t="shared" si="94"/>
        <v>0</v>
      </c>
      <c r="AL99" s="429"/>
      <c r="AM99" s="292"/>
      <c r="AN99" s="216">
        <f t="shared" si="95"/>
        <v>11.8</v>
      </c>
      <c r="AO99" s="293">
        <f t="shared" si="96"/>
        <v>0</v>
      </c>
      <c r="AP99" s="294"/>
      <c r="AQ99" s="294"/>
      <c r="AR99" s="429"/>
      <c r="AS99" s="295">
        <f t="shared" si="97"/>
        <v>0</v>
      </c>
      <c r="AT99" s="216">
        <f t="shared" si="98"/>
        <v>11.8</v>
      </c>
      <c r="AU99" s="291">
        <f t="shared" si="70"/>
        <v>0</v>
      </c>
      <c r="AV99" s="296">
        <f>[1]COMMANDE!O97</f>
        <v>0</v>
      </c>
      <c r="AW99" s="297" t="str">
        <f t="shared" si="99"/>
        <v>0</v>
      </c>
      <c r="AX99" s="298">
        <f t="shared" si="100"/>
        <v>0</v>
      </c>
      <c r="AY99" s="299">
        <f>[1]COMMANDE!Q97</f>
        <v>0</v>
      </c>
      <c r="AZ99" s="297" t="str">
        <f t="shared" si="101"/>
        <v>0</v>
      </c>
      <c r="BA99" s="300">
        <f t="shared" si="102"/>
        <v>0</v>
      </c>
      <c r="BB99" s="301">
        <f>[1]COMMANDE!S97</f>
        <v>0</v>
      </c>
      <c r="BC99" s="297" t="str">
        <f t="shared" si="103"/>
        <v>0</v>
      </c>
      <c r="BD99" s="298">
        <f t="shared" si="104"/>
        <v>0</v>
      </c>
      <c r="BE99" s="299">
        <f>[1]COMMANDE!U97</f>
        <v>0</v>
      </c>
      <c r="BF99" s="297" t="str">
        <f t="shared" si="105"/>
        <v>0</v>
      </c>
      <c r="BG99" s="300">
        <f t="shared" si="106"/>
        <v>0</v>
      </c>
      <c r="BH99" s="301">
        <f>[1]COMMANDE!W97</f>
        <v>0</v>
      </c>
      <c r="BI99" s="297" t="str">
        <f t="shared" si="107"/>
        <v>0</v>
      </c>
      <c r="BJ99" s="298">
        <f t="shared" si="108"/>
        <v>0</v>
      </c>
      <c r="BK99" s="299">
        <f>[1]COMMANDE!Y97</f>
        <v>0</v>
      </c>
      <c r="BL99" s="297" t="str">
        <f t="shared" si="109"/>
        <v>0</v>
      </c>
      <c r="BM99" s="300">
        <f t="shared" si="110"/>
        <v>0</v>
      </c>
      <c r="BN99" s="301">
        <f>[1]COMMANDE!AA97</f>
        <v>0</v>
      </c>
      <c r="BO99" s="297" t="str">
        <f t="shared" si="111"/>
        <v>0</v>
      </c>
      <c r="BP99" s="298">
        <f t="shared" si="112"/>
        <v>0</v>
      </c>
      <c r="BQ99" s="299">
        <f>[1]COMMANDE!AC97</f>
        <v>0</v>
      </c>
      <c r="BR99" s="297" t="str">
        <f t="shared" si="113"/>
        <v>0</v>
      </c>
      <c r="BS99" s="300">
        <f t="shared" si="114"/>
        <v>0</v>
      </c>
      <c r="BT99" s="301">
        <f>[1]COMMANDE!AE97</f>
        <v>0</v>
      </c>
      <c r="BU99" s="297" t="str">
        <f t="shared" si="115"/>
        <v>0</v>
      </c>
      <c r="BV99" s="298">
        <f t="shared" si="116"/>
        <v>0</v>
      </c>
      <c r="BW99" s="299">
        <f>[1]COMMANDE!AG97</f>
        <v>0</v>
      </c>
      <c r="BX99" s="297" t="str">
        <f t="shared" si="117"/>
        <v>0</v>
      </c>
      <c r="BY99" s="300">
        <f t="shared" si="118"/>
        <v>0</v>
      </c>
      <c r="BZ99" s="301">
        <f>[1]COMMANDE!AI97</f>
        <v>0</v>
      </c>
      <c r="CA99" s="297" t="str">
        <f t="shared" si="119"/>
        <v>0</v>
      </c>
      <c r="CB99" s="298">
        <f t="shared" si="120"/>
        <v>0</v>
      </c>
      <c r="CC99" s="299">
        <f>[1]COMMANDE!AK97</f>
        <v>0</v>
      </c>
      <c r="CD99" s="297" t="str">
        <f t="shared" si="121"/>
        <v>0</v>
      </c>
      <c r="CE99" s="300">
        <f t="shared" si="122"/>
        <v>0</v>
      </c>
      <c r="CF99" s="301">
        <f>[1]COMMANDE!AM97</f>
        <v>0</v>
      </c>
      <c r="CG99" s="297" t="str">
        <f t="shared" si="123"/>
        <v>0</v>
      </c>
      <c r="CH99" s="298">
        <f t="shared" si="124"/>
        <v>0</v>
      </c>
      <c r="CI99" s="299">
        <f>[1]COMMANDE!AO97</f>
        <v>0</v>
      </c>
      <c r="CJ99" s="297" t="str">
        <f t="shared" si="125"/>
        <v>0</v>
      </c>
      <c r="CK99" s="300">
        <f t="shared" si="126"/>
        <v>0</v>
      </c>
      <c r="CL99" s="301">
        <f>[1]COMMANDE!AQ97</f>
        <v>0</v>
      </c>
      <c r="CM99" s="297" t="str">
        <f t="shared" si="127"/>
        <v>0</v>
      </c>
      <c r="CN99" s="298">
        <f t="shared" si="128"/>
        <v>0</v>
      </c>
      <c r="CO99" s="299">
        <f>[1]COMMANDE!AS97</f>
        <v>0</v>
      </c>
      <c r="CP99" s="297" t="str">
        <f t="shared" si="129"/>
        <v>0</v>
      </c>
      <c r="CQ99" s="300">
        <f t="shared" si="130"/>
        <v>0</v>
      </c>
      <c r="CR99" s="301">
        <f>[1]COMMANDE!AU97</f>
        <v>0</v>
      </c>
      <c r="CS99" s="297" t="str">
        <f t="shared" si="131"/>
        <v>0</v>
      </c>
      <c r="CT99" s="298">
        <f t="shared" si="132"/>
        <v>0</v>
      </c>
      <c r="CU99" s="299">
        <f>[1]COMMANDE!AW97</f>
        <v>0</v>
      </c>
      <c r="CV99" s="297" t="str">
        <f t="shared" si="133"/>
        <v>0</v>
      </c>
      <c r="CW99" s="300">
        <f t="shared" si="134"/>
        <v>0</v>
      </c>
      <c r="CX99" s="301">
        <f>[1]COMMANDE!AY97</f>
        <v>0</v>
      </c>
      <c r="CY99" s="297" t="str">
        <f t="shared" si="135"/>
        <v>0</v>
      </c>
      <c r="CZ99" s="298">
        <f t="shared" si="136"/>
        <v>0</v>
      </c>
      <c r="DA99" s="299">
        <f>[1]COMMANDE!BA97</f>
        <v>0</v>
      </c>
      <c r="DB99" s="297" t="str">
        <f t="shared" si="137"/>
        <v>0</v>
      </c>
      <c r="DC99" s="302">
        <f t="shared" si="138"/>
        <v>0</v>
      </c>
      <c r="DD99" s="303"/>
      <c r="DE99" s="304"/>
    </row>
    <row r="100" spans="1:109" ht="39.950000000000003" customHeight="1" x14ac:dyDescent="0.25">
      <c r="A100" s="284">
        <f t="shared" si="71"/>
        <v>0</v>
      </c>
      <c r="B100" s="284">
        <f t="shared" si="72"/>
        <v>0</v>
      </c>
      <c r="C100" s="284">
        <f t="shared" si="73"/>
        <v>0</v>
      </c>
      <c r="D100" s="284">
        <f t="shared" si="74"/>
        <v>0</v>
      </c>
      <c r="E100" s="284">
        <f t="shared" si="75"/>
        <v>0</v>
      </c>
      <c r="F100" s="284">
        <f t="shared" si="76"/>
        <v>0</v>
      </c>
      <c r="G100" s="284">
        <f t="shared" si="77"/>
        <v>0</v>
      </c>
      <c r="H100" s="284">
        <f t="shared" si="78"/>
        <v>0</v>
      </c>
      <c r="I100" s="284">
        <f t="shared" si="79"/>
        <v>0</v>
      </c>
      <c r="J100" s="284">
        <f t="shared" si="80"/>
        <v>0</v>
      </c>
      <c r="K100" s="284">
        <f t="shared" si="81"/>
        <v>0</v>
      </c>
      <c r="L100" s="284">
        <f t="shared" si="82"/>
        <v>0</v>
      </c>
      <c r="M100" s="284">
        <f t="shared" si="83"/>
        <v>0</v>
      </c>
      <c r="N100" s="284">
        <f t="shared" si="84"/>
        <v>0</v>
      </c>
      <c r="O100" s="284">
        <f t="shared" si="85"/>
        <v>0</v>
      </c>
      <c r="P100" s="284">
        <f t="shared" si="86"/>
        <v>0</v>
      </c>
      <c r="Q100" s="284">
        <f t="shared" si="87"/>
        <v>0</v>
      </c>
      <c r="R100" s="284">
        <f t="shared" si="88"/>
        <v>0</v>
      </c>
      <c r="S100" s="284">
        <f t="shared" si="89"/>
        <v>0</v>
      </c>
      <c r="T100" s="284">
        <f t="shared" si="90"/>
        <v>0</v>
      </c>
      <c r="U100" s="285">
        <f t="shared" si="91"/>
        <v>0</v>
      </c>
      <c r="V100" s="286">
        <f>[1]BDD!A90</f>
        <v>1485</v>
      </c>
      <c r="W100" s="287" t="str">
        <f>[1]BDD!B90</f>
        <v>Dattes Deglet Nour sans rame BIO</v>
      </c>
      <c r="X100" s="288" t="str">
        <f>IF([1]BDD!F90=0, "", [1]BDD!F90)</f>
        <v/>
      </c>
      <c r="Y100" s="214">
        <f>ROUND([1]BDD!G90+FDP_CMD_KG, 2)</f>
        <v>10.43</v>
      </c>
      <c r="Z100" s="214">
        <f>ROUND([1]BDD!G90+FDP_FACT_KG, 2)</f>
        <v>10.43</v>
      </c>
      <c r="AA100" s="215" t="str">
        <f>[1]BDD!H90</f>
        <v>kg</v>
      </c>
      <c r="AB100" s="225">
        <f>IF(NOT(ISBLANK([1]BDD!I90)), ROUND(SUM(([1]BDD!G90*reduc1),FDP_CMD_KG), 2), "")</f>
        <v>9.48</v>
      </c>
      <c r="AC100" s="225">
        <f>IF(NOT(ISBLANK([1]BDD!J90)), ROUND(SUM(([1]BDD!G90*reduc2),FDP_CMD_KG), 2), "")</f>
        <v>8.52</v>
      </c>
      <c r="AD100" s="225" t="str">
        <f>IF(NOT(ISBLANK([1]BDD!K90)), ROUND(SUM(([1]BDD!G90*reduc3),FDP_CMD_KG), 2), "")</f>
        <v/>
      </c>
      <c r="AE100" s="225">
        <f>IF(NOT(ISBLANK([1]BDD!I90)), ROUND(SUM(([1]BDD!G90*reduc1),FDP_FACT_KG), 2), "")</f>
        <v>9.4700000000000006</v>
      </c>
      <c r="AF100" s="225">
        <f>IF(NOT(ISBLANK([1]BDD!J90)), ROUND(SUM(([1]BDD!G90*reduc2),FDP_FACT_KG), 2), "")</f>
        <v>8.51</v>
      </c>
      <c r="AG100" s="225" t="str">
        <f>IF(NOT(ISBLANK([1]BDD!K90)), ROUND(SUM(([1]BDD!G90*reduc3),FDP_FACT_KG), 2), "")</f>
        <v/>
      </c>
      <c r="AH100" s="289" t="str">
        <f>[1]BDD!C90</f>
        <v>Tunisie</v>
      </c>
      <c r="AI100" s="290">
        <f t="shared" si="92"/>
        <v>0</v>
      </c>
      <c r="AJ100" s="216">
        <f t="shared" si="93"/>
        <v>8.52</v>
      </c>
      <c r="AK100" s="291">
        <f t="shared" si="94"/>
        <v>0</v>
      </c>
      <c r="AL100" s="429"/>
      <c r="AM100" s="292"/>
      <c r="AN100" s="216">
        <f t="shared" si="95"/>
        <v>10.43</v>
      </c>
      <c r="AO100" s="293">
        <f t="shared" si="96"/>
        <v>0</v>
      </c>
      <c r="AP100" s="294"/>
      <c r="AQ100" s="294"/>
      <c r="AR100" s="429"/>
      <c r="AS100" s="295">
        <f t="shared" si="97"/>
        <v>0</v>
      </c>
      <c r="AT100" s="216">
        <f t="shared" si="98"/>
        <v>10.43</v>
      </c>
      <c r="AU100" s="291">
        <f t="shared" si="70"/>
        <v>0</v>
      </c>
      <c r="AV100" s="296">
        <f>[1]COMMANDE!O98</f>
        <v>0</v>
      </c>
      <c r="AW100" s="297" t="str">
        <f t="shared" si="99"/>
        <v>0</v>
      </c>
      <c r="AX100" s="298">
        <f t="shared" si="100"/>
        <v>0</v>
      </c>
      <c r="AY100" s="299">
        <f>[1]COMMANDE!Q98</f>
        <v>0</v>
      </c>
      <c r="AZ100" s="297" t="str">
        <f t="shared" si="101"/>
        <v>0</v>
      </c>
      <c r="BA100" s="300">
        <f t="shared" si="102"/>
        <v>0</v>
      </c>
      <c r="BB100" s="301">
        <f>[1]COMMANDE!S98</f>
        <v>0</v>
      </c>
      <c r="BC100" s="297" t="str">
        <f t="shared" si="103"/>
        <v>0</v>
      </c>
      <c r="BD100" s="298">
        <f t="shared" si="104"/>
        <v>0</v>
      </c>
      <c r="BE100" s="299">
        <f>[1]COMMANDE!U98</f>
        <v>0</v>
      </c>
      <c r="BF100" s="297" t="str">
        <f t="shared" si="105"/>
        <v>0</v>
      </c>
      <c r="BG100" s="300">
        <f t="shared" si="106"/>
        <v>0</v>
      </c>
      <c r="BH100" s="301">
        <f>[1]COMMANDE!W98</f>
        <v>0</v>
      </c>
      <c r="BI100" s="297" t="str">
        <f t="shared" si="107"/>
        <v>0</v>
      </c>
      <c r="BJ100" s="298">
        <f t="shared" si="108"/>
        <v>0</v>
      </c>
      <c r="BK100" s="299">
        <f>[1]COMMANDE!Y98</f>
        <v>0</v>
      </c>
      <c r="BL100" s="297" t="str">
        <f t="shared" si="109"/>
        <v>0</v>
      </c>
      <c r="BM100" s="300">
        <f t="shared" si="110"/>
        <v>0</v>
      </c>
      <c r="BN100" s="301">
        <f>[1]COMMANDE!AA98</f>
        <v>0</v>
      </c>
      <c r="BO100" s="297" t="str">
        <f t="shared" si="111"/>
        <v>0</v>
      </c>
      <c r="BP100" s="298">
        <f t="shared" si="112"/>
        <v>0</v>
      </c>
      <c r="BQ100" s="299">
        <f>[1]COMMANDE!AC98</f>
        <v>0</v>
      </c>
      <c r="BR100" s="297" t="str">
        <f t="shared" si="113"/>
        <v>0</v>
      </c>
      <c r="BS100" s="300">
        <f t="shared" si="114"/>
        <v>0</v>
      </c>
      <c r="BT100" s="301">
        <f>[1]COMMANDE!AE98</f>
        <v>0</v>
      </c>
      <c r="BU100" s="297" t="str">
        <f t="shared" si="115"/>
        <v>0</v>
      </c>
      <c r="BV100" s="298">
        <f t="shared" si="116"/>
        <v>0</v>
      </c>
      <c r="BW100" s="299">
        <f>[1]COMMANDE!AG98</f>
        <v>0</v>
      </c>
      <c r="BX100" s="297" t="str">
        <f t="shared" si="117"/>
        <v>0</v>
      </c>
      <c r="BY100" s="300">
        <f t="shared" si="118"/>
        <v>0</v>
      </c>
      <c r="BZ100" s="301">
        <f>[1]COMMANDE!AI98</f>
        <v>0</v>
      </c>
      <c r="CA100" s="297" t="str">
        <f t="shared" si="119"/>
        <v>0</v>
      </c>
      <c r="CB100" s="298">
        <f t="shared" si="120"/>
        <v>0</v>
      </c>
      <c r="CC100" s="299">
        <f>[1]COMMANDE!AK98</f>
        <v>0</v>
      </c>
      <c r="CD100" s="297" t="str">
        <f t="shared" si="121"/>
        <v>0</v>
      </c>
      <c r="CE100" s="300">
        <f t="shared" si="122"/>
        <v>0</v>
      </c>
      <c r="CF100" s="301">
        <f>[1]COMMANDE!AM98</f>
        <v>0</v>
      </c>
      <c r="CG100" s="297" t="str">
        <f t="shared" si="123"/>
        <v>0</v>
      </c>
      <c r="CH100" s="298">
        <f t="shared" si="124"/>
        <v>0</v>
      </c>
      <c r="CI100" s="299">
        <f>[1]COMMANDE!AO98</f>
        <v>0</v>
      </c>
      <c r="CJ100" s="297" t="str">
        <f t="shared" si="125"/>
        <v>0</v>
      </c>
      <c r="CK100" s="300">
        <f t="shared" si="126"/>
        <v>0</v>
      </c>
      <c r="CL100" s="301">
        <f>[1]COMMANDE!AQ98</f>
        <v>0</v>
      </c>
      <c r="CM100" s="297" t="str">
        <f t="shared" si="127"/>
        <v>0</v>
      </c>
      <c r="CN100" s="298">
        <f t="shared" si="128"/>
        <v>0</v>
      </c>
      <c r="CO100" s="299">
        <f>[1]COMMANDE!AS98</f>
        <v>0</v>
      </c>
      <c r="CP100" s="297" t="str">
        <f t="shared" si="129"/>
        <v>0</v>
      </c>
      <c r="CQ100" s="300">
        <f t="shared" si="130"/>
        <v>0</v>
      </c>
      <c r="CR100" s="301">
        <f>[1]COMMANDE!AU98</f>
        <v>0</v>
      </c>
      <c r="CS100" s="297" t="str">
        <f t="shared" si="131"/>
        <v>0</v>
      </c>
      <c r="CT100" s="298">
        <f t="shared" si="132"/>
        <v>0</v>
      </c>
      <c r="CU100" s="299">
        <f>[1]COMMANDE!AW98</f>
        <v>0</v>
      </c>
      <c r="CV100" s="297" t="str">
        <f t="shared" si="133"/>
        <v>0</v>
      </c>
      <c r="CW100" s="300">
        <f t="shared" si="134"/>
        <v>0</v>
      </c>
      <c r="CX100" s="301">
        <f>[1]COMMANDE!AY98</f>
        <v>0</v>
      </c>
      <c r="CY100" s="297" t="str">
        <f t="shared" si="135"/>
        <v>0</v>
      </c>
      <c r="CZ100" s="298">
        <f t="shared" si="136"/>
        <v>0</v>
      </c>
      <c r="DA100" s="299">
        <f>[1]COMMANDE!BA98</f>
        <v>0</v>
      </c>
      <c r="DB100" s="297" t="str">
        <f t="shared" si="137"/>
        <v>0</v>
      </c>
      <c r="DC100" s="302">
        <f t="shared" si="138"/>
        <v>0</v>
      </c>
      <c r="DD100" s="303"/>
      <c r="DE100" s="304"/>
    </row>
    <row r="101" spans="1:109" ht="39.950000000000003" customHeight="1" x14ac:dyDescent="0.25">
      <c r="A101" s="284">
        <f t="shared" si="71"/>
        <v>0</v>
      </c>
      <c r="B101" s="284">
        <f t="shared" si="72"/>
        <v>0</v>
      </c>
      <c r="C101" s="284">
        <f t="shared" si="73"/>
        <v>0</v>
      </c>
      <c r="D101" s="284">
        <f t="shared" si="74"/>
        <v>0</v>
      </c>
      <c r="E101" s="284">
        <f t="shared" si="75"/>
        <v>0</v>
      </c>
      <c r="F101" s="284">
        <f t="shared" si="76"/>
        <v>0</v>
      </c>
      <c r="G101" s="284">
        <f t="shared" si="77"/>
        <v>0</v>
      </c>
      <c r="H101" s="284">
        <f t="shared" si="78"/>
        <v>0</v>
      </c>
      <c r="I101" s="284">
        <f t="shared" si="79"/>
        <v>0</v>
      </c>
      <c r="J101" s="284">
        <f t="shared" si="80"/>
        <v>0</v>
      </c>
      <c r="K101" s="284">
        <f t="shared" si="81"/>
        <v>0</v>
      </c>
      <c r="L101" s="284">
        <f t="shared" si="82"/>
        <v>0</v>
      </c>
      <c r="M101" s="284">
        <f t="shared" si="83"/>
        <v>0</v>
      </c>
      <c r="N101" s="284">
        <f t="shared" si="84"/>
        <v>0</v>
      </c>
      <c r="O101" s="284">
        <f t="shared" si="85"/>
        <v>0</v>
      </c>
      <c r="P101" s="284">
        <f t="shared" si="86"/>
        <v>0</v>
      </c>
      <c r="Q101" s="284">
        <f t="shared" si="87"/>
        <v>0</v>
      </c>
      <c r="R101" s="284">
        <f t="shared" si="88"/>
        <v>0</v>
      </c>
      <c r="S101" s="284">
        <f t="shared" si="89"/>
        <v>0</v>
      </c>
      <c r="T101" s="284">
        <f t="shared" si="90"/>
        <v>0</v>
      </c>
      <c r="U101" s="285">
        <f t="shared" si="91"/>
        <v>0</v>
      </c>
      <c r="V101" s="286">
        <f>[1]BDD!A91</f>
        <v>1399</v>
      </c>
      <c r="W101" s="287" t="str">
        <f>[1]BDD!B91</f>
        <v>Dattes Mazafati de Bam BIO (env. 250g)</v>
      </c>
      <c r="X101" s="288" t="str">
        <f>IF([1]BDD!F91=0, "", [1]BDD!F91)</f>
        <v>❤️</v>
      </c>
      <c r="Y101" s="214">
        <f>ROUND([1]BDD!G91+FDP_CMD_KG, 2)</f>
        <v>5.51</v>
      </c>
      <c r="Z101" s="214">
        <f>ROUND([1]BDD!G91+FDP_FACT_KG, 2)</f>
        <v>5.51</v>
      </c>
      <c r="AA101" s="215" t="str">
        <f>[1]BDD!H91</f>
        <v>Pièce</v>
      </c>
      <c r="AB101" s="225">
        <f>IF(NOT(ISBLANK([1]BDD!I91)), ROUND(SUM(([1]BDD!G91*reduc1),FDP_CMD_KG), 2), "")</f>
        <v>5.05</v>
      </c>
      <c r="AC101" s="225">
        <f>IF(NOT(ISBLANK([1]BDD!J91)), ROUND(SUM(([1]BDD!G91*reduc2),FDP_CMD_KG), 2), "")</f>
        <v>4.59</v>
      </c>
      <c r="AD101" s="225">
        <f>IF(NOT(ISBLANK([1]BDD!K91)), ROUND(SUM(([1]BDD!G91*reduc3),FDP_CMD_KG), 2), "")</f>
        <v>4.12</v>
      </c>
      <c r="AE101" s="225">
        <f>IF(NOT(ISBLANK([1]BDD!I91)), ROUND(SUM(([1]BDD!G91*reduc1),FDP_FACT_KG), 2), "")</f>
        <v>5.04</v>
      </c>
      <c r="AF101" s="225">
        <f>IF(NOT(ISBLANK([1]BDD!J91)), ROUND(SUM(([1]BDD!G91*reduc2),FDP_FACT_KG), 2), "")</f>
        <v>4.58</v>
      </c>
      <c r="AG101" s="225">
        <f>IF(NOT(ISBLANK([1]BDD!K91)), ROUND(SUM(([1]BDD!G91*reduc3),FDP_FACT_KG), 2), "")</f>
        <v>4.1100000000000003</v>
      </c>
      <c r="AH101" s="289" t="str">
        <f>[1]BDD!C91</f>
        <v>Iran</v>
      </c>
      <c r="AI101" s="290">
        <f t="shared" si="92"/>
        <v>0</v>
      </c>
      <c r="AJ101" s="216">
        <f t="shared" si="93"/>
        <v>4.12</v>
      </c>
      <c r="AK101" s="291">
        <f t="shared" si="94"/>
        <v>0</v>
      </c>
      <c r="AL101" s="429"/>
      <c r="AM101" s="292"/>
      <c r="AN101" s="216">
        <f t="shared" si="95"/>
        <v>5.51</v>
      </c>
      <c r="AO101" s="293">
        <f t="shared" si="96"/>
        <v>0</v>
      </c>
      <c r="AP101" s="294"/>
      <c r="AQ101" s="294"/>
      <c r="AR101" s="429"/>
      <c r="AS101" s="295">
        <f t="shared" si="97"/>
        <v>0</v>
      </c>
      <c r="AT101" s="216">
        <f t="shared" si="98"/>
        <v>5.51</v>
      </c>
      <c r="AU101" s="291">
        <f t="shared" si="70"/>
        <v>0</v>
      </c>
      <c r="AV101" s="296">
        <f>[1]COMMANDE!O99</f>
        <v>0</v>
      </c>
      <c r="AW101" s="297" t="str">
        <f t="shared" si="99"/>
        <v>0</v>
      </c>
      <c r="AX101" s="298">
        <f t="shared" si="100"/>
        <v>0</v>
      </c>
      <c r="AY101" s="299">
        <f>[1]COMMANDE!Q99</f>
        <v>0</v>
      </c>
      <c r="AZ101" s="297" t="str">
        <f t="shared" si="101"/>
        <v>0</v>
      </c>
      <c r="BA101" s="300">
        <f t="shared" si="102"/>
        <v>0</v>
      </c>
      <c r="BB101" s="301">
        <f>[1]COMMANDE!S99</f>
        <v>0</v>
      </c>
      <c r="BC101" s="297" t="str">
        <f t="shared" si="103"/>
        <v>0</v>
      </c>
      <c r="BD101" s="298">
        <f t="shared" si="104"/>
        <v>0</v>
      </c>
      <c r="BE101" s="299">
        <f>[1]COMMANDE!U99</f>
        <v>0</v>
      </c>
      <c r="BF101" s="297" t="str">
        <f t="shared" si="105"/>
        <v>0</v>
      </c>
      <c r="BG101" s="300">
        <f t="shared" si="106"/>
        <v>0</v>
      </c>
      <c r="BH101" s="301">
        <f>[1]COMMANDE!W99</f>
        <v>0</v>
      </c>
      <c r="BI101" s="297" t="str">
        <f t="shared" si="107"/>
        <v>0</v>
      </c>
      <c r="BJ101" s="298">
        <f t="shared" si="108"/>
        <v>0</v>
      </c>
      <c r="BK101" s="299">
        <f>[1]COMMANDE!Y99</f>
        <v>0</v>
      </c>
      <c r="BL101" s="297" t="str">
        <f t="shared" si="109"/>
        <v>0</v>
      </c>
      <c r="BM101" s="300">
        <f t="shared" si="110"/>
        <v>0</v>
      </c>
      <c r="BN101" s="301">
        <f>[1]COMMANDE!AA99</f>
        <v>0</v>
      </c>
      <c r="BO101" s="297" t="str">
        <f t="shared" si="111"/>
        <v>0</v>
      </c>
      <c r="BP101" s="298">
        <f t="shared" si="112"/>
        <v>0</v>
      </c>
      <c r="BQ101" s="299">
        <f>[1]COMMANDE!AC99</f>
        <v>0</v>
      </c>
      <c r="BR101" s="297" t="str">
        <f t="shared" si="113"/>
        <v>0</v>
      </c>
      <c r="BS101" s="300">
        <f t="shared" si="114"/>
        <v>0</v>
      </c>
      <c r="BT101" s="301">
        <f>[1]COMMANDE!AE99</f>
        <v>0</v>
      </c>
      <c r="BU101" s="297" t="str">
        <f t="shared" si="115"/>
        <v>0</v>
      </c>
      <c r="BV101" s="298">
        <f t="shared" si="116"/>
        <v>0</v>
      </c>
      <c r="BW101" s="299">
        <f>[1]COMMANDE!AG99</f>
        <v>0</v>
      </c>
      <c r="BX101" s="297" t="str">
        <f t="shared" si="117"/>
        <v>0</v>
      </c>
      <c r="BY101" s="300">
        <f t="shared" si="118"/>
        <v>0</v>
      </c>
      <c r="BZ101" s="301">
        <f>[1]COMMANDE!AI99</f>
        <v>0</v>
      </c>
      <c r="CA101" s="297" t="str">
        <f t="shared" si="119"/>
        <v>0</v>
      </c>
      <c r="CB101" s="298">
        <f t="shared" si="120"/>
        <v>0</v>
      </c>
      <c r="CC101" s="299">
        <f>[1]COMMANDE!AK99</f>
        <v>0</v>
      </c>
      <c r="CD101" s="297" t="str">
        <f t="shared" si="121"/>
        <v>0</v>
      </c>
      <c r="CE101" s="300">
        <f t="shared" si="122"/>
        <v>0</v>
      </c>
      <c r="CF101" s="301">
        <f>[1]COMMANDE!AM99</f>
        <v>0</v>
      </c>
      <c r="CG101" s="297" t="str">
        <f t="shared" si="123"/>
        <v>0</v>
      </c>
      <c r="CH101" s="298">
        <f t="shared" si="124"/>
        <v>0</v>
      </c>
      <c r="CI101" s="299">
        <f>[1]COMMANDE!AO99</f>
        <v>0</v>
      </c>
      <c r="CJ101" s="297" t="str">
        <f t="shared" si="125"/>
        <v>0</v>
      </c>
      <c r="CK101" s="300">
        <f t="shared" si="126"/>
        <v>0</v>
      </c>
      <c r="CL101" s="301">
        <f>[1]COMMANDE!AQ99</f>
        <v>0</v>
      </c>
      <c r="CM101" s="297" t="str">
        <f t="shared" si="127"/>
        <v>0</v>
      </c>
      <c r="CN101" s="298">
        <f t="shared" si="128"/>
        <v>0</v>
      </c>
      <c r="CO101" s="299">
        <f>[1]COMMANDE!AS99</f>
        <v>0</v>
      </c>
      <c r="CP101" s="297" t="str">
        <f t="shared" si="129"/>
        <v>0</v>
      </c>
      <c r="CQ101" s="300">
        <f t="shared" si="130"/>
        <v>0</v>
      </c>
      <c r="CR101" s="301">
        <f>[1]COMMANDE!AU99</f>
        <v>0</v>
      </c>
      <c r="CS101" s="297" t="str">
        <f t="shared" si="131"/>
        <v>0</v>
      </c>
      <c r="CT101" s="298">
        <f t="shared" si="132"/>
        <v>0</v>
      </c>
      <c r="CU101" s="299">
        <f>[1]COMMANDE!AW99</f>
        <v>0</v>
      </c>
      <c r="CV101" s="297" t="str">
        <f t="shared" si="133"/>
        <v>0</v>
      </c>
      <c r="CW101" s="300">
        <f t="shared" si="134"/>
        <v>0</v>
      </c>
      <c r="CX101" s="301">
        <f>[1]COMMANDE!AY99</f>
        <v>0</v>
      </c>
      <c r="CY101" s="297" t="str">
        <f t="shared" si="135"/>
        <v>0</v>
      </c>
      <c r="CZ101" s="298">
        <f t="shared" si="136"/>
        <v>0</v>
      </c>
      <c r="DA101" s="299">
        <f>[1]COMMANDE!BA99</f>
        <v>0</v>
      </c>
      <c r="DB101" s="297" t="str">
        <f t="shared" si="137"/>
        <v>0</v>
      </c>
      <c r="DC101" s="302">
        <f t="shared" si="138"/>
        <v>0</v>
      </c>
      <c r="DD101" s="303"/>
      <c r="DE101" s="304"/>
    </row>
    <row r="102" spans="1:109" ht="39.950000000000003" customHeight="1" x14ac:dyDescent="0.25">
      <c r="A102" s="284">
        <f t="shared" si="71"/>
        <v>0</v>
      </c>
      <c r="B102" s="284">
        <f t="shared" si="72"/>
        <v>0</v>
      </c>
      <c r="C102" s="284">
        <f t="shared" si="73"/>
        <v>0</v>
      </c>
      <c r="D102" s="284">
        <f t="shared" si="74"/>
        <v>0</v>
      </c>
      <c r="E102" s="284">
        <f t="shared" si="75"/>
        <v>0</v>
      </c>
      <c r="F102" s="284">
        <f t="shared" si="76"/>
        <v>0</v>
      </c>
      <c r="G102" s="284">
        <f t="shared" si="77"/>
        <v>0</v>
      </c>
      <c r="H102" s="284">
        <f t="shared" si="78"/>
        <v>0</v>
      </c>
      <c r="I102" s="284">
        <f t="shared" si="79"/>
        <v>0</v>
      </c>
      <c r="J102" s="284">
        <f t="shared" si="80"/>
        <v>0</v>
      </c>
      <c r="K102" s="284">
        <f t="shared" si="81"/>
        <v>0</v>
      </c>
      <c r="L102" s="284">
        <f t="shared" si="82"/>
        <v>0</v>
      </c>
      <c r="M102" s="284">
        <f t="shared" si="83"/>
        <v>0</v>
      </c>
      <c r="N102" s="284">
        <f t="shared" si="84"/>
        <v>0</v>
      </c>
      <c r="O102" s="284">
        <f t="shared" si="85"/>
        <v>0</v>
      </c>
      <c r="P102" s="284">
        <f t="shared" si="86"/>
        <v>0</v>
      </c>
      <c r="Q102" s="284">
        <f t="shared" si="87"/>
        <v>0</v>
      </c>
      <c r="R102" s="284">
        <f t="shared" si="88"/>
        <v>0</v>
      </c>
      <c r="S102" s="284">
        <f t="shared" si="89"/>
        <v>0</v>
      </c>
      <c r="T102" s="284">
        <f t="shared" si="90"/>
        <v>0</v>
      </c>
      <c r="U102" s="285">
        <f t="shared" si="91"/>
        <v>0</v>
      </c>
      <c r="V102" s="286" t="str">
        <f>[1]BDD!A92</f>
        <v>1997</v>
      </c>
      <c r="W102" s="287" t="str">
        <f>[1]BDD!B92</f>
        <v>Dattes Medjool Jumbo semi-sèche BIO</v>
      </c>
      <c r="X102" s="288" t="str">
        <f>IF([1]BDD!F92=0, "", [1]BDD!F92)</f>
        <v>❤️</v>
      </c>
      <c r="Y102" s="214">
        <f>ROUND([1]BDD!G92+FDP_CMD_KG, 2)</f>
        <v>26.06</v>
      </c>
      <c r="Z102" s="214">
        <f>ROUND([1]BDD!G92+FDP_FACT_KG, 2)</f>
        <v>26.06</v>
      </c>
      <c r="AA102" s="215" t="str">
        <f>[1]BDD!H92</f>
        <v>kg</v>
      </c>
      <c r="AB102" s="225">
        <f>IF(NOT(ISBLANK([1]BDD!I92)), ROUND(SUM(([1]BDD!G92*reduc1),FDP_CMD_KG), 2), "")</f>
        <v>23.54</v>
      </c>
      <c r="AC102" s="225" t="str">
        <f>IF(NOT(ISBLANK([1]BDD!J92)), ROUND(SUM(([1]BDD!G92*reduc2),FDP_CMD_KG), 2), "")</f>
        <v/>
      </c>
      <c r="AD102" s="225" t="str">
        <f>IF(NOT(ISBLANK([1]BDD!K92)), ROUND(SUM(([1]BDD!G92*reduc3),FDP_CMD_KG), 2), "")</f>
        <v/>
      </c>
      <c r="AE102" s="225">
        <f>IF(NOT(ISBLANK([1]BDD!I92)), ROUND(SUM(([1]BDD!G92*reduc1),FDP_FACT_KG), 2), "")</f>
        <v>23.54</v>
      </c>
      <c r="AF102" s="225" t="str">
        <f>IF(NOT(ISBLANK([1]BDD!J92)), ROUND(SUM(([1]BDD!G92*reduc2),FDP_FACT_KG), 2), "")</f>
        <v/>
      </c>
      <c r="AG102" s="225" t="str">
        <f>IF(NOT(ISBLANK([1]BDD!K92)), ROUND(SUM(([1]BDD!G92*reduc3),FDP_FACT_KG), 2), "")</f>
        <v/>
      </c>
      <c r="AH102" s="289" t="str">
        <f>[1]BDD!C92</f>
        <v>Israël</v>
      </c>
      <c r="AI102" s="290">
        <f t="shared" si="92"/>
        <v>0</v>
      </c>
      <c r="AJ102" s="216">
        <f t="shared" si="93"/>
        <v>23.54</v>
      </c>
      <c r="AK102" s="291">
        <f t="shared" si="94"/>
        <v>0</v>
      </c>
      <c r="AL102" s="429"/>
      <c r="AM102" s="292"/>
      <c r="AN102" s="216">
        <f t="shared" si="95"/>
        <v>26.06</v>
      </c>
      <c r="AO102" s="293">
        <f t="shared" si="96"/>
        <v>0</v>
      </c>
      <c r="AP102" s="294"/>
      <c r="AQ102" s="294"/>
      <c r="AR102" s="429"/>
      <c r="AS102" s="295">
        <f t="shared" si="97"/>
        <v>0</v>
      </c>
      <c r="AT102" s="216">
        <f t="shared" si="98"/>
        <v>26.06</v>
      </c>
      <c r="AU102" s="291">
        <f t="shared" si="70"/>
        <v>0</v>
      </c>
      <c r="AV102" s="296">
        <f>[1]COMMANDE!O100</f>
        <v>0</v>
      </c>
      <c r="AW102" s="297" t="str">
        <f t="shared" si="99"/>
        <v>0</v>
      </c>
      <c r="AX102" s="298">
        <f t="shared" si="100"/>
        <v>0</v>
      </c>
      <c r="AY102" s="299">
        <f>[1]COMMANDE!Q100</f>
        <v>0</v>
      </c>
      <c r="AZ102" s="297" t="str">
        <f t="shared" si="101"/>
        <v>0</v>
      </c>
      <c r="BA102" s="300">
        <f t="shared" si="102"/>
        <v>0</v>
      </c>
      <c r="BB102" s="301">
        <f>[1]COMMANDE!S100</f>
        <v>0</v>
      </c>
      <c r="BC102" s="297" t="str">
        <f t="shared" si="103"/>
        <v>0</v>
      </c>
      <c r="BD102" s="298">
        <f t="shared" si="104"/>
        <v>0</v>
      </c>
      <c r="BE102" s="299">
        <f>[1]COMMANDE!U100</f>
        <v>0</v>
      </c>
      <c r="BF102" s="297" t="str">
        <f t="shared" si="105"/>
        <v>0</v>
      </c>
      <c r="BG102" s="300">
        <f t="shared" si="106"/>
        <v>0</v>
      </c>
      <c r="BH102" s="301">
        <f>[1]COMMANDE!W100</f>
        <v>0</v>
      </c>
      <c r="BI102" s="297" t="str">
        <f t="shared" si="107"/>
        <v>0</v>
      </c>
      <c r="BJ102" s="298">
        <f t="shared" si="108"/>
        <v>0</v>
      </c>
      <c r="BK102" s="299">
        <f>[1]COMMANDE!Y100</f>
        <v>0</v>
      </c>
      <c r="BL102" s="297" t="str">
        <f t="shared" si="109"/>
        <v>0</v>
      </c>
      <c r="BM102" s="300">
        <f t="shared" si="110"/>
        <v>0</v>
      </c>
      <c r="BN102" s="301">
        <f>[1]COMMANDE!AA100</f>
        <v>0</v>
      </c>
      <c r="BO102" s="297" t="str">
        <f t="shared" si="111"/>
        <v>0</v>
      </c>
      <c r="BP102" s="298">
        <f t="shared" si="112"/>
        <v>0</v>
      </c>
      <c r="BQ102" s="299">
        <f>[1]COMMANDE!AC100</f>
        <v>0</v>
      </c>
      <c r="BR102" s="297" t="str">
        <f t="shared" si="113"/>
        <v>0</v>
      </c>
      <c r="BS102" s="300">
        <f t="shared" si="114"/>
        <v>0</v>
      </c>
      <c r="BT102" s="301">
        <f>[1]COMMANDE!AE100</f>
        <v>0</v>
      </c>
      <c r="BU102" s="297" t="str">
        <f t="shared" si="115"/>
        <v>0</v>
      </c>
      <c r="BV102" s="298">
        <f t="shared" si="116"/>
        <v>0</v>
      </c>
      <c r="BW102" s="299">
        <f>[1]COMMANDE!AG100</f>
        <v>0</v>
      </c>
      <c r="BX102" s="297" t="str">
        <f t="shared" si="117"/>
        <v>0</v>
      </c>
      <c r="BY102" s="300">
        <f t="shared" si="118"/>
        <v>0</v>
      </c>
      <c r="BZ102" s="301">
        <f>[1]COMMANDE!AI100</f>
        <v>0</v>
      </c>
      <c r="CA102" s="297" t="str">
        <f t="shared" si="119"/>
        <v>0</v>
      </c>
      <c r="CB102" s="298">
        <f t="shared" si="120"/>
        <v>0</v>
      </c>
      <c r="CC102" s="299">
        <f>[1]COMMANDE!AK100</f>
        <v>0</v>
      </c>
      <c r="CD102" s="297" t="str">
        <f t="shared" si="121"/>
        <v>0</v>
      </c>
      <c r="CE102" s="300">
        <f t="shared" si="122"/>
        <v>0</v>
      </c>
      <c r="CF102" s="301">
        <f>[1]COMMANDE!AM100</f>
        <v>0</v>
      </c>
      <c r="CG102" s="297" t="str">
        <f t="shared" si="123"/>
        <v>0</v>
      </c>
      <c r="CH102" s="298">
        <f t="shared" si="124"/>
        <v>0</v>
      </c>
      <c r="CI102" s="299">
        <f>[1]COMMANDE!AO100</f>
        <v>0</v>
      </c>
      <c r="CJ102" s="297" t="str">
        <f t="shared" si="125"/>
        <v>0</v>
      </c>
      <c r="CK102" s="300">
        <f t="shared" si="126"/>
        <v>0</v>
      </c>
      <c r="CL102" s="301">
        <f>[1]COMMANDE!AQ100</f>
        <v>0</v>
      </c>
      <c r="CM102" s="297" t="str">
        <f t="shared" si="127"/>
        <v>0</v>
      </c>
      <c r="CN102" s="298">
        <f t="shared" si="128"/>
        <v>0</v>
      </c>
      <c r="CO102" s="299">
        <f>[1]COMMANDE!AS100</f>
        <v>0</v>
      </c>
      <c r="CP102" s="297" t="str">
        <f t="shared" si="129"/>
        <v>0</v>
      </c>
      <c r="CQ102" s="300">
        <f t="shared" si="130"/>
        <v>0</v>
      </c>
      <c r="CR102" s="301">
        <f>[1]COMMANDE!AU100</f>
        <v>0</v>
      </c>
      <c r="CS102" s="297" t="str">
        <f t="shared" si="131"/>
        <v>0</v>
      </c>
      <c r="CT102" s="298">
        <f t="shared" si="132"/>
        <v>0</v>
      </c>
      <c r="CU102" s="299">
        <f>[1]COMMANDE!AW100</f>
        <v>0</v>
      </c>
      <c r="CV102" s="297" t="str">
        <f t="shared" si="133"/>
        <v>0</v>
      </c>
      <c r="CW102" s="300">
        <f t="shared" si="134"/>
        <v>0</v>
      </c>
      <c r="CX102" s="301">
        <f>[1]COMMANDE!AY100</f>
        <v>0</v>
      </c>
      <c r="CY102" s="297" t="str">
        <f t="shared" si="135"/>
        <v>0</v>
      </c>
      <c r="CZ102" s="298">
        <f t="shared" si="136"/>
        <v>0</v>
      </c>
      <c r="DA102" s="299">
        <f>[1]COMMANDE!BA100</f>
        <v>0</v>
      </c>
      <c r="DB102" s="297" t="str">
        <f t="shared" si="137"/>
        <v>0</v>
      </c>
      <c r="DC102" s="302">
        <f t="shared" si="138"/>
        <v>0</v>
      </c>
      <c r="DD102" s="303"/>
      <c r="DE102" s="304"/>
    </row>
    <row r="103" spans="1:109" ht="39.950000000000003" customHeight="1" x14ac:dyDescent="0.25">
      <c r="A103" s="284">
        <f t="shared" si="71"/>
        <v>0</v>
      </c>
      <c r="B103" s="284">
        <f t="shared" si="72"/>
        <v>0</v>
      </c>
      <c r="C103" s="284">
        <f t="shared" si="73"/>
        <v>0</v>
      </c>
      <c r="D103" s="284">
        <f t="shared" si="74"/>
        <v>0</v>
      </c>
      <c r="E103" s="284">
        <f t="shared" si="75"/>
        <v>0</v>
      </c>
      <c r="F103" s="284">
        <f t="shared" si="76"/>
        <v>0</v>
      </c>
      <c r="G103" s="284">
        <f t="shared" si="77"/>
        <v>0</v>
      </c>
      <c r="H103" s="284">
        <f t="shared" si="78"/>
        <v>0</v>
      </c>
      <c r="I103" s="284">
        <f t="shared" si="79"/>
        <v>0</v>
      </c>
      <c r="J103" s="284">
        <f t="shared" si="80"/>
        <v>0</v>
      </c>
      <c r="K103" s="284">
        <f t="shared" si="81"/>
        <v>0</v>
      </c>
      <c r="L103" s="284">
        <f t="shared" si="82"/>
        <v>0</v>
      </c>
      <c r="M103" s="284">
        <f t="shared" si="83"/>
        <v>0</v>
      </c>
      <c r="N103" s="284">
        <f t="shared" si="84"/>
        <v>0</v>
      </c>
      <c r="O103" s="284">
        <f t="shared" si="85"/>
        <v>0</v>
      </c>
      <c r="P103" s="284">
        <f t="shared" si="86"/>
        <v>0</v>
      </c>
      <c r="Q103" s="284">
        <f t="shared" si="87"/>
        <v>0</v>
      </c>
      <c r="R103" s="284">
        <f t="shared" si="88"/>
        <v>0</v>
      </c>
      <c r="S103" s="284">
        <f t="shared" si="89"/>
        <v>0</v>
      </c>
      <c r="T103" s="284">
        <f t="shared" si="90"/>
        <v>0</v>
      </c>
      <c r="U103" s="285">
        <f t="shared" si="91"/>
        <v>0</v>
      </c>
      <c r="V103" s="286">
        <f>[1]BDD!A93</f>
        <v>3377</v>
      </c>
      <c r="W103" s="287" t="str">
        <f>[1]BDD!B93</f>
        <v>Eau de mer micro-filtrée hypertonique
    - (n°1 : box 3L)</v>
      </c>
      <c r="X103" s="288" t="str">
        <f>IF([1]BDD!F93=0, "", [1]BDD!F93)</f>
        <v>❤️</v>
      </c>
      <c r="Y103" s="214">
        <f>ROUND([1]BDD!G93+FDP_CMD_KG, 2)</f>
        <v>10.87</v>
      </c>
      <c r="Z103" s="214">
        <f>ROUND([1]BDD!G93+FDP_FACT_KG, 2)</f>
        <v>10.87</v>
      </c>
      <c r="AA103" s="215" t="str">
        <f>[1]BDD!H93</f>
        <v>Pièce</v>
      </c>
      <c r="AB103" s="225" t="str">
        <f>IF(NOT(ISBLANK([1]BDD!I93)), ROUND(SUM(([1]BDD!G93*reduc1),FDP_CMD_KG), 2), "")</f>
        <v/>
      </c>
      <c r="AC103" s="225" t="str">
        <f>IF(NOT(ISBLANK([1]BDD!J93)), ROUND(SUM(([1]BDD!G93*reduc2),FDP_CMD_KG), 2), "")</f>
        <v/>
      </c>
      <c r="AD103" s="225" t="str">
        <f>IF(NOT(ISBLANK([1]BDD!K93)), ROUND(SUM(([1]BDD!G93*reduc3),FDP_CMD_KG), 2), "")</f>
        <v/>
      </c>
      <c r="AE103" s="225" t="str">
        <f>IF(NOT(ISBLANK([1]BDD!I93)), ROUND(SUM(([1]BDD!G93*reduc1),FDP_FACT_KG), 2), "")</f>
        <v/>
      </c>
      <c r="AF103" s="225" t="str">
        <f>IF(NOT(ISBLANK([1]BDD!J93)), ROUND(SUM(([1]BDD!G93*reduc2),FDP_FACT_KG), 2), "")</f>
        <v/>
      </c>
      <c r="AG103" s="225" t="str">
        <f>IF(NOT(ISBLANK([1]BDD!K93)), ROUND(SUM(([1]BDD!G93*reduc3),FDP_FACT_KG), 2), "")</f>
        <v/>
      </c>
      <c r="AH103" s="289" t="str">
        <f>[1]BDD!C93</f>
        <v>Ibiza</v>
      </c>
      <c r="AI103" s="290">
        <f t="shared" si="92"/>
        <v>0</v>
      </c>
      <c r="AJ103" s="216">
        <f t="shared" si="93"/>
        <v>10.87</v>
      </c>
      <c r="AK103" s="291">
        <f t="shared" si="94"/>
        <v>0</v>
      </c>
      <c r="AL103" s="429"/>
      <c r="AM103" s="292"/>
      <c r="AN103" s="216">
        <f t="shared" si="95"/>
        <v>10.87</v>
      </c>
      <c r="AO103" s="293">
        <f t="shared" si="96"/>
        <v>0</v>
      </c>
      <c r="AP103" s="294"/>
      <c r="AQ103" s="294"/>
      <c r="AR103" s="429"/>
      <c r="AS103" s="295">
        <f t="shared" si="97"/>
        <v>0</v>
      </c>
      <c r="AT103" s="216">
        <f t="shared" si="98"/>
        <v>10.87</v>
      </c>
      <c r="AU103" s="291">
        <f t="shared" si="70"/>
        <v>0</v>
      </c>
      <c r="AV103" s="296">
        <f>[1]COMMANDE!O101</f>
        <v>0</v>
      </c>
      <c r="AW103" s="297" t="str">
        <f t="shared" si="99"/>
        <v>0</v>
      </c>
      <c r="AX103" s="298">
        <f t="shared" si="100"/>
        <v>0</v>
      </c>
      <c r="AY103" s="299">
        <f>[1]COMMANDE!Q101</f>
        <v>0</v>
      </c>
      <c r="AZ103" s="297" t="str">
        <f t="shared" si="101"/>
        <v>0</v>
      </c>
      <c r="BA103" s="300">
        <f t="shared" si="102"/>
        <v>0</v>
      </c>
      <c r="BB103" s="301">
        <f>[1]COMMANDE!S101</f>
        <v>0</v>
      </c>
      <c r="BC103" s="297" t="str">
        <f t="shared" si="103"/>
        <v>0</v>
      </c>
      <c r="BD103" s="298">
        <f t="shared" si="104"/>
        <v>0</v>
      </c>
      <c r="BE103" s="299">
        <f>[1]COMMANDE!U101</f>
        <v>0</v>
      </c>
      <c r="BF103" s="297" t="str">
        <f t="shared" si="105"/>
        <v>0</v>
      </c>
      <c r="BG103" s="300">
        <f t="shared" si="106"/>
        <v>0</v>
      </c>
      <c r="BH103" s="301">
        <f>[1]COMMANDE!W101</f>
        <v>0</v>
      </c>
      <c r="BI103" s="297" t="str">
        <f t="shared" si="107"/>
        <v>0</v>
      </c>
      <c r="BJ103" s="298">
        <f t="shared" si="108"/>
        <v>0</v>
      </c>
      <c r="BK103" s="299">
        <f>[1]COMMANDE!Y101</f>
        <v>0</v>
      </c>
      <c r="BL103" s="297" t="str">
        <f t="shared" si="109"/>
        <v>0</v>
      </c>
      <c r="BM103" s="300">
        <f t="shared" si="110"/>
        <v>0</v>
      </c>
      <c r="BN103" s="301">
        <f>[1]COMMANDE!AA101</f>
        <v>0</v>
      </c>
      <c r="BO103" s="297" t="str">
        <f t="shared" si="111"/>
        <v>0</v>
      </c>
      <c r="BP103" s="298">
        <f t="shared" si="112"/>
        <v>0</v>
      </c>
      <c r="BQ103" s="299">
        <f>[1]COMMANDE!AC101</f>
        <v>0</v>
      </c>
      <c r="BR103" s="297" t="str">
        <f t="shared" si="113"/>
        <v>0</v>
      </c>
      <c r="BS103" s="300">
        <f t="shared" si="114"/>
        <v>0</v>
      </c>
      <c r="BT103" s="301">
        <f>[1]COMMANDE!AE101</f>
        <v>0</v>
      </c>
      <c r="BU103" s="297" t="str">
        <f t="shared" si="115"/>
        <v>0</v>
      </c>
      <c r="BV103" s="298">
        <f t="shared" si="116"/>
        <v>0</v>
      </c>
      <c r="BW103" s="299">
        <f>[1]COMMANDE!AG101</f>
        <v>0</v>
      </c>
      <c r="BX103" s="297" t="str">
        <f t="shared" si="117"/>
        <v>0</v>
      </c>
      <c r="BY103" s="300">
        <f t="shared" si="118"/>
        <v>0</v>
      </c>
      <c r="BZ103" s="301">
        <f>[1]COMMANDE!AI101</f>
        <v>0</v>
      </c>
      <c r="CA103" s="297" t="str">
        <f t="shared" si="119"/>
        <v>0</v>
      </c>
      <c r="CB103" s="298">
        <f t="shared" si="120"/>
        <v>0</v>
      </c>
      <c r="CC103" s="299">
        <f>[1]COMMANDE!AK101</f>
        <v>0</v>
      </c>
      <c r="CD103" s="297" t="str">
        <f t="shared" si="121"/>
        <v>0</v>
      </c>
      <c r="CE103" s="300">
        <f t="shared" si="122"/>
        <v>0</v>
      </c>
      <c r="CF103" s="301">
        <f>[1]COMMANDE!AM101</f>
        <v>0</v>
      </c>
      <c r="CG103" s="297" t="str">
        <f t="shared" si="123"/>
        <v>0</v>
      </c>
      <c r="CH103" s="298">
        <f t="shared" si="124"/>
        <v>0</v>
      </c>
      <c r="CI103" s="299">
        <f>[1]COMMANDE!AO101</f>
        <v>0</v>
      </c>
      <c r="CJ103" s="297" t="str">
        <f t="shared" si="125"/>
        <v>0</v>
      </c>
      <c r="CK103" s="300">
        <f t="shared" si="126"/>
        <v>0</v>
      </c>
      <c r="CL103" s="301">
        <f>[1]COMMANDE!AQ101</f>
        <v>0</v>
      </c>
      <c r="CM103" s="297" t="str">
        <f t="shared" si="127"/>
        <v>0</v>
      </c>
      <c r="CN103" s="298">
        <f t="shared" si="128"/>
        <v>0</v>
      </c>
      <c r="CO103" s="299">
        <f>[1]COMMANDE!AS101</f>
        <v>0</v>
      </c>
      <c r="CP103" s="297" t="str">
        <f t="shared" si="129"/>
        <v>0</v>
      </c>
      <c r="CQ103" s="300">
        <f t="shared" si="130"/>
        <v>0</v>
      </c>
      <c r="CR103" s="301">
        <f>[1]COMMANDE!AU101</f>
        <v>0</v>
      </c>
      <c r="CS103" s="297" t="str">
        <f t="shared" si="131"/>
        <v>0</v>
      </c>
      <c r="CT103" s="298">
        <f t="shared" si="132"/>
        <v>0</v>
      </c>
      <c r="CU103" s="299">
        <f>[1]COMMANDE!AW101</f>
        <v>0</v>
      </c>
      <c r="CV103" s="297" t="str">
        <f t="shared" si="133"/>
        <v>0</v>
      </c>
      <c r="CW103" s="300">
        <f t="shared" si="134"/>
        <v>0</v>
      </c>
      <c r="CX103" s="301">
        <f>[1]COMMANDE!AY101</f>
        <v>0</v>
      </c>
      <c r="CY103" s="297" t="str">
        <f t="shared" si="135"/>
        <v>0</v>
      </c>
      <c r="CZ103" s="298">
        <f t="shared" si="136"/>
        <v>0</v>
      </c>
      <c r="DA103" s="299">
        <f>[1]COMMANDE!BA101</f>
        <v>0</v>
      </c>
      <c r="DB103" s="297" t="str">
        <f t="shared" si="137"/>
        <v>0</v>
      </c>
      <c r="DC103" s="302">
        <f t="shared" si="138"/>
        <v>0</v>
      </c>
      <c r="DD103" s="303"/>
      <c r="DE103" s="304"/>
    </row>
    <row r="104" spans="1:109" ht="39.950000000000003" customHeight="1" x14ac:dyDescent="0.25">
      <c r="A104" s="284">
        <f t="shared" si="71"/>
        <v>0</v>
      </c>
      <c r="B104" s="284">
        <f t="shared" si="72"/>
        <v>0</v>
      </c>
      <c r="C104" s="284">
        <f t="shared" si="73"/>
        <v>0</v>
      </c>
      <c r="D104" s="284">
        <f t="shared" si="74"/>
        <v>0</v>
      </c>
      <c r="E104" s="284">
        <f t="shared" si="75"/>
        <v>0</v>
      </c>
      <c r="F104" s="284">
        <f t="shared" si="76"/>
        <v>0</v>
      </c>
      <c r="G104" s="284">
        <f t="shared" si="77"/>
        <v>0</v>
      </c>
      <c r="H104" s="284">
        <f t="shared" si="78"/>
        <v>0</v>
      </c>
      <c r="I104" s="284">
        <f t="shared" si="79"/>
        <v>0</v>
      </c>
      <c r="J104" s="284">
        <f t="shared" si="80"/>
        <v>0</v>
      </c>
      <c r="K104" s="284">
        <f t="shared" si="81"/>
        <v>0</v>
      </c>
      <c r="L104" s="284">
        <f t="shared" si="82"/>
        <v>0</v>
      </c>
      <c r="M104" s="284">
        <f t="shared" si="83"/>
        <v>0</v>
      </c>
      <c r="N104" s="284">
        <f t="shared" si="84"/>
        <v>0</v>
      </c>
      <c r="O104" s="284">
        <f t="shared" si="85"/>
        <v>0</v>
      </c>
      <c r="P104" s="284">
        <f t="shared" si="86"/>
        <v>0</v>
      </c>
      <c r="Q104" s="284">
        <f t="shared" si="87"/>
        <v>0</v>
      </c>
      <c r="R104" s="284">
        <f t="shared" si="88"/>
        <v>0</v>
      </c>
      <c r="S104" s="284">
        <f t="shared" si="89"/>
        <v>0</v>
      </c>
      <c r="T104" s="284">
        <f t="shared" si="90"/>
        <v>0</v>
      </c>
      <c r="U104" s="285">
        <f t="shared" si="91"/>
        <v>0</v>
      </c>
      <c r="V104" s="286">
        <f>[1]BDD!A94</f>
        <v>3720</v>
      </c>
      <c r="W104" s="287" t="str">
        <f>[1]BDD!B94</f>
        <v>Eau de mer micro-filtrée hypertonique
    - (n°2 : box 11L)</v>
      </c>
      <c r="X104" s="288" t="str">
        <f>IF([1]BDD!F94=0, "", [1]BDD!F94)</f>
        <v>❤️</v>
      </c>
      <c r="Y104" s="214">
        <f>ROUND([1]BDD!G94+FDP_CMD_KG, 2)</f>
        <v>30.87</v>
      </c>
      <c r="Z104" s="214">
        <f>ROUND([1]BDD!G94+FDP_FACT_KG, 2)</f>
        <v>30.87</v>
      </c>
      <c r="AA104" s="215" t="str">
        <f>[1]BDD!H94</f>
        <v>Pièce</v>
      </c>
      <c r="AB104" s="225" t="str">
        <f>IF(NOT(ISBLANK([1]BDD!I94)), ROUND(SUM(([1]BDD!G94*reduc1),FDP_CMD_KG), 2), "")</f>
        <v/>
      </c>
      <c r="AC104" s="225" t="str">
        <f>IF(NOT(ISBLANK([1]BDD!J94)), ROUND(SUM(([1]BDD!G94*reduc2),FDP_CMD_KG), 2), "")</f>
        <v/>
      </c>
      <c r="AD104" s="225" t="str">
        <f>IF(NOT(ISBLANK([1]BDD!K94)), ROUND(SUM(([1]BDD!G94*reduc3),FDP_CMD_KG), 2), "")</f>
        <v/>
      </c>
      <c r="AE104" s="225" t="str">
        <f>IF(NOT(ISBLANK([1]BDD!I94)), ROUND(SUM(([1]BDD!G94*reduc1),FDP_FACT_KG), 2), "")</f>
        <v/>
      </c>
      <c r="AF104" s="225" t="str">
        <f>IF(NOT(ISBLANK([1]BDD!J94)), ROUND(SUM(([1]BDD!G94*reduc2),FDP_FACT_KG), 2), "")</f>
        <v/>
      </c>
      <c r="AG104" s="225" t="str">
        <f>IF(NOT(ISBLANK([1]BDD!K94)), ROUND(SUM(([1]BDD!G94*reduc3),FDP_FACT_KG), 2), "")</f>
        <v/>
      </c>
      <c r="AH104" s="289" t="str">
        <f>[1]BDD!C94</f>
        <v>Ibiza</v>
      </c>
      <c r="AI104" s="290">
        <f t="shared" si="92"/>
        <v>0</v>
      </c>
      <c r="AJ104" s="216">
        <f t="shared" si="93"/>
        <v>30.87</v>
      </c>
      <c r="AK104" s="291">
        <f t="shared" si="94"/>
        <v>0</v>
      </c>
      <c r="AL104" s="429"/>
      <c r="AM104" s="292"/>
      <c r="AN104" s="216">
        <f t="shared" si="95"/>
        <v>30.87</v>
      </c>
      <c r="AO104" s="293">
        <f t="shared" si="96"/>
        <v>0</v>
      </c>
      <c r="AP104" s="294"/>
      <c r="AQ104" s="294"/>
      <c r="AR104" s="429"/>
      <c r="AS104" s="295">
        <f t="shared" si="97"/>
        <v>0</v>
      </c>
      <c r="AT104" s="216">
        <f t="shared" si="98"/>
        <v>30.87</v>
      </c>
      <c r="AU104" s="291">
        <f t="shared" si="70"/>
        <v>0</v>
      </c>
      <c r="AV104" s="296">
        <f>[1]COMMANDE!O102</f>
        <v>0</v>
      </c>
      <c r="AW104" s="297" t="str">
        <f t="shared" si="99"/>
        <v>0</v>
      </c>
      <c r="AX104" s="298">
        <f t="shared" si="100"/>
        <v>0</v>
      </c>
      <c r="AY104" s="299">
        <f>[1]COMMANDE!Q102</f>
        <v>0</v>
      </c>
      <c r="AZ104" s="297" t="str">
        <f t="shared" si="101"/>
        <v>0</v>
      </c>
      <c r="BA104" s="300">
        <f t="shared" si="102"/>
        <v>0</v>
      </c>
      <c r="BB104" s="301">
        <f>[1]COMMANDE!S102</f>
        <v>0</v>
      </c>
      <c r="BC104" s="297" t="str">
        <f t="shared" si="103"/>
        <v>0</v>
      </c>
      <c r="BD104" s="298">
        <f t="shared" si="104"/>
        <v>0</v>
      </c>
      <c r="BE104" s="299">
        <f>[1]COMMANDE!U102</f>
        <v>0</v>
      </c>
      <c r="BF104" s="297" t="str">
        <f t="shared" si="105"/>
        <v>0</v>
      </c>
      <c r="BG104" s="300">
        <f t="shared" si="106"/>
        <v>0</v>
      </c>
      <c r="BH104" s="301">
        <f>[1]COMMANDE!W102</f>
        <v>0</v>
      </c>
      <c r="BI104" s="297" t="str">
        <f t="shared" si="107"/>
        <v>0</v>
      </c>
      <c r="BJ104" s="298">
        <f t="shared" si="108"/>
        <v>0</v>
      </c>
      <c r="BK104" s="299">
        <f>[1]COMMANDE!Y102</f>
        <v>0</v>
      </c>
      <c r="BL104" s="297" t="str">
        <f t="shared" si="109"/>
        <v>0</v>
      </c>
      <c r="BM104" s="300">
        <f t="shared" si="110"/>
        <v>0</v>
      </c>
      <c r="BN104" s="301">
        <f>[1]COMMANDE!AA102</f>
        <v>0</v>
      </c>
      <c r="BO104" s="297" t="str">
        <f t="shared" si="111"/>
        <v>0</v>
      </c>
      <c r="BP104" s="298">
        <f t="shared" si="112"/>
        <v>0</v>
      </c>
      <c r="BQ104" s="299">
        <f>[1]COMMANDE!AC102</f>
        <v>0</v>
      </c>
      <c r="BR104" s="297" t="str">
        <f t="shared" si="113"/>
        <v>0</v>
      </c>
      <c r="BS104" s="300">
        <f t="shared" si="114"/>
        <v>0</v>
      </c>
      <c r="BT104" s="301">
        <f>[1]COMMANDE!AE102</f>
        <v>0</v>
      </c>
      <c r="BU104" s="297" t="str">
        <f t="shared" si="115"/>
        <v>0</v>
      </c>
      <c r="BV104" s="298">
        <f t="shared" si="116"/>
        <v>0</v>
      </c>
      <c r="BW104" s="299">
        <f>[1]COMMANDE!AG102</f>
        <v>0</v>
      </c>
      <c r="BX104" s="297" t="str">
        <f t="shared" si="117"/>
        <v>0</v>
      </c>
      <c r="BY104" s="300">
        <f t="shared" si="118"/>
        <v>0</v>
      </c>
      <c r="BZ104" s="301">
        <f>[1]COMMANDE!AI102</f>
        <v>0</v>
      </c>
      <c r="CA104" s="297" t="str">
        <f t="shared" si="119"/>
        <v>0</v>
      </c>
      <c r="CB104" s="298">
        <f t="shared" si="120"/>
        <v>0</v>
      </c>
      <c r="CC104" s="299">
        <f>[1]COMMANDE!AK102</f>
        <v>0</v>
      </c>
      <c r="CD104" s="297" t="str">
        <f t="shared" si="121"/>
        <v>0</v>
      </c>
      <c r="CE104" s="300">
        <f t="shared" si="122"/>
        <v>0</v>
      </c>
      <c r="CF104" s="301">
        <f>[1]COMMANDE!AM102</f>
        <v>0</v>
      </c>
      <c r="CG104" s="297" t="str">
        <f t="shared" si="123"/>
        <v>0</v>
      </c>
      <c r="CH104" s="298">
        <f t="shared" si="124"/>
        <v>0</v>
      </c>
      <c r="CI104" s="299">
        <f>[1]COMMANDE!AO102</f>
        <v>0</v>
      </c>
      <c r="CJ104" s="297" t="str">
        <f t="shared" si="125"/>
        <v>0</v>
      </c>
      <c r="CK104" s="300">
        <f t="shared" si="126"/>
        <v>0</v>
      </c>
      <c r="CL104" s="301">
        <f>[1]COMMANDE!AQ102</f>
        <v>0</v>
      </c>
      <c r="CM104" s="297" t="str">
        <f t="shared" si="127"/>
        <v>0</v>
      </c>
      <c r="CN104" s="298">
        <f t="shared" si="128"/>
        <v>0</v>
      </c>
      <c r="CO104" s="299">
        <f>[1]COMMANDE!AS102</f>
        <v>0</v>
      </c>
      <c r="CP104" s="297" t="str">
        <f t="shared" si="129"/>
        <v>0</v>
      </c>
      <c r="CQ104" s="300">
        <f t="shared" si="130"/>
        <v>0</v>
      </c>
      <c r="CR104" s="301">
        <f>[1]COMMANDE!AU102</f>
        <v>0</v>
      </c>
      <c r="CS104" s="297" t="str">
        <f t="shared" si="131"/>
        <v>0</v>
      </c>
      <c r="CT104" s="298">
        <f t="shared" si="132"/>
        <v>0</v>
      </c>
      <c r="CU104" s="299">
        <f>[1]COMMANDE!AW102</f>
        <v>0</v>
      </c>
      <c r="CV104" s="297" t="str">
        <f t="shared" si="133"/>
        <v>0</v>
      </c>
      <c r="CW104" s="300">
        <f t="shared" si="134"/>
        <v>0</v>
      </c>
      <c r="CX104" s="301">
        <f>[1]COMMANDE!AY102</f>
        <v>0</v>
      </c>
      <c r="CY104" s="297" t="str">
        <f t="shared" si="135"/>
        <v>0</v>
      </c>
      <c r="CZ104" s="298">
        <f t="shared" si="136"/>
        <v>0</v>
      </c>
      <c r="DA104" s="299">
        <f>[1]COMMANDE!BA102</f>
        <v>0</v>
      </c>
      <c r="DB104" s="297" t="str">
        <f t="shared" si="137"/>
        <v>0</v>
      </c>
      <c r="DC104" s="302">
        <f t="shared" si="138"/>
        <v>0</v>
      </c>
      <c r="DD104" s="303"/>
      <c r="DE104" s="304"/>
    </row>
    <row r="105" spans="1:109" ht="39.950000000000003" customHeight="1" x14ac:dyDescent="0.25">
      <c r="A105" s="284">
        <f t="shared" si="71"/>
        <v>0</v>
      </c>
      <c r="B105" s="284">
        <f t="shared" si="72"/>
        <v>0</v>
      </c>
      <c r="C105" s="284">
        <f t="shared" si="73"/>
        <v>0</v>
      </c>
      <c r="D105" s="284">
        <f t="shared" si="74"/>
        <v>0</v>
      </c>
      <c r="E105" s="284">
        <f t="shared" si="75"/>
        <v>0</v>
      </c>
      <c r="F105" s="284">
        <f t="shared" si="76"/>
        <v>0</v>
      </c>
      <c r="G105" s="284">
        <f t="shared" si="77"/>
        <v>0</v>
      </c>
      <c r="H105" s="284">
        <f t="shared" si="78"/>
        <v>0</v>
      </c>
      <c r="I105" s="284">
        <f t="shared" si="79"/>
        <v>0</v>
      </c>
      <c r="J105" s="284">
        <f t="shared" si="80"/>
        <v>0</v>
      </c>
      <c r="K105" s="284">
        <f t="shared" si="81"/>
        <v>0</v>
      </c>
      <c r="L105" s="284">
        <f t="shared" si="82"/>
        <v>0</v>
      </c>
      <c r="M105" s="284">
        <f t="shared" si="83"/>
        <v>0</v>
      </c>
      <c r="N105" s="284">
        <f t="shared" si="84"/>
        <v>0</v>
      </c>
      <c r="O105" s="284">
        <f t="shared" si="85"/>
        <v>0</v>
      </c>
      <c r="P105" s="284">
        <f t="shared" si="86"/>
        <v>0</v>
      </c>
      <c r="Q105" s="284">
        <f t="shared" si="87"/>
        <v>0</v>
      </c>
      <c r="R105" s="284">
        <f t="shared" si="88"/>
        <v>0</v>
      </c>
      <c r="S105" s="284">
        <f t="shared" si="89"/>
        <v>0</v>
      </c>
      <c r="T105" s="284">
        <f t="shared" si="90"/>
        <v>0</v>
      </c>
      <c r="U105" s="285">
        <f t="shared" si="91"/>
        <v>0</v>
      </c>
      <c r="V105" s="286">
        <f>[1]BDD!A95</f>
        <v>3379</v>
      </c>
      <c r="W105" s="287" t="str">
        <f>[1]BDD!B95</f>
        <v>Eau de mer micro-filtrée hypertonique
    - (n°3 : box 20L)</v>
      </c>
      <c r="X105" s="288" t="str">
        <f>IF([1]BDD!F95=0, "", [1]BDD!F95)</f>
        <v>❤️</v>
      </c>
      <c r="Y105" s="214">
        <f>ROUND([1]BDD!G95+FDP_CMD_KG, 2)</f>
        <v>45.87</v>
      </c>
      <c r="Z105" s="214">
        <f>ROUND([1]BDD!G95+FDP_FACT_KG, 2)</f>
        <v>45.87</v>
      </c>
      <c r="AA105" s="215" t="str">
        <f>[1]BDD!H95</f>
        <v>Pièce</v>
      </c>
      <c r="AB105" s="225" t="str">
        <f>IF(NOT(ISBLANK([1]BDD!I95)), ROUND(SUM(([1]BDD!G95*reduc1),FDP_CMD_KG), 2), "")</f>
        <v/>
      </c>
      <c r="AC105" s="225" t="str">
        <f>IF(NOT(ISBLANK([1]BDD!J95)), ROUND(SUM(([1]BDD!G95*reduc2),FDP_CMD_KG), 2), "")</f>
        <v/>
      </c>
      <c r="AD105" s="225" t="str">
        <f>IF(NOT(ISBLANK([1]BDD!K95)), ROUND(SUM(([1]BDD!G95*reduc3),FDP_CMD_KG), 2), "")</f>
        <v/>
      </c>
      <c r="AE105" s="225" t="str">
        <f>IF(NOT(ISBLANK([1]BDD!I95)), ROUND(SUM(([1]BDD!G95*reduc1),FDP_FACT_KG), 2), "")</f>
        <v/>
      </c>
      <c r="AF105" s="225" t="str">
        <f>IF(NOT(ISBLANK([1]BDD!J95)), ROUND(SUM(([1]BDD!G95*reduc2),FDP_FACT_KG), 2), "")</f>
        <v/>
      </c>
      <c r="AG105" s="225" t="str">
        <f>IF(NOT(ISBLANK([1]BDD!K95)), ROUND(SUM(([1]BDD!G95*reduc3),FDP_FACT_KG), 2), "")</f>
        <v/>
      </c>
      <c r="AH105" s="289" t="str">
        <f>[1]BDD!C95</f>
        <v>Ibiza</v>
      </c>
      <c r="AI105" s="290">
        <f t="shared" si="92"/>
        <v>0</v>
      </c>
      <c r="AJ105" s="216">
        <f t="shared" si="93"/>
        <v>45.87</v>
      </c>
      <c r="AK105" s="291">
        <f t="shared" si="94"/>
        <v>0</v>
      </c>
      <c r="AL105" s="429"/>
      <c r="AM105" s="292"/>
      <c r="AN105" s="216">
        <f t="shared" si="95"/>
        <v>45.87</v>
      </c>
      <c r="AO105" s="293">
        <f t="shared" si="96"/>
        <v>0</v>
      </c>
      <c r="AP105" s="294"/>
      <c r="AQ105" s="294"/>
      <c r="AR105" s="429"/>
      <c r="AS105" s="295">
        <f t="shared" si="97"/>
        <v>0</v>
      </c>
      <c r="AT105" s="216">
        <f t="shared" si="98"/>
        <v>45.87</v>
      </c>
      <c r="AU105" s="291">
        <f t="shared" si="70"/>
        <v>0</v>
      </c>
      <c r="AV105" s="296">
        <f>[1]COMMANDE!O103</f>
        <v>0</v>
      </c>
      <c r="AW105" s="297" t="str">
        <f t="shared" si="99"/>
        <v>0</v>
      </c>
      <c r="AX105" s="298">
        <f t="shared" si="100"/>
        <v>0</v>
      </c>
      <c r="AY105" s="299">
        <f>[1]COMMANDE!Q103</f>
        <v>0</v>
      </c>
      <c r="AZ105" s="297" t="str">
        <f t="shared" si="101"/>
        <v>0</v>
      </c>
      <c r="BA105" s="300">
        <f t="shared" si="102"/>
        <v>0</v>
      </c>
      <c r="BB105" s="301">
        <f>[1]COMMANDE!S103</f>
        <v>0</v>
      </c>
      <c r="BC105" s="297" t="str">
        <f t="shared" si="103"/>
        <v>0</v>
      </c>
      <c r="BD105" s="298">
        <f t="shared" si="104"/>
        <v>0</v>
      </c>
      <c r="BE105" s="299">
        <f>[1]COMMANDE!U103</f>
        <v>0</v>
      </c>
      <c r="BF105" s="297" t="str">
        <f t="shared" si="105"/>
        <v>0</v>
      </c>
      <c r="BG105" s="300">
        <f t="shared" si="106"/>
        <v>0</v>
      </c>
      <c r="BH105" s="301">
        <f>[1]COMMANDE!W103</f>
        <v>0</v>
      </c>
      <c r="BI105" s="297" t="str">
        <f t="shared" si="107"/>
        <v>0</v>
      </c>
      <c r="BJ105" s="298">
        <f t="shared" si="108"/>
        <v>0</v>
      </c>
      <c r="BK105" s="299">
        <f>[1]COMMANDE!Y103</f>
        <v>0</v>
      </c>
      <c r="BL105" s="297" t="str">
        <f t="shared" si="109"/>
        <v>0</v>
      </c>
      <c r="BM105" s="300">
        <f t="shared" si="110"/>
        <v>0</v>
      </c>
      <c r="BN105" s="301">
        <f>[1]COMMANDE!AA103</f>
        <v>0</v>
      </c>
      <c r="BO105" s="297" t="str">
        <f t="shared" si="111"/>
        <v>0</v>
      </c>
      <c r="BP105" s="298">
        <f t="shared" si="112"/>
        <v>0</v>
      </c>
      <c r="BQ105" s="299">
        <f>[1]COMMANDE!AC103</f>
        <v>0</v>
      </c>
      <c r="BR105" s="297" t="str">
        <f t="shared" si="113"/>
        <v>0</v>
      </c>
      <c r="BS105" s="300">
        <f t="shared" si="114"/>
        <v>0</v>
      </c>
      <c r="BT105" s="301">
        <f>[1]COMMANDE!AE103</f>
        <v>0</v>
      </c>
      <c r="BU105" s="297" t="str">
        <f t="shared" si="115"/>
        <v>0</v>
      </c>
      <c r="BV105" s="298">
        <f t="shared" si="116"/>
        <v>0</v>
      </c>
      <c r="BW105" s="299">
        <f>[1]COMMANDE!AG103</f>
        <v>0</v>
      </c>
      <c r="BX105" s="297" t="str">
        <f t="shared" si="117"/>
        <v>0</v>
      </c>
      <c r="BY105" s="300">
        <f t="shared" si="118"/>
        <v>0</v>
      </c>
      <c r="BZ105" s="301">
        <f>[1]COMMANDE!AI103</f>
        <v>0</v>
      </c>
      <c r="CA105" s="297" t="str">
        <f t="shared" si="119"/>
        <v>0</v>
      </c>
      <c r="CB105" s="298">
        <f t="shared" si="120"/>
        <v>0</v>
      </c>
      <c r="CC105" s="299">
        <f>[1]COMMANDE!AK103</f>
        <v>0</v>
      </c>
      <c r="CD105" s="297" t="str">
        <f t="shared" si="121"/>
        <v>0</v>
      </c>
      <c r="CE105" s="300">
        <f t="shared" si="122"/>
        <v>0</v>
      </c>
      <c r="CF105" s="301">
        <f>[1]COMMANDE!AM103</f>
        <v>0</v>
      </c>
      <c r="CG105" s="297" t="str">
        <f t="shared" si="123"/>
        <v>0</v>
      </c>
      <c r="CH105" s="298">
        <f t="shared" si="124"/>
        <v>0</v>
      </c>
      <c r="CI105" s="299">
        <f>[1]COMMANDE!AO103</f>
        <v>0</v>
      </c>
      <c r="CJ105" s="297" t="str">
        <f t="shared" si="125"/>
        <v>0</v>
      </c>
      <c r="CK105" s="300">
        <f t="shared" si="126"/>
        <v>0</v>
      </c>
      <c r="CL105" s="301">
        <f>[1]COMMANDE!AQ103</f>
        <v>0</v>
      </c>
      <c r="CM105" s="297" t="str">
        <f t="shared" si="127"/>
        <v>0</v>
      </c>
      <c r="CN105" s="298">
        <f t="shared" si="128"/>
        <v>0</v>
      </c>
      <c r="CO105" s="299">
        <f>[1]COMMANDE!AS103</f>
        <v>0</v>
      </c>
      <c r="CP105" s="297" t="str">
        <f t="shared" si="129"/>
        <v>0</v>
      </c>
      <c r="CQ105" s="300">
        <f t="shared" si="130"/>
        <v>0</v>
      </c>
      <c r="CR105" s="301">
        <f>[1]COMMANDE!AU103</f>
        <v>0</v>
      </c>
      <c r="CS105" s="297" t="str">
        <f t="shared" si="131"/>
        <v>0</v>
      </c>
      <c r="CT105" s="298">
        <f t="shared" si="132"/>
        <v>0</v>
      </c>
      <c r="CU105" s="299">
        <f>[1]COMMANDE!AW103</f>
        <v>0</v>
      </c>
      <c r="CV105" s="297" t="str">
        <f t="shared" si="133"/>
        <v>0</v>
      </c>
      <c r="CW105" s="300">
        <f t="shared" si="134"/>
        <v>0</v>
      </c>
      <c r="CX105" s="301">
        <f>[1]COMMANDE!AY103</f>
        <v>0</v>
      </c>
      <c r="CY105" s="297" t="str">
        <f t="shared" si="135"/>
        <v>0</v>
      </c>
      <c r="CZ105" s="298">
        <f t="shared" si="136"/>
        <v>0</v>
      </c>
      <c r="DA105" s="299">
        <f>[1]COMMANDE!BA103</f>
        <v>0</v>
      </c>
      <c r="DB105" s="297" t="str">
        <f t="shared" si="137"/>
        <v>0</v>
      </c>
      <c r="DC105" s="302">
        <f t="shared" si="138"/>
        <v>0</v>
      </c>
      <c r="DD105" s="303"/>
      <c r="DE105" s="304"/>
    </row>
    <row r="106" spans="1:109" ht="39.950000000000003" customHeight="1" x14ac:dyDescent="0.25">
      <c r="A106" s="284">
        <f t="shared" si="71"/>
        <v>0</v>
      </c>
      <c r="B106" s="284">
        <f t="shared" si="72"/>
        <v>0</v>
      </c>
      <c r="C106" s="284">
        <f t="shared" si="73"/>
        <v>0</v>
      </c>
      <c r="D106" s="284">
        <f t="shared" si="74"/>
        <v>0</v>
      </c>
      <c r="E106" s="284">
        <f t="shared" si="75"/>
        <v>0</v>
      </c>
      <c r="F106" s="284">
        <f t="shared" si="76"/>
        <v>0</v>
      </c>
      <c r="G106" s="284">
        <f t="shared" si="77"/>
        <v>0</v>
      </c>
      <c r="H106" s="284">
        <f t="shared" si="78"/>
        <v>0</v>
      </c>
      <c r="I106" s="284">
        <f t="shared" si="79"/>
        <v>0</v>
      </c>
      <c r="J106" s="284">
        <f t="shared" si="80"/>
        <v>0</v>
      </c>
      <c r="K106" s="284">
        <f t="shared" si="81"/>
        <v>0</v>
      </c>
      <c r="L106" s="284">
        <f t="shared" si="82"/>
        <v>0</v>
      </c>
      <c r="M106" s="284">
        <f t="shared" si="83"/>
        <v>0</v>
      </c>
      <c r="N106" s="284">
        <f t="shared" si="84"/>
        <v>0</v>
      </c>
      <c r="O106" s="284">
        <f t="shared" si="85"/>
        <v>0</v>
      </c>
      <c r="P106" s="284">
        <f t="shared" si="86"/>
        <v>0</v>
      </c>
      <c r="Q106" s="284">
        <f t="shared" si="87"/>
        <v>0</v>
      </c>
      <c r="R106" s="284">
        <f t="shared" si="88"/>
        <v>0</v>
      </c>
      <c r="S106" s="284">
        <f t="shared" si="89"/>
        <v>0</v>
      </c>
      <c r="T106" s="284">
        <f t="shared" si="90"/>
        <v>0</v>
      </c>
      <c r="U106" s="285">
        <f t="shared" si="91"/>
        <v>0</v>
      </c>
      <c r="V106" s="286">
        <f>[1]BDD!A96</f>
        <v>3550</v>
      </c>
      <c r="W106" s="287" t="str">
        <f>[1]BDD!B96</f>
        <v>Epi de maïs doux frais (avec feuille autour)</v>
      </c>
      <c r="X106" s="288" t="str">
        <f>IF([1]BDD!F96=0, "", [1]BDD!F96)</f>
        <v/>
      </c>
      <c r="Y106" s="214">
        <f>ROUND([1]BDD!G96+FDP_CMD_KG, 2)</f>
        <v>2.5</v>
      </c>
      <c r="Z106" s="214">
        <f>ROUND([1]BDD!G96+FDP_FACT_KG, 2)</f>
        <v>2.5</v>
      </c>
      <c r="AA106" s="215" t="str">
        <f>[1]BDD!H96</f>
        <v>Pièce</v>
      </c>
      <c r="AB106" s="225" t="str">
        <f>IF(NOT(ISBLANK([1]BDD!I96)), ROUND(SUM(([1]BDD!G96*reduc1),FDP_CMD_KG), 2), "")</f>
        <v/>
      </c>
      <c r="AC106" s="225" t="str">
        <f>IF(NOT(ISBLANK([1]BDD!J96)), ROUND(SUM(([1]BDD!G96*reduc2),FDP_CMD_KG), 2), "")</f>
        <v/>
      </c>
      <c r="AD106" s="225" t="str">
        <f>IF(NOT(ISBLANK([1]BDD!K96)), ROUND(SUM(([1]BDD!G96*reduc3),FDP_CMD_KG), 2), "")</f>
        <v/>
      </c>
      <c r="AE106" s="225" t="str">
        <f>IF(NOT(ISBLANK([1]BDD!I96)), ROUND(SUM(([1]BDD!G96*reduc1),FDP_FACT_KG), 2), "")</f>
        <v/>
      </c>
      <c r="AF106" s="225" t="str">
        <f>IF(NOT(ISBLANK([1]BDD!J96)), ROUND(SUM(([1]BDD!G96*reduc2),FDP_FACT_KG), 2), "")</f>
        <v/>
      </c>
      <c r="AG106" s="225" t="str">
        <f>IF(NOT(ISBLANK([1]BDD!K96)), ROUND(SUM(([1]BDD!G96*reduc3),FDP_FACT_KG), 2), "")</f>
        <v/>
      </c>
      <c r="AH106" s="289" t="str">
        <f>[1]BDD!C96</f>
        <v>Malaga</v>
      </c>
      <c r="AI106" s="290">
        <f t="shared" si="92"/>
        <v>0</v>
      </c>
      <c r="AJ106" s="216">
        <f t="shared" si="93"/>
        <v>2.5</v>
      </c>
      <c r="AK106" s="291">
        <f t="shared" si="94"/>
        <v>0</v>
      </c>
      <c r="AL106" s="429"/>
      <c r="AM106" s="292"/>
      <c r="AN106" s="216">
        <f t="shared" si="95"/>
        <v>2.5</v>
      </c>
      <c r="AO106" s="293">
        <f t="shared" si="96"/>
        <v>0</v>
      </c>
      <c r="AP106" s="294"/>
      <c r="AQ106" s="294"/>
      <c r="AR106" s="429"/>
      <c r="AS106" s="295">
        <f t="shared" si="97"/>
        <v>0</v>
      </c>
      <c r="AT106" s="216">
        <f t="shared" si="98"/>
        <v>2.5</v>
      </c>
      <c r="AU106" s="291">
        <f t="shared" si="70"/>
        <v>0</v>
      </c>
      <c r="AV106" s="296">
        <f>[1]COMMANDE!O104</f>
        <v>0</v>
      </c>
      <c r="AW106" s="297" t="str">
        <f t="shared" si="99"/>
        <v>0</v>
      </c>
      <c r="AX106" s="298">
        <f t="shared" si="100"/>
        <v>0</v>
      </c>
      <c r="AY106" s="299">
        <f>[1]COMMANDE!Q104</f>
        <v>0</v>
      </c>
      <c r="AZ106" s="297" t="str">
        <f t="shared" si="101"/>
        <v>0</v>
      </c>
      <c r="BA106" s="300">
        <f t="shared" si="102"/>
        <v>0</v>
      </c>
      <c r="BB106" s="301">
        <f>[1]COMMANDE!S104</f>
        <v>0</v>
      </c>
      <c r="BC106" s="297" t="str">
        <f t="shared" si="103"/>
        <v>0</v>
      </c>
      <c r="BD106" s="298">
        <f t="shared" si="104"/>
        <v>0</v>
      </c>
      <c r="BE106" s="299">
        <f>[1]COMMANDE!U104</f>
        <v>0</v>
      </c>
      <c r="BF106" s="297" t="str">
        <f t="shared" si="105"/>
        <v>0</v>
      </c>
      <c r="BG106" s="300">
        <f t="shared" si="106"/>
        <v>0</v>
      </c>
      <c r="BH106" s="301">
        <f>[1]COMMANDE!W104</f>
        <v>0</v>
      </c>
      <c r="BI106" s="297" t="str">
        <f t="shared" si="107"/>
        <v>0</v>
      </c>
      <c r="BJ106" s="298">
        <f t="shared" si="108"/>
        <v>0</v>
      </c>
      <c r="BK106" s="299">
        <f>[1]COMMANDE!Y104</f>
        <v>0</v>
      </c>
      <c r="BL106" s="297" t="str">
        <f t="shared" si="109"/>
        <v>0</v>
      </c>
      <c r="BM106" s="300">
        <f t="shared" si="110"/>
        <v>0</v>
      </c>
      <c r="BN106" s="301">
        <f>[1]COMMANDE!AA104</f>
        <v>0</v>
      </c>
      <c r="BO106" s="297" t="str">
        <f t="shared" si="111"/>
        <v>0</v>
      </c>
      <c r="BP106" s="298">
        <f t="shared" si="112"/>
        <v>0</v>
      </c>
      <c r="BQ106" s="299">
        <f>[1]COMMANDE!AC104</f>
        <v>0</v>
      </c>
      <c r="BR106" s="297" t="str">
        <f t="shared" si="113"/>
        <v>0</v>
      </c>
      <c r="BS106" s="300">
        <f t="shared" si="114"/>
        <v>0</v>
      </c>
      <c r="BT106" s="301">
        <f>[1]COMMANDE!AE104</f>
        <v>0</v>
      </c>
      <c r="BU106" s="297" t="str">
        <f t="shared" si="115"/>
        <v>0</v>
      </c>
      <c r="BV106" s="298">
        <f t="shared" si="116"/>
        <v>0</v>
      </c>
      <c r="BW106" s="299">
        <f>[1]COMMANDE!AG104</f>
        <v>0</v>
      </c>
      <c r="BX106" s="297" t="str">
        <f t="shared" si="117"/>
        <v>0</v>
      </c>
      <c r="BY106" s="300">
        <f t="shared" si="118"/>
        <v>0</v>
      </c>
      <c r="BZ106" s="301">
        <f>[1]COMMANDE!AI104</f>
        <v>0</v>
      </c>
      <c r="CA106" s="297" t="str">
        <f t="shared" si="119"/>
        <v>0</v>
      </c>
      <c r="CB106" s="298">
        <f t="shared" si="120"/>
        <v>0</v>
      </c>
      <c r="CC106" s="299">
        <f>[1]COMMANDE!AK104</f>
        <v>0</v>
      </c>
      <c r="CD106" s="297" t="str">
        <f t="shared" si="121"/>
        <v>0</v>
      </c>
      <c r="CE106" s="300">
        <f t="shared" si="122"/>
        <v>0</v>
      </c>
      <c r="CF106" s="301">
        <f>[1]COMMANDE!AM104</f>
        <v>0</v>
      </c>
      <c r="CG106" s="297" t="str">
        <f t="shared" si="123"/>
        <v>0</v>
      </c>
      <c r="CH106" s="298">
        <f t="shared" si="124"/>
        <v>0</v>
      </c>
      <c r="CI106" s="299">
        <f>[1]COMMANDE!AO104</f>
        <v>0</v>
      </c>
      <c r="CJ106" s="297" t="str">
        <f t="shared" si="125"/>
        <v>0</v>
      </c>
      <c r="CK106" s="300">
        <f t="shared" si="126"/>
        <v>0</v>
      </c>
      <c r="CL106" s="301">
        <f>[1]COMMANDE!AQ104</f>
        <v>0</v>
      </c>
      <c r="CM106" s="297" t="str">
        <f t="shared" si="127"/>
        <v>0</v>
      </c>
      <c r="CN106" s="298">
        <f t="shared" si="128"/>
        <v>0</v>
      </c>
      <c r="CO106" s="299">
        <f>[1]COMMANDE!AS104</f>
        <v>0</v>
      </c>
      <c r="CP106" s="297" t="str">
        <f t="shared" si="129"/>
        <v>0</v>
      </c>
      <c r="CQ106" s="300">
        <f t="shared" si="130"/>
        <v>0</v>
      </c>
      <c r="CR106" s="301">
        <f>[1]COMMANDE!AU104</f>
        <v>0</v>
      </c>
      <c r="CS106" s="297" t="str">
        <f t="shared" si="131"/>
        <v>0</v>
      </c>
      <c r="CT106" s="298">
        <f t="shared" si="132"/>
        <v>0</v>
      </c>
      <c r="CU106" s="299">
        <f>[1]COMMANDE!AW104</f>
        <v>0</v>
      </c>
      <c r="CV106" s="297" t="str">
        <f t="shared" si="133"/>
        <v>0</v>
      </c>
      <c r="CW106" s="300">
        <f t="shared" si="134"/>
        <v>0</v>
      </c>
      <c r="CX106" s="301">
        <f>[1]COMMANDE!AY104</f>
        <v>0</v>
      </c>
      <c r="CY106" s="297" t="str">
        <f t="shared" si="135"/>
        <v>0</v>
      </c>
      <c r="CZ106" s="298">
        <f t="shared" si="136"/>
        <v>0</v>
      </c>
      <c r="DA106" s="299">
        <f>[1]COMMANDE!BA104</f>
        <v>0</v>
      </c>
      <c r="DB106" s="297" t="str">
        <f t="shared" si="137"/>
        <v>0</v>
      </c>
      <c r="DC106" s="302">
        <f t="shared" si="138"/>
        <v>0</v>
      </c>
      <c r="DD106" s="303"/>
      <c r="DE106" s="304"/>
    </row>
    <row r="107" spans="1:109" ht="39.950000000000003" customHeight="1" x14ac:dyDescent="0.25">
      <c r="A107" s="284">
        <f t="shared" si="71"/>
        <v>0</v>
      </c>
      <c r="B107" s="284">
        <f t="shared" si="72"/>
        <v>0</v>
      </c>
      <c r="C107" s="284">
        <f t="shared" si="73"/>
        <v>0</v>
      </c>
      <c r="D107" s="284">
        <f t="shared" si="74"/>
        <v>0</v>
      </c>
      <c r="E107" s="284">
        <f t="shared" si="75"/>
        <v>0</v>
      </c>
      <c r="F107" s="284">
        <f t="shared" si="76"/>
        <v>0</v>
      </c>
      <c r="G107" s="284">
        <f t="shared" si="77"/>
        <v>0</v>
      </c>
      <c r="H107" s="284">
        <f t="shared" si="78"/>
        <v>0</v>
      </c>
      <c r="I107" s="284">
        <f t="shared" si="79"/>
        <v>0</v>
      </c>
      <c r="J107" s="284">
        <f t="shared" si="80"/>
        <v>0</v>
      </c>
      <c r="K107" s="284">
        <f t="shared" si="81"/>
        <v>0</v>
      </c>
      <c r="L107" s="284">
        <f t="shared" si="82"/>
        <v>0</v>
      </c>
      <c r="M107" s="284">
        <f t="shared" si="83"/>
        <v>0</v>
      </c>
      <c r="N107" s="284">
        <f t="shared" si="84"/>
        <v>0</v>
      </c>
      <c r="O107" s="284">
        <f t="shared" si="85"/>
        <v>0</v>
      </c>
      <c r="P107" s="284">
        <f t="shared" si="86"/>
        <v>0</v>
      </c>
      <c r="Q107" s="284">
        <f t="shared" si="87"/>
        <v>0</v>
      </c>
      <c r="R107" s="284">
        <f t="shared" si="88"/>
        <v>0</v>
      </c>
      <c r="S107" s="284">
        <f t="shared" si="89"/>
        <v>0</v>
      </c>
      <c r="T107" s="284">
        <f t="shared" si="90"/>
        <v>0</v>
      </c>
      <c r="U107" s="285">
        <f t="shared" si="91"/>
        <v>0</v>
      </c>
      <c r="V107" s="286">
        <f>[1]BDD!A97</f>
        <v>3146</v>
      </c>
      <c r="W107" s="287" t="str">
        <f>[1]BDD!B97</f>
        <v>Epi de maïs doux frais (plateau de 2 pièces)</v>
      </c>
      <c r="X107" s="288" t="str">
        <f>IF([1]BDD!F97=0, "", [1]BDD!F97)</f>
        <v/>
      </c>
      <c r="Y107" s="214">
        <f>ROUND([1]BDD!G97+FDP_CMD_KG, 2)</f>
        <v>4.01</v>
      </c>
      <c r="Z107" s="214">
        <f>ROUND([1]BDD!G97+FDP_FACT_KG, 2)</f>
        <v>4.01</v>
      </c>
      <c r="AA107" s="215" t="str">
        <f>[1]BDD!H97</f>
        <v>Pièce</v>
      </c>
      <c r="AB107" s="225" t="str">
        <f>IF(NOT(ISBLANK([1]BDD!I97)), ROUND(SUM(([1]BDD!G97*reduc1),FDP_CMD_KG), 2), "")</f>
        <v/>
      </c>
      <c r="AC107" s="225" t="str">
        <f>IF(NOT(ISBLANK([1]BDD!J97)), ROUND(SUM(([1]BDD!G97*reduc2),FDP_CMD_KG), 2), "")</f>
        <v/>
      </c>
      <c r="AD107" s="225" t="str">
        <f>IF(NOT(ISBLANK([1]BDD!K97)), ROUND(SUM(([1]BDD!G97*reduc3),FDP_CMD_KG), 2), "")</f>
        <v/>
      </c>
      <c r="AE107" s="225" t="str">
        <f>IF(NOT(ISBLANK([1]BDD!I97)), ROUND(SUM(([1]BDD!G97*reduc1),FDP_FACT_KG), 2), "")</f>
        <v/>
      </c>
      <c r="AF107" s="225" t="str">
        <f>IF(NOT(ISBLANK([1]BDD!J97)), ROUND(SUM(([1]BDD!G97*reduc2),FDP_FACT_KG), 2), "")</f>
        <v/>
      </c>
      <c r="AG107" s="225" t="str">
        <f>IF(NOT(ISBLANK([1]BDD!K97)), ROUND(SUM(([1]BDD!G97*reduc3),FDP_FACT_KG), 2), "")</f>
        <v/>
      </c>
      <c r="AH107" s="289" t="str">
        <f>[1]BDD!C97</f>
        <v>Malaga</v>
      </c>
      <c r="AI107" s="290">
        <f t="shared" si="92"/>
        <v>0</v>
      </c>
      <c r="AJ107" s="216">
        <f t="shared" si="93"/>
        <v>4.01</v>
      </c>
      <c r="AK107" s="291">
        <f t="shared" si="94"/>
        <v>0</v>
      </c>
      <c r="AL107" s="429"/>
      <c r="AM107" s="292"/>
      <c r="AN107" s="216">
        <f t="shared" si="95"/>
        <v>4.01</v>
      </c>
      <c r="AO107" s="293">
        <f t="shared" si="96"/>
        <v>0</v>
      </c>
      <c r="AP107" s="294"/>
      <c r="AQ107" s="294"/>
      <c r="AR107" s="429"/>
      <c r="AS107" s="295">
        <f t="shared" si="97"/>
        <v>0</v>
      </c>
      <c r="AT107" s="216">
        <f t="shared" si="98"/>
        <v>4.01</v>
      </c>
      <c r="AU107" s="291">
        <f t="shared" si="70"/>
        <v>0</v>
      </c>
      <c r="AV107" s="296">
        <f>[1]COMMANDE!O105</f>
        <v>0</v>
      </c>
      <c r="AW107" s="297" t="str">
        <f t="shared" si="99"/>
        <v>0</v>
      </c>
      <c r="AX107" s="298">
        <f t="shared" si="100"/>
        <v>0</v>
      </c>
      <c r="AY107" s="299">
        <f>[1]COMMANDE!Q105</f>
        <v>0</v>
      </c>
      <c r="AZ107" s="297" t="str">
        <f t="shared" si="101"/>
        <v>0</v>
      </c>
      <c r="BA107" s="300">
        <f t="shared" si="102"/>
        <v>0</v>
      </c>
      <c r="BB107" s="301">
        <f>[1]COMMANDE!S105</f>
        <v>0</v>
      </c>
      <c r="BC107" s="297" t="str">
        <f t="shared" si="103"/>
        <v>0</v>
      </c>
      <c r="BD107" s="298">
        <f t="shared" si="104"/>
        <v>0</v>
      </c>
      <c r="BE107" s="299">
        <f>[1]COMMANDE!U105</f>
        <v>0</v>
      </c>
      <c r="BF107" s="297" t="str">
        <f t="shared" si="105"/>
        <v>0</v>
      </c>
      <c r="BG107" s="300">
        <f t="shared" si="106"/>
        <v>0</v>
      </c>
      <c r="BH107" s="301">
        <f>[1]COMMANDE!W105</f>
        <v>0</v>
      </c>
      <c r="BI107" s="297" t="str">
        <f t="shared" si="107"/>
        <v>0</v>
      </c>
      <c r="BJ107" s="298">
        <f t="shared" si="108"/>
        <v>0</v>
      </c>
      <c r="BK107" s="299">
        <f>[1]COMMANDE!Y105</f>
        <v>0</v>
      </c>
      <c r="BL107" s="297" t="str">
        <f t="shared" si="109"/>
        <v>0</v>
      </c>
      <c r="BM107" s="300">
        <f t="shared" si="110"/>
        <v>0</v>
      </c>
      <c r="BN107" s="301">
        <f>[1]COMMANDE!AA105</f>
        <v>0</v>
      </c>
      <c r="BO107" s="297" t="str">
        <f t="shared" si="111"/>
        <v>0</v>
      </c>
      <c r="BP107" s="298">
        <f t="shared" si="112"/>
        <v>0</v>
      </c>
      <c r="BQ107" s="299">
        <f>[1]COMMANDE!AC105</f>
        <v>0</v>
      </c>
      <c r="BR107" s="297" t="str">
        <f t="shared" si="113"/>
        <v>0</v>
      </c>
      <c r="BS107" s="300">
        <f t="shared" si="114"/>
        <v>0</v>
      </c>
      <c r="BT107" s="301">
        <f>[1]COMMANDE!AE105</f>
        <v>0</v>
      </c>
      <c r="BU107" s="297" t="str">
        <f t="shared" si="115"/>
        <v>0</v>
      </c>
      <c r="BV107" s="298">
        <f t="shared" si="116"/>
        <v>0</v>
      </c>
      <c r="BW107" s="299">
        <f>[1]COMMANDE!AG105</f>
        <v>0</v>
      </c>
      <c r="BX107" s="297" t="str">
        <f t="shared" si="117"/>
        <v>0</v>
      </c>
      <c r="BY107" s="300">
        <f t="shared" si="118"/>
        <v>0</v>
      </c>
      <c r="BZ107" s="301">
        <f>[1]COMMANDE!AI105</f>
        <v>0</v>
      </c>
      <c r="CA107" s="297" t="str">
        <f t="shared" si="119"/>
        <v>0</v>
      </c>
      <c r="CB107" s="298">
        <f t="shared" si="120"/>
        <v>0</v>
      </c>
      <c r="CC107" s="299">
        <f>[1]COMMANDE!AK105</f>
        <v>0</v>
      </c>
      <c r="CD107" s="297" t="str">
        <f t="shared" si="121"/>
        <v>0</v>
      </c>
      <c r="CE107" s="300">
        <f t="shared" si="122"/>
        <v>0</v>
      </c>
      <c r="CF107" s="301">
        <f>[1]COMMANDE!AM105</f>
        <v>0</v>
      </c>
      <c r="CG107" s="297" t="str">
        <f t="shared" si="123"/>
        <v>0</v>
      </c>
      <c r="CH107" s="298">
        <f t="shared" si="124"/>
        <v>0</v>
      </c>
      <c r="CI107" s="299">
        <f>[1]COMMANDE!AO105</f>
        <v>0</v>
      </c>
      <c r="CJ107" s="297" t="str">
        <f t="shared" si="125"/>
        <v>0</v>
      </c>
      <c r="CK107" s="300">
        <f t="shared" si="126"/>
        <v>0</v>
      </c>
      <c r="CL107" s="301">
        <f>[1]COMMANDE!AQ105</f>
        <v>0</v>
      </c>
      <c r="CM107" s="297" t="str">
        <f t="shared" si="127"/>
        <v>0</v>
      </c>
      <c r="CN107" s="298">
        <f t="shared" si="128"/>
        <v>0</v>
      </c>
      <c r="CO107" s="299">
        <f>[1]COMMANDE!AS105</f>
        <v>0</v>
      </c>
      <c r="CP107" s="297" t="str">
        <f t="shared" si="129"/>
        <v>0</v>
      </c>
      <c r="CQ107" s="300">
        <f t="shared" si="130"/>
        <v>0</v>
      </c>
      <c r="CR107" s="301">
        <f>[1]COMMANDE!AU105</f>
        <v>0</v>
      </c>
      <c r="CS107" s="297" t="str">
        <f t="shared" si="131"/>
        <v>0</v>
      </c>
      <c r="CT107" s="298">
        <f t="shared" si="132"/>
        <v>0</v>
      </c>
      <c r="CU107" s="299">
        <f>[1]COMMANDE!AW105</f>
        <v>0</v>
      </c>
      <c r="CV107" s="297" t="str">
        <f t="shared" si="133"/>
        <v>0</v>
      </c>
      <c r="CW107" s="300">
        <f t="shared" si="134"/>
        <v>0</v>
      </c>
      <c r="CX107" s="301">
        <f>[1]COMMANDE!AY105</f>
        <v>0</v>
      </c>
      <c r="CY107" s="297" t="str">
        <f t="shared" si="135"/>
        <v>0</v>
      </c>
      <c r="CZ107" s="298">
        <f t="shared" si="136"/>
        <v>0</v>
      </c>
      <c r="DA107" s="299">
        <f>[1]COMMANDE!BA105</f>
        <v>0</v>
      </c>
      <c r="DB107" s="297" t="str">
        <f t="shared" si="137"/>
        <v>0</v>
      </c>
      <c r="DC107" s="302">
        <f t="shared" si="138"/>
        <v>0</v>
      </c>
      <c r="DD107" s="303"/>
      <c r="DE107" s="304"/>
    </row>
    <row r="108" spans="1:109" ht="39.950000000000003" customHeight="1" x14ac:dyDescent="0.25">
      <c r="A108" s="284">
        <f t="shared" si="71"/>
        <v>0</v>
      </c>
      <c r="B108" s="284">
        <f t="shared" si="72"/>
        <v>0</v>
      </c>
      <c r="C108" s="284">
        <f t="shared" si="73"/>
        <v>0</v>
      </c>
      <c r="D108" s="284">
        <f t="shared" si="74"/>
        <v>0</v>
      </c>
      <c r="E108" s="284">
        <f t="shared" si="75"/>
        <v>0</v>
      </c>
      <c r="F108" s="284">
        <f t="shared" si="76"/>
        <v>0</v>
      </c>
      <c r="G108" s="284">
        <f t="shared" si="77"/>
        <v>0</v>
      </c>
      <c r="H108" s="284">
        <f t="shared" si="78"/>
        <v>0</v>
      </c>
      <c r="I108" s="284">
        <f t="shared" si="79"/>
        <v>0</v>
      </c>
      <c r="J108" s="284">
        <f t="shared" si="80"/>
        <v>0</v>
      </c>
      <c r="K108" s="284">
        <f t="shared" si="81"/>
        <v>0</v>
      </c>
      <c r="L108" s="284">
        <f t="shared" si="82"/>
        <v>0</v>
      </c>
      <c r="M108" s="284">
        <f t="shared" si="83"/>
        <v>0</v>
      </c>
      <c r="N108" s="284">
        <f t="shared" si="84"/>
        <v>0</v>
      </c>
      <c r="O108" s="284">
        <f t="shared" si="85"/>
        <v>0</v>
      </c>
      <c r="P108" s="284">
        <f t="shared" si="86"/>
        <v>0</v>
      </c>
      <c r="Q108" s="284">
        <f t="shared" si="87"/>
        <v>0</v>
      </c>
      <c r="R108" s="284">
        <f t="shared" si="88"/>
        <v>0</v>
      </c>
      <c r="S108" s="284">
        <f t="shared" si="89"/>
        <v>0</v>
      </c>
      <c r="T108" s="284">
        <f t="shared" si="90"/>
        <v>0</v>
      </c>
      <c r="U108" s="285">
        <f t="shared" si="91"/>
        <v>0</v>
      </c>
      <c r="V108" s="286">
        <f>[1]BDD!A98</f>
        <v>4025</v>
      </c>
      <c r="W108" s="287" t="str">
        <f>[1]BDD!B98</f>
        <v>Extracteur de jus ANGEL 5500                              (à commander au moins 7 jours à l'avance)</v>
      </c>
      <c r="X108" s="288" t="str">
        <f>IF([1]BDD!F98=0, "", [1]BDD!F98)</f>
        <v>❤️</v>
      </c>
      <c r="Y108" s="214">
        <f>ROUND([1]BDD!G98+FDP_CMD_KG, 2)</f>
        <v>1000.87</v>
      </c>
      <c r="Z108" s="214">
        <f>ROUND([1]BDD!G98+FDP_FACT_KG, 2)</f>
        <v>1000.87</v>
      </c>
      <c r="AA108" s="215" t="str">
        <f>[1]BDD!H98</f>
        <v>Pièce</v>
      </c>
      <c r="AB108" s="225" t="str">
        <f>IF(NOT(ISBLANK([1]BDD!I98)), ROUND(SUM(([1]BDD!G98*reduc1),FDP_CMD_KG), 2), "")</f>
        <v/>
      </c>
      <c r="AC108" s="225" t="str">
        <f>IF(NOT(ISBLANK([1]BDD!J98)), ROUND(SUM(([1]BDD!G98*reduc2),FDP_CMD_KG), 2), "")</f>
        <v/>
      </c>
      <c r="AD108" s="225" t="str">
        <f>IF(NOT(ISBLANK([1]BDD!K98)), ROUND(SUM(([1]BDD!G98*reduc3),FDP_CMD_KG), 2), "")</f>
        <v/>
      </c>
      <c r="AE108" s="225" t="str">
        <f>IF(NOT(ISBLANK([1]BDD!I98)), ROUND(SUM(([1]BDD!G98*reduc1),FDP_FACT_KG), 2), "")</f>
        <v/>
      </c>
      <c r="AF108" s="225" t="str">
        <f>IF(NOT(ISBLANK([1]BDD!J98)), ROUND(SUM(([1]BDD!G98*reduc2),FDP_FACT_KG), 2), "")</f>
        <v/>
      </c>
      <c r="AG108" s="225" t="str">
        <f>IF(NOT(ISBLANK([1]BDD!K98)), ROUND(SUM(([1]BDD!G98*reduc3),FDP_FACT_KG), 2), "")</f>
        <v/>
      </c>
      <c r="AH108" s="289" t="str">
        <f>[1]BDD!C98</f>
        <v>Union européenne</v>
      </c>
      <c r="AI108" s="290">
        <f t="shared" si="92"/>
        <v>0</v>
      </c>
      <c r="AJ108" s="216">
        <f t="shared" si="93"/>
        <v>1000.87</v>
      </c>
      <c r="AK108" s="291">
        <f t="shared" si="94"/>
        <v>0</v>
      </c>
      <c r="AL108" s="429"/>
      <c r="AM108" s="292"/>
      <c r="AN108" s="216">
        <f t="shared" si="95"/>
        <v>1000.87</v>
      </c>
      <c r="AO108" s="293">
        <f t="shared" si="96"/>
        <v>0</v>
      </c>
      <c r="AP108" s="294"/>
      <c r="AQ108" s="294"/>
      <c r="AR108" s="429"/>
      <c r="AS108" s="295">
        <f t="shared" si="97"/>
        <v>0</v>
      </c>
      <c r="AT108" s="216">
        <f t="shared" si="98"/>
        <v>1000.87</v>
      </c>
      <c r="AU108" s="291">
        <f t="shared" si="70"/>
        <v>0</v>
      </c>
      <c r="AV108" s="296">
        <f>[1]COMMANDE!O106</f>
        <v>0</v>
      </c>
      <c r="AW108" s="297" t="str">
        <f t="shared" si="99"/>
        <v>0</v>
      </c>
      <c r="AX108" s="298">
        <f t="shared" si="100"/>
        <v>0</v>
      </c>
      <c r="AY108" s="299">
        <f>[1]COMMANDE!Q106</f>
        <v>0</v>
      </c>
      <c r="AZ108" s="297" t="str">
        <f t="shared" si="101"/>
        <v>0</v>
      </c>
      <c r="BA108" s="300">
        <f t="shared" si="102"/>
        <v>0</v>
      </c>
      <c r="BB108" s="301">
        <f>[1]COMMANDE!S106</f>
        <v>0</v>
      </c>
      <c r="BC108" s="297" t="str">
        <f t="shared" si="103"/>
        <v>0</v>
      </c>
      <c r="BD108" s="298">
        <f t="shared" si="104"/>
        <v>0</v>
      </c>
      <c r="BE108" s="299">
        <f>[1]COMMANDE!U106</f>
        <v>0</v>
      </c>
      <c r="BF108" s="297" t="str">
        <f t="shared" si="105"/>
        <v>0</v>
      </c>
      <c r="BG108" s="300">
        <f t="shared" si="106"/>
        <v>0</v>
      </c>
      <c r="BH108" s="301">
        <f>[1]COMMANDE!W106</f>
        <v>0</v>
      </c>
      <c r="BI108" s="297" t="str">
        <f t="shared" si="107"/>
        <v>0</v>
      </c>
      <c r="BJ108" s="298">
        <f t="shared" si="108"/>
        <v>0</v>
      </c>
      <c r="BK108" s="299">
        <f>[1]COMMANDE!Y106</f>
        <v>0</v>
      </c>
      <c r="BL108" s="297" t="str">
        <f t="shared" si="109"/>
        <v>0</v>
      </c>
      <c r="BM108" s="300">
        <f t="shared" si="110"/>
        <v>0</v>
      </c>
      <c r="BN108" s="301">
        <f>[1]COMMANDE!AA106</f>
        <v>0</v>
      </c>
      <c r="BO108" s="297" t="str">
        <f t="shared" si="111"/>
        <v>0</v>
      </c>
      <c r="BP108" s="298">
        <f t="shared" si="112"/>
        <v>0</v>
      </c>
      <c r="BQ108" s="299">
        <f>[1]COMMANDE!AC106</f>
        <v>0</v>
      </c>
      <c r="BR108" s="297" t="str">
        <f t="shared" si="113"/>
        <v>0</v>
      </c>
      <c r="BS108" s="300">
        <f t="shared" si="114"/>
        <v>0</v>
      </c>
      <c r="BT108" s="301">
        <f>[1]COMMANDE!AE106</f>
        <v>0</v>
      </c>
      <c r="BU108" s="297" t="str">
        <f t="shared" si="115"/>
        <v>0</v>
      </c>
      <c r="BV108" s="298">
        <f t="shared" si="116"/>
        <v>0</v>
      </c>
      <c r="BW108" s="299">
        <f>[1]COMMANDE!AG106</f>
        <v>0</v>
      </c>
      <c r="BX108" s="297" t="str">
        <f t="shared" si="117"/>
        <v>0</v>
      </c>
      <c r="BY108" s="300">
        <f t="shared" si="118"/>
        <v>0</v>
      </c>
      <c r="BZ108" s="301">
        <f>[1]COMMANDE!AI106</f>
        <v>0</v>
      </c>
      <c r="CA108" s="297" t="str">
        <f t="shared" si="119"/>
        <v>0</v>
      </c>
      <c r="CB108" s="298">
        <f t="shared" si="120"/>
        <v>0</v>
      </c>
      <c r="CC108" s="299">
        <f>[1]COMMANDE!AK106</f>
        <v>0</v>
      </c>
      <c r="CD108" s="297" t="str">
        <f t="shared" si="121"/>
        <v>0</v>
      </c>
      <c r="CE108" s="300">
        <f t="shared" si="122"/>
        <v>0</v>
      </c>
      <c r="CF108" s="301">
        <f>[1]COMMANDE!AM106</f>
        <v>0</v>
      </c>
      <c r="CG108" s="297" t="str">
        <f t="shared" si="123"/>
        <v>0</v>
      </c>
      <c r="CH108" s="298">
        <f t="shared" si="124"/>
        <v>0</v>
      </c>
      <c r="CI108" s="299">
        <f>[1]COMMANDE!AO106</f>
        <v>0</v>
      </c>
      <c r="CJ108" s="297" t="str">
        <f t="shared" si="125"/>
        <v>0</v>
      </c>
      <c r="CK108" s="300">
        <f t="shared" si="126"/>
        <v>0</v>
      </c>
      <c r="CL108" s="301">
        <f>[1]COMMANDE!AQ106</f>
        <v>0</v>
      </c>
      <c r="CM108" s="297" t="str">
        <f t="shared" si="127"/>
        <v>0</v>
      </c>
      <c r="CN108" s="298">
        <f t="shared" si="128"/>
        <v>0</v>
      </c>
      <c r="CO108" s="299">
        <f>[1]COMMANDE!AS106</f>
        <v>0</v>
      </c>
      <c r="CP108" s="297" t="str">
        <f t="shared" si="129"/>
        <v>0</v>
      </c>
      <c r="CQ108" s="300">
        <f t="shared" si="130"/>
        <v>0</v>
      </c>
      <c r="CR108" s="301">
        <f>[1]COMMANDE!AU106</f>
        <v>0</v>
      </c>
      <c r="CS108" s="297" t="str">
        <f t="shared" si="131"/>
        <v>0</v>
      </c>
      <c r="CT108" s="298">
        <f t="shared" si="132"/>
        <v>0</v>
      </c>
      <c r="CU108" s="299">
        <f>[1]COMMANDE!AW106</f>
        <v>0</v>
      </c>
      <c r="CV108" s="297" t="str">
        <f t="shared" si="133"/>
        <v>0</v>
      </c>
      <c r="CW108" s="300">
        <f t="shared" si="134"/>
        <v>0</v>
      </c>
      <c r="CX108" s="301">
        <f>[1]COMMANDE!AY106</f>
        <v>0</v>
      </c>
      <c r="CY108" s="297" t="str">
        <f t="shared" si="135"/>
        <v>0</v>
      </c>
      <c r="CZ108" s="298">
        <f t="shared" si="136"/>
        <v>0</v>
      </c>
      <c r="DA108" s="299">
        <f>[1]COMMANDE!BA106</f>
        <v>0</v>
      </c>
      <c r="DB108" s="297" t="str">
        <f t="shared" si="137"/>
        <v>0</v>
      </c>
      <c r="DC108" s="302">
        <f t="shared" si="138"/>
        <v>0</v>
      </c>
      <c r="DD108" s="303"/>
      <c r="DE108" s="304"/>
    </row>
    <row r="109" spans="1:109" ht="39.950000000000003" customHeight="1" x14ac:dyDescent="0.25">
      <c r="A109" s="284">
        <f t="shared" si="71"/>
        <v>0</v>
      </c>
      <c r="B109" s="284">
        <f t="shared" si="72"/>
        <v>0</v>
      </c>
      <c r="C109" s="284">
        <f t="shared" si="73"/>
        <v>0</v>
      </c>
      <c r="D109" s="284">
        <f t="shared" si="74"/>
        <v>0</v>
      </c>
      <c r="E109" s="284">
        <f t="shared" si="75"/>
        <v>0</v>
      </c>
      <c r="F109" s="284">
        <f t="shared" si="76"/>
        <v>0</v>
      </c>
      <c r="G109" s="284">
        <f t="shared" si="77"/>
        <v>0</v>
      </c>
      <c r="H109" s="284">
        <f t="shared" si="78"/>
        <v>0</v>
      </c>
      <c r="I109" s="284">
        <f t="shared" si="79"/>
        <v>0</v>
      </c>
      <c r="J109" s="284">
        <f t="shared" si="80"/>
        <v>0</v>
      </c>
      <c r="K109" s="284">
        <f t="shared" si="81"/>
        <v>0</v>
      </c>
      <c r="L109" s="284">
        <f t="shared" si="82"/>
        <v>0</v>
      </c>
      <c r="M109" s="284">
        <f t="shared" si="83"/>
        <v>0</v>
      </c>
      <c r="N109" s="284">
        <f t="shared" si="84"/>
        <v>0</v>
      </c>
      <c r="O109" s="284">
        <f t="shared" si="85"/>
        <v>0</v>
      </c>
      <c r="P109" s="284">
        <f t="shared" si="86"/>
        <v>0</v>
      </c>
      <c r="Q109" s="284">
        <f t="shared" si="87"/>
        <v>0</v>
      </c>
      <c r="R109" s="284">
        <f t="shared" si="88"/>
        <v>0</v>
      </c>
      <c r="S109" s="284">
        <f t="shared" si="89"/>
        <v>0</v>
      </c>
      <c r="T109" s="284">
        <f t="shared" si="90"/>
        <v>0</v>
      </c>
      <c r="U109" s="285">
        <f t="shared" si="91"/>
        <v>0</v>
      </c>
      <c r="V109" s="286">
        <f>[1]BDD!A99</f>
        <v>1647</v>
      </c>
      <c r="W109" s="287" t="str">
        <f>[1]BDD!B99</f>
        <v>Farine de coco (env. 1kg)</v>
      </c>
      <c r="X109" s="288" t="str">
        <f>IF([1]BDD!F99=0, "", [1]BDD!F99)</f>
        <v/>
      </c>
      <c r="Y109" s="214">
        <f>ROUND([1]BDD!G99+FDP_CMD_KG, 2)</f>
        <v>9.35</v>
      </c>
      <c r="Z109" s="214">
        <f>ROUND([1]BDD!G99+FDP_FACT_KG, 2)</f>
        <v>9.35</v>
      </c>
      <c r="AA109" s="215" t="str">
        <f>[1]BDD!H99</f>
        <v>Pièce</v>
      </c>
      <c r="AB109" s="225">
        <f>IF(NOT(ISBLANK([1]BDD!I99)), ROUND(SUM(([1]BDD!G99*reduc1),FDP_CMD_KG), 2), "")</f>
        <v>8.51</v>
      </c>
      <c r="AC109" s="225" t="str">
        <f>IF(NOT(ISBLANK([1]BDD!J99)), ROUND(SUM(([1]BDD!G99*reduc2),FDP_CMD_KG), 2), "")</f>
        <v/>
      </c>
      <c r="AD109" s="225" t="str">
        <f>IF(NOT(ISBLANK([1]BDD!K99)), ROUND(SUM(([1]BDD!G99*reduc3),FDP_CMD_KG), 2), "")</f>
        <v/>
      </c>
      <c r="AE109" s="225">
        <f>IF(NOT(ISBLANK([1]BDD!I99)), ROUND(SUM(([1]BDD!G99*reduc1),FDP_FACT_KG), 2), "")</f>
        <v>8.5</v>
      </c>
      <c r="AF109" s="225" t="str">
        <f>IF(NOT(ISBLANK([1]BDD!J99)), ROUND(SUM(([1]BDD!G99*reduc2),FDP_FACT_KG), 2), "")</f>
        <v/>
      </c>
      <c r="AG109" s="225" t="str">
        <f>IF(NOT(ISBLANK([1]BDD!K99)), ROUND(SUM(([1]BDD!G99*reduc3),FDP_FACT_KG), 2), "")</f>
        <v/>
      </c>
      <c r="AH109" s="289" t="str">
        <f>[1]BDD!C99</f>
        <v>Sri Lanka</v>
      </c>
      <c r="AI109" s="290">
        <f t="shared" si="92"/>
        <v>0</v>
      </c>
      <c r="AJ109" s="216">
        <f t="shared" si="93"/>
        <v>8.51</v>
      </c>
      <c r="AK109" s="291">
        <f t="shared" si="94"/>
        <v>0</v>
      </c>
      <c r="AL109" s="429"/>
      <c r="AM109" s="292"/>
      <c r="AN109" s="216">
        <f t="shared" si="95"/>
        <v>9.35</v>
      </c>
      <c r="AO109" s="293">
        <f t="shared" si="96"/>
        <v>0</v>
      </c>
      <c r="AP109" s="294"/>
      <c r="AQ109" s="294"/>
      <c r="AR109" s="429"/>
      <c r="AS109" s="295">
        <f t="shared" si="97"/>
        <v>0</v>
      </c>
      <c r="AT109" s="216">
        <f t="shared" si="98"/>
        <v>9.35</v>
      </c>
      <c r="AU109" s="291">
        <f t="shared" si="70"/>
        <v>0</v>
      </c>
      <c r="AV109" s="296">
        <f>[1]COMMANDE!O107</f>
        <v>0</v>
      </c>
      <c r="AW109" s="297" t="str">
        <f t="shared" si="99"/>
        <v>0</v>
      </c>
      <c r="AX109" s="298">
        <f t="shared" si="100"/>
        <v>0</v>
      </c>
      <c r="AY109" s="299">
        <f>[1]COMMANDE!Q107</f>
        <v>0</v>
      </c>
      <c r="AZ109" s="297" t="str">
        <f t="shared" si="101"/>
        <v>0</v>
      </c>
      <c r="BA109" s="300">
        <f t="shared" si="102"/>
        <v>0</v>
      </c>
      <c r="BB109" s="301">
        <f>[1]COMMANDE!S107</f>
        <v>0</v>
      </c>
      <c r="BC109" s="297" t="str">
        <f t="shared" si="103"/>
        <v>0</v>
      </c>
      <c r="BD109" s="298">
        <f t="shared" si="104"/>
        <v>0</v>
      </c>
      <c r="BE109" s="299">
        <f>[1]COMMANDE!U107</f>
        <v>0</v>
      </c>
      <c r="BF109" s="297" t="str">
        <f t="shared" si="105"/>
        <v>0</v>
      </c>
      <c r="BG109" s="300">
        <f t="shared" si="106"/>
        <v>0</v>
      </c>
      <c r="BH109" s="301">
        <f>[1]COMMANDE!W107</f>
        <v>0</v>
      </c>
      <c r="BI109" s="297" t="str">
        <f t="shared" si="107"/>
        <v>0</v>
      </c>
      <c r="BJ109" s="298">
        <f t="shared" si="108"/>
        <v>0</v>
      </c>
      <c r="BK109" s="299">
        <f>[1]COMMANDE!Y107</f>
        <v>0</v>
      </c>
      <c r="BL109" s="297" t="str">
        <f t="shared" si="109"/>
        <v>0</v>
      </c>
      <c r="BM109" s="300">
        <f t="shared" si="110"/>
        <v>0</v>
      </c>
      <c r="BN109" s="301">
        <f>[1]COMMANDE!AA107</f>
        <v>0</v>
      </c>
      <c r="BO109" s="297" t="str">
        <f t="shared" si="111"/>
        <v>0</v>
      </c>
      <c r="BP109" s="298">
        <f t="shared" si="112"/>
        <v>0</v>
      </c>
      <c r="BQ109" s="299">
        <f>[1]COMMANDE!AC107</f>
        <v>0</v>
      </c>
      <c r="BR109" s="297" t="str">
        <f t="shared" si="113"/>
        <v>0</v>
      </c>
      <c r="BS109" s="300">
        <f t="shared" si="114"/>
        <v>0</v>
      </c>
      <c r="BT109" s="301">
        <f>[1]COMMANDE!AE107</f>
        <v>0</v>
      </c>
      <c r="BU109" s="297" t="str">
        <f t="shared" si="115"/>
        <v>0</v>
      </c>
      <c r="BV109" s="298">
        <f t="shared" si="116"/>
        <v>0</v>
      </c>
      <c r="BW109" s="299">
        <f>[1]COMMANDE!AG107</f>
        <v>0</v>
      </c>
      <c r="BX109" s="297" t="str">
        <f t="shared" si="117"/>
        <v>0</v>
      </c>
      <c r="BY109" s="300">
        <f t="shared" si="118"/>
        <v>0</v>
      </c>
      <c r="BZ109" s="301">
        <f>[1]COMMANDE!AI107</f>
        <v>0</v>
      </c>
      <c r="CA109" s="297" t="str">
        <f t="shared" si="119"/>
        <v>0</v>
      </c>
      <c r="CB109" s="298">
        <f t="shared" si="120"/>
        <v>0</v>
      </c>
      <c r="CC109" s="299">
        <f>[1]COMMANDE!AK107</f>
        <v>0</v>
      </c>
      <c r="CD109" s="297" t="str">
        <f t="shared" si="121"/>
        <v>0</v>
      </c>
      <c r="CE109" s="300">
        <f t="shared" si="122"/>
        <v>0</v>
      </c>
      <c r="CF109" s="301">
        <f>[1]COMMANDE!AM107</f>
        <v>0</v>
      </c>
      <c r="CG109" s="297" t="str">
        <f t="shared" si="123"/>
        <v>0</v>
      </c>
      <c r="CH109" s="298">
        <f t="shared" si="124"/>
        <v>0</v>
      </c>
      <c r="CI109" s="299">
        <f>[1]COMMANDE!AO107</f>
        <v>0</v>
      </c>
      <c r="CJ109" s="297" t="str">
        <f t="shared" si="125"/>
        <v>0</v>
      </c>
      <c r="CK109" s="300">
        <f t="shared" si="126"/>
        <v>0</v>
      </c>
      <c r="CL109" s="301">
        <f>[1]COMMANDE!AQ107</f>
        <v>0</v>
      </c>
      <c r="CM109" s="297" t="str">
        <f t="shared" si="127"/>
        <v>0</v>
      </c>
      <c r="CN109" s="298">
        <f t="shared" si="128"/>
        <v>0</v>
      </c>
      <c r="CO109" s="299">
        <f>[1]COMMANDE!AS107</f>
        <v>0</v>
      </c>
      <c r="CP109" s="297" t="str">
        <f t="shared" si="129"/>
        <v>0</v>
      </c>
      <c r="CQ109" s="300">
        <f t="shared" si="130"/>
        <v>0</v>
      </c>
      <c r="CR109" s="301">
        <f>[1]COMMANDE!AU107</f>
        <v>0</v>
      </c>
      <c r="CS109" s="297" t="str">
        <f t="shared" si="131"/>
        <v>0</v>
      </c>
      <c r="CT109" s="298">
        <f t="shared" si="132"/>
        <v>0</v>
      </c>
      <c r="CU109" s="299">
        <f>[1]COMMANDE!AW107</f>
        <v>0</v>
      </c>
      <c r="CV109" s="297" t="str">
        <f t="shared" si="133"/>
        <v>0</v>
      </c>
      <c r="CW109" s="300">
        <f t="shared" si="134"/>
        <v>0</v>
      </c>
      <c r="CX109" s="301">
        <f>[1]COMMANDE!AY107</f>
        <v>0</v>
      </c>
      <c r="CY109" s="297" t="str">
        <f t="shared" si="135"/>
        <v>0</v>
      </c>
      <c r="CZ109" s="298">
        <f t="shared" si="136"/>
        <v>0</v>
      </c>
      <c r="DA109" s="299">
        <f>[1]COMMANDE!BA107</f>
        <v>0</v>
      </c>
      <c r="DB109" s="297" t="str">
        <f t="shared" si="137"/>
        <v>0</v>
      </c>
      <c r="DC109" s="302">
        <f t="shared" si="138"/>
        <v>0</v>
      </c>
      <c r="DD109" s="303"/>
      <c r="DE109" s="304"/>
    </row>
    <row r="110" spans="1:109" ht="39.950000000000003" customHeight="1" x14ac:dyDescent="0.25">
      <c r="A110" s="284">
        <f t="shared" si="71"/>
        <v>1</v>
      </c>
      <c r="B110" s="284">
        <f t="shared" si="72"/>
        <v>0</v>
      </c>
      <c r="C110" s="284">
        <f t="shared" si="73"/>
        <v>1</v>
      </c>
      <c r="D110" s="284">
        <f t="shared" si="74"/>
        <v>1</v>
      </c>
      <c r="E110" s="284">
        <f t="shared" si="75"/>
        <v>0</v>
      </c>
      <c r="F110" s="284">
        <f t="shared" si="76"/>
        <v>0</v>
      </c>
      <c r="G110" s="284">
        <f t="shared" si="77"/>
        <v>0</v>
      </c>
      <c r="H110" s="284">
        <f t="shared" si="78"/>
        <v>0</v>
      </c>
      <c r="I110" s="284">
        <f t="shared" si="79"/>
        <v>0</v>
      </c>
      <c r="J110" s="284">
        <f t="shared" si="80"/>
        <v>0</v>
      </c>
      <c r="K110" s="284">
        <f t="shared" si="81"/>
        <v>0</v>
      </c>
      <c r="L110" s="284">
        <f t="shared" si="82"/>
        <v>0</v>
      </c>
      <c r="M110" s="284">
        <f t="shared" si="83"/>
        <v>0</v>
      </c>
      <c r="N110" s="284">
        <f t="shared" si="84"/>
        <v>0</v>
      </c>
      <c r="O110" s="284">
        <f t="shared" si="85"/>
        <v>0</v>
      </c>
      <c r="P110" s="284">
        <f t="shared" si="86"/>
        <v>0</v>
      </c>
      <c r="Q110" s="284">
        <f t="shared" si="87"/>
        <v>0</v>
      </c>
      <c r="R110" s="284">
        <f t="shared" si="88"/>
        <v>0</v>
      </c>
      <c r="S110" s="284">
        <f t="shared" si="89"/>
        <v>0</v>
      </c>
      <c r="T110" s="284">
        <f t="shared" si="90"/>
        <v>0</v>
      </c>
      <c r="U110" s="285">
        <f t="shared" si="91"/>
        <v>1</v>
      </c>
      <c r="V110" s="286">
        <f>[1]BDD!A100</f>
        <v>3273</v>
      </c>
      <c r="W110" s="287" t="str">
        <f>[1]BDD!B100</f>
        <v>Feijoa (produit rare - saison courte)</v>
      </c>
      <c r="X110" s="288" t="str">
        <f>IF([1]BDD!F100=0, "", [1]BDD!F100)</f>
        <v>OFFRE</v>
      </c>
      <c r="Y110" s="214">
        <f>ROUND([1]BDD!G100+FDP_CMD_KG, 2)</f>
        <v>4.95</v>
      </c>
      <c r="Z110" s="214">
        <f>ROUND([1]BDD!G100+FDP_FACT_KG, 2)</f>
        <v>4.95</v>
      </c>
      <c r="AA110" s="215" t="str">
        <f>[1]BDD!H100</f>
        <v>kg</v>
      </c>
      <c r="AB110" s="225">
        <f>IF(NOT(ISBLANK([1]BDD!I100)), ROUND(SUM(([1]BDD!G100*reduc1),FDP_CMD_KG), 2), "")</f>
        <v>4.55</v>
      </c>
      <c r="AC110" s="225">
        <f>IF(NOT(ISBLANK([1]BDD!J100)), ROUND(SUM(([1]BDD!G100*reduc2),FDP_CMD_KG), 2), "")</f>
        <v>4.1399999999999997</v>
      </c>
      <c r="AD110" s="225">
        <f>IF(NOT(ISBLANK([1]BDD!K100)), ROUND(SUM(([1]BDD!G100*reduc3),FDP_CMD_KG), 2), "")</f>
        <v>3.73</v>
      </c>
      <c r="AE110" s="225">
        <f>IF(NOT(ISBLANK([1]BDD!I100)), ROUND(SUM(([1]BDD!G100*reduc1),FDP_FACT_KG), 2), "")</f>
        <v>4.54</v>
      </c>
      <c r="AF110" s="225">
        <f>IF(NOT(ISBLANK([1]BDD!J100)), ROUND(SUM(([1]BDD!G100*reduc2),FDP_FACT_KG), 2), "")</f>
        <v>4.13</v>
      </c>
      <c r="AG110" s="225">
        <f>IF(NOT(ISBLANK([1]BDD!K100)), ROUND(SUM(([1]BDD!G100*reduc3),FDP_FACT_KG), 2), "")</f>
        <v>3.72</v>
      </c>
      <c r="AH110" s="289" t="str">
        <f>[1]BDD!C100</f>
        <v>Grenade</v>
      </c>
      <c r="AI110" s="290">
        <f t="shared" si="92"/>
        <v>5</v>
      </c>
      <c r="AJ110" s="216">
        <f t="shared" si="93"/>
        <v>3.73</v>
      </c>
      <c r="AK110" s="291">
        <f t="shared" si="94"/>
        <v>18.649999999999999</v>
      </c>
      <c r="AL110" s="429"/>
      <c r="AM110" s="292">
        <v>5</v>
      </c>
      <c r="AN110" s="216">
        <f t="shared" si="95"/>
        <v>4.95</v>
      </c>
      <c r="AO110" s="293">
        <f t="shared" si="96"/>
        <v>24.75</v>
      </c>
      <c r="AP110" s="294"/>
      <c r="AQ110" s="294"/>
      <c r="AR110" s="429"/>
      <c r="AS110" s="295">
        <f t="shared" si="97"/>
        <v>5</v>
      </c>
      <c r="AT110" s="216">
        <f t="shared" si="98"/>
        <v>4.95</v>
      </c>
      <c r="AU110" s="291">
        <f t="shared" si="70"/>
        <v>24.75</v>
      </c>
      <c r="AV110" s="296">
        <f>[1]COMMANDE!O108</f>
        <v>1</v>
      </c>
      <c r="AW110" s="297">
        <f t="shared" si="99"/>
        <v>1</v>
      </c>
      <c r="AX110" s="298">
        <f t="shared" si="100"/>
        <v>4.95</v>
      </c>
      <c r="AY110" s="299">
        <f>[1]COMMANDE!Q108</f>
        <v>0</v>
      </c>
      <c r="AZ110" s="297" t="str">
        <f t="shared" si="101"/>
        <v>0</v>
      </c>
      <c r="BA110" s="300">
        <f t="shared" si="102"/>
        <v>0</v>
      </c>
      <c r="BB110" s="301">
        <f>[1]COMMANDE!S108</f>
        <v>1</v>
      </c>
      <c r="BC110" s="297">
        <f t="shared" si="103"/>
        <v>1</v>
      </c>
      <c r="BD110" s="298">
        <f t="shared" si="104"/>
        <v>4.95</v>
      </c>
      <c r="BE110" s="299">
        <f>[1]COMMANDE!U108</f>
        <v>3</v>
      </c>
      <c r="BF110" s="297">
        <f t="shared" si="105"/>
        <v>3</v>
      </c>
      <c r="BG110" s="300">
        <f t="shared" si="106"/>
        <v>14.850000000000001</v>
      </c>
      <c r="BH110" s="301">
        <f>[1]COMMANDE!W108</f>
        <v>0</v>
      </c>
      <c r="BI110" s="297" t="str">
        <f t="shared" si="107"/>
        <v>0</v>
      </c>
      <c r="BJ110" s="298">
        <f t="shared" si="108"/>
        <v>0</v>
      </c>
      <c r="BK110" s="299">
        <f>[1]COMMANDE!Y108</f>
        <v>0</v>
      </c>
      <c r="BL110" s="297" t="str">
        <f t="shared" si="109"/>
        <v>0</v>
      </c>
      <c r="BM110" s="300">
        <f t="shared" si="110"/>
        <v>0</v>
      </c>
      <c r="BN110" s="301">
        <f>[1]COMMANDE!AA108</f>
        <v>0</v>
      </c>
      <c r="BO110" s="297" t="str">
        <f t="shared" si="111"/>
        <v>0</v>
      </c>
      <c r="BP110" s="298">
        <f t="shared" si="112"/>
        <v>0</v>
      </c>
      <c r="BQ110" s="299">
        <f>[1]COMMANDE!AC108</f>
        <v>0</v>
      </c>
      <c r="BR110" s="297" t="str">
        <f t="shared" si="113"/>
        <v>0</v>
      </c>
      <c r="BS110" s="300">
        <f t="shared" si="114"/>
        <v>0</v>
      </c>
      <c r="BT110" s="301">
        <f>[1]COMMANDE!AE108</f>
        <v>0</v>
      </c>
      <c r="BU110" s="297" t="str">
        <f t="shared" si="115"/>
        <v>0</v>
      </c>
      <c r="BV110" s="298">
        <f t="shared" si="116"/>
        <v>0</v>
      </c>
      <c r="BW110" s="299">
        <f>[1]COMMANDE!AG108</f>
        <v>0</v>
      </c>
      <c r="BX110" s="297" t="str">
        <f t="shared" si="117"/>
        <v>0</v>
      </c>
      <c r="BY110" s="300">
        <f t="shared" si="118"/>
        <v>0</v>
      </c>
      <c r="BZ110" s="301">
        <f>[1]COMMANDE!AI108</f>
        <v>0</v>
      </c>
      <c r="CA110" s="297" t="str">
        <f t="shared" si="119"/>
        <v>0</v>
      </c>
      <c r="CB110" s="298">
        <f t="shared" si="120"/>
        <v>0</v>
      </c>
      <c r="CC110" s="299">
        <f>[1]COMMANDE!AK108</f>
        <v>0</v>
      </c>
      <c r="CD110" s="297" t="str">
        <f t="shared" si="121"/>
        <v>0</v>
      </c>
      <c r="CE110" s="300">
        <f t="shared" si="122"/>
        <v>0</v>
      </c>
      <c r="CF110" s="301">
        <f>[1]COMMANDE!AM108</f>
        <v>0</v>
      </c>
      <c r="CG110" s="297" t="str">
        <f t="shared" si="123"/>
        <v>0</v>
      </c>
      <c r="CH110" s="298">
        <f t="shared" si="124"/>
        <v>0</v>
      </c>
      <c r="CI110" s="299">
        <f>[1]COMMANDE!AO108</f>
        <v>0</v>
      </c>
      <c r="CJ110" s="297" t="str">
        <f t="shared" si="125"/>
        <v>0</v>
      </c>
      <c r="CK110" s="300">
        <f t="shared" si="126"/>
        <v>0</v>
      </c>
      <c r="CL110" s="301">
        <f>[1]COMMANDE!AQ108</f>
        <v>0</v>
      </c>
      <c r="CM110" s="297" t="str">
        <f t="shared" si="127"/>
        <v>0</v>
      </c>
      <c r="CN110" s="298">
        <f t="shared" si="128"/>
        <v>0</v>
      </c>
      <c r="CO110" s="299">
        <f>[1]COMMANDE!AS108</f>
        <v>0</v>
      </c>
      <c r="CP110" s="297" t="str">
        <f t="shared" si="129"/>
        <v>0</v>
      </c>
      <c r="CQ110" s="300">
        <f t="shared" si="130"/>
        <v>0</v>
      </c>
      <c r="CR110" s="301">
        <f>[1]COMMANDE!AU108</f>
        <v>0</v>
      </c>
      <c r="CS110" s="297" t="str">
        <f t="shared" si="131"/>
        <v>0</v>
      </c>
      <c r="CT110" s="298">
        <f t="shared" si="132"/>
        <v>0</v>
      </c>
      <c r="CU110" s="299">
        <f>[1]COMMANDE!AW108</f>
        <v>0</v>
      </c>
      <c r="CV110" s="297" t="str">
        <f t="shared" si="133"/>
        <v>0</v>
      </c>
      <c r="CW110" s="300">
        <f t="shared" si="134"/>
        <v>0</v>
      </c>
      <c r="CX110" s="301">
        <f>[1]COMMANDE!AY108</f>
        <v>0</v>
      </c>
      <c r="CY110" s="297" t="str">
        <f t="shared" si="135"/>
        <v>0</v>
      </c>
      <c r="CZ110" s="298">
        <f t="shared" si="136"/>
        <v>0</v>
      </c>
      <c r="DA110" s="299">
        <f>[1]COMMANDE!BA108</f>
        <v>0</v>
      </c>
      <c r="DB110" s="297" t="str">
        <f t="shared" si="137"/>
        <v>0</v>
      </c>
      <c r="DC110" s="302">
        <f t="shared" si="138"/>
        <v>0</v>
      </c>
      <c r="DD110" s="303"/>
      <c r="DE110" s="304"/>
    </row>
    <row r="111" spans="1:109" ht="39.950000000000003" customHeight="1" x14ac:dyDescent="0.25">
      <c r="A111" s="284">
        <f t="shared" si="71"/>
        <v>0</v>
      </c>
      <c r="B111" s="284">
        <f t="shared" si="72"/>
        <v>0</v>
      </c>
      <c r="C111" s="284">
        <f t="shared" si="73"/>
        <v>0</v>
      </c>
      <c r="D111" s="284">
        <f t="shared" si="74"/>
        <v>0</v>
      </c>
      <c r="E111" s="284">
        <f t="shared" si="75"/>
        <v>0</v>
      </c>
      <c r="F111" s="284">
        <f t="shared" si="76"/>
        <v>0</v>
      </c>
      <c r="G111" s="284">
        <f t="shared" si="77"/>
        <v>0</v>
      </c>
      <c r="H111" s="284">
        <f t="shared" si="78"/>
        <v>0</v>
      </c>
      <c r="I111" s="284">
        <f t="shared" si="79"/>
        <v>0</v>
      </c>
      <c r="J111" s="284">
        <f t="shared" si="80"/>
        <v>0</v>
      </c>
      <c r="K111" s="284">
        <f t="shared" si="81"/>
        <v>0</v>
      </c>
      <c r="L111" s="284">
        <f t="shared" si="82"/>
        <v>0</v>
      </c>
      <c r="M111" s="284">
        <f t="shared" si="83"/>
        <v>0</v>
      </c>
      <c r="N111" s="284">
        <f t="shared" si="84"/>
        <v>0</v>
      </c>
      <c r="O111" s="284">
        <f t="shared" si="85"/>
        <v>0</v>
      </c>
      <c r="P111" s="284">
        <f t="shared" si="86"/>
        <v>0</v>
      </c>
      <c r="Q111" s="284">
        <f t="shared" si="87"/>
        <v>0</v>
      </c>
      <c r="R111" s="284">
        <f t="shared" si="88"/>
        <v>0</v>
      </c>
      <c r="S111" s="284">
        <f t="shared" si="89"/>
        <v>0</v>
      </c>
      <c r="T111" s="284">
        <f t="shared" si="90"/>
        <v>0</v>
      </c>
      <c r="U111" s="285">
        <f t="shared" si="91"/>
        <v>0</v>
      </c>
      <c r="V111" s="286">
        <f>[1]BDD!A101</f>
        <v>6106</v>
      </c>
      <c r="W111" s="287" t="str">
        <f>[1]BDD!B101</f>
        <v>Fenugrec en graines BIO (env. 500g)</v>
      </c>
      <c r="X111" s="288" t="str">
        <f>IF([1]BDD!F101=0, "", [1]BDD!F101)</f>
        <v>❤️</v>
      </c>
      <c r="Y111" s="214">
        <f>ROUND([1]BDD!G101+FDP_CMD_KG, 2)</f>
        <v>13.17</v>
      </c>
      <c r="Z111" s="214">
        <f>ROUND([1]BDD!G101+FDP_FACT_KG, 2)</f>
        <v>13.17</v>
      </c>
      <c r="AA111" s="215" t="str">
        <f>[1]BDD!H101</f>
        <v>Pièce</v>
      </c>
      <c r="AB111" s="225" t="str">
        <f>IF(NOT(ISBLANK([1]BDD!I101)), ROUND(SUM(([1]BDD!G101*reduc1),FDP_CMD_KG), 2), "")</f>
        <v/>
      </c>
      <c r="AC111" s="225" t="str">
        <f>IF(NOT(ISBLANK([1]BDD!J101)), ROUND(SUM(([1]BDD!G101*reduc2),FDP_CMD_KG), 2), "")</f>
        <v/>
      </c>
      <c r="AD111" s="225" t="str">
        <f>IF(NOT(ISBLANK([1]BDD!K101)), ROUND(SUM(([1]BDD!G101*reduc3),FDP_CMD_KG), 2), "")</f>
        <v/>
      </c>
      <c r="AE111" s="225" t="str">
        <f>IF(NOT(ISBLANK([1]BDD!I101)), ROUND(SUM(([1]BDD!G101*reduc1),FDP_FACT_KG), 2), "")</f>
        <v/>
      </c>
      <c r="AF111" s="225" t="str">
        <f>IF(NOT(ISBLANK([1]BDD!J101)), ROUND(SUM(([1]BDD!G101*reduc2),FDP_FACT_KG), 2), "")</f>
        <v/>
      </c>
      <c r="AG111" s="225" t="str">
        <f>IF(NOT(ISBLANK([1]BDD!K101)), ROUND(SUM(([1]BDD!G101*reduc3),FDP_FACT_KG), 2), "")</f>
        <v/>
      </c>
      <c r="AH111" s="289" t="str">
        <f>[1]BDD!C101</f>
        <v>Égypte</v>
      </c>
      <c r="AI111" s="290">
        <f t="shared" si="92"/>
        <v>0</v>
      </c>
      <c r="AJ111" s="216">
        <f t="shared" si="93"/>
        <v>13.17</v>
      </c>
      <c r="AK111" s="291">
        <f t="shared" si="94"/>
        <v>0</v>
      </c>
      <c r="AL111" s="429"/>
      <c r="AM111" s="292"/>
      <c r="AN111" s="216">
        <f t="shared" si="95"/>
        <v>13.17</v>
      </c>
      <c r="AO111" s="293">
        <f t="shared" si="96"/>
        <v>0</v>
      </c>
      <c r="AP111" s="294"/>
      <c r="AQ111" s="294"/>
      <c r="AR111" s="429"/>
      <c r="AS111" s="295">
        <f t="shared" si="97"/>
        <v>0</v>
      </c>
      <c r="AT111" s="216">
        <f t="shared" si="98"/>
        <v>13.17</v>
      </c>
      <c r="AU111" s="291">
        <f t="shared" si="70"/>
        <v>0</v>
      </c>
      <c r="AV111" s="296">
        <f>[1]COMMANDE!O109</f>
        <v>0</v>
      </c>
      <c r="AW111" s="297" t="str">
        <f t="shared" si="99"/>
        <v>0</v>
      </c>
      <c r="AX111" s="298">
        <f t="shared" si="100"/>
        <v>0</v>
      </c>
      <c r="AY111" s="299">
        <f>[1]COMMANDE!Q109</f>
        <v>0</v>
      </c>
      <c r="AZ111" s="297" t="str">
        <f t="shared" si="101"/>
        <v>0</v>
      </c>
      <c r="BA111" s="300">
        <f t="shared" si="102"/>
        <v>0</v>
      </c>
      <c r="BB111" s="301">
        <f>[1]COMMANDE!S109</f>
        <v>0</v>
      </c>
      <c r="BC111" s="297" t="str">
        <f t="shared" si="103"/>
        <v>0</v>
      </c>
      <c r="BD111" s="298">
        <f t="shared" si="104"/>
        <v>0</v>
      </c>
      <c r="BE111" s="299">
        <f>[1]COMMANDE!U109</f>
        <v>0</v>
      </c>
      <c r="BF111" s="297" t="str">
        <f t="shared" si="105"/>
        <v>0</v>
      </c>
      <c r="BG111" s="300">
        <f t="shared" si="106"/>
        <v>0</v>
      </c>
      <c r="BH111" s="301">
        <f>[1]COMMANDE!W109</f>
        <v>0</v>
      </c>
      <c r="BI111" s="297" t="str">
        <f t="shared" si="107"/>
        <v>0</v>
      </c>
      <c r="BJ111" s="298">
        <f t="shared" si="108"/>
        <v>0</v>
      </c>
      <c r="BK111" s="299">
        <f>[1]COMMANDE!Y109</f>
        <v>0</v>
      </c>
      <c r="BL111" s="297" t="str">
        <f t="shared" si="109"/>
        <v>0</v>
      </c>
      <c r="BM111" s="300">
        <f t="shared" si="110"/>
        <v>0</v>
      </c>
      <c r="BN111" s="301">
        <f>[1]COMMANDE!AA109</f>
        <v>0</v>
      </c>
      <c r="BO111" s="297" t="str">
        <f t="shared" si="111"/>
        <v>0</v>
      </c>
      <c r="BP111" s="298">
        <f t="shared" si="112"/>
        <v>0</v>
      </c>
      <c r="BQ111" s="299">
        <f>[1]COMMANDE!AC109</f>
        <v>0</v>
      </c>
      <c r="BR111" s="297" t="str">
        <f t="shared" si="113"/>
        <v>0</v>
      </c>
      <c r="BS111" s="300">
        <f t="shared" si="114"/>
        <v>0</v>
      </c>
      <c r="BT111" s="301">
        <f>[1]COMMANDE!AE109</f>
        <v>0</v>
      </c>
      <c r="BU111" s="297" t="str">
        <f t="shared" si="115"/>
        <v>0</v>
      </c>
      <c r="BV111" s="298">
        <f t="shared" si="116"/>
        <v>0</v>
      </c>
      <c r="BW111" s="299">
        <f>[1]COMMANDE!AG109</f>
        <v>0</v>
      </c>
      <c r="BX111" s="297" t="str">
        <f t="shared" si="117"/>
        <v>0</v>
      </c>
      <c r="BY111" s="300">
        <f t="shared" si="118"/>
        <v>0</v>
      </c>
      <c r="BZ111" s="301">
        <f>[1]COMMANDE!AI109</f>
        <v>0</v>
      </c>
      <c r="CA111" s="297" t="str">
        <f t="shared" si="119"/>
        <v>0</v>
      </c>
      <c r="CB111" s="298">
        <f t="shared" si="120"/>
        <v>0</v>
      </c>
      <c r="CC111" s="299">
        <f>[1]COMMANDE!AK109</f>
        <v>0</v>
      </c>
      <c r="CD111" s="297" t="str">
        <f t="shared" si="121"/>
        <v>0</v>
      </c>
      <c r="CE111" s="300">
        <f t="shared" si="122"/>
        <v>0</v>
      </c>
      <c r="CF111" s="301">
        <f>[1]COMMANDE!AM109</f>
        <v>0</v>
      </c>
      <c r="CG111" s="297" t="str">
        <f t="shared" si="123"/>
        <v>0</v>
      </c>
      <c r="CH111" s="298">
        <f t="shared" si="124"/>
        <v>0</v>
      </c>
      <c r="CI111" s="299">
        <f>[1]COMMANDE!AO109</f>
        <v>0</v>
      </c>
      <c r="CJ111" s="297" t="str">
        <f t="shared" si="125"/>
        <v>0</v>
      </c>
      <c r="CK111" s="300">
        <f t="shared" si="126"/>
        <v>0</v>
      </c>
      <c r="CL111" s="301">
        <f>[1]COMMANDE!AQ109</f>
        <v>0</v>
      </c>
      <c r="CM111" s="297" t="str">
        <f t="shared" si="127"/>
        <v>0</v>
      </c>
      <c r="CN111" s="298">
        <f t="shared" si="128"/>
        <v>0</v>
      </c>
      <c r="CO111" s="299">
        <f>[1]COMMANDE!AS109</f>
        <v>0</v>
      </c>
      <c r="CP111" s="297" t="str">
        <f t="shared" si="129"/>
        <v>0</v>
      </c>
      <c r="CQ111" s="300">
        <f t="shared" si="130"/>
        <v>0</v>
      </c>
      <c r="CR111" s="301">
        <f>[1]COMMANDE!AU109</f>
        <v>0</v>
      </c>
      <c r="CS111" s="297" t="str">
        <f t="shared" si="131"/>
        <v>0</v>
      </c>
      <c r="CT111" s="298">
        <f t="shared" si="132"/>
        <v>0</v>
      </c>
      <c r="CU111" s="299">
        <f>[1]COMMANDE!AW109</f>
        <v>0</v>
      </c>
      <c r="CV111" s="297" t="str">
        <f t="shared" si="133"/>
        <v>0</v>
      </c>
      <c r="CW111" s="300">
        <f t="shared" si="134"/>
        <v>0</v>
      </c>
      <c r="CX111" s="301">
        <f>[1]COMMANDE!AY109</f>
        <v>0</v>
      </c>
      <c r="CY111" s="297" t="str">
        <f t="shared" si="135"/>
        <v>0</v>
      </c>
      <c r="CZ111" s="298">
        <f t="shared" si="136"/>
        <v>0</v>
      </c>
      <c r="DA111" s="299">
        <f>[1]COMMANDE!BA109</f>
        <v>0</v>
      </c>
      <c r="DB111" s="297" t="str">
        <f t="shared" si="137"/>
        <v>0</v>
      </c>
      <c r="DC111" s="302">
        <f t="shared" si="138"/>
        <v>0</v>
      </c>
      <c r="DD111" s="303"/>
      <c r="DE111" s="304"/>
    </row>
    <row r="112" spans="1:109" ht="39.950000000000003" customHeight="1" x14ac:dyDescent="0.25">
      <c r="A112" s="284">
        <f t="shared" si="71"/>
        <v>0</v>
      </c>
      <c r="B112" s="284">
        <f t="shared" si="72"/>
        <v>0</v>
      </c>
      <c r="C112" s="284">
        <f t="shared" si="73"/>
        <v>0</v>
      </c>
      <c r="D112" s="284">
        <f t="shared" si="74"/>
        <v>0</v>
      </c>
      <c r="E112" s="284">
        <f t="shared" si="75"/>
        <v>0</v>
      </c>
      <c r="F112" s="284">
        <f t="shared" si="76"/>
        <v>0</v>
      </c>
      <c r="G112" s="284">
        <f t="shared" si="77"/>
        <v>0</v>
      </c>
      <c r="H112" s="284">
        <f t="shared" si="78"/>
        <v>0</v>
      </c>
      <c r="I112" s="284">
        <f t="shared" si="79"/>
        <v>0</v>
      </c>
      <c r="J112" s="284">
        <f t="shared" si="80"/>
        <v>0</v>
      </c>
      <c r="K112" s="284">
        <f t="shared" si="81"/>
        <v>0</v>
      </c>
      <c r="L112" s="284">
        <f t="shared" si="82"/>
        <v>0</v>
      </c>
      <c r="M112" s="284">
        <f t="shared" si="83"/>
        <v>0</v>
      </c>
      <c r="N112" s="284">
        <f t="shared" si="84"/>
        <v>0</v>
      </c>
      <c r="O112" s="284">
        <f t="shared" si="85"/>
        <v>0</v>
      </c>
      <c r="P112" s="284">
        <f t="shared" si="86"/>
        <v>0</v>
      </c>
      <c r="Q112" s="284">
        <f t="shared" si="87"/>
        <v>0</v>
      </c>
      <c r="R112" s="284">
        <f t="shared" si="88"/>
        <v>0</v>
      </c>
      <c r="S112" s="284">
        <f t="shared" si="89"/>
        <v>0</v>
      </c>
      <c r="T112" s="284">
        <f t="shared" si="90"/>
        <v>0</v>
      </c>
      <c r="U112" s="285">
        <f t="shared" si="91"/>
        <v>0</v>
      </c>
      <c r="V112" s="286">
        <f>[1]BDD!A102</f>
        <v>1937</v>
      </c>
      <c r="W112" s="287" t="str">
        <f>[1]BDD!B102</f>
        <v>Fève de Cacao entière CRU BIO (env. 1kg)</v>
      </c>
      <c r="X112" s="288" t="str">
        <f>IF([1]BDD!F102=0, "", [1]BDD!F102)</f>
        <v>❤️</v>
      </c>
      <c r="Y112" s="214">
        <f>ROUND([1]BDD!G102+FDP_CMD_KG, 2)</f>
        <v>22.76</v>
      </c>
      <c r="Z112" s="214">
        <f>ROUND([1]BDD!G102+FDP_FACT_KG, 2)</f>
        <v>22.76</v>
      </c>
      <c r="AA112" s="215" t="str">
        <f>[1]BDD!H102</f>
        <v>Pièce</v>
      </c>
      <c r="AB112" s="225">
        <f>IF(NOT(ISBLANK([1]BDD!I102)), ROUND(SUM(([1]BDD!G102*reduc1),FDP_CMD_KG), 2), "")</f>
        <v>20.57</v>
      </c>
      <c r="AC112" s="225" t="str">
        <f>IF(NOT(ISBLANK([1]BDD!J102)), ROUND(SUM(([1]BDD!G102*reduc2),FDP_CMD_KG), 2), "")</f>
        <v/>
      </c>
      <c r="AD112" s="225" t="str">
        <f>IF(NOT(ISBLANK([1]BDD!K102)), ROUND(SUM(([1]BDD!G102*reduc3),FDP_CMD_KG), 2), "")</f>
        <v/>
      </c>
      <c r="AE112" s="225">
        <f>IF(NOT(ISBLANK([1]BDD!I102)), ROUND(SUM(([1]BDD!G102*reduc1),FDP_FACT_KG), 2), "")</f>
        <v>20.57</v>
      </c>
      <c r="AF112" s="225" t="str">
        <f>IF(NOT(ISBLANK([1]BDD!J102)), ROUND(SUM(([1]BDD!G102*reduc2),FDP_FACT_KG), 2), "")</f>
        <v/>
      </c>
      <c r="AG112" s="225" t="str">
        <f>IF(NOT(ISBLANK([1]BDD!K102)), ROUND(SUM(([1]BDD!G102*reduc3),FDP_FACT_KG), 2), "")</f>
        <v/>
      </c>
      <c r="AH112" s="289" t="str">
        <f>[1]BDD!C102</f>
        <v>Pérou</v>
      </c>
      <c r="AI112" s="290">
        <f t="shared" si="92"/>
        <v>0</v>
      </c>
      <c r="AJ112" s="216">
        <f t="shared" si="93"/>
        <v>20.57</v>
      </c>
      <c r="AK112" s="291">
        <f t="shared" si="94"/>
        <v>0</v>
      </c>
      <c r="AL112" s="429"/>
      <c r="AM112" s="292"/>
      <c r="AN112" s="216">
        <f t="shared" si="95"/>
        <v>22.76</v>
      </c>
      <c r="AO112" s="293">
        <f t="shared" si="96"/>
        <v>0</v>
      </c>
      <c r="AP112" s="294"/>
      <c r="AQ112" s="294"/>
      <c r="AR112" s="429"/>
      <c r="AS112" s="295">
        <f t="shared" si="97"/>
        <v>0</v>
      </c>
      <c r="AT112" s="216">
        <f t="shared" si="98"/>
        <v>22.76</v>
      </c>
      <c r="AU112" s="291">
        <f t="shared" si="70"/>
        <v>0</v>
      </c>
      <c r="AV112" s="296">
        <f>[1]COMMANDE!O110</f>
        <v>0</v>
      </c>
      <c r="AW112" s="297" t="str">
        <f t="shared" si="99"/>
        <v>0</v>
      </c>
      <c r="AX112" s="298">
        <f t="shared" si="100"/>
        <v>0</v>
      </c>
      <c r="AY112" s="299">
        <f>[1]COMMANDE!Q110</f>
        <v>0</v>
      </c>
      <c r="AZ112" s="297" t="str">
        <f t="shared" si="101"/>
        <v>0</v>
      </c>
      <c r="BA112" s="300">
        <f t="shared" si="102"/>
        <v>0</v>
      </c>
      <c r="BB112" s="301">
        <f>[1]COMMANDE!S110</f>
        <v>0</v>
      </c>
      <c r="BC112" s="297" t="str">
        <f t="shared" si="103"/>
        <v>0</v>
      </c>
      <c r="BD112" s="298">
        <f t="shared" si="104"/>
        <v>0</v>
      </c>
      <c r="BE112" s="299">
        <f>[1]COMMANDE!U110</f>
        <v>0</v>
      </c>
      <c r="BF112" s="297" t="str">
        <f t="shared" si="105"/>
        <v>0</v>
      </c>
      <c r="BG112" s="300">
        <f t="shared" si="106"/>
        <v>0</v>
      </c>
      <c r="BH112" s="301">
        <f>[1]COMMANDE!W110</f>
        <v>0</v>
      </c>
      <c r="BI112" s="297" t="str">
        <f t="shared" si="107"/>
        <v>0</v>
      </c>
      <c r="BJ112" s="298">
        <f t="shared" si="108"/>
        <v>0</v>
      </c>
      <c r="BK112" s="299">
        <f>[1]COMMANDE!Y110</f>
        <v>0</v>
      </c>
      <c r="BL112" s="297" t="str">
        <f t="shared" si="109"/>
        <v>0</v>
      </c>
      <c r="BM112" s="300">
        <f t="shared" si="110"/>
        <v>0</v>
      </c>
      <c r="BN112" s="301">
        <f>[1]COMMANDE!AA110</f>
        <v>0</v>
      </c>
      <c r="BO112" s="297" t="str">
        <f t="shared" si="111"/>
        <v>0</v>
      </c>
      <c r="BP112" s="298">
        <f t="shared" si="112"/>
        <v>0</v>
      </c>
      <c r="BQ112" s="299">
        <f>[1]COMMANDE!AC110</f>
        <v>0</v>
      </c>
      <c r="BR112" s="297" t="str">
        <f t="shared" si="113"/>
        <v>0</v>
      </c>
      <c r="BS112" s="300">
        <f t="shared" si="114"/>
        <v>0</v>
      </c>
      <c r="BT112" s="301">
        <f>[1]COMMANDE!AE110</f>
        <v>0</v>
      </c>
      <c r="BU112" s="297" t="str">
        <f t="shared" si="115"/>
        <v>0</v>
      </c>
      <c r="BV112" s="298">
        <f t="shared" si="116"/>
        <v>0</v>
      </c>
      <c r="BW112" s="299">
        <f>[1]COMMANDE!AG110</f>
        <v>0</v>
      </c>
      <c r="BX112" s="297" t="str">
        <f t="shared" si="117"/>
        <v>0</v>
      </c>
      <c r="BY112" s="300">
        <f t="shared" si="118"/>
        <v>0</v>
      </c>
      <c r="BZ112" s="301">
        <f>[1]COMMANDE!AI110</f>
        <v>0</v>
      </c>
      <c r="CA112" s="297" t="str">
        <f t="shared" si="119"/>
        <v>0</v>
      </c>
      <c r="CB112" s="298">
        <f t="shared" si="120"/>
        <v>0</v>
      </c>
      <c r="CC112" s="299">
        <f>[1]COMMANDE!AK110</f>
        <v>0</v>
      </c>
      <c r="CD112" s="297" t="str">
        <f t="shared" si="121"/>
        <v>0</v>
      </c>
      <c r="CE112" s="300">
        <f t="shared" si="122"/>
        <v>0</v>
      </c>
      <c r="CF112" s="301">
        <f>[1]COMMANDE!AM110</f>
        <v>0</v>
      </c>
      <c r="CG112" s="297" t="str">
        <f t="shared" si="123"/>
        <v>0</v>
      </c>
      <c r="CH112" s="298">
        <f t="shared" si="124"/>
        <v>0</v>
      </c>
      <c r="CI112" s="299">
        <f>[1]COMMANDE!AO110</f>
        <v>0</v>
      </c>
      <c r="CJ112" s="297" t="str">
        <f t="shared" si="125"/>
        <v>0</v>
      </c>
      <c r="CK112" s="300">
        <f t="shared" si="126"/>
        <v>0</v>
      </c>
      <c r="CL112" s="301">
        <f>[1]COMMANDE!AQ110</f>
        <v>0</v>
      </c>
      <c r="CM112" s="297" t="str">
        <f t="shared" si="127"/>
        <v>0</v>
      </c>
      <c r="CN112" s="298">
        <f t="shared" si="128"/>
        <v>0</v>
      </c>
      <c r="CO112" s="299">
        <f>[1]COMMANDE!AS110</f>
        <v>0</v>
      </c>
      <c r="CP112" s="297" t="str">
        <f t="shared" si="129"/>
        <v>0</v>
      </c>
      <c r="CQ112" s="300">
        <f t="shared" si="130"/>
        <v>0</v>
      </c>
      <c r="CR112" s="301">
        <f>[1]COMMANDE!AU110</f>
        <v>0</v>
      </c>
      <c r="CS112" s="297" t="str">
        <f t="shared" si="131"/>
        <v>0</v>
      </c>
      <c r="CT112" s="298">
        <f t="shared" si="132"/>
        <v>0</v>
      </c>
      <c r="CU112" s="299">
        <f>[1]COMMANDE!AW110</f>
        <v>0</v>
      </c>
      <c r="CV112" s="297" t="str">
        <f t="shared" si="133"/>
        <v>0</v>
      </c>
      <c r="CW112" s="300">
        <f t="shared" si="134"/>
        <v>0</v>
      </c>
      <c r="CX112" s="301">
        <f>[1]COMMANDE!AY110</f>
        <v>0</v>
      </c>
      <c r="CY112" s="297" t="str">
        <f t="shared" si="135"/>
        <v>0</v>
      </c>
      <c r="CZ112" s="298">
        <f t="shared" si="136"/>
        <v>0</v>
      </c>
      <c r="DA112" s="299">
        <f>[1]COMMANDE!BA110</f>
        <v>0</v>
      </c>
      <c r="DB112" s="297" t="str">
        <f t="shared" si="137"/>
        <v>0</v>
      </c>
      <c r="DC112" s="302">
        <f t="shared" si="138"/>
        <v>0</v>
      </c>
      <c r="DD112" s="303"/>
      <c r="DE112" s="304"/>
    </row>
    <row r="113" spans="1:128" ht="39.950000000000003" customHeight="1" x14ac:dyDescent="0.25">
      <c r="A113" s="284">
        <f t="shared" si="71"/>
        <v>0</v>
      </c>
      <c r="B113" s="284">
        <f t="shared" si="72"/>
        <v>0</v>
      </c>
      <c r="C113" s="284">
        <f t="shared" si="73"/>
        <v>0</v>
      </c>
      <c r="D113" s="284">
        <f t="shared" si="74"/>
        <v>0</v>
      </c>
      <c r="E113" s="284">
        <f t="shared" si="75"/>
        <v>0</v>
      </c>
      <c r="F113" s="284">
        <f t="shared" si="76"/>
        <v>0</v>
      </c>
      <c r="G113" s="284">
        <f t="shared" si="77"/>
        <v>0</v>
      </c>
      <c r="H113" s="284">
        <f t="shared" si="78"/>
        <v>0</v>
      </c>
      <c r="I113" s="284">
        <f t="shared" si="79"/>
        <v>0</v>
      </c>
      <c r="J113" s="284">
        <f t="shared" si="80"/>
        <v>0</v>
      </c>
      <c r="K113" s="284">
        <f t="shared" si="81"/>
        <v>0</v>
      </c>
      <c r="L113" s="284">
        <f t="shared" si="82"/>
        <v>0</v>
      </c>
      <c r="M113" s="284">
        <f t="shared" si="83"/>
        <v>0</v>
      </c>
      <c r="N113" s="284">
        <f t="shared" si="84"/>
        <v>0</v>
      </c>
      <c r="O113" s="284">
        <f t="shared" si="85"/>
        <v>0</v>
      </c>
      <c r="P113" s="284">
        <f t="shared" si="86"/>
        <v>0</v>
      </c>
      <c r="Q113" s="284">
        <f t="shared" si="87"/>
        <v>0</v>
      </c>
      <c r="R113" s="284">
        <f t="shared" si="88"/>
        <v>0</v>
      </c>
      <c r="S113" s="284">
        <f t="shared" si="89"/>
        <v>0</v>
      </c>
      <c r="T113" s="284">
        <f t="shared" si="90"/>
        <v>0</v>
      </c>
      <c r="U113" s="285">
        <f t="shared" si="91"/>
        <v>0</v>
      </c>
      <c r="V113" s="286">
        <f>[1]BDD!A103</f>
        <v>5128</v>
      </c>
      <c r="W113" s="287" t="str">
        <f>[1]BDD!B103</f>
        <v>Figue cou dame demi-sèche petite (nouvelle récolte 2020)</v>
      </c>
      <c r="X113" s="288" t="str">
        <f>IF([1]BDD!F103=0, "", [1]BDD!F103)</f>
        <v>❤️</v>
      </c>
      <c r="Y113" s="214">
        <f>ROUND([1]BDD!G103+FDP_CMD_KG, 2)</f>
        <v>7.02</v>
      </c>
      <c r="Z113" s="214">
        <f>ROUND([1]BDD!G103+FDP_FACT_KG, 2)</f>
        <v>7.02</v>
      </c>
      <c r="AA113" s="215" t="str">
        <f>[1]BDD!H103</f>
        <v>kg</v>
      </c>
      <c r="AB113" s="225">
        <f>IF(NOT(ISBLANK([1]BDD!I103)), ROUND(SUM(([1]BDD!G103*reduc1),FDP_CMD_KG), 2), "")</f>
        <v>6.41</v>
      </c>
      <c r="AC113" s="225" t="str">
        <f>IF(NOT(ISBLANK([1]BDD!J103)), ROUND(SUM(([1]BDD!G103*reduc2),FDP_CMD_KG), 2), "")</f>
        <v/>
      </c>
      <c r="AD113" s="225" t="str">
        <f>IF(NOT(ISBLANK([1]BDD!K103)), ROUND(SUM(([1]BDD!G103*reduc3),FDP_CMD_KG), 2), "")</f>
        <v/>
      </c>
      <c r="AE113" s="225">
        <f>IF(NOT(ISBLANK([1]BDD!I103)), ROUND(SUM(([1]BDD!G103*reduc1),FDP_FACT_KG), 2), "")</f>
        <v>6.4</v>
      </c>
      <c r="AF113" s="225" t="str">
        <f>IF(NOT(ISBLANK([1]BDD!J103)), ROUND(SUM(([1]BDD!G103*reduc2),FDP_FACT_KG), 2), "")</f>
        <v/>
      </c>
      <c r="AG113" s="225" t="str">
        <f>IF(NOT(ISBLANK([1]BDD!K103)), ROUND(SUM(([1]BDD!G103*reduc3),FDP_FACT_KG), 2), "")</f>
        <v/>
      </c>
      <c r="AH113" s="289" t="str">
        <f>[1]BDD!C103</f>
        <v>Ávila</v>
      </c>
      <c r="AI113" s="290">
        <f t="shared" si="92"/>
        <v>0</v>
      </c>
      <c r="AJ113" s="216">
        <f t="shared" si="93"/>
        <v>6.41</v>
      </c>
      <c r="AK113" s="291">
        <f t="shared" si="94"/>
        <v>0</v>
      </c>
      <c r="AL113" s="429"/>
      <c r="AM113" s="292"/>
      <c r="AN113" s="216">
        <f t="shared" si="95"/>
        <v>7.02</v>
      </c>
      <c r="AO113" s="293">
        <f t="shared" si="96"/>
        <v>0</v>
      </c>
      <c r="AP113" s="294"/>
      <c r="AQ113" s="294"/>
      <c r="AR113" s="429"/>
      <c r="AS113" s="295">
        <f t="shared" si="97"/>
        <v>0</v>
      </c>
      <c r="AT113" s="216">
        <f t="shared" si="98"/>
        <v>7.02</v>
      </c>
      <c r="AU113" s="291">
        <f t="shared" si="70"/>
        <v>0</v>
      </c>
      <c r="AV113" s="296">
        <f>[1]COMMANDE!O111</f>
        <v>0</v>
      </c>
      <c r="AW113" s="297" t="str">
        <f t="shared" si="99"/>
        <v>0</v>
      </c>
      <c r="AX113" s="298">
        <f t="shared" si="100"/>
        <v>0</v>
      </c>
      <c r="AY113" s="299">
        <f>[1]COMMANDE!Q111</f>
        <v>0</v>
      </c>
      <c r="AZ113" s="297" t="str">
        <f t="shared" si="101"/>
        <v>0</v>
      </c>
      <c r="BA113" s="300">
        <f t="shared" si="102"/>
        <v>0</v>
      </c>
      <c r="BB113" s="301">
        <f>[1]COMMANDE!S111</f>
        <v>0</v>
      </c>
      <c r="BC113" s="297" t="str">
        <f t="shared" si="103"/>
        <v>0</v>
      </c>
      <c r="BD113" s="298">
        <f t="shared" si="104"/>
        <v>0</v>
      </c>
      <c r="BE113" s="299">
        <f>[1]COMMANDE!U111</f>
        <v>0</v>
      </c>
      <c r="BF113" s="297" t="str">
        <f t="shared" si="105"/>
        <v>0</v>
      </c>
      <c r="BG113" s="300">
        <f t="shared" si="106"/>
        <v>0</v>
      </c>
      <c r="BH113" s="301">
        <f>[1]COMMANDE!W111</f>
        <v>0</v>
      </c>
      <c r="BI113" s="297" t="str">
        <f t="shared" si="107"/>
        <v>0</v>
      </c>
      <c r="BJ113" s="298">
        <f t="shared" si="108"/>
        <v>0</v>
      </c>
      <c r="BK113" s="299">
        <f>[1]COMMANDE!Y111</f>
        <v>0</v>
      </c>
      <c r="BL113" s="297" t="str">
        <f t="shared" si="109"/>
        <v>0</v>
      </c>
      <c r="BM113" s="300">
        <f t="shared" si="110"/>
        <v>0</v>
      </c>
      <c r="BN113" s="301">
        <f>[1]COMMANDE!AA111</f>
        <v>0</v>
      </c>
      <c r="BO113" s="297" t="str">
        <f t="shared" si="111"/>
        <v>0</v>
      </c>
      <c r="BP113" s="298">
        <f t="shared" si="112"/>
        <v>0</v>
      </c>
      <c r="BQ113" s="299">
        <f>[1]COMMANDE!AC111</f>
        <v>0</v>
      </c>
      <c r="BR113" s="297" t="str">
        <f t="shared" si="113"/>
        <v>0</v>
      </c>
      <c r="BS113" s="300">
        <f t="shared" si="114"/>
        <v>0</v>
      </c>
      <c r="BT113" s="301">
        <f>[1]COMMANDE!AE111</f>
        <v>0</v>
      </c>
      <c r="BU113" s="297" t="str">
        <f t="shared" si="115"/>
        <v>0</v>
      </c>
      <c r="BV113" s="298">
        <f t="shared" si="116"/>
        <v>0</v>
      </c>
      <c r="BW113" s="299">
        <f>[1]COMMANDE!AG111</f>
        <v>0</v>
      </c>
      <c r="BX113" s="297" t="str">
        <f t="shared" si="117"/>
        <v>0</v>
      </c>
      <c r="BY113" s="300">
        <f t="shared" si="118"/>
        <v>0</v>
      </c>
      <c r="BZ113" s="301">
        <f>[1]COMMANDE!AI111</f>
        <v>0</v>
      </c>
      <c r="CA113" s="297" t="str">
        <f t="shared" si="119"/>
        <v>0</v>
      </c>
      <c r="CB113" s="298">
        <f t="shared" si="120"/>
        <v>0</v>
      </c>
      <c r="CC113" s="299">
        <f>[1]COMMANDE!AK111</f>
        <v>0</v>
      </c>
      <c r="CD113" s="297" t="str">
        <f t="shared" si="121"/>
        <v>0</v>
      </c>
      <c r="CE113" s="300">
        <f t="shared" si="122"/>
        <v>0</v>
      </c>
      <c r="CF113" s="301">
        <f>[1]COMMANDE!AM111</f>
        <v>0</v>
      </c>
      <c r="CG113" s="297" t="str">
        <f t="shared" si="123"/>
        <v>0</v>
      </c>
      <c r="CH113" s="298">
        <f t="shared" si="124"/>
        <v>0</v>
      </c>
      <c r="CI113" s="299">
        <f>[1]COMMANDE!AO111</f>
        <v>0</v>
      </c>
      <c r="CJ113" s="297" t="str">
        <f t="shared" si="125"/>
        <v>0</v>
      </c>
      <c r="CK113" s="300">
        <f t="shared" si="126"/>
        <v>0</v>
      </c>
      <c r="CL113" s="301">
        <f>[1]COMMANDE!AQ111</f>
        <v>0</v>
      </c>
      <c r="CM113" s="297" t="str">
        <f t="shared" si="127"/>
        <v>0</v>
      </c>
      <c r="CN113" s="298">
        <f t="shared" si="128"/>
        <v>0</v>
      </c>
      <c r="CO113" s="299">
        <f>[1]COMMANDE!AS111</f>
        <v>0</v>
      </c>
      <c r="CP113" s="297" t="str">
        <f t="shared" si="129"/>
        <v>0</v>
      </c>
      <c r="CQ113" s="300">
        <f t="shared" si="130"/>
        <v>0</v>
      </c>
      <c r="CR113" s="301">
        <f>[1]COMMANDE!AU111</f>
        <v>0</v>
      </c>
      <c r="CS113" s="297" t="str">
        <f t="shared" si="131"/>
        <v>0</v>
      </c>
      <c r="CT113" s="298">
        <f t="shared" si="132"/>
        <v>0</v>
      </c>
      <c r="CU113" s="299">
        <f>[1]COMMANDE!AW111</f>
        <v>0</v>
      </c>
      <c r="CV113" s="297" t="str">
        <f t="shared" si="133"/>
        <v>0</v>
      </c>
      <c r="CW113" s="300">
        <f t="shared" si="134"/>
        <v>0</v>
      </c>
      <c r="CX113" s="301">
        <f>[1]COMMANDE!AY111</f>
        <v>0</v>
      </c>
      <c r="CY113" s="297" t="str">
        <f t="shared" si="135"/>
        <v>0</v>
      </c>
      <c r="CZ113" s="298">
        <f t="shared" si="136"/>
        <v>0</v>
      </c>
      <c r="DA113" s="299">
        <f>[1]COMMANDE!BA111</f>
        <v>0</v>
      </c>
      <c r="DB113" s="297" t="str">
        <f t="shared" si="137"/>
        <v>0</v>
      </c>
      <c r="DC113" s="302">
        <f t="shared" si="138"/>
        <v>0</v>
      </c>
      <c r="DD113" s="303"/>
      <c r="DE113" s="304"/>
    </row>
    <row r="114" spans="1:128" ht="39.950000000000003" customHeight="1" x14ac:dyDescent="0.25">
      <c r="A114" s="284">
        <f t="shared" si="71"/>
        <v>0</v>
      </c>
      <c r="B114" s="284">
        <f t="shared" si="72"/>
        <v>0</v>
      </c>
      <c r="C114" s="284">
        <f t="shared" si="73"/>
        <v>0</v>
      </c>
      <c r="D114" s="284">
        <f t="shared" si="74"/>
        <v>0</v>
      </c>
      <c r="E114" s="284">
        <f t="shared" si="75"/>
        <v>0</v>
      </c>
      <c r="F114" s="284">
        <f t="shared" si="76"/>
        <v>0</v>
      </c>
      <c r="G114" s="284">
        <f t="shared" si="77"/>
        <v>0</v>
      </c>
      <c r="H114" s="284">
        <f t="shared" si="78"/>
        <v>0</v>
      </c>
      <c r="I114" s="284">
        <f t="shared" si="79"/>
        <v>0</v>
      </c>
      <c r="J114" s="284">
        <f t="shared" si="80"/>
        <v>0</v>
      </c>
      <c r="K114" s="284">
        <f t="shared" si="81"/>
        <v>0</v>
      </c>
      <c r="L114" s="284">
        <f t="shared" si="82"/>
        <v>0</v>
      </c>
      <c r="M114" s="284">
        <f t="shared" si="83"/>
        <v>0</v>
      </c>
      <c r="N114" s="284">
        <f t="shared" si="84"/>
        <v>0</v>
      </c>
      <c r="O114" s="284">
        <f t="shared" si="85"/>
        <v>0</v>
      </c>
      <c r="P114" s="284">
        <f t="shared" si="86"/>
        <v>0</v>
      </c>
      <c r="Q114" s="284">
        <f t="shared" si="87"/>
        <v>0</v>
      </c>
      <c r="R114" s="284">
        <f t="shared" si="88"/>
        <v>0</v>
      </c>
      <c r="S114" s="284">
        <f t="shared" si="89"/>
        <v>0</v>
      </c>
      <c r="T114" s="284">
        <f t="shared" si="90"/>
        <v>0</v>
      </c>
      <c r="U114" s="285">
        <f t="shared" si="91"/>
        <v>0</v>
      </c>
      <c r="V114" s="286">
        <f>[1]BDD!A104</f>
        <v>5129</v>
      </c>
      <c r="W114" s="287" t="str">
        <f>[1]BDD!B104</f>
        <v>Figue cou dame semi-sec noire (nouvelle récolte 2020)</v>
      </c>
      <c r="X114" s="288" t="str">
        <f>IF([1]BDD!F104=0, "", [1]BDD!F104)</f>
        <v>❤️</v>
      </c>
      <c r="Y114" s="214">
        <f>ROUND([1]BDD!G104+FDP_CMD_KG, 2)</f>
        <v>7.69</v>
      </c>
      <c r="Z114" s="214">
        <f>ROUND([1]BDD!G104+FDP_FACT_KG, 2)</f>
        <v>7.69</v>
      </c>
      <c r="AA114" s="215" t="str">
        <f>[1]BDD!H104</f>
        <v>kg</v>
      </c>
      <c r="AB114" s="225">
        <f>IF(NOT(ISBLANK([1]BDD!I104)), ROUND(SUM(([1]BDD!G104*reduc1),FDP_CMD_KG), 2), "")</f>
        <v>7.01</v>
      </c>
      <c r="AC114" s="225" t="str">
        <f>IF(NOT(ISBLANK([1]BDD!J104)), ROUND(SUM(([1]BDD!G104*reduc2),FDP_CMD_KG), 2), "")</f>
        <v/>
      </c>
      <c r="AD114" s="225" t="str">
        <f>IF(NOT(ISBLANK([1]BDD!K104)), ROUND(SUM(([1]BDD!G104*reduc3),FDP_CMD_KG), 2), "")</f>
        <v/>
      </c>
      <c r="AE114" s="225">
        <f>IF(NOT(ISBLANK([1]BDD!I104)), ROUND(SUM(([1]BDD!G104*reduc1),FDP_FACT_KG), 2), "")</f>
        <v>7</v>
      </c>
      <c r="AF114" s="225" t="str">
        <f>IF(NOT(ISBLANK([1]BDD!J104)), ROUND(SUM(([1]BDD!G104*reduc2),FDP_FACT_KG), 2), "")</f>
        <v/>
      </c>
      <c r="AG114" s="225" t="str">
        <f>IF(NOT(ISBLANK([1]BDD!K104)), ROUND(SUM(([1]BDD!G104*reduc3),FDP_FACT_KG), 2), "")</f>
        <v/>
      </c>
      <c r="AH114" s="289" t="str">
        <f>[1]BDD!C104</f>
        <v>Ávila</v>
      </c>
      <c r="AI114" s="290">
        <f t="shared" si="92"/>
        <v>0</v>
      </c>
      <c r="AJ114" s="216">
        <f t="shared" si="93"/>
        <v>7.01</v>
      </c>
      <c r="AK114" s="291">
        <f t="shared" si="94"/>
        <v>0</v>
      </c>
      <c r="AL114" s="429"/>
      <c r="AM114" s="292"/>
      <c r="AN114" s="216">
        <f t="shared" si="95"/>
        <v>7.69</v>
      </c>
      <c r="AO114" s="293">
        <f t="shared" si="96"/>
        <v>0</v>
      </c>
      <c r="AP114" s="294"/>
      <c r="AQ114" s="294"/>
      <c r="AR114" s="429"/>
      <c r="AS114" s="295">
        <f t="shared" si="97"/>
        <v>0</v>
      </c>
      <c r="AT114" s="216">
        <f t="shared" si="98"/>
        <v>7.69</v>
      </c>
      <c r="AU114" s="291">
        <f t="shared" si="70"/>
        <v>0</v>
      </c>
      <c r="AV114" s="296">
        <f>[1]COMMANDE!O112</f>
        <v>0</v>
      </c>
      <c r="AW114" s="297" t="str">
        <f t="shared" si="99"/>
        <v>0</v>
      </c>
      <c r="AX114" s="298">
        <f t="shared" si="100"/>
        <v>0</v>
      </c>
      <c r="AY114" s="299">
        <f>[1]COMMANDE!Q112</f>
        <v>0</v>
      </c>
      <c r="AZ114" s="297" t="str">
        <f t="shared" si="101"/>
        <v>0</v>
      </c>
      <c r="BA114" s="300">
        <f t="shared" si="102"/>
        <v>0</v>
      </c>
      <c r="BB114" s="301">
        <f>[1]COMMANDE!S112</f>
        <v>0</v>
      </c>
      <c r="BC114" s="297" t="str">
        <f t="shared" si="103"/>
        <v>0</v>
      </c>
      <c r="BD114" s="298">
        <f t="shared" si="104"/>
        <v>0</v>
      </c>
      <c r="BE114" s="299">
        <f>[1]COMMANDE!U112</f>
        <v>0</v>
      </c>
      <c r="BF114" s="297" t="str">
        <f t="shared" si="105"/>
        <v>0</v>
      </c>
      <c r="BG114" s="300">
        <f t="shared" si="106"/>
        <v>0</v>
      </c>
      <c r="BH114" s="301">
        <f>[1]COMMANDE!W112</f>
        <v>0</v>
      </c>
      <c r="BI114" s="297" t="str">
        <f t="shared" si="107"/>
        <v>0</v>
      </c>
      <c r="BJ114" s="298">
        <f t="shared" si="108"/>
        <v>0</v>
      </c>
      <c r="BK114" s="299">
        <f>[1]COMMANDE!Y112</f>
        <v>0</v>
      </c>
      <c r="BL114" s="297" t="str">
        <f t="shared" si="109"/>
        <v>0</v>
      </c>
      <c r="BM114" s="300">
        <f t="shared" si="110"/>
        <v>0</v>
      </c>
      <c r="BN114" s="301">
        <f>[1]COMMANDE!AA112</f>
        <v>0</v>
      </c>
      <c r="BO114" s="297" t="str">
        <f t="shared" si="111"/>
        <v>0</v>
      </c>
      <c r="BP114" s="298">
        <f t="shared" si="112"/>
        <v>0</v>
      </c>
      <c r="BQ114" s="299">
        <f>[1]COMMANDE!AC112</f>
        <v>0</v>
      </c>
      <c r="BR114" s="297" t="str">
        <f t="shared" si="113"/>
        <v>0</v>
      </c>
      <c r="BS114" s="300">
        <f t="shared" si="114"/>
        <v>0</v>
      </c>
      <c r="BT114" s="301">
        <f>[1]COMMANDE!AE112</f>
        <v>0</v>
      </c>
      <c r="BU114" s="297" t="str">
        <f t="shared" si="115"/>
        <v>0</v>
      </c>
      <c r="BV114" s="298">
        <f t="shared" si="116"/>
        <v>0</v>
      </c>
      <c r="BW114" s="299">
        <f>[1]COMMANDE!AG112</f>
        <v>0</v>
      </c>
      <c r="BX114" s="297" t="str">
        <f t="shared" si="117"/>
        <v>0</v>
      </c>
      <c r="BY114" s="300">
        <f t="shared" si="118"/>
        <v>0</v>
      </c>
      <c r="BZ114" s="301">
        <f>[1]COMMANDE!AI112</f>
        <v>0</v>
      </c>
      <c r="CA114" s="297" t="str">
        <f t="shared" si="119"/>
        <v>0</v>
      </c>
      <c r="CB114" s="298">
        <f t="shared" si="120"/>
        <v>0</v>
      </c>
      <c r="CC114" s="299">
        <f>[1]COMMANDE!AK112</f>
        <v>0</v>
      </c>
      <c r="CD114" s="297" t="str">
        <f t="shared" si="121"/>
        <v>0</v>
      </c>
      <c r="CE114" s="300">
        <f t="shared" si="122"/>
        <v>0</v>
      </c>
      <c r="CF114" s="301">
        <f>[1]COMMANDE!AM112</f>
        <v>0</v>
      </c>
      <c r="CG114" s="297" t="str">
        <f t="shared" si="123"/>
        <v>0</v>
      </c>
      <c r="CH114" s="298">
        <f t="shared" si="124"/>
        <v>0</v>
      </c>
      <c r="CI114" s="299">
        <f>[1]COMMANDE!AO112</f>
        <v>0</v>
      </c>
      <c r="CJ114" s="297" t="str">
        <f t="shared" si="125"/>
        <v>0</v>
      </c>
      <c r="CK114" s="300">
        <f t="shared" si="126"/>
        <v>0</v>
      </c>
      <c r="CL114" s="301">
        <f>[1]COMMANDE!AQ112</f>
        <v>0</v>
      </c>
      <c r="CM114" s="297" t="str">
        <f t="shared" si="127"/>
        <v>0</v>
      </c>
      <c r="CN114" s="298">
        <f t="shared" si="128"/>
        <v>0</v>
      </c>
      <c r="CO114" s="299">
        <f>[1]COMMANDE!AS112</f>
        <v>0</v>
      </c>
      <c r="CP114" s="297" t="str">
        <f t="shared" si="129"/>
        <v>0</v>
      </c>
      <c r="CQ114" s="300">
        <f t="shared" si="130"/>
        <v>0</v>
      </c>
      <c r="CR114" s="301">
        <f>[1]COMMANDE!AU112</f>
        <v>0</v>
      </c>
      <c r="CS114" s="297" t="str">
        <f t="shared" si="131"/>
        <v>0</v>
      </c>
      <c r="CT114" s="298">
        <f t="shared" si="132"/>
        <v>0</v>
      </c>
      <c r="CU114" s="299">
        <f>[1]COMMANDE!AW112</f>
        <v>0</v>
      </c>
      <c r="CV114" s="297" t="str">
        <f t="shared" si="133"/>
        <v>0</v>
      </c>
      <c r="CW114" s="300">
        <f t="shared" si="134"/>
        <v>0</v>
      </c>
      <c r="CX114" s="301">
        <f>[1]COMMANDE!AY112</f>
        <v>0</v>
      </c>
      <c r="CY114" s="297" t="str">
        <f t="shared" si="135"/>
        <v>0</v>
      </c>
      <c r="CZ114" s="298">
        <f t="shared" si="136"/>
        <v>0</v>
      </c>
      <c r="DA114" s="299">
        <f>[1]COMMANDE!BA112</f>
        <v>0</v>
      </c>
      <c r="DB114" s="297" t="str">
        <f t="shared" si="137"/>
        <v>0</v>
      </c>
      <c r="DC114" s="302">
        <f t="shared" si="138"/>
        <v>0</v>
      </c>
      <c r="DD114" s="303"/>
      <c r="DE114" s="304"/>
    </row>
    <row r="115" spans="1:128" ht="39.950000000000003" customHeight="1" x14ac:dyDescent="0.25">
      <c r="A115" s="284">
        <f t="shared" si="71"/>
        <v>0</v>
      </c>
      <c r="B115" s="284">
        <f t="shared" si="72"/>
        <v>0</v>
      </c>
      <c r="C115" s="284">
        <f t="shared" si="73"/>
        <v>0</v>
      </c>
      <c r="D115" s="284">
        <f t="shared" si="74"/>
        <v>0</v>
      </c>
      <c r="E115" s="284">
        <f t="shared" si="75"/>
        <v>0</v>
      </c>
      <c r="F115" s="284">
        <f t="shared" si="76"/>
        <v>0</v>
      </c>
      <c r="G115" s="284">
        <f t="shared" si="77"/>
        <v>0</v>
      </c>
      <c r="H115" s="284">
        <f t="shared" si="78"/>
        <v>0</v>
      </c>
      <c r="I115" s="284">
        <f t="shared" si="79"/>
        <v>0</v>
      </c>
      <c r="J115" s="284">
        <f t="shared" si="80"/>
        <v>0</v>
      </c>
      <c r="K115" s="284">
        <f t="shared" si="81"/>
        <v>0</v>
      </c>
      <c r="L115" s="284">
        <f t="shared" si="82"/>
        <v>0</v>
      </c>
      <c r="M115" s="284">
        <f t="shared" si="83"/>
        <v>0</v>
      </c>
      <c r="N115" s="284">
        <f t="shared" si="84"/>
        <v>0</v>
      </c>
      <c r="O115" s="284">
        <f t="shared" si="85"/>
        <v>0</v>
      </c>
      <c r="P115" s="284">
        <f t="shared" si="86"/>
        <v>0</v>
      </c>
      <c r="Q115" s="284">
        <f t="shared" si="87"/>
        <v>0</v>
      </c>
      <c r="R115" s="284">
        <f t="shared" si="88"/>
        <v>0</v>
      </c>
      <c r="S115" s="284">
        <f t="shared" si="89"/>
        <v>0</v>
      </c>
      <c r="T115" s="284">
        <f t="shared" si="90"/>
        <v>0</v>
      </c>
      <c r="U115" s="285">
        <f t="shared" si="91"/>
        <v>0</v>
      </c>
      <c r="V115" s="286">
        <f>[1]BDD!A105</f>
        <v>3177</v>
      </c>
      <c r="W115" s="287" t="str">
        <f>[1]BDD!B105</f>
        <v>Figue cou dame semi-sèche (nouvelle récolte 2020)</v>
      </c>
      <c r="X115" s="288" t="str">
        <f>IF([1]BDD!F105=0, "", [1]BDD!F105)</f>
        <v>❤️</v>
      </c>
      <c r="Y115" s="214">
        <f>ROUND([1]BDD!G105+FDP_CMD_KG, 2)</f>
        <v>9.06</v>
      </c>
      <c r="Z115" s="214">
        <f>ROUND([1]BDD!G105+FDP_FACT_KG, 2)</f>
        <v>9.06</v>
      </c>
      <c r="AA115" s="215" t="str">
        <f>[1]BDD!H105</f>
        <v>kg</v>
      </c>
      <c r="AB115" s="225">
        <f>IF(NOT(ISBLANK([1]BDD!I105)), ROUND(SUM(([1]BDD!G105*reduc1),FDP_CMD_KG), 2), "")</f>
        <v>8.24</v>
      </c>
      <c r="AC115" s="225" t="str">
        <f>IF(NOT(ISBLANK([1]BDD!J105)), ROUND(SUM(([1]BDD!G105*reduc2),FDP_CMD_KG), 2), "")</f>
        <v/>
      </c>
      <c r="AD115" s="225" t="str">
        <f>IF(NOT(ISBLANK([1]BDD!K105)), ROUND(SUM(([1]BDD!G105*reduc3),FDP_CMD_KG), 2), "")</f>
        <v/>
      </c>
      <c r="AE115" s="225">
        <f>IF(NOT(ISBLANK([1]BDD!I105)), ROUND(SUM(([1]BDD!G105*reduc1),FDP_FACT_KG), 2), "")</f>
        <v>8.24</v>
      </c>
      <c r="AF115" s="225" t="str">
        <f>IF(NOT(ISBLANK([1]BDD!J105)), ROUND(SUM(([1]BDD!G105*reduc2),FDP_FACT_KG), 2), "")</f>
        <v/>
      </c>
      <c r="AG115" s="225" t="str">
        <f>IF(NOT(ISBLANK([1]BDD!K105)), ROUND(SUM(([1]BDD!G105*reduc3),FDP_FACT_KG), 2), "")</f>
        <v/>
      </c>
      <c r="AH115" s="289" t="str">
        <f>[1]BDD!C105</f>
        <v>Ávila</v>
      </c>
      <c r="AI115" s="290">
        <f t="shared" si="92"/>
        <v>0</v>
      </c>
      <c r="AJ115" s="216">
        <f t="shared" si="93"/>
        <v>8.24</v>
      </c>
      <c r="AK115" s="291">
        <f t="shared" si="94"/>
        <v>0</v>
      </c>
      <c r="AL115" s="429"/>
      <c r="AM115" s="292"/>
      <c r="AN115" s="216">
        <f t="shared" si="95"/>
        <v>9.06</v>
      </c>
      <c r="AO115" s="293">
        <f t="shared" si="96"/>
        <v>0</v>
      </c>
      <c r="AP115" s="294"/>
      <c r="AQ115" s="294"/>
      <c r="AR115" s="429"/>
      <c r="AS115" s="295">
        <f t="shared" si="97"/>
        <v>0</v>
      </c>
      <c r="AT115" s="216">
        <f t="shared" si="98"/>
        <v>9.06</v>
      </c>
      <c r="AU115" s="291">
        <f t="shared" si="70"/>
        <v>0</v>
      </c>
      <c r="AV115" s="296">
        <f>[1]COMMANDE!O113</f>
        <v>0</v>
      </c>
      <c r="AW115" s="297" t="str">
        <f t="shared" si="99"/>
        <v>0</v>
      </c>
      <c r="AX115" s="298">
        <f t="shared" si="100"/>
        <v>0</v>
      </c>
      <c r="AY115" s="299">
        <f>[1]COMMANDE!Q113</f>
        <v>0</v>
      </c>
      <c r="AZ115" s="297" t="str">
        <f t="shared" si="101"/>
        <v>0</v>
      </c>
      <c r="BA115" s="300">
        <f t="shared" si="102"/>
        <v>0</v>
      </c>
      <c r="BB115" s="301">
        <f>[1]COMMANDE!S113</f>
        <v>0</v>
      </c>
      <c r="BC115" s="297" t="str">
        <f t="shared" si="103"/>
        <v>0</v>
      </c>
      <c r="BD115" s="298">
        <f t="shared" si="104"/>
        <v>0</v>
      </c>
      <c r="BE115" s="299">
        <f>[1]COMMANDE!U113</f>
        <v>0</v>
      </c>
      <c r="BF115" s="297" t="str">
        <f t="shared" si="105"/>
        <v>0</v>
      </c>
      <c r="BG115" s="300">
        <f t="shared" si="106"/>
        <v>0</v>
      </c>
      <c r="BH115" s="301">
        <f>[1]COMMANDE!W113</f>
        <v>0</v>
      </c>
      <c r="BI115" s="297" t="str">
        <f t="shared" si="107"/>
        <v>0</v>
      </c>
      <c r="BJ115" s="298">
        <f t="shared" si="108"/>
        <v>0</v>
      </c>
      <c r="BK115" s="299">
        <f>[1]COMMANDE!Y113</f>
        <v>0</v>
      </c>
      <c r="BL115" s="297" t="str">
        <f t="shared" si="109"/>
        <v>0</v>
      </c>
      <c r="BM115" s="300">
        <f t="shared" si="110"/>
        <v>0</v>
      </c>
      <c r="BN115" s="301">
        <f>[1]COMMANDE!AA113</f>
        <v>0</v>
      </c>
      <c r="BO115" s="297" t="str">
        <f t="shared" si="111"/>
        <v>0</v>
      </c>
      <c r="BP115" s="298">
        <f t="shared" si="112"/>
        <v>0</v>
      </c>
      <c r="BQ115" s="299">
        <f>[1]COMMANDE!AC113</f>
        <v>0</v>
      </c>
      <c r="BR115" s="297" t="str">
        <f t="shared" si="113"/>
        <v>0</v>
      </c>
      <c r="BS115" s="300">
        <f t="shared" si="114"/>
        <v>0</v>
      </c>
      <c r="BT115" s="301">
        <f>[1]COMMANDE!AE113</f>
        <v>0</v>
      </c>
      <c r="BU115" s="297" t="str">
        <f t="shared" si="115"/>
        <v>0</v>
      </c>
      <c r="BV115" s="298">
        <f t="shared" si="116"/>
        <v>0</v>
      </c>
      <c r="BW115" s="299">
        <f>[1]COMMANDE!AG113</f>
        <v>0</v>
      </c>
      <c r="BX115" s="297" t="str">
        <f t="shared" si="117"/>
        <v>0</v>
      </c>
      <c r="BY115" s="300">
        <f t="shared" si="118"/>
        <v>0</v>
      </c>
      <c r="BZ115" s="301">
        <f>[1]COMMANDE!AI113</f>
        <v>0</v>
      </c>
      <c r="CA115" s="297" t="str">
        <f t="shared" si="119"/>
        <v>0</v>
      </c>
      <c r="CB115" s="298">
        <f t="shared" si="120"/>
        <v>0</v>
      </c>
      <c r="CC115" s="299">
        <f>[1]COMMANDE!AK113</f>
        <v>0</v>
      </c>
      <c r="CD115" s="297" t="str">
        <f t="shared" si="121"/>
        <v>0</v>
      </c>
      <c r="CE115" s="300">
        <f t="shared" si="122"/>
        <v>0</v>
      </c>
      <c r="CF115" s="301">
        <f>[1]COMMANDE!AM113</f>
        <v>0</v>
      </c>
      <c r="CG115" s="297" t="str">
        <f t="shared" si="123"/>
        <v>0</v>
      </c>
      <c r="CH115" s="298">
        <f t="shared" si="124"/>
        <v>0</v>
      </c>
      <c r="CI115" s="299">
        <f>[1]COMMANDE!AO113</f>
        <v>0</v>
      </c>
      <c r="CJ115" s="297" t="str">
        <f t="shared" si="125"/>
        <v>0</v>
      </c>
      <c r="CK115" s="300">
        <f t="shared" si="126"/>
        <v>0</v>
      </c>
      <c r="CL115" s="301">
        <f>[1]COMMANDE!AQ113</f>
        <v>0</v>
      </c>
      <c r="CM115" s="297" t="str">
        <f t="shared" si="127"/>
        <v>0</v>
      </c>
      <c r="CN115" s="298">
        <f t="shared" si="128"/>
        <v>0</v>
      </c>
      <c r="CO115" s="299">
        <f>[1]COMMANDE!AS113</f>
        <v>0</v>
      </c>
      <c r="CP115" s="297" t="str">
        <f t="shared" si="129"/>
        <v>0</v>
      </c>
      <c r="CQ115" s="300">
        <f t="shared" si="130"/>
        <v>0</v>
      </c>
      <c r="CR115" s="301">
        <f>[1]COMMANDE!AU113</f>
        <v>0</v>
      </c>
      <c r="CS115" s="297" t="str">
        <f t="shared" si="131"/>
        <v>0</v>
      </c>
      <c r="CT115" s="298">
        <f t="shared" si="132"/>
        <v>0</v>
      </c>
      <c r="CU115" s="299">
        <f>[1]COMMANDE!AW113</f>
        <v>0</v>
      </c>
      <c r="CV115" s="297" t="str">
        <f t="shared" si="133"/>
        <v>0</v>
      </c>
      <c r="CW115" s="300">
        <f t="shared" si="134"/>
        <v>0</v>
      </c>
      <c r="CX115" s="301">
        <f>[1]COMMANDE!AY113</f>
        <v>0</v>
      </c>
      <c r="CY115" s="297" t="str">
        <f t="shared" si="135"/>
        <v>0</v>
      </c>
      <c r="CZ115" s="298">
        <f t="shared" si="136"/>
        <v>0</v>
      </c>
      <c r="DA115" s="299">
        <f>[1]COMMANDE!BA113</f>
        <v>0</v>
      </c>
      <c r="DB115" s="297" t="str">
        <f t="shared" si="137"/>
        <v>0</v>
      </c>
      <c r="DC115" s="302">
        <f t="shared" si="138"/>
        <v>0</v>
      </c>
      <c r="DD115" s="303"/>
      <c r="DE115" s="304"/>
    </row>
    <row r="116" spans="1:128" ht="39.950000000000003" customHeight="1" x14ac:dyDescent="0.25">
      <c r="A116" s="284">
        <f t="shared" si="71"/>
        <v>0</v>
      </c>
      <c r="B116" s="284">
        <f t="shared" si="72"/>
        <v>0</v>
      </c>
      <c r="C116" s="284">
        <f t="shared" si="73"/>
        <v>0</v>
      </c>
      <c r="D116" s="284">
        <f t="shared" si="74"/>
        <v>0</v>
      </c>
      <c r="E116" s="284">
        <f t="shared" si="75"/>
        <v>0</v>
      </c>
      <c r="F116" s="284">
        <f t="shared" si="76"/>
        <v>0</v>
      </c>
      <c r="G116" s="284">
        <f t="shared" si="77"/>
        <v>0</v>
      </c>
      <c r="H116" s="284">
        <f t="shared" si="78"/>
        <v>0</v>
      </c>
      <c r="I116" s="284">
        <f t="shared" si="79"/>
        <v>0</v>
      </c>
      <c r="J116" s="284">
        <f t="shared" si="80"/>
        <v>0</v>
      </c>
      <c r="K116" s="284">
        <f t="shared" si="81"/>
        <v>0</v>
      </c>
      <c r="L116" s="284">
        <f t="shared" si="82"/>
        <v>0</v>
      </c>
      <c r="M116" s="284">
        <f t="shared" si="83"/>
        <v>0</v>
      </c>
      <c r="N116" s="284">
        <f t="shared" si="84"/>
        <v>0</v>
      </c>
      <c r="O116" s="284">
        <f t="shared" si="85"/>
        <v>0</v>
      </c>
      <c r="P116" s="284">
        <f t="shared" si="86"/>
        <v>0</v>
      </c>
      <c r="Q116" s="284">
        <f t="shared" si="87"/>
        <v>0</v>
      </c>
      <c r="R116" s="284">
        <f t="shared" si="88"/>
        <v>0</v>
      </c>
      <c r="S116" s="284">
        <f t="shared" si="89"/>
        <v>0</v>
      </c>
      <c r="T116" s="284">
        <f t="shared" si="90"/>
        <v>0</v>
      </c>
      <c r="U116" s="285">
        <f t="shared" si="91"/>
        <v>0</v>
      </c>
      <c r="V116" s="286">
        <f>[1]BDD!A106</f>
        <v>3138</v>
      </c>
      <c r="W116" s="287" t="str">
        <f>[1]BDD!B106</f>
        <v>Figue de Barbarie</v>
      </c>
      <c r="X116" s="288" t="str">
        <f>IF([1]BDD!F106=0, "", [1]BDD!F106)</f>
        <v>❤️</v>
      </c>
      <c r="Y116" s="214">
        <f>ROUND([1]BDD!G106+FDP_CMD_KG, 2)</f>
        <v>7.69</v>
      </c>
      <c r="Z116" s="214">
        <f>ROUND([1]BDD!G106+FDP_FACT_KG, 2)</f>
        <v>7.69</v>
      </c>
      <c r="AA116" s="215" t="str">
        <f>[1]BDD!H106</f>
        <v>kg</v>
      </c>
      <c r="AB116" s="225">
        <f>IF(NOT(ISBLANK([1]BDD!I106)), ROUND(SUM(([1]BDD!G106*reduc1),FDP_CMD_KG), 2), "")</f>
        <v>7.01</v>
      </c>
      <c r="AC116" s="225" t="str">
        <f>IF(NOT(ISBLANK([1]BDD!J106)), ROUND(SUM(([1]BDD!G106*reduc2),FDP_CMD_KG), 2), "")</f>
        <v/>
      </c>
      <c r="AD116" s="225" t="str">
        <f>IF(NOT(ISBLANK([1]BDD!K106)), ROUND(SUM(([1]BDD!G106*reduc3),FDP_CMD_KG), 2), "")</f>
        <v/>
      </c>
      <c r="AE116" s="225">
        <f>IF(NOT(ISBLANK([1]BDD!I106)), ROUND(SUM(([1]BDD!G106*reduc1),FDP_FACT_KG), 2), "")</f>
        <v>7</v>
      </c>
      <c r="AF116" s="225" t="str">
        <f>IF(NOT(ISBLANK([1]BDD!J106)), ROUND(SUM(([1]BDD!G106*reduc2),FDP_FACT_KG), 2), "")</f>
        <v/>
      </c>
      <c r="AG116" s="225" t="str">
        <f>IF(NOT(ISBLANK([1]BDD!K106)), ROUND(SUM(([1]BDD!G106*reduc3),FDP_FACT_KG), 2), "")</f>
        <v/>
      </c>
      <c r="AH116" s="289" t="str">
        <f>[1]BDD!C106</f>
        <v>Grenade</v>
      </c>
      <c r="AI116" s="290">
        <f t="shared" si="92"/>
        <v>0</v>
      </c>
      <c r="AJ116" s="216">
        <f t="shared" si="93"/>
        <v>7.01</v>
      </c>
      <c r="AK116" s="291">
        <f t="shared" si="94"/>
        <v>0</v>
      </c>
      <c r="AL116" s="429"/>
      <c r="AM116" s="292"/>
      <c r="AN116" s="216">
        <f t="shared" si="95"/>
        <v>7.69</v>
      </c>
      <c r="AO116" s="293">
        <f t="shared" si="96"/>
        <v>0</v>
      </c>
      <c r="AP116" s="294"/>
      <c r="AQ116" s="294"/>
      <c r="AR116" s="429"/>
      <c r="AS116" s="295">
        <f t="shared" si="97"/>
        <v>0</v>
      </c>
      <c r="AT116" s="216">
        <f t="shared" si="98"/>
        <v>7.69</v>
      </c>
      <c r="AU116" s="291">
        <f t="shared" si="70"/>
        <v>0</v>
      </c>
      <c r="AV116" s="296">
        <f>[1]COMMANDE!O114</f>
        <v>0</v>
      </c>
      <c r="AW116" s="297" t="str">
        <f t="shared" si="99"/>
        <v>0</v>
      </c>
      <c r="AX116" s="298">
        <f t="shared" si="100"/>
        <v>0</v>
      </c>
      <c r="AY116" s="299">
        <f>[1]COMMANDE!Q114</f>
        <v>0</v>
      </c>
      <c r="AZ116" s="297" t="str">
        <f t="shared" si="101"/>
        <v>0</v>
      </c>
      <c r="BA116" s="300">
        <f t="shared" si="102"/>
        <v>0</v>
      </c>
      <c r="BB116" s="301">
        <f>[1]COMMANDE!S114</f>
        <v>0</v>
      </c>
      <c r="BC116" s="297" t="str">
        <f t="shared" si="103"/>
        <v>0</v>
      </c>
      <c r="BD116" s="298">
        <f t="shared" si="104"/>
        <v>0</v>
      </c>
      <c r="BE116" s="299">
        <f>[1]COMMANDE!U114</f>
        <v>0</v>
      </c>
      <c r="BF116" s="297" t="str">
        <f t="shared" si="105"/>
        <v>0</v>
      </c>
      <c r="BG116" s="300">
        <f t="shared" si="106"/>
        <v>0</v>
      </c>
      <c r="BH116" s="301">
        <f>[1]COMMANDE!W114</f>
        <v>0</v>
      </c>
      <c r="BI116" s="297" t="str">
        <f t="shared" si="107"/>
        <v>0</v>
      </c>
      <c r="BJ116" s="298">
        <f t="shared" si="108"/>
        <v>0</v>
      </c>
      <c r="BK116" s="299">
        <f>[1]COMMANDE!Y114</f>
        <v>0</v>
      </c>
      <c r="BL116" s="297" t="str">
        <f t="shared" si="109"/>
        <v>0</v>
      </c>
      <c r="BM116" s="300">
        <f t="shared" si="110"/>
        <v>0</v>
      </c>
      <c r="BN116" s="301">
        <f>[1]COMMANDE!AA114</f>
        <v>0</v>
      </c>
      <c r="BO116" s="297" t="str">
        <f t="shared" si="111"/>
        <v>0</v>
      </c>
      <c r="BP116" s="298">
        <f t="shared" si="112"/>
        <v>0</v>
      </c>
      <c r="BQ116" s="299">
        <f>[1]COMMANDE!AC114</f>
        <v>0</v>
      </c>
      <c r="BR116" s="297" t="str">
        <f t="shared" si="113"/>
        <v>0</v>
      </c>
      <c r="BS116" s="300">
        <f t="shared" si="114"/>
        <v>0</v>
      </c>
      <c r="BT116" s="301">
        <f>[1]COMMANDE!AE114</f>
        <v>0</v>
      </c>
      <c r="BU116" s="297" t="str">
        <f t="shared" si="115"/>
        <v>0</v>
      </c>
      <c r="BV116" s="298">
        <f t="shared" si="116"/>
        <v>0</v>
      </c>
      <c r="BW116" s="299">
        <f>[1]COMMANDE!AG114</f>
        <v>0</v>
      </c>
      <c r="BX116" s="297" t="str">
        <f t="shared" si="117"/>
        <v>0</v>
      </c>
      <c r="BY116" s="300">
        <f t="shared" si="118"/>
        <v>0</v>
      </c>
      <c r="BZ116" s="301">
        <f>[1]COMMANDE!AI114</f>
        <v>0</v>
      </c>
      <c r="CA116" s="297" t="str">
        <f t="shared" si="119"/>
        <v>0</v>
      </c>
      <c r="CB116" s="298">
        <f t="shared" si="120"/>
        <v>0</v>
      </c>
      <c r="CC116" s="299">
        <f>[1]COMMANDE!AK114</f>
        <v>0</v>
      </c>
      <c r="CD116" s="297" t="str">
        <f t="shared" si="121"/>
        <v>0</v>
      </c>
      <c r="CE116" s="300">
        <f t="shared" si="122"/>
        <v>0</v>
      </c>
      <c r="CF116" s="301">
        <f>[1]COMMANDE!AM114</f>
        <v>0</v>
      </c>
      <c r="CG116" s="297" t="str">
        <f t="shared" si="123"/>
        <v>0</v>
      </c>
      <c r="CH116" s="298">
        <f t="shared" si="124"/>
        <v>0</v>
      </c>
      <c r="CI116" s="299">
        <f>[1]COMMANDE!AO114</f>
        <v>0</v>
      </c>
      <c r="CJ116" s="297" t="str">
        <f t="shared" si="125"/>
        <v>0</v>
      </c>
      <c r="CK116" s="300">
        <f t="shared" si="126"/>
        <v>0</v>
      </c>
      <c r="CL116" s="301">
        <f>[1]COMMANDE!AQ114</f>
        <v>0</v>
      </c>
      <c r="CM116" s="297" t="str">
        <f t="shared" si="127"/>
        <v>0</v>
      </c>
      <c r="CN116" s="298">
        <f t="shared" si="128"/>
        <v>0</v>
      </c>
      <c r="CO116" s="299">
        <f>[1]COMMANDE!AS114</f>
        <v>0</v>
      </c>
      <c r="CP116" s="297" t="str">
        <f t="shared" si="129"/>
        <v>0</v>
      </c>
      <c r="CQ116" s="300">
        <f t="shared" si="130"/>
        <v>0</v>
      </c>
      <c r="CR116" s="301">
        <f>[1]COMMANDE!AU114</f>
        <v>0</v>
      </c>
      <c r="CS116" s="297" t="str">
        <f t="shared" si="131"/>
        <v>0</v>
      </c>
      <c r="CT116" s="298">
        <f t="shared" si="132"/>
        <v>0</v>
      </c>
      <c r="CU116" s="299">
        <f>[1]COMMANDE!AW114</f>
        <v>0</v>
      </c>
      <c r="CV116" s="297" t="str">
        <f t="shared" si="133"/>
        <v>0</v>
      </c>
      <c r="CW116" s="300">
        <f t="shared" si="134"/>
        <v>0</v>
      </c>
      <c r="CX116" s="301">
        <f>[1]COMMANDE!AY114</f>
        <v>0</v>
      </c>
      <c r="CY116" s="297" t="str">
        <f t="shared" si="135"/>
        <v>0</v>
      </c>
      <c r="CZ116" s="298">
        <f t="shared" si="136"/>
        <v>0</v>
      </c>
      <c r="DA116" s="299">
        <f>[1]COMMANDE!BA114</f>
        <v>0</v>
      </c>
      <c r="DB116" s="297" t="str">
        <f t="shared" si="137"/>
        <v>0</v>
      </c>
      <c r="DC116" s="302">
        <f t="shared" si="138"/>
        <v>0</v>
      </c>
      <c r="DD116" s="303"/>
      <c r="DE116" s="304"/>
    </row>
    <row r="117" spans="1:128" ht="39.950000000000003" customHeight="1" x14ac:dyDescent="0.25">
      <c r="A117" s="284">
        <f t="shared" si="71"/>
        <v>0</v>
      </c>
      <c r="B117" s="284">
        <f t="shared" si="72"/>
        <v>0</v>
      </c>
      <c r="C117" s="284">
        <f t="shared" si="73"/>
        <v>0</v>
      </c>
      <c r="D117" s="284">
        <f t="shared" si="74"/>
        <v>0</v>
      </c>
      <c r="E117" s="284">
        <f t="shared" si="75"/>
        <v>0</v>
      </c>
      <c r="F117" s="284">
        <f t="shared" si="76"/>
        <v>0</v>
      </c>
      <c r="G117" s="284">
        <f t="shared" si="77"/>
        <v>0</v>
      </c>
      <c r="H117" s="284">
        <f t="shared" si="78"/>
        <v>0</v>
      </c>
      <c r="I117" s="284">
        <f t="shared" si="79"/>
        <v>0</v>
      </c>
      <c r="J117" s="284">
        <f t="shared" si="80"/>
        <v>0</v>
      </c>
      <c r="K117" s="284">
        <f t="shared" si="81"/>
        <v>0</v>
      </c>
      <c r="L117" s="284">
        <f t="shared" si="82"/>
        <v>0</v>
      </c>
      <c r="M117" s="284">
        <f t="shared" si="83"/>
        <v>0</v>
      </c>
      <c r="N117" s="284">
        <f t="shared" si="84"/>
        <v>0</v>
      </c>
      <c r="O117" s="284">
        <f t="shared" si="85"/>
        <v>0</v>
      </c>
      <c r="P117" s="284">
        <f t="shared" si="86"/>
        <v>0</v>
      </c>
      <c r="Q117" s="284">
        <f t="shared" si="87"/>
        <v>0</v>
      </c>
      <c r="R117" s="284">
        <f t="shared" si="88"/>
        <v>0</v>
      </c>
      <c r="S117" s="284">
        <f t="shared" si="89"/>
        <v>0</v>
      </c>
      <c r="T117" s="284">
        <f t="shared" si="90"/>
        <v>0</v>
      </c>
      <c r="U117" s="285">
        <f t="shared" si="91"/>
        <v>0</v>
      </c>
      <c r="V117" s="286">
        <f>[1]BDD!A107</f>
        <v>1119</v>
      </c>
      <c r="W117" s="287" t="str">
        <f>[1]BDD!B107</f>
        <v>Figue de miel semi-sèche de l’Alpujarra BIO (grande) Excellent et spécial !</v>
      </c>
      <c r="X117" s="288" t="str">
        <f>IF([1]BDD!F107=0, "", [1]BDD!F107)</f>
        <v>❤️</v>
      </c>
      <c r="Y117" s="214">
        <f>ROUND([1]BDD!G107+FDP_CMD_KG, 2)</f>
        <v>10.039999999999999</v>
      </c>
      <c r="Z117" s="214">
        <f>ROUND([1]BDD!G107+FDP_FACT_KG, 2)</f>
        <v>10.039999999999999</v>
      </c>
      <c r="AA117" s="215" t="str">
        <f>[1]BDD!H107</f>
        <v>kg</v>
      </c>
      <c r="AB117" s="225">
        <f>IF(NOT(ISBLANK([1]BDD!I107)), ROUND(SUM(([1]BDD!G107*reduc1),FDP_CMD_KG), 2), "")</f>
        <v>9.1300000000000008</v>
      </c>
      <c r="AC117" s="225" t="str">
        <f>IF(NOT(ISBLANK([1]BDD!J107)), ROUND(SUM(([1]BDD!G107*reduc2),FDP_CMD_KG), 2), "")</f>
        <v/>
      </c>
      <c r="AD117" s="225" t="str">
        <f>IF(NOT(ISBLANK([1]BDD!K107)), ROUND(SUM(([1]BDD!G107*reduc3),FDP_CMD_KG), 2), "")</f>
        <v/>
      </c>
      <c r="AE117" s="225">
        <f>IF(NOT(ISBLANK([1]BDD!I107)), ROUND(SUM(([1]BDD!G107*reduc1),FDP_FACT_KG), 2), "")</f>
        <v>9.1199999999999992</v>
      </c>
      <c r="AF117" s="225" t="str">
        <f>IF(NOT(ISBLANK([1]BDD!J107)), ROUND(SUM(([1]BDD!G107*reduc2),FDP_FACT_KG), 2), "")</f>
        <v/>
      </c>
      <c r="AG117" s="225" t="str">
        <f>IF(NOT(ISBLANK([1]BDD!K107)), ROUND(SUM(([1]BDD!G107*reduc3),FDP_FACT_KG), 2), "")</f>
        <v/>
      </c>
      <c r="AH117" s="289" t="str">
        <f>[1]BDD!C107</f>
        <v>Grenade</v>
      </c>
      <c r="AI117" s="290">
        <f t="shared" si="92"/>
        <v>0</v>
      </c>
      <c r="AJ117" s="216">
        <f t="shared" si="93"/>
        <v>9.1300000000000008</v>
      </c>
      <c r="AK117" s="291">
        <f t="shared" si="94"/>
        <v>0</v>
      </c>
      <c r="AL117" s="429"/>
      <c r="AM117" s="292"/>
      <c r="AN117" s="216">
        <f t="shared" si="95"/>
        <v>10.039999999999999</v>
      </c>
      <c r="AO117" s="293">
        <f t="shared" si="96"/>
        <v>0</v>
      </c>
      <c r="AP117" s="294"/>
      <c r="AQ117" s="294"/>
      <c r="AR117" s="429"/>
      <c r="AS117" s="295">
        <f t="shared" si="97"/>
        <v>0</v>
      </c>
      <c r="AT117" s="216">
        <f t="shared" si="98"/>
        <v>10.039999999999999</v>
      </c>
      <c r="AU117" s="291">
        <f t="shared" si="70"/>
        <v>0</v>
      </c>
      <c r="AV117" s="296">
        <f>[1]COMMANDE!O115</f>
        <v>0</v>
      </c>
      <c r="AW117" s="297" t="str">
        <f t="shared" si="99"/>
        <v>0</v>
      </c>
      <c r="AX117" s="298">
        <f t="shared" si="100"/>
        <v>0</v>
      </c>
      <c r="AY117" s="299">
        <f>[1]COMMANDE!Q115</f>
        <v>0</v>
      </c>
      <c r="AZ117" s="297" t="str">
        <f t="shared" si="101"/>
        <v>0</v>
      </c>
      <c r="BA117" s="300">
        <f t="shared" si="102"/>
        <v>0</v>
      </c>
      <c r="BB117" s="301">
        <f>[1]COMMANDE!S115</f>
        <v>0</v>
      </c>
      <c r="BC117" s="297" t="str">
        <f t="shared" si="103"/>
        <v>0</v>
      </c>
      <c r="BD117" s="298">
        <f t="shared" si="104"/>
        <v>0</v>
      </c>
      <c r="BE117" s="299">
        <f>[1]COMMANDE!U115</f>
        <v>0</v>
      </c>
      <c r="BF117" s="297" t="str">
        <f t="shared" si="105"/>
        <v>0</v>
      </c>
      <c r="BG117" s="300">
        <f t="shared" si="106"/>
        <v>0</v>
      </c>
      <c r="BH117" s="301">
        <f>[1]COMMANDE!W115</f>
        <v>0</v>
      </c>
      <c r="BI117" s="297" t="str">
        <f t="shared" si="107"/>
        <v>0</v>
      </c>
      <c r="BJ117" s="298">
        <f t="shared" si="108"/>
        <v>0</v>
      </c>
      <c r="BK117" s="299">
        <f>[1]COMMANDE!Y115</f>
        <v>0</v>
      </c>
      <c r="BL117" s="297" t="str">
        <f t="shared" si="109"/>
        <v>0</v>
      </c>
      <c r="BM117" s="300">
        <f t="shared" si="110"/>
        <v>0</v>
      </c>
      <c r="BN117" s="301">
        <f>[1]COMMANDE!AA115</f>
        <v>0</v>
      </c>
      <c r="BO117" s="297" t="str">
        <f t="shared" si="111"/>
        <v>0</v>
      </c>
      <c r="BP117" s="298">
        <f t="shared" si="112"/>
        <v>0</v>
      </c>
      <c r="BQ117" s="299">
        <f>[1]COMMANDE!AC115</f>
        <v>0</v>
      </c>
      <c r="BR117" s="297" t="str">
        <f t="shared" si="113"/>
        <v>0</v>
      </c>
      <c r="BS117" s="300">
        <f t="shared" si="114"/>
        <v>0</v>
      </c>
      <c r="BT117" s="301">
        <f>[1]COMMANDE!AE115</f>
        <v>0</v>
      </c>
      <c r="BU117" s="297" t="str">
        <f t="shared" si="115"/>
        <v>0</v>
      </c>
      <c r="BV117" s="298">
        <f t="shared" si="116"/>
        <v>0</v>
      </c>
      <c r="BW117" s="299">
        <f>[1]COMMANDE!AG115</f>
        <v>0</v>
      </c>
      <c r="BX117" s="297" t="str">
        <f t="shared" si="117"/>
        <v>0</v>
      </c>
      <c r="BY117" s="300">
        <f t="shared" si="118"/>
        <v>0</v>
      </c>
      <c r="BZ117" s="301">
        <f>[1]COMMANDE!AI115</f>
        <v>0</v>
      </c>
      <c r="CA117" s="297" t="str">
        <f t="shared" si="119"/>
        <v>0</v>
      </c>
      <c r="CB117" s="298">
        <f t="shared" si="120"/>
        <v>0</v>
      </c>
      <c r="CC117" s="299">
        <f>[1]COMMANDE!AK115</f>
        <v>0</v>
      </c>
      <c r="CD117" s="297" t="str">
        <f t="shared" si="121"/>
        <v>0</v>
      </c>
      <c r="CE117" s="300">
        <f t="shared" si="122"/>
        <v>0</v>
      </c>
      <c r="CF117" s="301">
        <f>[1]COMMANDE!AM115</f>
        <v>0</v>
      </c>
      <c r="CG117" s="297" t="str">
        <f t="shared" si="123"/>
        <v>0</v>
      </c>
      <c r="CH117" s="298">
        <f t="shared" si="124"/>
        <v>0</v>
      </c>
      <c r="CI117" s="299">
        <f>[1]COMMANDE!AO115</f>
        <v>0</v>
      </c>
      <c r="CJ117" s="297" t="str">
        <f t="shared" si="125"/>
        <v>0</v>
      </c>
      <c r="CK117" s="300">
        <f t="shared" si="126"/>
        <v>0</v>
      </c>
      <c r="CL117" s="301">
        <f>[1]COMMANDE!AQ115</f>
        <v>0</v>
      </c>
      <c r="CM117" s="297" t="str">
        <f t="shared" si="127"/>
        <v>0</v>
      </c>
      <c r="CN117" s="298">
        <f t="shared" si="128"/>
        <v>0</v>
      </c>
      <c r="CO117" s="299">
        <f>[1]COMMANDE!AS115</f>
        <v>0</v>
      </c>
      <c r="CP117" s="297" t="str">
        <f t="shared" si="129"/>
        <v>0</v>
      </c>
      <c r="CQ117" s="300">
        <f t="shared" si="130"/>
        <v>0</v>
      </c>
      <c r="CR117" s="301">
        <f>[1]COMMANDE!AU115</f>
        <v>0</v>
      </c>
      <c r="CS117" s="297" t="str">
        <f t="shared" si="131"/>
        <v>0</v>
      </c>
      <c r="CT117" s="298">
        <f t="shared" si="132"/>
        <v>0</v>
      </c>
      <c r="CU117" s="299">
        <f>[1]COMMANDE!AW115</f>
        <v>0</v>
      </c>
      <c r="CV117" s="297" t="str">
        <f t="shared" si="133"/>
        <v>0</v>
      </c>
      <c r="CW117" s="300">
        <f t="shared" si="134"/>
        <v>0</v>
      </c>
      <c r="CX117" s="301">
        <f>[1]COMMANDE!AY115</f>
        <v>0</v>
      </c>
      <c r="CY117" s="297" t="str">
        <f t="shared" si="135"/>
        <v>0</v>
      </c>
      <c r="CZ117" s="298">
        <f t="shared" si="136"/>
        <v>0</v>
      </c>
      <c r="DA117" s="299">
        <f>[1]COMMANDE!BA115</f>
        <v>0</v>
      </c>
      <c r="DB117" s="297" t="str">
        <f t="shared" si="137"/>
        <v>0</v>
      </c>
      <c r="DC117" s="302">
        <f t="shared" si="138"/>
        <v>0</v>
      </c>
      <c r="DD117" s="303"/>
      <c r="DE117" s="304"/>
    </row>
    <row r="118" spans="1:128" ht="39.950000000000003" customHeight="1" x14ac:dyDescent="0.25">
      <c r="A118" s="284">
        <f t="shared" si="71"/>
        <v>0</v>
      </c>
      <c r="B118" s="284">
        <f t="shared" si="72"/>
        <v>0</v>
      </c>
      <c r="C118" s="284">
        <f t="shared" si="73"/>
        <v>0</v>
      </c>
      <c r="D118" s="284">
        <f t="shared" si="74"/>
        <v>0</v>
      </c>
      <c r="E118" s="284">
        <f t="shared" si="75"/>
        <v>0</v>
      </c>
      <c r="F118" s="284">
        <f t="shared" si="76"/>
        <v>0</v>
      </c>
      <c r="G118" s="284">
        <f t="shared" si="77"/>
        <v>0</v>
      </c>
      <c r="H118" s="284">
        <f t="shared" si="78"/>
        <v>0</v>
      </c>
      <c r="I118" s="284">
        <f t="shared" si="79"/>
        <v>0</v>
      </c>
      <c r="J118" s="284">
        <f t="shared" si="80"/>
        <v>0</v>
      </c>
      <c r="K118" s="284">
        <f t="shared" si="81"/>
        <v>0</v>
      </c>
      <c r="L118" s="284">
        <f t="shared" si="82"/>
        <v>0</v>
      </c>
      <c r="M118" s="284">
        <f t="shared" si="83"/>
        <v>0</v>
      </c>
      <c r="N118" s="284">
        <f t="shared" si="84"/>
        <v>0</v>
      </c>
      <c r="O118" s="284">
        <f t="shared" si="85"/>
        <v>0</v>
      </c>
      <c r="P118" s="284">
        <f t="shared" si="86"/>
        <v>0</v>
      </c>
      <c r="Q118" s="284">
        <f t="shared" si="87"/>
        <v>0</v>
      </c>
      <c r="R118" s="284">
        <f t="shared" si="88"/>
        <v>0</v>
      </c>
      <c r="S118" s="284">
        <f t="shared" si="89"/>
        <v>0</v>
      </c>
      <c r="T118" s="284">
        <f t="shared" si="90"/>
        <v>0</v>
      </c>
      <c r="U118" s="285">
        <f t="shared" si="91"/>
        <v>0</v>
      </c>
      <c r="V118" s="286">
        <f>[1]BDD!A108</f>
        <v>3873</v>
      </c>
      <c r="W118" s="287" t="str">
        <f>[1]BDD!B108</f>
        <v>Figue granillo semi-sèche (nouvelle récolte 2020)</v>
      </c>
      <c r="X118" s="288" t="str">
        <f>IF([1]BDD!F108=0, "", [1]BDD!F108)</f>
        <v>❤️</v>
      </c>
      <c r="Y118" s="214">
        <f>ROUND([1]BDD!G108+FDP_CMD_KG, 2)</f>
        <v>7.3</v>
      </c>
      <c r="Z118" s="214">
        <f>ROUND([1]BDD!G108+FDP_FACT_KG, 2)</f>
        <v>7.3</v>
      </c>
      <c r="AA118" s="215" t="str">
        <f>[1]BDD!H108</f>
        <v>kg</v>
      </c>
      <c r="AB118" s="225">
        <f>IF(NOT(ISBLANK([1]BDD!I108)), ROUND(SUM(([1]BDD!G108*reduc1),FDP_CMD_KG), 2), "")</f>
        <v>6.66</v>
      </c>
      <c r="AC118" s="225" t="str">
        <f>IF(NOT(ISBLANK([1]BDD!J108)), ROUND(SUM(([1]BDD!G108*reduc2),FDP_CMD_KG), 2), "")</f>
        <v/>
      </c>
      <c r="AD118" s="225" t="str">
        <f>IF(NOT(ISBLANK([1]BDD!K108)), ROUND(SUM(([1]BDD!G108*reduc3),FDP_CMD_KG), 2), "")</f>
        <v/>
      </c>
      <c r="AE118" s="225">
        <f>IF(NOT(ISBLANK([1]BDD!I108)), ROUND(SUM(([1]BDD!G108*reduc1),FDP_FACT_KG), 2), "")</f>
        <v>6.65</v>
      </c>
      <c r="AF118" s="225" t="str">
        <f>IF(NOT(ISBLANK([1]BDD!J108)), ROUND(SUM(([1]BDD!G108*reduc2),FDP_FACT_KG), 2), "")</f>
        <v/>
      </c>
      <c r="AG118" s="225" t="str">
        <f>IF(NOT(ISBLANK([1]BDD!K108)), ROUND(SUM(([1]BDD!G108*reduc3),FDP_FACT_KG), 2), "")</f>
        <v/>
      </c>
      <c r="AH118" s="289" t="str">
        <f>[1]BDD!C108</f>
        <v>Ávila</v>
      </c>
      <c r="AI118" s="290">
        <f t="shared" si="92"/>
        <v>0</v>
      </c>
      <c r="AJ118" s="216">
        <f t="shared" si="93"/>
        <v>6.66</v>
      </c>
      <c r="AK118" s="291">
        <f t="shared" si="94"/>
        <v>0</v>
      </c>
      <c r="AL118" s="429"/>
      <c r="AM118" s="292"/>
      <c r="AN118" s="216">
        <f t="shared" si="95"/>
        <v>7.3</v>
      </c>
      <c r="AO118" s="293">
        <f t="shared" si="96"/>
        <v>0</v>
      </c>
      <c r="AP118" s="294"/>
      <c r="AQ118" s="294"/>
      <c r="AR118" s="429"/>
      <c r="AS118" s="295">
        <f t="shared" si="97"/>
        <v>0</v>
      </c>
      <c r="AT118" s="216">
        <f t="shared" si="98"/>
        <v>7.3</v>
      </c>
      <c r="AU118" s="291">
        <f t="shared" si="70"/>
        <v>0</v>
      </c>
      <c r="AV118" s="296">
        <f>[1]COMMANDE!O116</f>
        <v>0</v>
      </c>
      <c r="AW118" s="297" t="str">
        <f t="shared" si="99"/>
        <v>0</v>
      </c>
      <c r="AX118" s="298">
        <f t="shared" si="100"/>
        <v>0</v>
      </c>
      <c r="AY118" s="299">
        <f>[1]COMMANDE!Q116</f>
        <v>0</v>
      </c>
      <c r="AZ118" s="297" t="str">
        <f t="shared" si="101"/>
        <v>0</v>
      </c>
      <c r="BA118" s="300">
        <f t="shared" si="102"/>
        <v>0</v>
      </c>
      <c r="BB118" s="301">
        <f>[1]COMMANDE!S116</f>
        <v>0</v>
      </c>
      <c r="BC118" s="297" t="str">
        <f t="shared" si="103"/>
        <v>0</v>
      </c>
      <c r="BD118" s="298">
        <f t="shared" si="104"/>
        <v>0</v>
      </c>
      <c r="BE118" s="299">
        <f>[1]COMMANDE!U116</f>
        <v>0</v>
      </c>
      <c r="BF118" s="297" t="str">
        <f t="shared" si="105"/>
        <v>0</v>
      </c>
      <c r="BG118" s="300">
        <f t="shared" si="106"/>
        <v>0</v>
      </c>
      <c r="BH118" s="301">
        <f>[1]COMMANDE!W116</f>
        <v>0</v>
      </c>
      <c r="BI118" s="297" t="str">
        <f t="shared" si="107"/>
        <v>0</v>
      </c>
      <c r="BJ118" s="298">
        <f t="shared" si="108"/>
        <v>0</v>
      </c>
      <c r="BK118" s="299">
        <f>[1]COMMANDE!Y116</f>
        <v>0</v>
      </c>
      <c r="BL118" s="297" t="str">
        <f t="shared" si="109"/>
        <v>0</v>
      </c>
      <c r="BM118" s="300">
        <f t="shared" si="110"/>
        <v>0</v>
      </c>
      <c r="BN118" s="301">
        <f>[1]COMMANDE!AA116</f>
        <v>0</v>
      </c>
      <c r="BO118" s="297" t="str">
        <f t="shared" si="111"/>
        <v>0</v>
      </c>
      <c r="BP118" s="298">
        <f t="shared" si="112"/>
        <v>0</v>
      </c>
      <c r="BQ118" s="299">
        <f>[1]COMMANDE!AC116</f>
        <v>0</v>
      </c>
      <c r="BR118" s="297" t="str">
        <f t="shared" si="113"/>
        <v>0</v>
      </c>
      <c r="BS118" s="300">
        <f t="shared" si="114"/>
        <v>0</v>
      </c>
      <c r="BT118" s="301">
        <f>[1]COMMANDE!AE116</f>
        <v>0</v>
      </c>
      <c r="BU118" s="297" t="str">
        <f t="shared" si="115"/>
        <v>0</v>
      </c>
      <c r="BV118" s="298">
        <f t="shared" si="116"/>
        <v>0</v>
      </c>
      <c r="BW118" s="299">
        <f>[1]COMMANDE!AG116</f>
        <v>0</v>
      </c>
      <c r="BX118" s="297" t="str">
        <f t="shared" si="117"/>
        <v>0</v>
      </c>
      <c r="BY118" s="300">
        <f t="shared" si="118"/>
        <v>0</v>
      </c>
      <c r="BZ118" s="301">
        <f>[1]COMMANDE!AI116</f>
        <v>0</v>
      </c>
      <c r="CA118" s="297" t="str">
        <f t="shared" si="119"/>
        <v>0</v>
      </c>
      <c r="CB118" s="298">
        <f t="shared" si="120"/>
        <v>0</v>
      </c>
      <c r="CC118" s="299">
        <f>[1]COMMANDE!AK116</f>
        <v>0</v>
      </c>
      <c r="CD118" s="297" t="str">
        <f t="shared" si="121"/>
        <v>0</v>
      </c>
      <c r="CE118" s="300">
        <f t="shared" si="122"/>
        <v>0</v>
      </c>
      <c r="CF118" s="301">
        <f>[1]COMMANDE!AM116</f>
        <v>0</v>
      </c>
      <c r="CG118" s="297" t="str">
        <f t="shared" si="123"/>
        <v>0</v>
      </c>
      <c r="CH118" s="298">
        <f t="shared" si="124"/>
        <v>0</v>
      </c>
      <c r="CI118" s="299">
        <f>[1]COMMANDE!AO116</f>
        <v>0</v>
      </c>
      <c r="CJ118" s="297" t="str">
        <f t="shared" si="125"/>
        <v>0</v>
      </c>
      <c r="CK118" s="300">
        <f t="shared" si="126"/>
        <v>0</v>
      </c>
      <c r="CL118" s="301">
        <f>[1]COMMANDE!AQ116</f>
        <v>0</v>
      </c>
      <c r="CM118" s="297" t="str">
        <f t="shared" si="127"/>
        <v>0</v>
      </c>
      <c r="CN118" s="298">
        <f t="shared" si="128"/>
        <v>0</v>
      </c>
      <c r="CO118" s="299">
        <f>[1]COMMANDE!AS116</f>
        <v>0</v>
      </c>
      <c r="CP118" s="297" t="str">
        <f t="shared" si="129"/>
        <v>0</v>
      </c>
      <c r="CQ118" s="300">
        <f t="shared" si="130"/>
        <v>0</v>
      </c>
      <c r="CR118" s="301">
        <f>[1]COMMANDE!AU116</f>
        <v>0</v>
      </c>
      <c r="CS118" s="297" t="str">
        <f t="shared" si="131"/>
        <v>0</v>
      </c>
      <c r="CT118" s="298">
        <f t="shared" si="132"/>
        <v>0</v>
      </c>
      <c r="CU118" s="299">
        <f>[1]COMMANDE!AW116</f>
        <v>0</v>
      </c>
      <c r="CV118" s="297" t="str">
        <f t="shared" si="133"/>
        <v>0</v>
      </c>
      <c r="CW118" s="300">
        <f t="shared" si="134"/>
        <v>0</v>
      </c>
      <c r="CX118" s="301">
        <f>[1]COMMANDE!AY116</f>
        <v>0</v>
      </c>
      <c r="CY118" s="297" t="str">
        <f t="shared" si="135"/>
        <v>0</v>
      </c>
      <c r="CZ118" s="298">
        <f t="shared" si="136"/>
        <v>0</v>
      </c>
      <c r="DA118" s="299">
        <f>[1]COMMANDE!BA116</f>
        <v>0</v>
      </c>
      <c r="DB118" s="297" t="str">
        <f t="shared" si="137"/>
        <v>0</v>
      </c>
      <c r="DC118" s="302">
        <f t="shared" si="138"/>
        <v>0</v>
      </c>
      <c r="DD118" s="303"/>
      <c r="DE118" s="304"/>
    </row>
    <row r="119" spans="1:128" ht="39.950000000000003" customHeight="1" x14ac:dyDescent="0.25">
      <c r="A119" s="284">
        <f t="shared" si="71"/>
        <v>0</v>
      </c>
      <c r="B119" s="284">
        <f t="shared" si="72"/>
        <v>0</v>
      </c>
      <c r="C119" s="284">
        <f t="shared" si="73"/>
        <v>0</v>
      </c>
      <c r="D119" s="284">
        <f t="shared" si="74"/>
        <v>0</v>
      </c>
      <c r="E119" s="284">
        <f t="shared" si="75"/>
        <v>0</v>
      </c>
      <c r="F119" s="284">
        <f t="shared" si="76"/>
        <v>0</v>
      </c>
      <c r="G119" s="284">
        <f t="shared" si="77"/>
        <v>0</v>
      </c>
      <c r="H119" s="284">
        <f t="shared" si="78"/>
        <v>0</v>
      </c>
      <c r="I119" s="284">
        <f t="shared" si="79"/>
        <v>0</v>
      </c>
      <c r="J119" s="284">
        <f t="shared" si="80"/>
        <v>0</v>
      </c>
      <c r="K119" s="284">
        <f t="shared" si="81"/>
        <v>0</v>
      </c>
      <c r="L119" s="284">
        <f t="shared" si="82"/>
        <v>0</v>
      </c>
      <c r="M119" s="284">
        <f t="shared" si="83"/>
        <v>0</v>
      </c>
      <c r="N119" s="284">
        <f t="shared" si="84"/>
        <v>0</v>
      </c>
      <c r="O119" s="284">
        <f t="shared" si="85"/>
        <v>0</v>
      </c>
      <c r="P119" s="284">
        <f t="shared" si="86"/>
        <v>0</v>
      </c>
      <c r="Q119" s="284">
        <f t="shared" si="87"/>
        <v>0</v>
      </c>
      <c r="R119" s="284">
        <f t="shared" si="88"/>
        <v>0</v>
      </c>
      <c r="S119" s="284">
        <f t="shared" si="89"/>
        <v>0</v>
      </c>
      <c r="T119" s="284">
        <f t="shared" si="90"/>
        <v>0</v>
      </c>
      <c r="U119" s="285">
        <f t="shared" si="91"/>
        <v>0</v>
      </c>
      <c r="V119" s="286">
        <f>[1]BDD!A109</f>
        <v>3790</v>
      </c>
      <c r="W119" s="287" t="str">
        <f>[1]BDD!B109</f>
        <v>Figue semi-sèche (paquet de env. 900g)</v>
      </c>
      <c r="X119" s="288" t="str">
        <f>IF([1]BDD!F109=0, "", [1]BDD!F109)</f>
        <v>❤️</v>
      </c>
      <c r="Y119" s="214">
        <f>ROUND([1]BDD!G109+FDP_CMD_KG, 2)</f>
        <v>10.31</v>
      </c>
      <c r="Z119" s="214">
        <f>ROUND([1]BDD!G109+FDP_FACT_KG, 2)</f>
        <v>10.31</v>
      </c>
      <c r="AA119" s="215" t="str">
        <f>[1]BDD!H109</f>
        <v>kg</v>
      </c>
      <c r="AB119" s="225">
        <f>IF(NOT(ISBLANK([1]BDD!I109)), ROUND(SUM(([1]BDD!G109*reduc1),FDP_CMD_KG), 2), "")</f>
        <v>9.3699999999999992</v>
      </c>
      <c r="AC119" s="225" t="str">
        <f>IF(NOT(ISBLANK([1]BDD!J109)), ROUND(SUM(([1]BDD!G109*reduc2),FDP_CMD_KG), 2), "")</f>
        <v/>
      </c>
      <c r="AD119" s="225" t="str">
        <f>IF(NOT(ISBLANK([1]BDD!K109)), ROUND(SUM(([1]BDD!G109*reduc3),FDP_CMD_KG), 2), "")</f>
        <v/>
      </c>
      <c r="AE119" s="225">
        <f>IF(NOT(ISBLANK([1]BDD!I109)), ROUND(SUM(([1]BDD!G109*reduc1),FDP_FACT_KG), 2), "")</f>
        <v>9.36</v>
      </c>
      <c r="AF119" s="225" t="str">
        <f>IF(NOT(ISBLANK([1]BDD!J109)), ROUND(SUM(([1]BDD!G109*reduc2),FDP_FACT_KG), 2), "")</f>
        <v/>
      </c>
      <c r="AG119" s="225" t="str">
        <f>IF(NOT(ISBLANK([1]BDD!K109)), ROUND(SUM(([1]BDD!G109*reduc3),FDP_FACT_KG), 2), "")</f>
        <v/>
      </c>
      <c r="AH119" s="289" t="str">
        <f>[1]BDD!C109</f>
        <v>Malaga</v>
      </c>
      <c r="AI119" s="290">
        <f t="shared" si="92"/>
        <v>0</v>
      </c>
      <c r="AJ119" s="216">
        <f t="shared" si="93"/>
        <v>9.3699999999999992</v>
      </c>
      <c r="AK119" s="291">
        <f t="shared" si="94"/>
        <v>0</v>
      </c>
      <c r="AL119" s="429"/>
      <c r="AM119" s="292"/>
      <c r="AN119" s="216">
        <f t="shared" si="95"/>
        <v>10.31</v>
      </c>
      <c r="AO119" s="293">
        <f t="shared" si="96"/>
        <v>0</v>
      </c>
      <c r="AP119" s="294"/>
      <c r="AQ119" s="294"/>
      <c r="AR119" s="429"/>
      <c r="AS119" s="295">
        <f t="shared" si="97"/>
        <v>0</v>
      </c>
      <c r="AT119" s="216">
        <f t="shared" si="98"/>
        <v>10.31</v>
      </c>
      <c r="AU119" s="291">
        <f t="shared" si="70"/>
        <v>0</v>
      </c>
      <c r="AV119" s="296">
        <f>[1]COMMANDE!O117</f>
        <v>0</v>
      </c>
      <c r="AW119" s="297" t="str">
        <f t="shared" si="99"/>
        <v>0</v>
      </c>
      <c r="AX119" s="298">
        <f t="shared" si="100"/>
        <v>0</v>
      </c>
      <c r="AY119" s="299">
        <f>[1]COMMANDE!Q117</f>
        <v>0</v>
      </c>
      <c r="AZ119" s="297" t="str">
        <f t="shared" si="101"/>
        <v>0</v>
      </c>
      <c r="BA119" s="300">
        <f t="shared" si="102"/>
        <v>0</v>
      </c>
      <c r="BB119" s="301">
        <f>[1]COMMANDE!S117</f>
        <v>0</v>
      </c>
      <c r="BC119" s="297" t="str">
        <f t="shared" si="103"/>
        <v>0</v>
      </c>
      <c r="BD119" s="298">
        <f t="shared" si="104"/>
        <v>0</v>
      </c>
      <c r="BE119" s="299">
        <f>[1]COMMANDE!U117</f>
        <v>0</v>
      </c>
      <c r="BF119" s="297" t="str">
        <f t="shared" si="105"/>
        <v>0</v>
      </c>
      <c r="BG119" s="300">
        <f t="shared" si="106"/>
        <v>0</v>
      </c>
      <c r="BH119" s="301">
        <f>[1]COMMANDE!W117</f>
        <v>0</v>
      </c>
      <c r="BI119" s="297" t="str">
        <f t="shared" si="107"/>
        <v>0</v>
      </c>
      <c r="BJ119" s="298">
        <f t="shared" si="108"/>
        <v>0</v>
      </c>
      <c r="BK119" s="299">
        <f>[1]COMMANDE!Y117</f>
        <v>0</v>
      </c>
      <c r="BL119" s="297" t="str">
        <f t="shared" si="109"/>
        <v>0</v>
      </c>
      <c r="BM119" s="300">
        <f t="shared" si="110"/>
        <v>0</v>
      </c>
      <c r="BN119" s="301">
        <f>[1]COMMANDE!AA117</f>
        <v>0</v>
      </c>
      <c r="BO119" s="297" t="str">
        <f t="shared" si="111"/>
        <v>0</v>
      </c>
      <c r="BP119" s="298">
        <f t="shared" si="112"/>
        <v>0</v>
      </c>
      <c r="BQ119" s="299">
        <f>[1]COMMANDE!AC117</f>
        <v>0</v>
      </c>
      <c r="BR119" s="297" t="str">
        <f t="shared" si="113"/>
        <v>0</v>
      </c>
      <c r="BS119" s="300">
        <f t="shared" si="114"/>
        <v>0</v>
      </c>
      <c r="BT119" s="301">
        <f>[1]COMMANDE!AE117</f>
        <v>0</v>
      </c>
      <c r="BU119" s="297" t="str">
        <f t="shared" si="115"/>
        <v>0</v>
      </c>
      <c r="BV119" s="298">
        <f t="shared" si="116"/>
        <v>0</v>
      </c>
      <c r="BW119" s="299">
        <f>[1]COMMANDE!AG117</f>
        <v>0</v>
      </c>
      <c r="BX119" s="297" t="str">
        <f t="shared" si="117"/>
        <v>0</v>
      </c>
      <c r="BY119" s="300">
        <f t="shared" si="118"/>
        <v>0</v>
      </c>
      <c r="BZ119" s="301">
        <f>[1]COMMANDE!AI117</f>
        <v>0</v>
      </c>
      <c r="CA119" s="297" t="str">
        <f t="shared" si="119"/>
        <v>0</v>
      </c>
      <c r="CB119" s="298">
        <f t="shared" si="120"/>
        <v>0</v>
      </c>
      <c r="CC119" s="299">
        <f>[1]COMMANDE!AK117</f>
        <v>0</v>
      </c>
      <c r="CD119" s="297" t="str">
        <f t="shared" si="121"/>
        <v>0</v>
      </c>
      <c r="CE119" s="300">
        <f t="shared" si="122"/>
        <v>0</v>
      </c>
      <c r="CF119" s="301">
        <f>[1]COMMANDE!AM117</f>
        <v>0</v>
      </c>
      <c r="CG119" s="297" t="str">
        <f t="shared" si="123"/>
        <v>0</v>
      </c>
      <c r="CH119" s="298">
        <f t="shared" si="124"/>
        <v>0</v>
      </c>
      <c r="CI119" s="299">
        <f>[1]COMMANDE!AO117</f>
        <v>0</v>
      </c>
      <c r="CJ119" s="297" t="str">
        <f t="shared" si="125"/>
        <v>0</v>
      </c>
      <c r="CK119" s="300">
        <f t="shared" si="126"/>
        <v>0</v>
      </c>
      <c r="CL119" s="301">
        <f>[1]COMMANDE!AQ117</f>
        <v>0</v>
      </c>
      <c r="CM119" s="297" t="str">
        <f t="shared" si="127"/>
        <v>0</v>
      </c>
      <c r="CN119" s="298">
        <f t="shared" si="128"/>
        <v>0</v>
      </c>
      <c r="CO119" s="299">
        <f>[1]COMMANDE!AS117</f>
        <v>0</v>
      </c>
      <c r="CP119" s="297" t="str">
        <f t="shared" si="129"/>
        <v>0</v>
      </c>
      <c r="CQ119" s="300">
        <f t="shared" si="130"/>
        <v>0</v>
      </c>
      <c r="CR119" s="301">
        <f>[1]COMMANDE!AU117</f>
        <v>0</v>
      </c>
      <c r="CS119" s="297" t="str">
        <f t="shared" si="131"/>
        <v>0</v>
      </c>
      <c r="CT119" s="298">
        <f t="shared" si="132"/>
        <v>0</v>
      </c>
      <c r="CU119" s="299">
        <f>[1]COMMANDE!AW117</f>
        <v>0</v>
      </c>
      <c r="CV119" s="297" t="str">
        <f t="shared" si="133"/>
        <v>0</v>
      </c>
      <c r="CW119" s="300">
        <f t="shared" si="134"/>
        <v>0</v>
      </c>
      <c r="CX119" s="301">
        <f>[1]COMMANDE!AY117</f>
        <v>0</v>
      </c>
      <c r="CY119" s="297" t="str">
        <f t="shared" si="135"/>
        <v>0</v>
      </c>
      <c r="CZ119" s="298">
        <f t="shared" si="136"/>
        <v>0</v>
      </c>
      <c r="DA119" s="299">
        <f>[1]COMMANDE!BA117</f>
        <v>0</v>
      </c>
      <c r="DB119" s="297" t="str">
        <f t="shared" si="137"/>
        <v>0</v>
      </c>
      <c r="DC119" s="302">
        <f t="shared" si="138"/>
        <v>0</v>
      </c>
      <c r="DD119" s="303"/>
      <c r="DE119" s="304"/>
    </row>
    <row r="120" spans="1:128" ht="39.950000000000003" customHeight="1" x14ac:dyDescent="0.25">
      <c r="A120" s="284">
        <f t="shared" si="71"/>
        <v>0</v>
      </c>
      <c r="B120" s="284">
        <f t="shared" si="72"/>
        <v>0</v>
      </c>
      <c r="C120" s="284">
        <f t="shared" si="73"/>
        <v>0</v>
      </c>
      <c r="D120" s="284">
        <f t="shared" si="74"/>
        <v>0</v>
      </c>
      <c r="E120" s="284">
        <f t="shared" si="75"/>
        <v>0</v>
      </c>
      <c r="F120" s="284">
        <f t="shared" si="76"/>
        <v>0</v>
      </c>
      <c r="G120" s="284">
        <f t="shared" si="77"/>
        <v>0</v>
      </c>
      <c r="H120" s="284">
        <f t="shared" si="78"/>
        <v>0</v>
      </c>
      <c r="I120" s="284">
        <f t="shared" si="79"/>
        <v>0</v>
      </c>
      <c r="J120" s="284">
        <f t="shared" si="80"/>
        <v>0</v>
      </c>
      <c r="K120" s="284">
        <f t="shared" si="81"/>
        <v>0</v>
      </c>
      <c r="L120" s="284">
        <f t="shared" si="82"/>
        <v>0</v>
      </c>
      <c r="M120" s="284">
        <f t="shared" si="83"/>
        <v>0</v>
      </c>
      <c r="N120" s="284">
        <f t="shared" si="84"/>
        <v>0</v>
      </c>
      <c r="O120" s="284">
        <f t="shared" si="85"/>
        <v>0</v>
      </c>
      <c r="P120" s="284">
        <f t="shared" si="86"/>
        <v>0</v>
      </c>
      <c r="Q120" s="284">
        <f t="shared" si="87"/>
        <v>0</v>
      </c>
      <c r="R120" s="284">
        <f t="shared" si="88"/>
        <v>0</v>
      </c>
      <c r="S120" s="284">
        <f t="shared" si="89"/>
        <v>0</v>
      </c>
      <c r="T120" s="284">
        <f t="shared" si="90"/>
        <v>0</v>
      </c>
      <c r="U120" s="285">
        <f t="shared" si="91"/>
        <v>0</v>
      </c>
      <c r="V120" s="286">
        <f>[1]BDD!A110</f>
        <v>1220</v>
      </c>
      <c r="W120" s="287" t="str">
        <f>[1]BDD!B110</f>
        <v>Fruits du Baobab en poudre (seulement la pulpe) BIO</v>
      </c>
      <c r="X120" s="288" t="str">
        <f>IF([1]BDD!F110=0, "", [1]BDD!F110)</f>
        <v>❤️</v>
      </c>
      <c r="Y120" s="214">
        <f>ROUND([1]BDD!G110+FDP_CMD_KG, 2)</f>
        <v>37.369999999999997</v>
      </c>
      <c r="Z120" s="214">
        <f>ROUND([1]BDD!G110+FDP_FACT_KG, 2)</f>
        <v>37.369999999999997</v>
      </c>
      <c r="AA120" s="215" t="str">
        <f>[1]BDD!H110</f>
        <v>kg</v>
      </c>
      <c r="AB120" s="225" t="str">
        <f>IF(NOT(ISBLANK([1]BDD!I110)), ROUND(SUM(([1]BDD!G110*reduc1),FDP_CMD_KG), 2), "")</f>
        <v/>
      </c>
      <c r="AC120" s="225" t="str">
        <f>IF(NOT(ISBLANK([1]BDD!J110)), ROUND(SUM(([1]BDD!G110*reduc2),FDP_CMD_KG), 2), "")</f>
        <v/>
      </c>
      <c r="AD120" s="225" t="str">
        <f>IF(NOT(ISBLANK([1]BDD!K110)), ROUND(SUM(([1]BDD!G110*reduc3),FDP_CMD_KG), 2), "")</f>
        <v/>
      </c>
      <c r="AE120" s="225" t="str">
        <f>IF(NOT(ISBLANK([1]BDD!I110)), ROUND(SUM(([1]BDD!G110*reduc1),FDP_FACT_KG), 2), "")</f>
        <v/>
      </c>
      <c r="AF120" s="225" t="str">
        <f>IF(NOT(ISBLANK([1]BDD!J110)), ROUND(SUM(([1]BDD!G110*reduc2),FDP_FACT_KG), 2), "")</f>
        <v/>
      </c>
      <c r="AG120" s="225" t="str">
        <f>IF(NOT(ISBLANK([1]BDD!K110)), ROUND(SUM(([1]BDD!G110*reduc3),FDP_FACT_KG), 2), "")</f>
        <v/>
      </c>
      <c r="AH120" s="289" t="str">
        <f>[1]BDD!C110</f>
        <v>Import</v>
      </c>
      <c r="AI120" s="290">
        <f t="shared" si="92"/>
        <v>0</v>
      </c>
      <c r="AJ120" s="216">
        <f t="shared" si="93"/>
        <v>37.369999999999997</v>
      </c>
      <c r="AK120" s="291">
        <f t="shared" si="94"/>
        <v>0</v>
      </c>
      <c r="AL120" s="429"/>
      <c r="AM120" s="292"/>
      <c r="AN120" s="216">
        <f t="shared" si="95"/>
        <v>37.369999999999997</v>
      </c>
      <c r="AO120" s="293">
        <f t="shared" si="96"/>
        <v>0</v>
      </c>
      <c r="AP120" s="294"/>
      <c r="AQ120" s="294"/>
      <c r="AR120" s="429"/>
      <c r="AS120" s="295">
        <f t="shared" si="97"/>
        <v>0</v>
      </c>
      <c r="AT120" s="216">
        <f t="shared" si="98"/>
        <v>37.369999999999997</v>
      </c>
      <c r="AU120" s="291">
        <f t="shared" si="70"/>
        <v>0</v>
      </c>
      <c r="AV120" s="296">
        <f>[1]COMMANDE!O118</f>
        <v>0</v>
      </c>
      <c r="AW120" s="297" t="str">
        <f t="shared" si="99"/>
        <v>0</v>
      </c>
      <c r="AX120" s="298">
        <f t="shared" si="100"/>
        <v>0</v>
      </c>
      <c r="AY120" s="299">
        <f>[1]COMMANDE!Q118</f>
        <v>0</v>
      </c>
      <c r="AZ120" s="297" t="str">
        <f t="shared" si="101"/>
        <v>0</v>
      </c>
      <c r="BA120" s="300">
        <f t="shared" si="102"/>
        <v>0</v>
      </c>
      <c r="BB120" s="301">
        <f>[1]COMMANDE!S118</f>
        <v>0</v>
      </c>
      <c r="BC120" s="297" t="str">
        <f t="shared" si="103"/>
        <v>0</v>
      </c>
      <c r="BD120" s="298">
        <f t="shared" si="104"/>
        <v>0</v>
      </c>
      <c r="BE120" s="299">
        <f>[1]COMMANDE!U118</f>
        <v>0</v>
      </c>
      <c r="BF120" s="297" t="str">
        <f t="shared" si="105"/>
        <v>0</v>
      </c>
      <c r="BG120" s="300">
        <f t="shared" si="106"/>
        <v>0</v>
      </c>
      <c r="BH120" s="301">
        <f>[1]COMMANDE!W118</f>
        <v>0</v>
      </c>
      <c r="BI120" s="297" t="str">
        <f t="shared" si="107"/>
        <v>0</v>
      </c>
      <c r="BJ120" s="298">
        <f t="shared" si="108"/>
        <v>0</v>
      </c>
      <c r="BK120" s="299">
        <f>[1]COMMANDE!Y118</f>
        <v>0</v>
      </c>
      <c r="BL120" s="297" t="str">
        <f t="shared" si="109"/>
        <v>0</v>
      </c>
      <c r="BM120" s="300">
        <f t="shared" si="110"/>
        <v>0</v>
      </c>
      <c r="BN120" s="301">
        <f>[1]COMMANDE!AA118</f>
        <v>0</v>
      </c>
      <c r="BO120" s="297" t="str">
        <f t="shared" si="111"/>
        <v>0</v>
      </c>
      <c r="BP120" s="298">
        <f t="shared" si="112"/>
        <v>0</v>
      </c>
      <c r="BQ120" s="299">
        <f>[1]COMMANDE!AC118</f>
        <v>0</v>
      </c>
      <c r="BR120" s="297" t="str">
        <f t="shared" si="113"/>
        <v>0</v>
      </c>
      <c r="BS120" s="300">
        <f t="shared" si="114"/>
        <v>0</v>
      </c>
      <c r="BT120" s="301">
        <f>[1]COMMANDE!AE118</f>
        <v>0</v>
      </c>
      <c r="BU120" s="297" t="str">
        <f t="shared" si="115"/>
        <v>0</v>
      </c>
      <c r="BV120" s="298">
        <f t="shared" si="116"/>
        <v>0</v>
      </c>
      <c r="BW120" s="299">
        <f>[1]COMMANDE!AG118</f>
        <v>0</v>
      </c>
      <c r="BX120" s="297" t="str">
        <f t="shared" si="117"/>
        <v>0</v>
      </c>
      <c r="BY120" s="300">
        <f t="shared" si="118"/>
        <v>0</v>
      </c>
      <c r="BZ120" s="301">
        <f>[1]COMMANDE!AI118</f>
        <v>0</v>
      </c>
      <c r="CA120" s="297" t="str">
        <f t="shared" si="119"/>
        <v>0</v>
      </c>
      <c r="CB120" s="298">
        <f t="shared" si="120"/>
        <v>0</v>
      </c>
      <c r="CC120" s="299">
        <f>[1]COMMANDE!AK118</f>
        <v>0</v>
      </c>
      <c r="CD120" s="297" t="str">
        <f t="shared" si="121"/>
        <v>0</v>
      </c>
      <c r="CE120" s="300">
        <f t="shared" si="122"/>
        <v>0</v>
      </c>
      <c r="CF120" s="301">
        <f>[1]COMMANDE!AM118</f>
        <v>0</v>
      </c>
      <c r="CG120" s="297" t="str">
        <f t="shared" si="123"/>
        <v>0</v>
      </c>
      <c r="CH120" s="298">
        <f t="shared" si="124"/>
        <v>0</v>
      </c>
      <c r="CI120" s="299">
        <f>[1]COMMANDE!AO118</f>
        <v>0</v>
      </c>
      <c r="CJ120" s="297" t="str">
        <f t="shared" si="125"/>
        <v>0</v>
      </c>
      <c r="CK120" s="300">
        <f t="shared" si="126"/>
        <v>0</v>
      </c>
      <c r="CL120" s="301">
        <f>[1]COMMANDE!AQ118</f>
        <v>0</v>
      </c>
      <c r="CM120" s="297" t="str">
        <f t="shared" si="127"/>
        <v>0</v>
      </c>
      <c r="CN120" s="298">
        <f t="shared" si="128"/>
        <v>0</v>
      </c>
      <c r="CO120" s="299">
        <f>[1]COMMANDE!AS118</f>
        <v>0</v>
      </c>
      <c r="CP120" s="297" t="str">
        <f t="shared" si="129"/>
        <v>0</v>
      </c>
      <c r="CQ120" s="300">
        <f t="shared" si="130"/>
        <v>0</v>
      </c>
      <c r="CR120" s="301">
        <f>[1]COMMANDE!AU118</f>
        <v>0</v>
      </c>
      <c r="CS120" s="297" t="str">
        <f t="shared" si="131"/>
        <v>0</v>
      </c>
      <c r="CT120" s="298">
        <f t="shared" si="132"/>
        <v>0</v>
      </c>
      <c r="CU120" s="299">
        <f>[1]COMMANDE!AW118</f>
        <v>0</v>
      </c>
      <c r="CV120" s="297" t="str">
        <f t="shared" si="133"/>
        <v>0</v>
      </c>
      <c r="CW120" s="300">
        <f t="shared" si="134"/>
        <v>0</v>
      </c>
      <c r="CX120" s="301">
        <f>[1]COMMANDE!AY118</f>
        <v>0</v>
      </c>
      <c r="CY120" s="297" t="str">
        <f t="shared" si="135"/>
        <v>0</v>
      </c>
      <c r="CZ120" s="298">
        <f t="shared" si="136"/>
        <v>0</v>
      </c>
      <c r="DA120" s="299">
        <f>[1]COMMANDE!BA118</f>
        <v>0</v>
      </c>
      <c r="DB120" s="297" t="str">
        <f t="shared" si="137"/>
        <v>0</v>
      </c>
      <c r="DC120" s="302">
        <f t="shared" si="138"/>
        <v>0</v>
      </c>
      <c r="DD120" s="303"/>
      <c r="DE120" s="304"/>
    </row>
    <row r="121" spans="1:128" ht="39.950000000000003" customHeight="1" x14ac:dyDescent="0.25">
      <c r="A121" s="284">
        <f t="shared" si="71"/>
        <v>0</v>
      </c>
      <c r="B121" s="284">
        <f t="shared" si="72"/>
        <v>0</v>
      </c>
      <c r="C121" s="284">
        <f t="shared" si="73"/>
        <v>0</v>
      </c>
      <c r="D121" s="284">
        <f t="shared" si="74"/>
        <v>0</v>
      </c>
      <c r="E121" s="284">
        <f t="shared" si="75"/>
        <v>0</v>
      </c>
      <c r="F121" s="284">
        <f t="shared" si="76"/>
        <v>0</v>
      </c>
      <c r="G121" s="284">
        <f t="shared" si="77"/>
        <v>0</v>
      </c>
      <c r="H121" s="284">
        <f t="shared" si="78"/>
        <v>0</v>
      </c>
      <c r="I121" s="284">
        <f t="shared" si="79"/>
        <v>0</v>
      </c>
      <c r="J121" s="284">
        <f t="shared" si="80"/>
        <v>0</v>
      </c>
      <c r="K121" s="284">
        <f t="shared" si="81"/>
        <v>0</v>
      </c>
      <c r="L121" s="284">
        <f t="shared" si="82"/>
        <v>0</v>
      </c>
      <c r="M121" s="284">
        <f t="shared" si="83"/>
        <v>0</v>
      </c>
      <c r="N121" s="284">
        <f t="shared" si="84"/>
        <v>0</v>
      </c>
      <c r="O121" s="284">
        <f t="shared" si="85"/>
        <v>0</v>
      </c>
      <c r="P121" s="284">
        <f t="shared" si="86"/>
        <v>0</v>
      </c>
      <c r="Q121" s="284">
        <f t="shared" si="87"/>
        <v>0</v>
      </c>
      <c r="R121" s="284">
        <f t="shared" si="88"/>
        <v>0</v>
      </c>
      <c r="S121" s="284">
        <f t="shared" si="89"/>
        <v>0</v>
      </c>
      <c r="T121" s="284">
        <f t="shared" si="90"/>
        <v>0</v>
      </c>
      <c r="U121" s="285">
        <f t="shared" si="91"/>
        <v>0</v>
      </c>
      <c r="V121" s="286">
        <f>[1]BDD!A111</f>
        <v>1967</v>
      </c>
      <c r="W121" s="287" t="str">
        <f>[1]BDD!B111</f>
        <v>Gingembre BIO</v>
      </c>
      <c r="X121" s="288" t="str">
        <f>IF([1]BDD!F111=0, "", [1]BDD!F111)</f>
        <v>❤️</v>
      </c>
      <c r="Y121" s="214">
        <f>ROUND([1]BDD!G111+FDP_CMD_KG, 2)</f>
        <v>8.1199999999999992</v>
      </c>
      <c r="Z121" s="214">
        <f>ROUND([1]BDD!G111+FDP_FACT_KG, 2)</f>
        <v>8.1199999999999992</v>
      </c>
      <c r="AA121" s="215" t="str">
        <f>[1]BDD!H111</f>
        <v>kg</v>
      </c>
      <c r="AB121" s="225">
        <f>IF(NOT(ISBLANK([1]BDD!I111)), ROUND(SUM(([1]BDD!G111*reduc1),FDP_CMD_KG), 2), "")</f>
        <v>7.4</v>
      </c>
      <c r="AC121" s="225">
        <f>IF(NOT(ISBLANK([1]BDD!J111)), ROUND(SUM(([1]BDD!G111*reduc2),FDP_CMD_KG), 2), "")</f>
        <v>6.67</v>
      </c>
      <c r="AD121" s="225" t="str">
        <f>IF(NOT(ISBLANK([1]BDD!K111)), ROUND(SUM(([1]BDD!G111*reduc3),FDP_CMD_KG), 2), "")</f>
        <v/>
      </c>
      <c r="AE121" s="225">
        <f>IF(NOT(ISBLANK([1]BDD!I111)), ROUND(SUM(([1]BDD!G111*reduc1),FDP_FACT_KG), 2), "")</f>
        <v>7.39</v>
      </c>
      <c r="AF121" s="225">
        <f>IF(NOT(ISBLANK([1]BDD!J111)), ROUND(SUM(([1]BDD!G111*reduc2),FDP_FACT_KG), 2), "")</f>
        <v>6.67</v>
      </c>
      <c r="AG121" s="225" t="str">
        <f>IF(NOT(ISBLANK([1]BDD!K111)), ROUND(SUM(([1]BDD!G111*reduc3),FDP_FACT_KG), 2), "")</f>
        <v/>
      </c>
      <c r="AH121" s="289" t="str">
        <f>[1]BDD!C111</f>
        <v>Pérou</v>
      </c>
      <c r="AI121" s="290">
        <f t="shared" si="92"/>
        <v>0</v>
      </c>
      <c r="AJ121" s="216">
        <f t="shared" si="93"/>
        <v>6.67</v>
      </c>
      <c r="AK121" s="291">
        <f t="shared" si="94"/>
        <v>0</v>
      </c>
      <c r="AL121" s="429"/>
      <c r="AM121" s="292"/>
      <c r="AN121" s="216">
        <f t="shared" si="95"/>
        <v>8.1199999999999992</v>
      </c>
      <c r="AO121" s="293">
        <f t="shared" si="96"/>
        <v>0</v>
      </c>
      <c r="AP121" s="294"/>
      <c r="AQ121" s="294"/>
      <c r="AR121" s="429"/>
      <c r="AS121" s="295">
        <f t="shared" si="97"/>
        <v>0</v>
      </c>
      <c r="AT121" s="216">
        <f t="shared" si="98"/>
        <v>8.1199999999999992</v>
      </c>
      <c r="AU121" s="291">
        <f t="shared" si="70"/>
        <v>0</v>
      </c>
      <c r="AV121" s="296">
        <f>[1]COMMANDE!O119</f>
        <v>0</v>
      </c>
      <c r="AW121" s="297" t="str">
        <f t="shared" si="99"/>
        <v>0</v>
      </c>
      <c r="AX121" s="298">
        <f t="shared" si="100"/>
        <v>0</v>
      </c>
      <c r="AY121" s="299">
        <f>[1]COMMANDE!Q119</f>
        <v>0</v>
      </c>
      <c r="AZ121" s="297" t="str">
        <f t="shared" si="101"/>
        <v>0</v>
      </c>
      <c r="BA121" s="300">
        <f t="shared" si="102"/>
        <v>0</v>
      </c>
      <c r="BB121" s="301">
        <f>[1]COMMANDE!S119</f>
        <v>0</v>
      </c>
      <c r="BC121" s="297" t="str">
        <f t="shared" si="103"/>
        <v>0</v>
      </c>
      <c r="BD121" s="298">
        <f t="shared" si="104"/>
        <v>0</v>
      </c>
      <c r="BE121" s="299">
        <f>[1]COMMANDE!U119</f>
        <v>0</v>
      </c>
      <c r="BF121" s="297" t="str">
        <f t="shared" si="105"/>
        <v>0</v>
      </c>
      <c r="BG121" s="300">
        <f t="shared" si="106"/>
        <v>0</v>
      </c>
      <c r="BH121" s="301">
        <f>[1]COMMANDE!W119</f>
        <v>0</v>
      </c>
      <c r="BI121" s="297" t="str">
        <f t="shared" si="107"/>
        <v>0</v>
      </c>
      <c r="BJ121" s="298">
        <f t="shared" si="108"/>
        <v>0</v>
      </c>
      <c r="BK121" s="299">
        <f>[1]COMMANDE!Y119</f>
        <v>0</v>
      </c>
      <c r="BL121" s="297" t="str">
        <f t="shared" si="109"/>
        <v>0</v>
      </c>
      <c r="BM121" s="300">
        <f t="shared" si="110"/>
        <v>0</v>
      </c>
      <c r="BN121" s="301">
        <f>[1]COMMANDE!AA119</f>
        <v>0</v>
      </c>
      <c r="BO121" s="297" t="str">
        <f t="shared" si="111"/>
        <v>0</v>
      </c>
      <c r="BP121" s="298">
        <f t="shared" si="112"/>
        <v>0</v>
      </c>
      <c r="BQ121" s="299">
        <f>[1]COMMANDE!AC119</f>
        <v>0</v>
      </c>
      <c r="BR121" s="297" t="str">
        <f t="shared" si="113"/>
        <v>0</v>
      </c>
      <c r="BS121" s="300">
        <f t="shared" si="114"/>
        <v>0</v>
      </c>
      <c r="BT121" s="301">
        <f>[1]COMMANDE!AE119</f>
        <v>0</v>
      </c>
      <c r="BU121" s="297" t="str">
        <f t="shared" si="115"/>
        <v>0</v>
      </c>
      <c r="BV121" s="298">
        <f t="shared" si="116"/>
        <v>0</v>
      </c>
      <c r="BW121" s="299">
        <f>[1]COMMANDE!AG119</f>
        <v>0</v>
      </c>
      <c r="BX121" s="297" t="str">
        <f t="shared" si="117"/>
        <v>0</v>
      </c>
      <c r="BY121" s="300">
        <f t="shared" si="118"/>
        <v>0</v>
      </c>
      <c r="BZ121" s="301">
        <f>[1]COMMANDE!AI119</f>
        <v>0</v>
      </c>
      <c r="CA121" s="297" t="str">
        <f t="shared" si="119"/>
        <v>0</v>
      </c>
      <c r="CB121" s="298">
        <f t="shared" si="120"/>
        <v>0</v>
      </c>
      <c r="CC121" s="299">
        <f>[1]COMMANDE!AK119</f>
        <v>0</v>
      </c>
      <c r="CD121" s="297" t="str">
        <f t="shared" si="121"/>
        <v>0</v>
      </c>
      <c r="CE121" s="300">
        <f t="shared" si="122"/>
        <v>0</v>
      </c>
      <c r="CF121" s="301">
        <f>[1]COMMANDE!AM119</f>
        <v>0</v>
      </c>
      <c r="CG121" s="297" t="str">
        <f t="shared" si="123"/>
        <v>0</v>
      </c>
      <c r="CH121" s="298">
        <f t="shared" si="124"/>
        <v>0</v>
      </c>
      <c r="CI121" s="299">
        <f>[1]COMMANDE!AO119</f>
        <v>0</v>
      </c>
      <c r="CJ121" s="297" t="str">
        <f t="shared" si="125"/>
        <v>0</v>
      </c>
      <c r="CK121" s="300">
        <f t="shared" si="126"/>
        <v>0</v>
      </c>
      <c r="CL121" s="301">
        <f>[1]COMMANDE!AQ119</f>
        <v>0</v>
      </c>
      <c r="CM121" s="297" t="str">
        <f t="shared" si="127"/>
        <v>0</v>
      </c>
      <c r="CN121" s="298">
        <f t="shared" si="128"/>
        <v>0</v>
      </c>
      <c r="CO121" s="299">
        <f>[1]COMMANDE!AS119</f>
        <v>0</v>
      </c>
      <c r="CP121" s="297" t="str">
        <f t="shared" si="129"/>
        <v>0</v>
      </c>
      <c r="CQ121" s="300">
        <f t="shared" si="130"/>
        <v>0</v>
      </c>
      <c r="CR121" s="301">
        <f>[1]COMMANDE!AU119</f>
        <v>0</v>
      </c>
      <c r="CS121" s="297" t="str">
        <f t="shared" si="131"/>
        <v>0</v>
      </c>
      <c r="CT121" s="298">
        <f t="shared" si="132"/>
        <v>0</v>
      </c>
      <c r="CU121" s="299">
        <f>[1]COMMANDE!AW119</f>
        <v>0</v>
      </c>
      <c r="CV121" s="297" t="str">
        <f t="shared" si="133"/>
        <v>0</v>
      </c>
      <c r="CW121" s="300">
        <f t="shared" si="134"/>
        <v>0</v>
      </c>
      <c r="CX121" s="301">
        <f>[1]COMMANDE!AY119</f>
        <v>0</v>
      </c>
      <c r="CY121" s="297" t="str">
        <f t="shared" si="135"/>
        <v>0</v>
      </c>
      <c r="CZ121" s="298">
        <f t="shared" si="136"/>
        <v>0</v>
      </c>
      <c r="DA121" s="299">
        <f>[1]COMMANDE!BA119</f>
        <v>0</v>
      </c>
      <c r="DB121" s="297" t="str">
        <f t="shared" si="137"/>
        <v>0</v>
      </c>
      <c r="DC121" s="302">
        <f t="shared" si="138"/>
        <v>0</v>
      </c>
      <c r="DD121" s="303"/>
      <c r="DE121" s="304"/>
    </row>
    <row r="122" spans="1:128" ht="39.950000000000003" customHeight="1" x14ac:dyDescent="0.25">
      <c r="A122" s="284">
        <f t="shared" si="71"/>
        <v>0</v>
      </c>
      <c r="B122" s="284">
        <f t="shared" si="72"/>
        <v>0</v>
      </c>
      <c r="C122" s="284">
        <f t="shared" si="73"/>
        <v>0</v>
      </c>
      <c r="D122" s="284">
        <f t="shared" si="74"/>
        <v>0</v>
      </c>
      <c r="E122" s="284">
        <f t="shared" si="75"/>
        <v>0</v>
      </c>
      <c r="F122" s="284">
        <f t="shared" si="76"/>
        <v>0</v>
      </c>
      <c r="G122" s="284">
        <f t="shared" si="77"/>
        <v>0</v>
      </c>
      <c r="H122" s="284">
        <f t="shared" si="78"/>
        <v>0</v>
      </c>
      <c r="I122" s="284">
        <f t="shared" si="79"/>
        <v>0</v>
      </c>
      <c r="J122" s="284">
        <f t="shared" si="80"/>
        <v>0</v>
      </c>
      <c r="K122" s="284">
        <f t="shared" si="81"/>
        <v>0</v>
      </c>
      <c r="L122" s="284">
        <f t="shared" si="82"/>
        <v>0</v>
      </c>
      <c r="M122" s="284">
        <f t="shared" si="83"/>
        <v>0</v>
      </c>
      <c r="N122" s="284">
        <f t="shared" si="84"/>
        <v>0</v>
      </c>
      <c r="O122" s="284">
        <f t="shared" si="85"/>
        <v>0</v>
      </c>
      <c r="P122" s="284">
        <f t="shared" si="86"/>
        <v>0</v>
      </c>
      <c r="Q122" s="284">
        <f t="shared" si="87"/>
        <v>0</v>
      </c>
      <c r="R122" s="284">
        <f t="shared" si="88"/>
        <v>0</v>
      </c>
      <c r="S122" s="284">
        <f t="shared" si="89"/>
        <v>0</v>
      </c>
      <c r="T122" s="284">
        <f t="shared" si="90"/>
        <v>0</v>
      </c>
      <c r="U122" s="285">
        <f t="shared" si="91"/>
        <v>0</v>
      </c>
      <c r="V122" s="286">
        <f>[1]BDD!A112</f>
        <v>3217</v>
      </c>
      <c r="W122" s="287" t="str">
        <f>[1]BDD!B112</f>
        <v>Goyave</v>
      </c>
      <c r="X122" s="288" t="str">
        <f>IF([1]BDD!F112=0, "", [1]BDD!F112)</f>
        <v/>
      </c>
      <c r="Y122" s="214">
        <f>ROUND([1]BDD!G112+FDP_CMD_KG, 2)</f>
        <v>4.5599999999999996</v>
      </c>
      <c r="Z122" s="214">
        <f>ROUND([1]BDD!G112+FDP_FACT_KG, 2)</f>
        <v>4.5599999999999996</v>
      </c>
      <c r="AA122" s="215" t="str">
        <f>[1]BDD!H112</f>
        <v>kg</v>
      </c>
      <c r="AB122" s="225">
        <f>IF(NOT(ISBLANK([1]BDD!I112)), ROUND(SUM(([1]BDD!G112*reduc1),FDP_CMD_KG), 2), "")</f>
        <v>4.1900000000000004</v>
      </c>
      <c r="AC122" s="225">
        <f>IF(NOT(ISBLANK([1]BDD!J112)), ROUND(SUM(([1]BDD!G112*reduc2),FDP_CMD_KG), 2), "")</f>
        <v>3.83</v>
      </c>
      <c r="AD122" s="225">
        <f>IF(NOT(ISBLANK([1]BDD!K112)), ROUND(SUM(([1]BDD!G112*reduc3),FDP_CMD_KG), 2), "")</f>
        <v>3.46</v>
      </c>
      <c r="AE122" s="225">
        <f>IF(NOT(ISBLANK([1]BDD!I112)), ROUND(SUM(([1]BDD!G112*reduc1),FDP_FACT_KG), 2), "")</f>
        <v>4.1900000000000004</v>
      </c>
      <c r="AF122" s="225">
        <f>IF(NOT(ISBLANK([1]BDD!J112)), ROUND(SUM(([1]BDD!G112*reduc2),FDP_FACT_KG), 2), "")</f>
        <v>3.82</v>
      </c>
      <c r="AG122" s="225">
        <f>IF(NOT(ISBLANK([1]BDD!K112)), ROUND(SUM(([1]BDD!G112*reduc3),FDP_FACT_KG), 2), "")</f>
        <v>3.45</v>
      </c>
      <c r="AH122" s="289" t="str">
        <f>[1]BDD!C112</f>
        <v>Grenade</v>
      </c>
      <c r="AI122" s="290">
        <f t="shared" si="92"/>
        <v>0</v>
      </c>
      <c r="AJ122" s="216">
        <f t="shared" si="93"/>
        <v>3.46</v>
      </c>
      <c r="AK122" s="291">
        <f t="shared" si="94"/>
        <v>0</v>
      </c>
      <c r="AL122" s="429"/>
      <c r="AM122" s="292"/>
      <c r="AN122" s="216">
        <f t="shared" si="95"/>
        <v>4.5599999999999996</v>
      </c>
      <c r="AO122" s="293">
        <f t="shared" si="96"/>
        <v>0</v>
      </c>
      <c r="AP122" s="294"/>
      <c r="AQ122" s="294"/>
      <c r="AR122" s="429"/>
      <c r="AS122" s="295">
        <f t="shared" si="97"/>
        <v>0</v>
      </c>
      <c r="AT122" s="216">
        <f t="shared" si="98"/>
        <v>4.5599999999999996</v>
      </c>
      <c r="AU122" s="291">
        <f t="shared" si="70"/>
        <v>0</v>
      </c>
      <c r="AV122" s="296">
        <f>[1]COMMANDE!O120</f>
        <v>0</v>
      </c>
      <c r="AW122" s="297" t="str">
        <f t="shared" si="99"/>
        <v>0</v>
      </c>
      <c r="AX122" s="298">
        <f t="shared" si="100"/>
        <v>0</v>
      </c>
      <c r="AY122" s="299">
        <f>[1]COMMANDE!Q120</f>
        <v>0</v>
      </c>
      <c r="AZ122" s="297" t="str">
        <f t="shared" si="101"/>
        <v>0</v>
      </c>
      <c r="BA122" s="300">
        <f t="shared" si="102"/>
        <v>0</v>
      </c>
      <c r="BB122" s="301">
        <f>[1]COMMANDE!S120</f>
        <v>0</v>
      </c>
      <c r="BC122" s="297" t="str">
        <f t="shared" si="103"/>
        <v>0</v>
      </c>
      <c r="BD122" s="298">
        <f t="shared" si="104"/>
        <v>0</v>
      </c>
      <c r="BE122" s="299">
        <f>[1]COMMANDE!U120</f>
        <v>0</v>
      </c>
      <c r="BF122" s="297" t="str">
        <f t="shared" si="105"/>
        <v>0</v>
      </c>
      <c r="BG122" s="300">
        <f t="shared" si="106"/>
        <v>0</v>
      </c>
      <c r="BH122" s="301">
        <f>[1]COMMANDE!W120</f>
        <v>0</v>
      </c>
      <c r="BI122" s="297" t="str">
        <f t="shared" si="107"/>
        <v>0</v>
      </c>
      <c r="BJ122" s="298">
        <f t="shared" si="108"/>
        <v>0</v>
      </c>
      <c r="BK122" s="299">
        <f>[1]COMMANDE!Y120</f>
        <v>0</v>
      </c>
      <c r="BL122" s="297" t="str">
        <f t="shared" si="109"/>
        <v>0</v>
      </c>
      <c r="BM122" s="300">
        <f t="shared" si="110"/>
        <v>0</v>
      </c>
      <c r="BN122" s="301">
        <f>[1]COMMANDE!AA120</f>
        <v>0</v>
      </c>
      <c r="BO122" s="297" t="str">
        <f t="shared" si="111"/>
        <v>0</v>
      </c>
      <c r="BP122" s="298">
        <f t="shared" si="112"/>
        <v>0</v>
      </c>
      <c r="BQ122" s="299">
        <f>[1]COMMANDE!AC120</f>
        <v>0</v>
      </c>
      <c r="BR122" s="297" t="str">
        <f t="shared" si="113"/>
        <v>0</v>
      </c>
      <c r="BS122" s="300">
        <f t="shared" si="114"/>
        <v>0</v>
      </c>
      <c r="BT122" s="301">
        <f>[1]COMMANDE!AE120</f>
        <v>0</v>
      </c>
      <c r="BU122" s="297" t="str">
        <f t="shared" si="115"/>
        <v>0</v>
      </c>
      <c r="BV122" s="298">
        <f t="shared" si="116"/>
        <v>0</v>
      </c>
      <c r="BW122" s="299">
        <f>[1]COMMANDE!AG120</f>
        <v>0</v>
      </c>
      <c r="BX122" s="297" t="str">
        <f t="shared" si="117"/>
        <v>0</v>
      </c>
      <c r="BY122" s="300">
        <f t="shared" si="118"/>
        <v>0</v>
      </c>
      <c r="BZ122" s="301">
        <f>[1]COMMANDE!AI120</f>
        <v>0</v>
      </c>
      <c r="CA122" s="297" t="str">
        <f t="shared" si="119"/>
        <v>0</v>
      </c>
      <c r="CB122" s="298">
        <f t="shared" si="120"/>
        <v>0</v>
      </c>
      <c r="CC122" s="299">
        <f>[1]COMMANDE!AK120</f>
        <v>0</v>
      </c>
      <c r="CD122" s="297" t="str">
        <f t="shared" si="121"/>
        <v>0</v>
      </c>
      <c r="CE122" s="300">
        <f t="shared" si="122"/>
        <v>0</v>
      </c>
      <c r="CF122" s="301">
        <f>[1]COMMANDE!AM120</f>
        <v>0</v>
      </c>
      <c r="CG122" s="297" t="str">
        <f t="shared" si="123"/>
        <v>0</v>
      </c>
      <c r="CH122" s="298">
        <f t="shared" si="124"/>
        <v>0</v>
      </c>
      <c r="CI122" s="299">
        <f>[1]COMMANDE!AO120</f>
        <v>0</v>
      </c>
      <c r="CJ122" s="297" t="str">
        <f t="shared" si="125"/>
        <v>0</v>
      </c>
      <c r="CK122" s="300">
        <f t="shared" si="126"/>
        <v>0</v>
      </c>
      <c r="CL122" s="301">
        <f>[1]COMMANDE!AQ120</f>
        <v>0</v>
      </c>
      <c r="CM122" s="297" t="str">
        <f t="shared" si="127"/>
        <v>0</v>
      </c>
      <c r="CN122" s="298">
        <f t="shared" si="128"/>
        <v>0</v>
      </c>
      <c r="CO122" s="299">
        <f>[1]COMMANDE!AS120</f>
        <v>0</v>
      </c>
      <c r="CP122" s="297" t="str">
        <f t="shared" si="129"/>
        <v>0</v>
      </c>
      <c r="CQ122" s="300">
        <f t="shared" si="130"/>
        <v>0</v>
      </c>
      <c r="CR122" s="301">
        <f>[1]COMMANDE!AU120</f>
        <v>0</v>
      </c>
      <c r="CS122" s="297" t="str">
        <f t="shared" si="131"/>
        <v>0</v>
      </c>
      <c r="CT122" s="298">
        <f t="shared" si="132"/>
        <v>0</v>
      </c>
      <c r="CU122" s="299">
        <f>[1]COMMANDE!AW120</f>
        <v>0</v>
      </c>
      <c r="CV122" s="297" t="str">
        <f t="shared" si="133"/>
        <v>0</v>
      </c>
      <c r="CW122" s="300">
        <f t="shared" si="134"/>
        <v>0</v>
      </c>
      <c r="CX122" s="301">
        <f>[1]COMMANDE!AY120</f>
        <v>0</v>
      </c>
      <c r="CY122" s="297" t="str">
        <f t="shared" si="135"/>
        <v>0</v>
      </c>
      <c r="CZ122" s="298">
        <f t="shared" si="136"/>
        <v>0</v>
      </c>
      <c r="DA122" s="299">
        <f>[1]COMMANDE!BA120</f>
        <v>0</v>
      </c>
      <c r="DB122" s="297" t="str">
        <f t="shared" si="137"/>
        <v>0</v>
      </c>
      <c r="DC122" s="302">
        <f t="shared" si="138"/>
        <v>0</v>
      </c>
      <c r="DD122" s="303"/>
      <c r="DE122" s="304"/>
    </row>
    <row r="123" spans="1:128" ht="39.950000000000003" customHeight="1" x14ac:dyDescent="0.25">
      <c r="A123" s="284">
        <f t="shared" si="71"/>
        <v>0</v>
      </c>
      <c r="B123" s="284">
        <f t="shared" si="72"/>
        <v>0</v>
      </c>
      <c r="C123" s="284">
        <f t="shared" si="73"/>
        <v>0</v>
      </c>
      <c r="D123" s="284">
        <f t="shared" si="74"/>
        <v>0</v>
      </c>
      <c r="E123" s="284">
        <f t="shared" si="75"/>
        <v>0</v>
      </c>
      <c r="F123" s="284">
        <f t="shared" si="76"/>
        <v>0</v>
      </c>
      <c r="G123" s="284">
        <f t="shared" si="77"/>
        <v>0</v>
      </c>
      <c r="H123" s="284">
        <f t="shared" si="78"/>
        <v>0</v>
      </c>
      <c r="I123" s="284">
        <f t="shared" si="79"/>
        <v>0</v>
      </c>
      <c r="J123" s="284">
        <f t="shared" si="80"/>
        <v>0</v>
      </c>
      <c r="K123" s="284">
        <f t="shared" si="81"/>
        <v>0</v>
      </c>
      <c r="L123" s="284">
        <f t="shared" si="82"/>
        <v>0</v>
      </c>
      <c r="M123" s="284">
        <f t="shared" si="83"/>
        <v>0</v>
      </c>
      <c r="N123" s="284">
        <f t="shared" si="84"/>
        <v>0</v>
      </c>
      <c r="O123" s="284">
        <f t="shared" si="85"/>
        <v>0</v>
      </c>
      <c r="P123" s="284">
        <f t="shared" si="86"/>
        <v>0</v>
      </c>
      <c r="Q123" s="284">
        <f t="shared" si="87"/>
        <v>0</v>
      </c>
      <c r="R123" s="284">
        <f t="shared" si="88"/>
        <v>0</v>
      </c>
      <c r="S123" s="284">
        <f t="shared" si="89"/>
        <v>0</v>
      </c>
      <c r="T123" s="284">
        <f t="shared" si="90"/>
        <v>0</v>
      </c>
      <c r="U123" s="285">
        <f t="shared" si="91"/>
        <v>0</v>
      </c>
      <c r="V123" s="286">
        <f>[1]BDD!A113</f>
        <v>1619</v>
      </c>
      <c r="W123" s="287" t="str">
        <f>[1]BDD!B113</f>
        <v>Goyave BIO (production Rufino)</v>
      </c>
      <c r="X123" s="288" t="str">
        <f>IF([1]BDD!F113=0, "", [1]BDD!F113)</f>
        <v/>
      </c>
      <c r="Y123" s="214">
        <f>ROUND([1]BDD!G113+FDP_CMD_KG, 2)</f>
        <v>5.45</v>
      </c>
      <c r="Z123" s="214">
        <f>ROUND([1]BDD!G113+FDP_FACT_KG, 2)</f>
        <v>5.45</v>
      </c>
      <c r="AA123" s="215" t="str">
        <f>[1]BDD!H113</f>
        <v>kg</v>
      </c>
      <c r="AB123" s="225">
        <f>IF(NOT(ISBLANK([1]BDD!I113)), ROUND(SUM(([1]BDD!G113*reduc1),FDP_CMD_KG), 2), "")</f>
        <v>5</v>
      </c>
      <c r="AC123" s="225">
        <f>IF(NOT(ISBLANK([1]BDD!J113)), ROUND(SUM(([1]BDD!G113*reduc2),FDP_CMD_KG), 2), "")</f>
        <v>4.54</v>
      </c>
      <c r="AD123" s="225">
        <f>IF(NOT(ISBLANK([1]BDD!K113)), ROUND(SUM(([1]BDD!G113*reduc3),FDP_CMD_KG), 2), "")</f>
        <v>4.08</v>
      </c>
      <c r="AE123" s="225">
        <f>IF(NOT(ISBLANK([1]BDD!I113)), ROUND(SUM(([1]BDD!G113*reduc1),FDP_FACT_KG), 2), "")</f>
        <v>4.99</v>
      </c>
      <c r="AF123" s="225">
        <f>IF(NOT(ISBLANK([1]BDD!J113)), ROUND(SUM(([1]BDD!G113*reduc2),FDP_FACT_KG), 2), "")</f>
        <v>4.53</v>
      </c>
      <c r="AG123" s="225">
        <f>IF(NOT(ISBLANK([1]BDD!K113)), ROUND(SUM(([1]BDD!G113*reduc3),FDP_FACT_KG), 2), "")</f>
        <v>4.07</v>
      </c>
      <c r="AH123" s="289" t="str">
        <f>[1]BDD!C113</f>
        <v>Grenade</v>
      </c>
      <c r="AI123" s="290">
        <f t="shared" si="92"/>
        <v>0</v>
      </c>
      <c r="AJ123" s="216">
        <f t="shared" si="93"/>
        <v>4.08</v>
      </c>
      <c r="AK123" s="291">
        <f t="shared" si="94"/>
        <v>0</v>
      </c>
      <c r="AL123" s="429"/>
      <c r="AM123" s="292"/>
      <c r="AN123" s="216">
        <f t="shared" si="95"/>
        <v>5.45</v>
      </c>
      <c r="AO123" s="293">
        <f t="shared" si="96"/>
        <v>0</v>
      </c>
      <c r="AP123" s="294"/>
      <c r="AQ123" s="294"/>
      <c r="AR123" s="429"/>
      <c r="AS123" s="295">
        <f t="shared" si="97"/>
        <v>0</v>
      </c>
      <c r="AT123" s="216">
        <f t="shared" si="98"/>
        <v>5.45</v>
      </c>
      <c r="AU123" s="291">
        <f t="shared" si="70"/>
        <v>0</v>
      </c>
      <c r="AV123" s="296">
        <f>[1]COMMANDE!O121</f>
        <v>0</v>
      </c>
      <c r="AW123" s="297" t="str">
        <f t="shared" si="99"/>
        <v>0</v>
      </c>
      <c r="AX123" s="298">
        <f t="shared" si="100"/>
        <v>0</v>
      </c>
      <c r="AY123" s="299">
        <f>[1]COMMANDE!Q121</f>
        <v>0</v>
      </c>
      <c r="AZ123" s="297" t="str">
        <f t="shared" si="101"/>
        <v>0</v>
      </c>
      <c r="BA123" s="300">
        <f t="shared" si="102"/>
        <v>0</v>
      </c>
      <c r="BB123" s="301">
        <f>[1]COMMANDE!S121</f>
        <v>0</v>
      </c>
      <c r="BC123" s="297" t="str">
        <f t="shared" si="103"/>
        <v>0</v>
      </c>
      <c r="BD123" s="298">
        <f t="shared" si="104"/>
        <v>0</v>
      </c>
      <c r="BE123" s="299">
        <f>[1]COMMANDE!U121</f>
        <v>0</v>
      </c>
      <c r="BF123" s="297" t="str">
        <f t="shared" si="105"/>
        <v>0</v>
      </c>
      <c r="BG123" s="300">
        <f t="shared" si="106"/>
        <v>0</v>
      </c>
      <c r="BH123" s="301">
        <f>[1]COMMANDE!W121</f>
        <v>0</v>
      </c>
      <c r="BI123" s="297" t="str">
        <f t="shared" si="107"/>
        <v>0</v>
      </c>
      <c r="BJ123" s="298">
        <f t="shared" si="108"/>
        <v>0</v>
      </c>
      <c r="BK123" s="299">
        <f>[1]COMMANDE!Y121</f>
        <v>0</v>
      </c>
      <c r="BL123" s="297" t="str">
        <f t="shared" si="109"/>
        <v>0</v>
      </c>
      <c r="BM123" s="300">
        <f t="shared" si="110"/>
        <v>0</v>
      </c>
      <c r="BN123" s="301">
        <f>[1]COMMANDE!AA121</f>
        <v>0</v>
      </c>
      <c r="BO123" s="297" t="str">
        <f t="shared" si="111"/>
        <v>0</v>
      </c>
      <c r="BP123" s="298">
        <f t="shared" si="112"/>
        <v>0</v>
      </c>
      <c r="BQ123" s="299">
        <f>[1]COMMANDE!AC121</f>
        <v>0</v>
      </c>
      <c r="BR123" s="297" t="str">
        <f t="shared" si="113"/>
        <v>0</v>
      </c>
      <c r="BS123" s="300">
        <f t="shared" si="114"/>
        <v>0</v>
      </c>
      <c r="BT123" s="301">
        <f>[1]COMMANDE!AE121</f>
        <v>0</v>
      </c>
      <c r="BU123" s="297" t="str">
        <f t="shared" si="115"/>
        <v>0</v>
      </c>
      <c r="BV123" s="298">
        <f t="shared" si="116"/>
        <v>0</v>
      </c>
      <c r="BW123" s="299">
        <f>[1]COMMANDE!AG121</f>
        <v>0</v>
      </c>
      <c r="BX123" s="297" t="str">
        <f t="shared" si="117"/>
        <v>0</v>
      </c>
      <c r="BY123" s="300">
        <f t="shared" si="118"/>
        <v>0</v>
      </c>
      <c r="BZ123" s="301">
        <f>[1]COMMANDE!AI121</f>
        <v>0</v>
      </c>
      <c r="CA123" s="297" t="str">
        <f t="shared" si="119"/>
        <v>0</v>
      </c>
      <c r="CB123" s="298">
        <f t="shared" si="120"/>
        <v>0</v>
      </c>
      <c r="CC123" s="299">
        <f>[1]COMMANDE!AK121</f>
        <v>0</v>
      </c>
      <c r="CD123" s="297" t="str">
        <f t="shared" si="121"/>
        <v>0</v>
      </c>
      <c r="CE123" s="300">
        <f t="shared" si="122"/>
        <v>0</v>
      </c>
      <c r="CF123" s="301">
        <f>[1]COMMANDE!AM121</f>
        <v>0</v>
      </c>
      <c r="CG123" s="297" t="str">
        <f t="shared" si="123"/>
        <v>0</v>
      </c>
      <c r="CH123" s="298">
        <f t="shared" si="124"/>
        <v>0</v>
      </c>
      <c r="CI123" s="299">
        <f>[1]COMMANDE!AO121</f>
        <v>0</v>
      </c>
      <c r="CJ123" s="297" t="str">
        <f t="shared" si="125"/>
        <v>0</v>
      </c>
      <c r="CK123" s="300">
        <f t="shared" si="126"/>
        <v>0</v>
      </c>
      <c r="CL123" s="301">
        <f>[1]COMMANDE!AQ121</f>
        <v>0</v>
      </c>
      <c r="CM123" s="297" t="str">
        <f t="shared" si="127"/>
        <v>0</v>
      </c>
      <c r="CN123" s="298">
        <f t="shared" si="128"/>
        <v>0</v>
      </c>
      <c r="CO123" s="299">
        <f>[1]COMMANDE!AS121</f>
        <v>0</v>
      </c>
      <c r="CP123" s="297" t="str">
        <f t="shared" si="129"/>
        <v>0</v>
      </c>
      <c r="CQ123" s="300">
        <f t="shared" si="130"/>
        <v>0</v>
      </c>
      <c r="CR123" s="301">
        <f>[1]COMMANDE!AU121</f>
        <v>0</v>
      </c>
      <c r="CS123" s="297" t="str">
        <f t="shared" si="131"/>
        <v>0</v>
      </c>
      <c r="CT123" s="298">
        <f t="shared" si="132"/>
        <v>0</v>
      </c>
      <c r="CU123" s="299">
        <f>[1]COMMANDE!AW121</f>
        <v>0</v>
      </c>
      <c r="CV123" s="297" t="str">
        <f t="shared" si="133"/>
        <v>0</v>
      </c>
      <c r="CW123" s="300">
        <f t="shared" si="134"/>
        <v>0</v>
      </c>
      <c r="CX123" s="301">
        <f>[1]COMMANDE!AY121</f>
        <v>0</v>
      </c>
      <c r="CY123" s="297" t="str">
        <f t="shared" si="135"/>
        <v>0</v>
      </c>
      <c r="CZ123" s="298">
        <f t="shared" si="136"/>
        <v>0</v>
      </c>
      <c r="DA123" s="299">
        <f>[1]COMMANDE!BA121</f>
        <v>0</v>
      </c>
      <c r="DB123" s="297" t="str">
        <f t="shared" si="137"/>
        <v>0</v>
      </c>
      <c r="DC123" s="302">
        <f t="shared" si="138"/>
        <v>0</v>
      </c>
      <c r="DD123" s="303"/>
      <c r="DE123" s="304"/>
    </row>
    <row r="124" spans="1:128" ht="39.950000000000003" customHeight="1" x14ac:dyDescent="0.25">
      <c r="A124" s="284">
        <f t="shared" si="71"/>
        <v>0</v>
      </c>
      <c r="B124" s="284">
        <f t="shared" si="72"/>
        <v>0</v>
      </c>
      <c r="C124" s="284">
        <f t="shared" si="73"/>
        <v>0</v>
      </c>
      <c r="D124" s="284">
        <f t="shared" si="74"/>
        <v>0</v>
      </c>
      <c r="E124" s="284">
        <f t="shared" si="75"/>
        <v>0</v>
      </c>
      <c r="F124" s="284">
        <f t="shared" si="76"/>
        <v>0</v>
      </c>
      <c r="G124" s="284">
        <f t="shared" si="77"/>
        <v>0</v>
      </c>
      <c r="H124" s="284">
        <f t="shared" si="78"/>
        <v>0</v>
      </c>
      <c r="I124" s="284">
        <f t="shared" si="79"/>
        <v>0</v>
      </c>
      <c r="J124" s="284">
        <f t="shared" si="80"/>
        <v>0</v>
      </c>
      <c r="K124" s="284">
        <f t="shared" si="81"/>
        <v>0</v>
      </c>
      <c r="L124" s="284">
        <f t="shared" si="82"/>
        <v>0</v>
      </c>
      <c r="M124" s="284">
        <f t="shared" si="83"/>
        <v>0</v>
      </c>
      <c r="N124" s="284">
        <f t="shared" si="84"/>
        <v>0</v>
      </c>
      <c r="O124" s="284">
        <f t="shared" si="85"/>
        <v>0</v>
      </c>
      <c r="P124" s="284">
        <f t="shared" si="86"/>
        <v>0</v>
      </c>
      <c r="Q124" s="284">
        <f t="shared" si="87"/>
        <v>0</v>
      </c>
      <c r="R124" s="284">
        <f t="shared" si="88"/>
        <v>0</v>
      </c>
      <c r="S124" s="284">
        <f t="shared" si="89"/>
        <v>0</v>
      </c>
      <c r="T124" s="284">
        <f t="shared" si="90"/>
        <v>0</v>
      </c>
      <c r="U124" s="285">
        <f t="shared" si="91"/>
        <v>0</v>
      </c>
      <c r="V124" s="286">
        <f>[1]BDD!A114</f>
        <v>1607</v>
      </c>
      <c r="W124" s="287" t="str">
        <f>[1]BDD!B114</f>
        <v>Graines de chanvre pelées CRU BIO
    - (env. 1 kg)</v>
      </c>
      <c r="X124" s="288" t="str">
        <f>IF([1]BDD!F114=0, "", [1]BDD!F114)</f>
        <v>❤️</v>
      </c>
      <c r="Y124" s="214">
        <f>ROUND([1]BDD!G114+FDP_CMD_KG, 2)</f>
        <v>18.649999999999999</v>
      </c>
      <c r="Z124" s="214">
        <f>ROUND([1]BDD!G114+FDP_FACT_KG, 2)</f>
        <v>18.649999999999999</v>
      </c>
      <c r="AA124" s="215" t="str">
        <f>[1]BDD!H114</f>
        <v>kg</v>
      </c>
      <c r="AB124" s="225">
        <f>IF(NOT(ISBLANK([1]BDD!I114)), ROUND(SUM(([1]BDD!G114*reduc1),FDP_CMD_KG), 2), "")</f>
        <v>16.88</v>
      </c>
      <c r="AC124" s="225" t="str">
        <f>IF(NOT(ISBLANK([1]BDD!J114)), ROUND(SUM(([1]BDD!G114*reduc2),FDP_CMD_KG), 2), "")</f>
        <v/>
      </c>
      <c r="AD124" s="225" t="str">
        <f>IF(NOT(ISBLANK([1]BDD!K114)), ROUND(SUM(([1]BDD!G114*reduc3),FDP_CMD_KG), 2), "")</f>
        <v/>
      </c>
      <c r="AE124" s="225">
        <f>IF(NOT(ISBLANK([1]BDD!I114)), ROUND(SUM(([1]BDD!G114*reduc1),FDP_FACT_KG), 2), "")</f>
        <v>16.87</v>
      </c>
      <c r="AF124" s="225" t="str">
        <f>IF(NOT(ISBLANK([1]BDD!J114)), ROUND(SUM(([1]BDD!G114*reduc2),FDP_FACT_KG), 2), "")</f>
        <v/>
      </c>
      <c r="AG124" s="225" t="str">
        <f>IF(NOT(ISBLANK([1]BDD!K114)), ROUND(SUM(([1]BDD!G114*reduc3),FDP_FACT_KG), 2), "")</f>
        <v/>
      </c>
      <c r="AH124" s="289" t="str">
        <f>[1]BDD!C114</f>
        <v>Chine</v>
      </c>
      <c r="AI124" s="290">
        <f t="shared" si="92"/>
        <v>0</v>
      </c>
      <c r="AJ124" s="216">
        <f t="shared" si="93"/>
        <v>16.88</v>
      </c>
      <c r="AK124" s="291">
        <f t="shared" si="94"/>
        <v>0</v>
      </c>
      <c r="AL124" s="429"/>
      <c r="AM124" s="292"/>
      <c r="AN124" s="216">
        <f t="shared" si="95"/>
        <v>18.649999999999999</v>
      </c>
      <c r="AO124" s="293">
        <f t="shared" si="96"/>
        <v>0</v>
      </c>
      <c r="AP124" s="294"/>
      <c r="AQ124" s="294"/>
      <c r="AR124" s="429"/>
      <c r="AS124" s="295">
        <f t="shared" si="97"/>
        <v>0</v>
      </c>
      <c r="AT124" s="216">
        <f t="shared" si="98"/>
        <v>18.649999999999999</v>
      </c>
      <c r="AU124" s="291">
        <f t="shared" si="70"/>
        <v>0</v>
      </c>
      <c r="AV124" s="296">
        <f>[1]COMMANDE!O122</f>
        <v>0</v>
      </c>
      <c r="AW124" s="297" t="str">
        <f t="shared" si="99"/>
        <v>0</v>
      </c>
      <c r="AX124" s="298">
        <f t="shared" si="100"/>
        <v>0</v>
      </c>
      <c r="AY124" s="299">
        <f>[1]COMMANDE!Q122</f>
        <v>0</v>
      </c>
      <c r="AZ124" s="297" t="str">
        <f t="shared" si="101"/>
        <v>0</v>
      </c>
      <c r="BA124" s="300">
        <f t="shared" si="102"/>
        <v>0</v>
      </c>
      <c r="BB124" s="301">
        <f>[1]COMMANDE!S122</f>
        <v>0</v>
      </c>
      <c r="BC124" s="297" t="str">
        <f t="shared" si="103"/>
        <v>0</v>
      </c>
      <c r="BD124" s="298">
        <f t="shared" si="104"/>
        <v>0</v>
      </c>
      <c r="BE124" s="299">
        <f>[1]COMMANDE!U122</f>
        <v>0</v>
      </c>
      <c r="BF124" s="297" t="str">
        <f t="shared" si="105"/>
        <v>0</v>
      </c>
      <c r="BG124" s="300">
        <f t="shared" si="106"/>
        <v>0</v>
      </c>
      <c r="BH124" s="301">
        <f>[1]COMMANDE!W122</f>
        <v>0</v>
      </c>
      <c r="BI124" s="297" t="str">
        <f t="shared" si="107"/>
        <v>0</v>
      </c>
      <c r="BJ124" s="298">
        <f t="shared" si="108"/>
        <v>0</v>
      </c>
      <c r="BK124" s="299">
        <f>[1]COMMANDE!Y122</f>
        <v>0</v>
      </c>
      <c r="BL124" s="297" t="str">
        <f t="shared" si="109"/>
        <v>0</v>
      </c>
      <c r="BM124" s="300">
        <f t="shared" si="110"/>
        <v>0</v>
      </c>
      <c r="BN124" s="301">
        <f>[1]COMMANDE!AA122</f>
        <v>0</v>
      </c>
      <c r="BO124" s="297" t="str">
        <f t="shared" si="111"/>
        <v>0</v>
      </c>
      <c r="BP124" s="298">
        <f t="shared" si="112"/>
        <v>0</v>
      </c>
      <c r="BQ124" s="299">
        <f>[1]COMMANDE!AC122</f>
        <v>0</v>
      </c>
      <c r="BR124" s="297" t="str">
        <f t="shared" si="113"/>
        <v>0</v>
      </c>
      <c r="BS124" s="300">
        <f t="shared" si="114"/>
        <v>0</v>
      </c>
      <c r="BT124" s="301">
        <f>[1]COMMANDE!AE122</f>
        <v>0</v>
      </c>
      <c r="BU124" s="297" t="str">
        <f t="shared" si="115"/>
        <v>0</v>
      </c>
      <c r="BV124" s="298">
        <f t="shared" si="116"/>
        <v>0</v>
      </c>
      <c r="BW124" s="299">
        <f>[1]COMMANDE!AG122</f>
        <v>0</v>
      </c>
      <c r="BX124" s="297" t="str">
        <f t="shared" si="117"/>
        <v>0</v>
      </c>
      <c r="BY124" s="300">
        <f t="shared" si="118"/>
        <v>0</v>
      </c>
      <c r="BZ124" s="301">
        <f>[1]COMMANDE!AI122</f>
        <v>0</v>
      </c>
      <c r="CA124" s="297" t="str">
        <f t="shared" si="119"/>
        <v>0</v>
      </c>
      <c r="CB124" s="298">
        <f t="shared" si="120"/>
        <v>0</v>
      </c>
      <c r="CC124" s="299">
        <f>[1]COMMANDE!AK122</f>
        <v>0</v>
      </c>
      <c r="CD124" s="297" t="str">
        <f t="shared" si="121"/>
        <v>0</v>
      </c>
      <c r="CE124" s="300">
        <f t="shared" si="122"/>
        <v>0</v>
      </c>
      <c r="CF124" s="301">
        <f>[1]COMMANDE!AM122</f>
        <v>0</v>
      </c>
      <c r="CG124" s="297" t="str">
        <f t="shared" si="123"/>
        <v>0</v>
      </c>
      <c r="CH124" s="298">
        <f t="shared" si="124"/>
        <v>0</v>
      </c>
      <c r="CI124" s="299">
        <f>[1]COMMANDE!AO122</f>
        <v>0</v>
      </c>
      <c r="CJ124" s="297" t="str">
        <f t="shared" si="125"/>
        <v>0</v>
      </c>
      <c r="CK124" s="300">
        <f t="shared" si="126"/>
        <v>0</v>
      </c>
      <c r="CL124" s="301">
        <f>[1]COMMANDE!AQ122</f>
        <v>0</v>
      </c>
      <c r="CM124" s="297" t="str">
        <f t="shared" si="127"/>
        <v>0</v>
      </c>
      <c r="CN124" s="298">
        <f t="shared" si="128"/>
        <v>0</v>
      </c>
      <c r="CO124" s="299">
        <f>[1]COMMANDE!AS122</f>
        <v>0</v>
      </c>
      <c r="CP124" s="297" t="str">
        <f t="shared" si="129"/>
        <v>0</v>
      </c>
      <c r="CQ124" s="300">
        <f t="shared" si="130"/>
        <v>0</v>
      </c>
      <c r="CR124" s="301">
        <f>[1]COMMANDE!AU122</f>
        <v>0</v>
      </c>
      <c r="CS124" s="297" t="str">
        <f t="shared" si="131"/>
        <v>0</v>
      </c>
      <c r="CT124" s="298">
        <f t="shared" si="132"/>
        <v>0</v>
      </c>
      <c r="CU124" s="299">
        <f>[1]COMMANDE!AW122</f>
        <v>0</v>
      </c>
      <c r="CV124" s="297" t="str">
        <f t="shared" si="133"/>
        <v>0</v>
      </c>
      <c r="CW124" s="300">
        <f t="shared" si="134"/>
        <v>0</v>
      </c>
      <c r="CX124" s="301">
        <f>[1]COMMANDE!AY122</f>
        <v>0</v>
      </c>
      <c r="CY124" s="297" t="str">
        <f t="shared" si="135"/>
        <v>0</v>
      </c>
      <c r="CZ124" s="298">
        <f t="shared" si="136"/>
        <v>0</v>
      </c>
      <c r="DA124" s="299">
        <f>[1]COMMANDE!BA122</f>
        <v>0</v>
      </c>
      <c r="DB124" s="297" t="str">
        <f t="shared" si="137"/>
        <v>0</v>
      </c>
      <c r="DC124" s="302">
        <f t="shared" si="138"/>
        <v>0</v>
      </c>
      <c r="DD124" s="303"/>
      <c r="DE124" s="304"/>
    </row>
    <row r="125" spans="1:128" ht="39.950000000000003" customHeight="1" x14ac:dyDescent="0.25">
      <c r="A125" s="284">
        <f t="shared" si="71"/>
        <v>0</v>
      </c>
      <c r="B125" s="284">
        <f t="shared" si="72"/>
        <v>0</v>
      </c>
      <c r="C125" s="284">
        <f t="shared" si="73"/>
        <v>0</v>
      </c>
      <c r="D125" s="284">
        <f t="shared" si="74"/>
        <v>0</v>
      </c>
      <c r="E125" s="284">
        <f t="shared" si="75"/>
        <v>0</v>
      </c>
      <c r="F125" s="284">
        <f t="shared" si="76"/>
        <v>0</v>
      </c>
      <c r="G125" s="284">
        <f t="shared" si="77"/>
        <v>0</v>
      </c>
      <c r="H125" s="284">
        <f t="shared" si="78"/>
        <v>0</v>
      </c>
      <c r="I125" s="284">
        <f t="shared" si="79"/>
        <v>0</v>
      </c>
      <c r="J125" s="284">
        <f t="shared" si="80"/>
        <v>0</v>
      </c>
      <c r="K125" s="284">
        <f t="shared" si="81"/>
        <v>0</v>
      </c>
      <c r="L125" s="284">
        <f t="shared" si="82"/>
        <v>0</v>
      </c>
      <c r="M125" s="284">
        <f t="shared" si="83"/>
        <v>0</v>
      </c>
      <c r="N125" s="284">
        <f t="shared" si="84"/>
        <v>0</v>
      </c>
      <c r="O125" s="284">
        <f t="shared" si="85"/>
        <v>0</v>
      </c>
      <c r="P125" s="284">
        <f t="shared" si="86"/>
        <v>0</v>
      </c>
      <c r="Q125" s="284">
        <f t="shared" si="87"/>
        <v>0</v>
      </c>
      <c r="R125" s="284">
        <f t="shared" si="88"/>
        <v>0</v>
      </c>
      <c r="S125" s="284">
        <f t="shared" si="89"/>
        <v>0</v>
      </c>
      <c r="T125" s="284">
        <f t="shared" si="90"/>
        <v>0</v>
      </c>
      <c r="U125" s="285">
        <f t="shared" si="91"/>
        <v>0</v>
      </c>
      <c r="V125" s="286">
        <f>[1]BDD!A115</f>
        <v>1356</v>
      </c>
      <c r="W125" s="287" t="str">
        <f>[1]BDD!B115</f>
        <v>Graines de tournesol sans coque CRU BIO
    - (env. 1kg)</v>
      </c>
      <c r="X125" s="288" t="str">
        <f>IF([1]BDD!F115=0, "", [1]BDD!F115)</f>
        <v/>
      </c>
      <c r="Y125" s="214">
        <f>ROUND([1]BDD!G115+FDP_CMD_KG, 2)</f>
        <v>5.38</v>
      </c>
      <c r="Z125" s="214">
        <f>ROUND([1]BDD!G115+FDP_FACT_KG, 2)</f>
        <v>5.38</v>
      </c>
      <c r="AA125" s="215" t="str">
        <f>[1]BDD!H115</f>
        <v>kg</v>
      </c>
      <c r="AB125" s="225">
        <f>IF(NOT(ISBLANK([1]BDD!I115)), ROUND(SUM(([1]BDD!G115*reduc1),FDP_CMD_KG), 2), "")</f>
        <v>4.93</v>
      </c>
      <c r="AC125" s="225">
        <f>IF(NOT(ISBLANK([1]BDD!J115)), ROUND(SUM(([1]BDD!G115*reduc2),FDP_CMD_KG), 2), "")</f>
        <v>4.4800000000000004</v>
      </c>
      <c r="AD125" s="225" t="str">
        <f>IF(NOT(ISBLANK([1]BDD!K115)), ROUND(SUM(([1]BDD!G115*reduc3),FDP_CMD_KG), 2), "")</f>
        <v/>
      </c>
      <c r="AE125" s="225">
        <f>IF(NOT(ISBLANK([1]BDD!I115)), ROUND(SUM(([1]BDD!G115*reduc1),FDP_FACT_KG), 2), "")</f>
        <v>4.93</v>
      </c>
      <c r="AF125" s="225">
        <f>IF(NOT(ISBLANK([1]BDD!J115)), ROUND(SUM(([1]BDD!G115*reduc2),FDP_FACT_KG), 2), "")</f>
        <v>4.47</v>
      </c>
      <c r="AG125" s="225" t="str">
        <f>IF(NOT(ISBLANK([1]BDD!K115)), ROUND(SUM(([1]BDD!G115*reduc3),FDP_FACT_KG), 2), "")</f>
        <v/>
      </c>
      <c r="AH125" s="289" t="str">
        <f>[1]BDD!C115</f>
        <v>Bulgarie</v>
      </c>
      <c r="AI125" s="290">
        <f t="shared" si="92"/>
        <v>0</v>
      </c>
      <c r="AJ125" s="216">
        <f t="shared" si="93"/>
        <v>4.4800000000000004</v>
      </c>
      <c r="AK125" s="291">
        <f t="shared" si="94"/>
        <v>0</v>
      </c>
      <c r="AL125" s="429"/>
      <c r="AM125" s="292"/>
      <c r="AN125" s="216">
        <f t="shared" si="95"/>
        <v>5.38</v>
      </c>
      <c r="AO125" s="293">
        <f t="shared" si="96"/>
        <v>0</v>
      </c>
      <c r="AP125" s="294"/>
      <c r="AQ125" s="294"/>
      <c r="AR125" s="429"/>
      <c r="AS125" s="295">
        <f t="shared" si="97"/>
        <v>0</v>
      </c>
      <c r="AT125" s="216">
        <f t="shared" si="98"/>
        <v>5.38</v>
      </c>
      <c r="AU125" s="291">
        <f t="shared" si="70"/>
        <v>0</v>
      </c>
      <c r="AV125" s="296">
        <f>[1]COMMANDE!O123</f>
        <v>0</v>
      </c>
      <c r="AW125" s="297" t="str">
        <f t="shared" si="99"/>
        <v>0</v>
      </c>
      <c r="AX125" s="298">
        <f t="shared" si="100"/>
        <v>0</v>
      </c>
      <c r="AY125" s="299">
        <f>[1]COMMANDE!Q123</f>
        <v>0</v>
      </c>
      <c r="AZ125" s="297" t="str">
        <f t="shared" si="101"/>
        <v>0</v>
      </c>
      <c r="BA125" s="300">
        <f t="shared" si="102"/>
        <v>0</v>
      </c>
      <c r="BB125" s="301">
        <f>[1]COMMANDE!S123</f>
        <v>0</v>
      </c>
      <c r="BC125" s="297" t="str">
        <f t="shared" si="103"/>
        <v>0</v>
      </c>
      <c r="BD125" s="298">
        <f t="shared" si="104"/>
        <v>0</v>
      </c>
      <c r="BE125" s="299">
        <f>[1]COMMANDE!U123</f>
        <v>0</v>
      </c>
      <c r="BF125" s="297" t="str">
        <f t="shared" si="105"/>
        <v>0</v>
      </c>
      <c r="BG125" s="300">
        <f t="shared" si="106"/>
        <v>0</v>
      </c>
      <c r="BH125" s="301">
        <f>[1]COMMANDE!W123</f>
        <v>0</v>
      </c>
      <c r="BI125" s="297" t="str">
        <f t="shared" si="107"/>
        <v>0</v>
      </c>
      <c r="BJ125" s="298">
        <f t="shared" si="108"/>
        <v>0</v>
      </c>
      <c r="BK125" s="299">
        <f>[1]COMMANDE!Y123</f>
        <v>0</v>
      </c>
      <c r="BL125" s="297" t="str">
        <f t="shared" si="109"/>
        <v>0</v>
      </c>
      <c r="BM125" s="300">
        <f t="shared" si="110"/>
        <v>0</v>
      </c>
      <c r="BN125" s="301">
        <f>[1]COMMANDE!AA123</f>
        <v>0</v>
      </c>
      <c r="BO125" s="297" t="str">
        <f t="shared" si="111"/>
        <v>0</v>
      </c>
      <c r="BP125" s="298">
        <f t="shared" si="112"/>
        <v>0</v>
      </c>
      <c r="BQ125" s="299">
        <f>[1]COMMANDE!AC123</f>
        <v>0</v>
      </c>
      <c r="BR125" s="297" t="str">
        <f t="shared" si="113"/>
        <v>0</v>
      </c>
      <c r="BS125" s="300">
        <f t="shared" si="114"/>
        <v>0</v>
      </c>
      <c r="BT125" s="301">
        <f>[1]COMMANDE!AE123</f>
        <v>0</v>
      </c>
      <c r="BU125" s="297" t="str">
        <f t="shared" si="115"/>
        <v>0</v>
      </c>
      <c r="BV125" s="298">
        <f t="shared" si="116"/>
        <v>0</v>
      </c>
      <c r="BW125" s="299">
        <f>[1]COMMANDE!AG123</f>
        <v>0</v>
      </c>
      <c r="BX125" s="297" t="str">
        <f t="shared" si="117"/>
        <v>0</v>
      </c>
      <c r="BY125" s="300">
        <f t="shared" si="118"/>
        <v>0</v>
      </c>
      <c r="BZ125" s="301">
        <f>[1]COMMANDE!AI123</f>
        <v>0</v>
      </c>
      <c r="CA125" s="297" t="str">
        <f t="shared" si="119"/>
        <v>0</v>
      </c>
      <c r="CB125" s="298">
        <f t="shared" si="120"/>
        <v>0</v>
      </c>
      <c r="CC125" s="299">
        <f>[1]COMMANDE!AK123</f>
        <v>0</v>
      </c>
      <c r="CD125" s="297" t="str">
        <f t="shared" si="121"/>
        <v>0</v>
      </c>
      <c r="CE125" s="300">
        <f t="shared" si="122"/>
        <v>0</v>
      </c>
      <c r="CF125" s="301">
        <f>[1]COMMANDE!AM123</f>
        <v>0</v>
      </c>
      <c r="CG125" s="297" t="str">
        <f t="shared" si="123"/>
        <v>0</v>
      </c>
      <c r="CH125" s="298">
        <f t="shared" si="124"/>
        <v>0</v>
      </c>
      <c r="CI125" s="299">
        <f>[1]COMMANDE!AO123</f>
        <v>0</v>
      </c>
      <c r="CJ125" s="297" t="str">
        <f t="shared" si="125"/>
        <v>0</v>
      </c>
      <c r="CK125" s="300">
        <f t="shared" si="126"/>
        <v>0</v>
      </c>
      <c r="CL125" s="301">
        <f>[1]COMMANDE!AQ123</f>
        <v>0</v>
      </c>
      <c r="CM125" s="297" t="str">
        <f t="shared" si="127"/>
        <v>0</v>
      </c>
      <c r="CN125" s="298">
        <f t="shared" si="128"/>
        <v>0</v>
      </c>
      <c r="CO125" s="299">
        <f>[1]COMMANDE!AS123</f>
        <v>0</v>
      </c>
      <c r="CP125" s="297" t="str">
        <f t="shared" si="129"/>
        <v>0</v>
      </c>
      <c r="CQ125" s="300">
        <f t="shared" si="130"/>
        <v>0</v>
      </c>
      <c r="CR125" s="301">
        <f>[1]COMMANDE!AU123</f>
        <v>0</v>
      </c>
      <c r="CS125" s="297" t="str">
        <f t="shared" si="131"/>
        <v>0</v>
      </c>
      <c r="CT125" s="298">
        <f t="shared" si="132"/>
        <v>0</v>
      </c>
      <c r="CU125" s="299">
        <f>[1]COMMANDE!AW123</f>
        <v>0</v>
      </c>
      <c r="CV125" s="297" t="str">
        <f t="shared" si="133"/>
        <v>0</v>
      </c>
      <c r="CW125" s="300">
        <f t="shared" si="134"/>
        <v>0</v>
      </c>
      <c r="CX125" s="301">
        <f>[1]COMMANDE!AY123</f>
        <v>0</v>
      </c>
      <c r="CY125" s="297" t="str">
        <f t="shared" si="135"/>
        <v>0</v>
      </c>
      <c r="CZ125" s="298">
        <f t="shared" si="136"/>
        <v>0</v>
      </c>
      <c r="DA125" s="299">
        <f>[1]COMMANDE!BA123</f>
        <v>0</v>
      </c>
      <c r="DB125" s="297" t="str">
        <f t="shared" si="137"/>
        <v>0</v>
      </c>
      <c r="DC125" s="302">
        <f t="shared" si="138"/>
        <v>0</v>
      </c>
      <c r="DD125" s="303"/>
      <c r="DE125" s="304"/>
      <c r="DF125" s="283"/>
      <c r="DG125" s="283"/>
      <c r="DH125" s="283"/>
      <c r="DI125" s="283"/>
      <c r="DJ125" s="283"/>
      <c r="DK125" s="283"/>
      <c r="DL125" s="283"/>
      <c r="DM125" s="283"/>
      <c r="DN125" s="283"/>
      <c r="DO125" s="283"/>
      <c r="DP125" s="283"/>
      <c r="DQ125" s="283"/>
      <c r="DR125" s="283"/>
      <c r="DS125" s="283"/>
      <c r="DT125" s="283"/>
      <c r="DU125" s="283"/>
      <c r="DV125" s="283"/>
      <c r="DW125" s="283"/>
      <c r="DX125" s="283"/>
    </row>
    <row r="126" spans="1:128" ht="39.950000000000003" customHeight="1" x14ac:dyDescent="0.25">
      <c r="A126" s="284">
        <f t="shared" si="71"/>
        <v>0</v>
      </c>
      <c r="B126" s="284">
        <f t="shared" si="72"/>
        <v>0</v>
      </c>
      <c r="C126" s="284">
        <f t="shared" si="73"/>
        <v>0</v>
      </c>
      <c r="D126" s="284">
        <f t="shared" si="74"/>
        <v>0</v>
      </c>
      <c r="E126" s="284">
        <f t="shared" si="75"/>
        <v>0</v>
      </c>
      <c r="F126" s="284">
        <f t="shared" si="76"/>
        <v>0</v>
      </c>
      <c r="G126" s="284">
        <f t="shared" si="77"/>
        <v>0</v>
      </c>
      <c r="H126" s="284">
        <f t="shared" si="78"/>
        <v>0</v>
      </c>
      <c r="I126" s="284">
        <f t="shared" si="79"/>
        <v>0</v>
      </c>
      <c r="J126" s="284">
        <f t="shared" si="80"/>
        <v>0</v>
      </c>
      <c r="K126" s="284">
        <f t="shared" si="81"/>
        <v>0</v>
      </c>
      <c r="L126" s="284">
        <f t="shared" si="82"/>
        <v>0</v>
      </c>
      <c r="M126" s="284">
        <f t="shared" si="83"/>
        <v>0</v>
      </c>
      <c r="N126" s="284">
        <f t="shared" si="84"/>
        <v>0</v>
      </c>
      <c r="O126" s="284">
        <f t="shared" si="85"/>
        <v>0</v>
      </c>
      <c r="P126" s="284">
        <f t="shared" si="86"/>
        <v>0</v>
      </c>
      <c r="Q126" s="284">
        <f t="shared" si="87"/>
        <v>0</v>
      </c>
      <c r="R126" s="284">
        <f t="shared" si="88"/>
        <v>0</v>
      </c>
      <c r="S126" s="284">
        <f t="shared" si="89"/>
        <v>0</v>
      </c>
      <c r="T126" s="284">
        <f t="shared" si="90"/>
        <v>0</v>
      </c>
      <c r="U126" s="285">
        <f t="shared" si="91"/>
        <v>0</v>
      </c>
      <c r="V126" s="286">
        <f>[1]BDD!A116</f>
        <v>1356</v>
      </c>
      <c r="W126" s="287" t="str">
        <f>[1]BDD!B116</f>
        <v>Graines de tournesol sans coque CRU BIO
    - (env. 500g)</v>
      </c>
      <c r="X126" s="288" t="str">
        <f>IF([1]BDD!F116=0, "", [1]BDD!F116)</f>
        <v/>
      </c>
      <c r="Y126" s="214">
        <f>ROUND([1]BDD!G116+FDP_CMD_KG, 2)</f>
        <v>3.82</v>
      </c>
      <c r="Z126" s="214">
        <f>ROUND([1]BDD!G116+FDP_FACT_KG, 2)</f>
        <v>3.82</v>
      </c>
      <c r="AA126" s="215" t="str">
        <f>[1]BDD!H116</f>
        <v>Pièce</v>
      </c>
      <c r="AB126" s="225" t="str">
        <f>IF(NOT(ISBLANK([1]BDD!I116)), ROUND(SUM(([1]BDD!G116*reduc1),FDP_CMD_KG), 2), "")</f>
        <v/>
      </c>
      <c r="AC126" s="225" t="str">
        <f>IF(NOT(ISBLANK([1]BDD!J116)), ROUND(SUM(([1]BDD!G116*reduc2),FDP_CMD_KG), 2), "")</f>
        <v/>
      </c>
      <c r="AD126" s="225" t="str">
        <f>IF(NOT(ISBLANK([1]BDD!K116)), ROUND(SUM(([1]BDD!G116*reduc3),FDP_CMD_KG), 2), "")</f>
        <v/>
      </c>
      <c r="AE126" s="225" t="str">
        <f>IF(NOT(ISBLANK([1]BDD!I116)), ROUND(SUM(([1]BDD!G116*reduc1),FDP_FACT_KG), 2), "")</f>
        <v/>
      </c>
      <c r="AF126" s="225" t="str">
        <f>IF(NOT(ISBLANK([1]BDD!J116)), ROUND(SUM(([1]BDD!G116*reduc2),FDP_FACT_KG), 2), "")</f>
        <v/>
      </c>
      <c r="AG126" s="225" t="str">
        <f>IF(NOT(ISBLANK([1]BDD!K116)), ROUND(SUM(([1]BDD!G116*reduc3),FDP_FACT_KG), 2), "")</f>
        <v/>
      </c>
      <c r="AH126" s="289" t="str">
        <f>[1]BDD!C116</f>
        <v>Bulgarie</v>
      </c>
      <c r="AI126" s="290">
        <f t="shared" si="92"/>
        <v>0</v>
      </c>
      <c r="AJ126" s="216">
        <f t="shared" si="93"/>
        <v>3.82</v>
      </c>
      <c r="AK126" s="291">
        <f t="shared" si="94"/>
        <v>0</v>
      </c>
      <c r="AL126" s="429"/>
      <c r="AM126" s="292"/>
      <c r="AN126" s="216">
        <f t="shared" si="95"/>
        <v>3.82</v>
      </c>
      <c r="AO126" s="293">
        <f t="shared" si="96"/>
        <v>0</v>
      </c>
      <c r="AP126" s="294"/>
      <c r="AQ126" s="294"/>
      <c r="AR126" s="429"/>
      <c r="AS126" s="295">
        <f t="shared" si="97"/>
        <v>0</v>
      </c>
      <c r="AT126" s="216">
        <f t="shared" si="98"/>
        <v>3.82</v>
      </c>
      <c r="AU126" s="291">
        <f t="shared" si="70"/>
        <v>0</v>
      </c>
      <c r="AV126" s="296">
        <f>[1]COMMANDE!O124</f>
        <v>0</v>
      </c>
      <c r="AW126" s="297" t="str">
        <f t="shared" si="99"/>
        <v>0</v>
      </c>
      <c r="AX126" s="298">
        <f t="shared" si="100"/>
        <v>0</v>
      </c>
      <c r="AY126" s="299">
        <f>[1]COMMANDE!Q124</f>
        <v>0</v>
      </c>
      <c r="AZ126" s="297" t="str">
        <f t="shared" si="101"/>
        <v>0</v>
      </c>
      <c r="BA126" s="300">
        <f t="shared" si="102"/>
        <v>0</v>
      </c>
      <c r="BB126" s="301">
        <f>[1]COMMANDE!S124</f>
        <v>0</v>
      </c>
      <c r="BC126" s="297" t="str">
        <f t="shared" si="103"/>
        <v>0</v>
      </c>
      <c r="BD126" s="298">
        <f t="shared" si="104"/>
        <v>0</v>
      </c>
      <c r="BE126" s="299">
        <f>[1]COMMANDE!U124</f>
        <v>0</v>
      </c>
      <c r="BF126" s="297" t="str">
        <f t="shared" si="105"/>
        <v>0</v>
      </c>
      <c r="BG126" s="300">
        <f t="shared" si="106"/>
        <v>0</v>
      </c>
      <c r="BH126" s="301">
        <f>[1]COMMANDE!W124</f>
        <v>0</v>
      </c>
      <c r="BI126" s="297" t="str">
        <f t="shared" si="107"/>
        <v>0</v>
      </c>
      <c r="BJ126" s="298">
        <f t="shared" si="108"/>
        <v>0</v>
      </c>
      <c r="BK126" s="299">
        <f>[1]COMMANDE!Y124</f>
        <v>0</v>
      </c>
      <c r="BL126" s="297" t="str">
        <f t="shared" si="109"/>
        <v>0</v>
      </c>
      <c r="BM126" s="300">
        <f t="shared" si="110"/>
        <v>0</v>
      </c>
      <c r="BN126" s="301">
        <f>[1]COMMANDE!AA124</f>
        <v>0</v>
      </c>
      <c r="BO126" s="297" t="str">
        <f t="shared" si="111"/>
        <v>0</v>
      </c>
      <c r="BP126" s="298">
        <f t="shared" si="112"/>
        <v>0</v>
      </c>
      <c r="BQ126" s="299">
        <f>[1]COMMANDE!AC124</f>
        <v>0</v>
      </c>
      <c r="BR126" s="297" t="str">
        <f t="shared" si="113"/>
        <v>0</v>
      </c>
      <c r="BS126" s="300">
        <f t="shared" si="114"/>
        <v>0</v>
      </c>
      <c r="BT126" s="301">
        <f>[1]COMMANDE!AE124</f>
        <v>0</v>
      </c>
      <c r="BU126" s="297" t="str">
        <f t="shared" si="115"/>
        <v>0</v>
      </c>
      <c r="BV126" s="298">
        <f t="shared" si="116"/>
        <v>0</v>
      </c>
      <c r="BW126" s="299">
        <f>[1]COMMANDE!AG124</f>
        <v>0</v>
      </c>
      <c r="BX126" s="297" t="str">
        <f t="shared" si="117"/>
        <v>0</v>
      </c>
      <c r="BY126" s="300">
        <f t="shared" si="118"/>
        <v>0</v>
      </c>
      <c r="BZ126" s="301">
        <f>[1]COMMANDE!AI124</f>
        <v>0</v>
      </c>
      <c r="CA126" s="297" t="str">
        <f t="shared" si="119"/>
        <v>0</v>
      </c>
      <c r="CB126" s="298">
        <f t="shared" si="120"/>
        <v>0</v>
      </c>
      <c r="CC126" s="299">
        <f>[1]COMMANDE!AK124</f>
        <v>0</v>
      </c>
      <c r="CD126" s="297" t="str">
        <f t="shared" si="121"/>
        <v>0</v>
      </c>
      <c r="CE126" s="300">
        <f t="shared" si="122"/>
        <v>0</v>
      </c>
      <c r="CF126" s="301">
        <f>[1]COMMANDE!AM124</f>
        <v>0</v>
      </c>
      <c r="CG126" s="297" t="str">
        <f t="shared" si="123"/>
        <v>0</v>
      </c>
      <c r="CH126" s="298">
        <f t="shared" si="124"/>
        <v>0</v>
      </c>
      <c r="CI126" s="299">
        <f>[1]COMMANDE!AO124</f>
        <v>0</v>
      </c>
      <c r="CJ126" s="297" t="str">
        <f t="shared" si="125"/>
        <v>0</v>
      </c>
      <c r="CK126" s="300">
        <f t="shared" si="126"/>
        <v>0</v>
      </c>
      <c r="CL126" s="301">
        <f>[1]COMMANDE!AQ124</f>
        <v>0</v>
      </c>
      <c r="CM126" s="297" t="str">
        <f t="shared" si="127"/>
        <v>0</v>
      </c>
      <c r="CN126" s="298">
        <f t="shared" si="128"/>
        <v>0</v>
      </c>
      <c r="CO126" s="299">
        <f>[1]COMMANDE!AS124</f>
        <v>0</v>
      </c>
      <c r="CP126" s="297" t="str">
        <f t="shared" si="129"/>
        <v>0</v>
      </c>
      <c r="CQ126" s="300">
        <f t="shared" si="130"/>
        <v>0</v>
      </c>
      <c r="CR126" s="301">
        <f>[1]COMMANDE!AU124</f>
        <v>0</v>
      </c>
      <c r="CS126" s="297" t="str">
        <f t="shared" si="131"/>
        <v>0</v>
      </c>
      <c r="CT126" s="298">
        <f t="shared" si="132"/>
        <v>0</v>
      </c>
      <c r="CU126" s="299">
        <f>[1]COMMANDE!AW124</f>
        <v>0</v>
      </c>
      <c r="CV126" s="297" t="str">
        <f t="shared" si="133"/>
        <v>0</v>
      </c>
      <c r="CW126" s="300">
        <f t="shared" si="134"/>
        <v>0</v>
      </c>
      <c r="CX126" s="301">
        <f>[1]COMMANDE!AY124</f>
        <v>0</v>
      </c>
      <c r="CY126" s="297" t="str">
        <f t="shared" si="135"/>
        <v>0</v>
      </c>
      <c r="CZ126" s="298">
        <f t="shared" si="136"/>
        <v>0</v>
      </c>
      <c r="DA126" s="299">
        <f>[1]COMMANDE!BA124</f>
        <v>0</v>
      </c>
      <c r="DB126" s="297" t="str">
        <f t="shared" si="137"/>
        <v>0</v>
      </c>
      <c r="DC126" s="302">
        <f t="shared" si="138"/>
        <v>0</v>
      </c>
      <c r="DD126" s="303"/>
      <c r="DE126" s="304"/>
    </row>
    <row r="127" spans="1:128" ht="39.950000000000003" customHeight="1" x14ac:dyDescent="0.25">
      <c r="A127" s="284">
        <f t="shared" si="71"/>
        <v>1</v>
      </c>
      <c r="B127" s="284">
        <f t="shared" si="72"/>
        <v>1</v>
      </c>
      <c r="C127" s="284">
        <f t="shared" si="73"/>
        <v>1</v>
      </c>
      <c r="D127" s="284">
        <f t="shared" si="74"/>
        <v>0</v>
      </c>
      <c r="E127" s="284">
        <f t="shared" si="75"/>
        <v>0</v>
      </c>
      <c r="F127" s="284">
        <f t="shared" si="76"/>
        <v>0</v>
      </c>
      <c r="G127" s="284">
        <f t="shared" si="77"/>
        <v>0</v>
      </c>
      <c r="H127" s="284">
        <f t="shared" si="78"/>
        <v>0</v>
      </c>
      <c r="I127" s="284">
        <f t="shared" si="79"/>
        <v>0</v>
      </c>
      <c r="J127" s="284">
        <f t="shared" si="80"/>
        <v>0</v>
      </c>
      <c r="K127" s="284">
        <f t="shared" si="81"/>
        <v>0</v>
      </c>
      <c r="L127" s="284">
        <f t="shared" si="82"/>
        <v>0</v>
      </c>
      <c r="M127" s="284">
        <f t="shared" si="83"/>
        <v>0</v>
      </c>
      <c r="N127" s="284">
        <f t="shared" si="84"/>
        <v>0</v>
      </c>
      <c r="O127" s="284">
        <f t="shared" si="85"/>
        <v>0</v>
      </c>
      <c r="P127" s="284">
        <f t="shared" si="86"/>
        <v>0</v>
      </c>
      <c r="Q127" s="284">
        <f t="shared" si="87"/>
        <v>0</v>
      </c>
      <c r="R127" s="284">
        <f t="shared" si="88"/>
        <v>0</v>
      </c>
      <c r="S127" s="284">
        <f t="shared" si="89"/>
        <v>0</v>
      </c>
      <c r="T127" s="284">
        <f t="shared" si="90"/>
        <v>0</v>
      </c>
      <c r="U127" s="285">
        <f t="shared" si="91"/>
        <v>1</v>
      </c>
      <c r="V127" s="286">
        <f>[1]BDD!A117</f>
        <v>3209</v>
      </c>
      <c r="W127" s="287" t="str">
        <f>[1]BDD!B117</f>
        <v>Grenade (très rouge)</v>
      </c>
      <c r="X127" s="288" t="str">
        <f>IF([1]BDD!F117=0, "", [1]BDD!F117)</f>
        <v>❤️</v>
      </c>
      <c r="Y127" s="214">
        <f>ROUND([1]BDD!G117+FDP_CMD_KG, 2)</f>
        <v>3.32</v>
      </c>
      <c r="Z127" s="214">
        <f>ROUND([1]BDD!G117+FDP_FACT_KG, 2)</f>
        <v>3.32</v>
      </c>
      <c r="AA127" s="215" t="str">
        <f>[1]BDD!H117</f>
        <v>kg</v>
      </c>
      <c r="AB127" s="225">
        <f>IF(NOT(ISBLANK([1]BDD!I117)), ROUND(SUM(([1]BDD!G117*reduc1),FDP_CMD_KG), 2), "")</f>
        <v>3.08</v>
      </c>
      <c r="AC127" s="225">
        <f>IF(NOT(ISBLANK([1]BDD!J117)), ROUND(SUM(([1]BDD!G117*reduc2),FDP_CMD_KG), 2), "")</f>
        <v>2.83</v>
      </c>
      <c r="AD127" s="225">
        <f>IF(NOT(ISBLANK([1]BDD!K117)), ROUND(SUM(([1]BDD!G117*reduc3),FDP_CMD_KG), 2), "")</f>
        <v>2.59</v>
      </c>
      <c r="AE127" s="225">
        <f>IF(NOT(ISBLANK([1]BDD!I117)), ROUND(SUM(([1]BDD!G117*reduc1),FDP_FACT_KG), 2), "")</f>
        <v>3.07</v>
      </c>
      <c r="AF127" s="225">
        <f>IF(NOT(ISBLANK([1]BDD!J117)), ROUND(SUM(([1]BDD!G117*reduc2),FDP_FACT_KG), 2), "")</f>
        <v>2.83</v>
      </c>
      <c r="AG127" s="225">
        <f>IF(NOT(ISBLANK([1]BDD!K117)), ROUND(SUM(([1]BDD!G117*reduc3),FDP_FACT_KG), 2), "")</f>
        <v>2.58</v>
      </c>
      <c r="AH127" s="289" t="str">
        <f>[1]BDD!C117</f>
        <v>Grenade</v>
      </c>
      <c r="AI127" s="290">
        <f t="shared" si="92"/>
        <v>10</v>
      </c>
      <c r="AJ127" s="216">
        <f t="shared" si="93"/>
        <v>2.59</v>
      </c>
      <c r="AK127" s="291">
        <f t="shared" si="94"/>
        <v>25.9</v>
      </c>
      <c r="AL127" s="429"/>
      <c r="AM127" s="292">
        <v>10</v>
      </c>
      <c r="AN127" s="216">
        <f t="shared" si="95"/>
        <v>3.07</v>
      </c>
      <c r="AO127" s="293">
        <f t="shared" si="96"/>
        <v>30.7</v>
      </c>
      <c r="AP127" s="294"/>
      <c r="AQ127" s="294"/>
      <c r="AR127" s="429"/>
      <c r="AS127" s="295">
        <f t="shared" si="97"/>
        <v>10</v>
      </c>
      <c r="AT127" s="216">
        <f t="shared" si="98"/>
        <v>3.07</v>
      </c>
      <c r="AU127" s="291">
        <f t="shared" si="70"/>
        <v>30.7</v>
      </c>
      <c r="AV127" s="296">
        <f>[1]COMMANDE!O125</f>
        <v>4</v>
      </c>
      <c r="AW127" s="297">
        <f t="shared" si="99"/>
        <v>4</v>
      </c>
      <c r="AX127" s="298">
        <f t="shared" si="100"/>
        <v>12.28</v>
      </c>
      <c r="AY127" s="299">
        <f>[1]COMMANDE!Q125</f>
        <v>5</v>
      </c>
      <c r="AZ127" s="297">
        <f t="shared" si="101"/>
        <v>5</v>
      </c>
      <c r="BA127" s="300">
        <f t="shared" si="102"/>
        <v>15.35</v>
      </c>
      <c r="BB127" s="301">
        <f>[1]COMMANDE!S125</f>
        <v>1</v>
      </c>
      <c r="BC127" s="297">
        <f t="shared" si="103"/>
        <v>1</v>
      </c>
      <c r="BD127" s="298">
        <f t="shared" si="104"/>
        <v>3.07</v>
      </c>
      <c r="BE127" s="299">
        <f>[1]COMMANDE!U125</f>
        <v>0</v>
      </c>
      <c r="BF127" s="297" t="str">
        <f t="shared" si="105"/>
        <v>0</v>
      </c>
      <c r="BG127" s="300">
        <f t="shared" si="106"/>
        <v>0</v>
      </c>
      <c r="BH127" s="301">
        <f>[1]COMMANDE!W125</f>
        <v>0</v>
      </c>
      <c r="BI127" s="297" t="str">
        <f t="shared" si="107"/>
        <v>0</v>
      </c>
      <c r="BJ127" s="298">
        <f t="shared" si="108"/>
        <v>0</v>
      </c>
      <c r="BK127" s="299">
        <f>[1]COMMANDE!Y125</f>
        <v>0</v>
      </c>
      <c r="BL127" s="297" t="str">
        <f t="shared" si="109"/>
        <v>0</v>
      </c>
      <c r="BM127" s="300">
        <f t="shared" si="110"/>
        <v>0</v>
      </c>
      <c r="BN127" s="301">
        <f>[1]COMMANDE!AA125</f>
        <v>0</v>
      </c>
      <c r="BO127" s="297" t="str">
        <f t="shared" si="111"/>
        <v>0</v>
      </c>
      <c r="BP127" s="298">
        <f t="shared" si="112"/>
        <v>0</v>
      </c>
      <c r="BQ127" s="299">
        <f>[1]COMMANDE!AC125</f>
        <v>0</v>
      </c>
      <c r="BR127" s="297" t="str">
        <f t="shared" si="113"/>
        <v>0</v>
      </c>
      <c r="BS127" s="300">
        <f t="shared" si="114"/>
        <v>0</v>
      </c>
      <c r="BT127" s="301">
        <f>[1]COMMANDE!AE125</f>
        <v>0</v>
      </c>
      <c r="BU127" s="297" t="str">
        <f t="shared" si="115"/>
        <v>0</v>
      </c>
      <c r="BV127" s="298">
        <f t="shared" si="116"/>
        <v>0</v>
      </c>
      <c r="BW127" s="299">
        <f>[1]COMMANDE!AG125</f>
        <v>0</v>
      </c>
      <c r="BX127" s="297" t="str">
        <f t="shared" si="117"/>
        <v>0</v>
      </c>
      <c r="BY127" s="300">
        <f t="shared" si="118"/>
        <v>0</v>
      </c>
      <c r="BZ127" s="301">
        <f>[1]COMMANDE!AI125</f>
        <v>0</v>
      </c>
      <c r="CA127" s="297" t="str">
        <f t="shared" si="119"/>
        <v>0</v>
      </c>
      <c r="CB127" s="298">
        <f t="shared" si="120"/>
        <v>0</v>
      </c>
      <c r="CC127" s="299">
        <f>[1]COMMANDE!AK125</f>
        <v>0</v>
      </c>
      <c r="CD127" s="297" t="str">
        <f t="shared" si="121"/>
        <v>0</v>
      </c>
      <c r="CE127" s="300">
        <f t="shared" si="122"/>
        <v>0</v>
      </c>
      <c r="CF127" s="301">
        <f>[1]COMMANDE!AM125</f>
        <v>0</v>
      </c>
      <c r="CG127" s="297" t="str">
        <f t="shared" si="123"/>
        <v>0</v>
      </c>
      <c r="CH127" s="298">
        <f t="shared" si="124"/>
        <v>0</v>
      </c>
      <c r="CI127" s="299">
        <f>[1]COMMANDE!AO125</f>
        <v>0</v>
      </c>
      <c r="CJ127" s="297" t="str">
        <f t="shared" si="125"/>
        <v>0</v>
      </c>
      <c r="CK127" s="300">
        <f t="shared" si="126"/>
        <v>0</v>
      </c>
      <c r="CL127" s="301">
        <f>[1]COMMANDE!AQ125</f>
        <v>0</v>
      </c>
      <c r="CM127" s="297" t="str">
        <f t="shared" si="127"/>
        <v>0</v>
      </c>
      <c r="CN127" s="298">
        <f t="shared" si="128"/>
        <v>0</v>
      </c>
      <c r="CO127" s="299">
        <f>[1]COMMANDE!AS125</f>
        <v>0</v>
      </c>
      <c r="CP127" s="297" t="str">
        <f t="shared" si="129"/>
        <v>0</v>
      </c>
      <c r="CQ127" s="300">
        <f t="shared" si="130"/>
        <v>0</v>
      </c>
      <c r="CR127" s="301">
        <f>[1]COMMANDE!AU125</f>
        <v>0</v>
      </c>
      <c r="CS127" s="297" t="str">
        <f t="shared" si="131"/>
        <v>0</v>
      </c>
      <c r="CT127" s="298">
        <f t="shared" si="132"/>
        <v>0</v>
      </c>
      <c r="CU127" s="299">
        <f>[1]COMMANDE!AW125</f>
        <v>0</v>
      </c>
      <c r="CV127" s="297" t="str">
        <f t="shared" si="133"/>
        <v>0</v>
      </c>
      <c r="CW127" s="300">
        <f t="shared" si="134"/>
        <v>0</v>
      </c>
      <c r="CX127" s="301">
        <f>[1]COMMANDE!AY125</f>
        <v>0</v>
      </c>
      <c r="CY127" s="297" t="str">
        <f t="shared" si="135"/>
        <v>0</v>
      </c>
      <c r="CZ127" s="298">
        <f t="shared" si="136"/>
        <v>0</v>
      </c>
      <c r="DA127" s="299">
        <f>[1]COMMANDE!BA125</f>
        <v>0</v>
      </c>
      <c r="DB127" s="297" t="str">
        <f t="shared" si="137"/>
        <v>0</v>
      </c>
      <c r="DC127" s="302">
        <f t="shared" si="138"/>
        <v>0</v>
      </c>
      <c r="DD127" s="303"/>
      <c r="DE127" s="304"/>
    </row>
    <row r="128" spans="1:128" ht="39.950000000000003" customHeight="1" x14ac:dyDescent="0.25">
      <c r="A128" s="284">
        <f t="shared" si="71"/>
        <v>0</v>
      </c>
      <c r="B128" s="284">
        <f t="shared" si="72"/>
        <v>0</v>
      </c>
      <c r="C128" s="284">
        <f t="shared" si="73"/>
        <v>0</v>
      </c>
      <c r="D128" s="284">
        <f t="shared" si="74"/>
        <v>0</v>
      </c>
      <c r="E128" s="284">
        <f t="shared" si="75"/>
        <v>0</v>
      </c>
      <c r="F128" s="284">
        <f t="shared" si="76"/>
        <v>0</v>
      </c>
      <c r="G128" s="284">
        <f t="shared" si="77"/>
        <v>0</v>
      </c>
      <c r="H128" s="284">
        <f t="shared" si="78"/>
        <v>0</v>
      </c>
      <c r="I128" s="284">
        <f t="shared" si="79"/>
        <v>0</v>
      </c>
      <c r="J128" s="284">
        <f t="shared" si="80"/>
        <v>0</v>
      </c>
      <c r="K128" s="284">
        <f t="shared" si="81"/>
        <v>0</v>
      </c>
      <c r="L128" s="284">
        <f t="shared" si="82"/>
        <v>0</v>
      </c>
      <c r="M128" s="284">
        <f t="shared" si="83"/>
        <v>0</v>
      </c>
      <c r="N128" s="284">
        <f t="shared" si="84"/>
        <v>0</v>
      </c>
      <c r="O128" s="284">
        <f t="shared" si="85"/>
        <v>0</v>
      </c>
      <c r="P128" s="284">
        <f t="shared" si="86"/>
        <v>0</v>
      </c>
      <c r="Q128" s="284">
        <f t="shared" si="87"/>
        <v>0</v>
      </c>
      <c r="R128" s="284">
        <f t="shared" si="88"/>
        <v>0</v>
      </c>
      <c r="S128" s="284">
        <f t="shared" si="89"/>
        <v>0</v>
      </c>
      <c r="T128" s="284">
        <f t="shared" si="90"/>
        <v>0</v>
      </c>
      <c r="U128" s="285">
        <f t="shared" si="91"/>
        <v>0</v>
      </c>
      <c r="V128" s="286">
        <f>[1]BDD!A118</f>
        <v>1121</v>
      </c>
      <c r="W128" s="287" t="str">
        <f>[1]BDD!B118</f>
        <v>Grenade BIO (grande et rosée)</v>
      </c>
      <c r="X128" s="288" t="str">
        <f>IF([1]BDD!F118=0, "", [1]BDD!F118)</f>
        <v/>
      </c>
      <c r="Y128" s="214">
        <f>ROUND([1]BDD!G118+FDP_CMD_KG, 2)</f>
        <v>3.58</v>
      </c>
      <c r="Z128" s="214">
        <f>ROUND([1]BDD!G118+FDP_FACT_KG, 2)</f>
        <v>3.58</v>
      </c>
      <c r="AA128" s="215" t="str">
        <f>[1]BDD!H118</f>
        <v>kg</v>
      </c>
      <c r="AB128" s="225">
        <f>IF(NOT(ISBLANK([1]BDD!I118)), ROUND(SUM(([1]BDD!G118*reduc1),FDP_CMD_KG), 2), "")</f>
        <v>3.31</v>
      </c>
      <c r="AC128" s="225">
        <f>IF(NOT(ISBLANK([1]BDD!J118)), ROUND(SUM(([1]BDD!G118*reduc2),FDP_CMD_KG), 2), "")</f>
        <v>3.04</v>
      </c>
      <c r="AD128" s="225">
        <f>IF(NOT(ISBLANK([1]BDD!K118)), ROUND(SUM(([1]BDD!G118*reduc3),FDP_CMD_KG), 2), "")</f>
        <v>2.77</v>
      </c>
      <c r="AE128" s="225">
        <f>IF(NOT(ISBLANK([1]BDD!I118)), ROUND(SUM(([1]BDD!G118*reduc1),FDP_FACT_KG), 2), "")</f>
        <v>3.31</v>
      </c>
      <c r="AF128" s="225">
        <f>IF(NOT(ISBLANK([1]BDD!J118)), ROUND(SUM(([1]BDD!G118*reduc2),FDP_FACT_KG), 2), "")</f>
        <v>3.03</v>
      </c>
      <c r="AG128" s="225">
        <f>IF(NOT(ISBLANK([1]BDD!K118)), ROUND(SUM(([1]BDD!G118*reduc3),FDP_FACT_KG), 2), "")</f>
        <v>2.76</v>
      </c>
      <c r="AH128" s="289" t="str">
        <f>[1]BDD!C118</f>
        <v>Grenade</v>
      </c>
      <c r="AI128" s="290">
        <f t="shared" si="92"/>
        <v>0</v>
      </c>
      <c r="AJ128" s="216">
        <f t="shared" si="93"/>
        <v>2.77</v>
      </c>
      <c r="AK128" s="291">
        <f t="shared" si="94"/>
        <v>0</v>
      </c>
      <c r="AL128" s="429"/>
      <c r="AM128" s="292"/>
      <c r="AN128" s="216">
        <f t="shared" si="95"/>
        <v>3.58</v>
      </c>
      <c r="AO128" s="293">
        <f t="shared" si="96"/>
        <v>0</v>
      </c>
      <c r="AP128" s="294"/>
      <c r="AQ128" s="294"/>
      <c r="AR128" s="429"/>
      <c r="AS128" s="295">
        <f t="shared" si="97"/>
        <v>0</v>
      </c>
      <c r="AT128" s="216">
        <f t="shared" si="98"/>
        <v>3.58</v>
      </c>
      <c r="AU128" s="291">
        <f t="shared" si="70"/>
        <v>0</v>
      </c>
      <c r="AV128" s="296">
        <f>[1]COMMANDE!O126</f>
        <v>0</v>
      </c>
      <c r="AW128" s="297" t="str">
        <f t="shared" si="99"/>
        <v>0</v>
      </c>
      <c r="AX128" s="298">
        <f t="shared" si="100"/>
        <v>0</v>
      </c>
      <c r="AY128" s="299">
        <f>[1]COMMANDE!Q126</f>
        <v>0</v>
      </c>
      <c r="AZ128" s="297" t="str">
        <f t="shared" si="101"/>
        <v>0</v>
      </c>
      <c r="BA128" s="300">
        <f t="shared" si="102"/>
        <v>0</v>
      </c>
      <c r="BB128" s="301">
        <f>[1]COMMANDE!S126</f>
        <v>0</v>
      </c>
      <c r="BC128" s="297" t="str">
        <f t="shared" si="103"/>
        <v>0</v>
      </c>
      <c r="BD128" s="298">
        <f t="shared" si="104"/>
        <v>0</v>
      </c>
      <c r="BE128" s="299">
        <f>[1]COMMANDE!U126</f>
        <v>0</v>
      </c>
      <c r="BF128" s="297" t="str">
        <f t="shared" si="105"/>
        <v>0</v>
      </c>
      <c r="BG128" s="300">
        <f t="shared" si="106"/>
        <v>0</v>
      </c>
      <c r="BH128" s="301">
        <f>[1]COMMANDE!W126</f>
        <v>0</v>
      </c>
      <c r="BI128" s="297" t="str">
        <f t="shared" si="107"/>
        <v>0</v>
      </c>
      <c r="BJ128" s="298">
        <f t="shared" si="108"/>
        <v>0</v>
      </c>
      <c r="BK128" s="299">
        <f>[1]COMMANDE!Y126</f>
        <v>0</v>
      </c>
      <c r="BL128" s="297" t="str">
        <f t="shared" si="109"/>
        <v>0</v>
      </c>
      <c r="BM128" s="300">
        <f t="shared" si="110"/>
        <v>0</v>
      </c>
      <c r="BN128" s="301">
        <f>[1]COMMANDE!AA126</f>
        <v>0</v>
      </c>
      <c r="BO128" s="297" t="str">
        <f t="shared" si="111"/>
        <v>0</v>
      </c>
      <c r="BP128" s="298">
        <f t="shared" si="112"/>
        <v>0</v>
      </c>
      <c r="BQ128" s="299">
        <f>[1]COMMANDE!AC126</f>
        <v>0</v>
      </c>
      <c r="BR128" s="297" t="str">
        <f t="shared" si="113"/>
        <v>0</v>
      </c>
      <c r="BS128" s="300">
        <f t="shared" si="114"/>
        <v>0</v>
      </c>
      <c r="BT128" s="301">
        <f>[1]COMMANDE!AE126</f>
        <v>0</v>
      </c>
      <c r="BU128" s="297" t="str">
        <f t="shared" si="115"/>
        <v>0</v>
      </c>
      <c r="BV128" s="298">
        <f t="shared" si="116"/>
        <v>0</v>
      </c>
      <c r="BW128" s="299">
        <f>[1]COMMANDE!AG126</f>
        <v>0</v>
      </c>
      <c r="BX128" s="297" t="str">
        <f t="shared" si="117"/>
        <v>0</v>
      </c>
      <c r="BY128" s="300">
        <f t="shared" si="118"/>
        <v>0</v>
      </c>
      <c r="BZ128" s="301">
        <f>[1]COMMANDE!AI126</f>
        <v>0</v>
      </c>
      <c r="CA128" s="297" t="str">
        <f t="shared" si="119"/>
        <v>0</v>
      </c>
      <c r="CB128" s="298">
        <f t="shared" si="120"/>
        <v>0</v>
      </c>
      <c r="CC128" s="299">
        <f>[1]COMMANDE!AK126</f>
        <v>0</v>
      </c>
      <c r="CD128" s="297" t="str">
        <f t="shared" si="121"/>
        <v>0</v>
      </c>
      <c r="CE128" s="300">
        <f t="shared" si="122"/>
        <v>0</v>
      </c>
      <c r="CF128" s="301">
        <f>[1]COMMANDE!AM126</f>
        <v>0</v>
      </c>
      <c r="CG128" s="297" t="str">
        <f t="shared" si="123"/>
        <v>0</v>
      </c>
      <c r="CH128" s="298">
        <f t="shared" si="124"/>
        <v>0</v>
      </c>
      <c r="CI128" s="299">
        <f>[1]COMMANDE!AO126</f>
        <v>0</v>
      </c>
      <c r="CJ128" s="297" t="str">
        <f t="shared" si="125"/>
        <v>0</v>
      </c>
      <c r="CK128" s="300">
        <f t="shared" si="126"/>
        <v>0</v>
      </c>
      <c r="CL128" s="301">
        <f>[1]COMMANDE!AQ126</f>
        <v>0</v>
      </c>
      <c r="CM128" s="297" t="str">
        <f t="shared" si="127"/>
        <v>0</v>
      </c>
      <c r="CN128" s="298">
        <f t="shared" si="128"/>
        <v>0</v>
      </c>
      <c r="CO128" s="299">
        <f>[1]COMMANDE!AS126</f>
        <v>0</v>
      </c>
      <c r="CP128" s="297" t="str">
        <f t="shared" si="129"/>
        <v>0</v>
      </c>
      <c r="CQ128" s="300">
        <f t="shared" si="130"/>
        <v>0</v>
      </c>
      <c r="CR128" s="301">
        <f>[1]COMMANDE!AU126</f>
        <v>0</v>
      </c>
      <c r="CS128" s="297" t="str">
        <f t="shared" si="131"/>
        <v>0</v>
      </c>
      <c r="CT128" s="298">
        <f t="shared" si="132"/>
        <v>0</v>
      </c>
      <c r="CU128" s="299">
        <f>[1]COMMANDE!AW126</f>
        <v>0</v>
      </c>
      <c r="CV128" s="297" t="str">
        <f t="shared" si="133"/>
        <v>0</v>
      </c>
      <c r="CW128" s="300">
        <f t="shared" si="134"/>
        <v>0</v>
      </c>
      <c r="CX128" s="301">
        <f>[1]COMMANDE!AY126</f>
        <v>0</v>
      </c>
      <c r="CY128" s="297" t="str">
        <f t="shared" si="135"/>
        <v>0</v>
      </c>
      <c r="CZ128" s="298">
        <f t="shared" si="136"/>
        <v>0</v>
      </c>
      <c r="DA128" s="299">
        <f>[1]COMMANDE!BA126</f>
        <v>0</v>
      </c>
      <c r="DB128" s="297" t="str">
        <f t="shared" si="137"/>
        <v>0</v>
      </c>
      <c r="DC128" s="302">
        <f t="shared" si="138"/>
        <v>0</v>
      </c>
      <c r="DD128" s="303"/>
      <c r="DE128" s="304"/>
    </row>
    <row r="129" spans="1:128" ht="39.950000000000003" customHeight="1" x14ac:dyDescent="0.25">
      <c r="A129" s="284">
        <f t="shared" si="71"/>
        <v>0</v>
      </c>
      <c r="B129" s="284">
        <f t="shared" si="72"/>
        <v>0</v>
      </c>
      <c r="C129" s="284">
        <f t="shared" si="73"/>
        <v>0</v>
      </c>
      <c r="D129" s="284">
        <f t="shared" si="74"/>
        <v>0</v>
      </c>
      <c r="E129" s="284">
        <f t="shared" si="75"/>
        <v>0</v>
      </c>
      <c r="F129" s="284">
        <f t="shared" si="76"/>
        <v>0</v>
      </c>
      <c r="G129" s="284">
        <f t="shared" si="77"/>
        <v>0</v>
      </c>
      <c r="H129" s="284">
        <f t="shared" si="78"/>
        <v>0</v>
      </c>
      <c r="I129" s="284">
        <f t="shared" si="79"/>
        <v>0</v>
      </c>
      <c r="J129" s="284">
        <f t="shared" si="80"/>
        <v>0</v>
      </c>
      <c r="K129" s="284">
        <f t="shared" si="81"/>
        <v>0</v>
      </c>
      <c r="L129" s="284">
        <f t="shared" si="82"/>
        <v>0</v>
      </c>
      <c r="M129" s="284">
        <f t="shared" si="83"/>
        <v>0</v>
      </c>
      <c r="N129" s="284">
        <f t="shared" si="84"/>
        <v>0</v>
      </c>
      <c r="O129" s="284">
        <f t="shared" si="85"/>
        <v>0</v>
      </c>
      <c r="P129" s="284">
        <f t="shared" si="86"/>
        <v>0</v>
      </c>
      <c r="Q129" s="284">
        <f t="shared" si="87"/>
        <v>0</v>
      </c>
      <c r="R129" s="284">
        <f t="shared" si="88"/>
        <v>0</v>
      </c>
      <c r="S129" s="284">
        <f t="shared" si="89"/>
        <v>0</v>
      </c>
      <c r="T129" s="284">
        <f t="shared" si="90"/>
        <v>0</v>
      </c>
      <c r="U129" s="285">
        <f t="shared" si="91"/>
        <v>0</v>
      </c>
      <c r="V129" s="286">
        <f>[1]BDD!A119</f>
        <v>6120</v>
      </c>
      <c r="W129" s="287" t="str">
        <f>[1]BDD!B119</f>
        <v xml:space="preserve">Grenade Purple Queen BIO </v>
      </c>
      <c r="X129" s="288" t="str">
        <f>IF([1]BDD!F119=0, "", [1]BDD!F119)</f>
        <v/>
      </c>
      <c r="Y129" s="214">
        <f>ROUND([1]BDD!G119+FDP_CMD_KG, 2)</f>
        <v>4.01</v>
      </c>
      <c r="Z129" s="214">
        <f>ROUND([1]BDD!G119+FDP_FACT_KG, 2)</f>
        <v>4.01</v>
      </c>
      <c r="AA129" s="215" t="str">
        <f>[1]BDD!H119</f>
        <v>kg</v>
      </c>
      <c r="AB129" s="225">
        <f>IF(NOT(ISBLANK([1]BDD!I119)), ROUND(SUM(([1]BDD!G119*reduc1),FDP_CMD_KG), 2), "")</f>
        <v>3.7</v>
      </c>
      <c r="AC129" s="225">
        <f>IF(NOT(ISBLANK([1]BDD!J119)), ROUND(SUM(([1]BDD!G119*reduc2),FDP_CMD_KG), 2), "")</f>
        <v>3.39</v>
      </c>
      <c r="AD129" s="225">
        <f>IF(NOT(ISBLANK([1]BDD!K119)), ROUND(SUM(([1]BDD!G119*reduc3),FDP_CMD_KG), 2), "")</f>
        <v>3.07</v>
      </c>
      <c r="AE129" s="225">
        <f>IF(NOT(ISBLANK([1]BDD!I119)), ROUND(SUM(([1]BDD!G119*reduc1),FDP_FACT_KG), 2), "")</f>
        <v>3.69</v>
      </c>
      <c r="AF129" s="225">
        <f>IF(NOT(ISBLANK([1]BDD!J119)), ROUND(SUM(([1]BDD!G119*reduc2),FDP_FACT_KG), 2), "")</f>
        <v>3.38</v>
      </c>
      <c r="AG129" s="225">
        <f>IF(NOT(ISBLANK([1]BDD!K119)), ROUND(SUM(([1]BDD!G119*reduc3),FDP_FACT_KG), 2), "")</f>
        <v>3.06</v>
      </c>
      <c r="AH129" s="289" t="str">
        <f>[1]BDD!C119</f>
        <v>Malaga</v>
      </c>
      <c r="AI129" s="290">
        <f t="shared" si="92"/>
        <v>0</v>
      </c>
      <c r="AJ129" s="216">
        <f t="shared" si="93"/>
        <v>3.07</v>
      </c>
      <c r="AK129" s="291">
        <f t="shared" si="94"/>
        <v>0</v>
      </c>
      <c r="AL129" s="429"/>
      <c r="AM129" s="292"/>
      <c r="AN129" s="216">
        <f t="shared" si="95"/>
        <v>4.01</v>
      </c>
      <c r="AO129" s="293">
        <f t="shared" si="96"/>
        <v>0</v>
      </c>
      <c r="AP129" s="294"/>
      <c r="AQ129" s="294"/>
      <c r="AR129" s="429"/>
      <c r="AS129" s="295">
        <f t="shared" si="97"/>
        <v>0</v>
      </c>
      <c r="AT129" s="216">
        <f t="shared" si="98"/>
        <v>4.01</v>
      </c>
      <c r="AU129" s="291">
        <f t="shared" si="70"/>
        <v>0</v>
      </c>
      <c r="AV129" s="296">
        <f>[1]COMMANDE!O127</f>
        <v>0</v>
      </c>
      <c r="AW129" s="297" t="str">
        <f t="shared" si="99"/>
        <v>0</v>
      </c>
      <c r="AX129" s="298">
        <f t="shared" si="100"/>
        <v>0</v>
      </c>
      <c r="AY129" s="299">
        <f>[1]COMMANDE!Q127</f>
        <v>0</v>
      </c>
      <c r="AZ129" s="297" t="str">
        <f t="shared" si="101"/>
        <v>0</v>
      </c>
      <c r="BA129" s="300">
        <f t="shared" si="102"/>
        <v>0</v>
      </c>
      <c r="BB129" s="301">
        <f>[1]COMMANDE!S127</f>
        <v>0</v>
      </c>
      <c r="BC129" s="297" t="str">
        <f t="shared" si="103"/>
        <v>0</v>
      </c>
      <c r="BD129" s="298">
        <f t="shared" si="104"/>
        <v>0</v>
      </c>
      <c r="BE129" s="299">
        <f>[1]COMMANDE!U127</f>
        <v>0</v>
      </c>
      <c r="BF129" s="297" t="str">
        <f t="shared" si="105"/>
        <v>0</v>
      </c>
      <c r="BG129" s="300">
        <f t="shared" si="106"/>
        <v>0</v>
      </c>
      <c r="BH129" s="301">
        <f>[1]COMMANDE!W127</f>
        <v>0</v>
      </c>
      <c r="BI129" s="297" t="str">
        <f t="shared" si="107"/>
        <v>0</v>
      </c>
      <c r="BJ129" s="298">
        <f t="shared" si="108"/>
        <v>0</v>
      </c>
      <c r="BK129" s="299">
        <f>[1]COMMANDE!Y127</f>
        <v>0</v>
      </c>
      <c r="BL129" s="297" t="str">
        <f t="shared" si="109"/>
        <v>0</v>
      </c>
      <c r="BM129" s="300">
        <f t="shared" si="110"/>
        <v>0</v>
      </c>
      <c r="BN129" s="301">
        <f>[1]COMMANDE!AA127</f>
        <v>0</v>
      </c>
      <c r="BO129" s="297" t="str">
        <f t="shared" si="111"/>
        <v>0</v>
      </c>
      <c r="BP129" s="298">
        <f t="shared" si="112"/>
        <v>0</v>
      </c>
      <c r="BQ129" s="299">
        <f>[1]COMMANDE!AC127</f>
        <v>0</v>
      </c>
      <c r="BR129" s="297" t="str">
        <f t="shared" si="113"/>
        <v>0</v>
      </c>
      <c r="BS129" s="300">
        <f t="shared" si="114"/>
        <v>0</v>
      </c>
      <c r="BT129" s="301">
        <f>[1]COMMANDE!AE127</f>
        <v>0</v>
      </c>
      <c r="BU129" s="297" t="str">
        <f t="shared" si="115"/>
        <v>0</v>
      </c>
      <c r="BV129" s="298">
        <f t="shared" si="116"/>
        <v>0</v>
      </c>
      <c r="BW129" s="299">
        <f>[1]COMMANDE!AG127</f>
        <v>0</v>
      </c>
      <c r="BX129" s="297" t="str">
        <f t="shared" si="117"/>
        <v>0</v>
      </c>
      <c r="BY129" s="300">
        <f t="shared" si="118"/>
        <v>0</v>
      </c>
      <c r="BZ129" s="301">
        <f>[1]COMMANDE!AI127</f>
        <v>0</v>
      </c>
      <c r="CA129" s="297" t="str">
        <f t="shared" si="119"/>
        <v>0</v>
      </c>
      <c r="CB129" s="298">
        <f t="shared" si="120"/>
        <v>0</v>
      </c>
      <c r="CC129" s="299">
        <f>[1]COMMANDE!AK127</f>
        <v>0</v>
      </c>
      <c r="CD129" s="297" t="str">
        <f t="shared" si="121"/>
        <v>0</v>
      </c>
      <c r="CE129" s="300">
        <f t="shared" si="122"/>
        <v>0</v>
      </c>
      <c r="CF129" s="301">
        <f>[1]COMMANDE!AM127</f>
        <v>0</v>
      </c>
      <c r="CG129" s="297" t="str">
        <f t="shared" si="123"/>
        <v>0</v>
      </c>
      <c r="CH129" s="298">
        <f t="shared" si="124"/>
        <v>0</v>
      </c>
      <c r="CI129" s="299">
        <f>[1]COMMANDE!AO127</f>
        <v>0</v>
      </c>
      <c r="CJ129" s="297" t="str">
        <f t="shared" si="125"/>
        <v>0</v>
      </c>
      <c r="CK129" s="300">
        <f t="shared" si="126"/>
        <v>0</v>
      </c>
      <c r="CL129" s="301">
        <f>[1]COMMANDE!AQ127</f>
        <v>0</v>
      </c>
      <c r="CM129" s="297" t="str">
        <f t="shared" si="127"/>
        <v>0</v>
      </c>
      <c r="CN129" s="298">
        <f t="shared" si="128"/>
        <v>0</v>
      </c>
      <c r="CO129" s="299">
        <f>[1]COMMANDE!AS127</f>
        <v>0</v>
      </c>
      <c r="CP129" s="297" t="str">
        <f t="shared" si="129"/>
        <v>0</v>
      </c>
      <c r="CQ129" s="300">
        <f t="shared" si="130"/>
        <v>0</v>
      </c>
      <c r="CR129" s="301">
        <f>[1]COMMANDE!AU127</f>
        <v>0</v>
      </c>
      <c r="CS129" s="297" t="str">
        <f t="shared" si="131"/>
        <v>0</v>
      </c>
      <c r="CT129" s="298">
        <f t="shared" si="132"/>
        <v>0</v>
      </c>
      <c r="CU129" s="299">
        <f>[1]COMMANDE!AW127</f>
        <v>0</v>
      </c>
      <c r="CV129" s="297" t="str">
        <f t="shared" si="133"/>
        <v>0</v>
      </c>
      <c r="CW129" s="300">
        <f t="shared" si="134"/>
        <v>0</v>
      </c>
      <c r="CX129" s="301">
        <f>[1]COMMANDE!AY127</f>
        <v>0</v>
      </c>
      <c r="CY129" s="297" t="str">
        <f t="shared" si="135"/>
        <v>0</v>
      </c>
      <c r="CZ129" s="298">
        <f t="shared" si="136"/>
        <v>0</v>
      </c>
      <c r="DA129" s="299">
        <f>[1]COMMANDE!BA127</f>
        <v>0</v>
      </c>
      <c r="DB129" s="297" t="str">
        <f t="shared" si="137"/>
        <v>0</v>
      </c>
      <c r="DC129" s="302">
        <f t="shared" si="138"/>
        <v>0</v>
      </c>
      <c r="DD129" s="303"/>
      <c r="DE129" s="304"/>
    </row>
    <row r="130" spans="1:128" ht="39.950000000000003" customHeight="1" x14ac:dyDescent="0.25">
      <c r="A130" s="284">
        <f t="shared" si="71"/>
        <v>0</v>
      </c>
      <c r="B130" s="284">
        <f t="shared" si="72"/>
        <v>0</v>
      </c>
      <c r="C130" s="284">
        <f t="shared" si="73"/>
        <v>0</v>
      </c>
      <c r="D130" s="284">
        <f t="shared" si="74"/>
        <v>0</v>
      </c>
      <c r="E130" s="284">
        <f t="shared" si="75"/>
        <v>0</v>
      </c>
      <c r="F130" s="284">
        <f t="shared" si="76"/>
        <v>0</v>
      </c>
      <c r="G130" s="284">
        <f t="shared" si="77"/>
        <v>0</v>
      </c>
      <c r="H130" s="284">
        <f t="shared" si="78"/>
        <v>0</v>
      </c>
      <c r="I130" s="284">
        <f t="shared" si="79"/>
        <v>0</v>
      </c>
      <c r="J130" s="284">
        <f t="shared" si="80"/>
        <v>0</v>
      </c>
      <c r="K130" s="284">
        <f t="shared" si="81"/>
        <v>0</v>
      </c>
      <c r="L130" s="284">
        <f t="shared" si="82"/>
        <v>0</v>
      </c>
      <c r="M130" s="284">
        <f t="shared" si="83"/>
        <v>0</v>
      </c>
      <c r="N130" s="284">
        <f t="shared" si="84"/>
        <v>0</v>
      </c>
      <c r="O130" s="284">
        <f t="shared" si="85"/>
        <v>0</v>
      </c>
      <c r="P130" s="284">
        <f t="shared" si="86"/>
        <v>0</v>
      </c>
      <c r="Q130" s="284">
        <f t="shared" si="87"/>
        <v>0</v>
      </c>
      <c r="R130" s="284">
        <f t="shared" si="88"/>
        <v>0</v>
      </c>
      <c r="S130" s="284">
        <f t="shared" si="89"/>
        <v>0</v>
      </c>
      <c r="T130" s="284">
        <f t="shared" si="90"/>
        <v>0</v>
      </c>
      <c r="U130" s="285">
        <f t="shared" si="91"/>
        <v>0</v>
      </c>
      <c r="V130" s="286">
        <f>[1]BDD!A120</f>
        <v>3039</v>
      </c>
      <c r="W130" s="287" t="str">
        <f>[1]BDD!B120</f>
        <v>Haricot vert 2e catégorie</v>
      </c>
      <c r="X130" s="288" t="str">
        <f>IF([1]BDD!F120=0, "", [1]BDD!F120)</f>
        <v/>
      </c>
      <c r="Y130" s="214">
        <f>ROUND([1]BDD!G120+FDP_CMD_KG, 2)</f>
        <v>2.21</v>
      </c>
      <c r="Z130" s="214">
        <f>ROUND([1]BDD!G120+FDP_FACT_KG, 2)</f>
        <v>2.21</v>
      </c>
      <c r="AA130" s="215" t="str">
        <f>[1]BDD!H120</f>
        <v>kg</v>
      </c>
      <c r="AB130" s="225">
        <f>IF(NOT(ISBLANK([1]BDD!I120)), ROUND(SUM(([1]BDD!G120*reduc1),FDP_CMD_KG), 2), "")</f>
        <v>2.08</v>
      </c>
      <c r="AC130" s="225">
        <f>IF(NOT(ISBLANK([1]BDD!J120)), ROUND(SUM(([1]BDD!G120*reduc2),FDP_CMD_KG), 2), "")</f>
        <v>1.95</v>
      </c>
      <c r="AD130" s="225" t="str">
        <f>IF(NOT(ISBLANK([1]BDD!K120)), ROUND(SUM(([1]BDD!G120*reduc3),FDP_CMD_KG), 2), "")</f>
        <v/>
      </c>
      <c r="AE130" s="225">
        <f>IF(NOT(ISBLANK([1]BDD!I120)), ROUND(SUM(([1]BDD!G120*reduc1),FDP_FACT_KG), 2), "")</f>
        <v>2.0699999999999998</v>
      </c>
      <c r="AF130" s="225">
        <f>IF(NOT(ISBLANK([1]BDD!J120)), ROUND(SUM(([1]BDD!G120*reduc2),FDP_FACT_KG), 2), "")</f>
        <v>1.94</v>
      </c>
      <c r="AG130" s="225" t="str">
        <f>IF(NOT(ISBLANK([1]BDD!K120)), ROUND(SUM(([1]BDD!G120*reduc3),FDP_FACT_KG), 2), "")</f>
        <v/>
      </c>
      <c r="AH130" s="289" t="str">
        <f>[1]BDD!C120</f>
        <v>Malaga</v>
      </c>
      <c r="AI130" s="290">
        <f t="shared" si="92"/>
        <v>0</v>
      </c>
      <c r="AJ130" s="216">
        <f t="shared" si="93"/>
        <v>1.95</v>
      </c>
      <c r="AK130" s="291">
        <f t="shared" si="94"/>
        <v>0</v>
      </c>
      <c r="AL130" s="429"/>
      <c r="AM130" s="292"/>
      <c r="AN130" s="216">
        <f t="shared" si="95"/>
        <v>2.21</v>
      </c>
      <c r="AO130" s="293">
        <f t="shared" si="96"/>
        <v>0</v>
      </c>
      <c r="AP130" s="294"/>
      <c r="AQ130" s="294"/>
      <c r="AR130" s="429"/>
      <c r="AS130" s="295">
        <f t="shared" si="97"/>
        <v>0</v>
      </c>
      <c r="AT130" s="216">
        <f t="shared" si="98"/>
        <v>2.21</v>
      </c>
      <c r="AU130" s="291">
        <f t="shared" si="70"/>
        <v>0</v>
      </c>
      <c r="AV130" s="296">
        <f>[1]COMMANDE!O128</f>
        <v>0</v>
      </c>
      <c r="AW130" s="297" t="str">
        <f t="shared" si="99"/>
        <v>0</v>
      </c>
      <c r="AX130" s="298">
        <f t="shared" si="100"/>
        <v>0</v>
      </c>
      <c r="AY130" s="299">
        <f>[1]COMMANDE!Q128</f>
        <v>0</v>
      </c>
      <c r="AZ130" s="297" t="str">
        <f t="shared" si="101"/>
        <v>0</v>
      </c>
      <c r="BA130" s="300">
        <f t="shared" si="102"/>
        <v>0</v>
      </c>
      <c r="BB130" s="301">
        <f>[1]COMMANDE!S128</f>
        <v>0</v>
      </c>
      <c r="BC130" s="297" t="str">
        <f t="shared" si="103"/>
        <v>0</v>
      </c>
      <c r="BD130" s="298">
        <f t="shared" si="104"/>
        <v>0</v>
      </c>
      <c r="BE130" s="299">
        <f>[1]COMMANDE!U128</f>
        <v>0</v>
      </c>
      <c r="BF130" s="297" t="str">
        <f t="shared" si="105"/>
        <v>0</v>
      </c>
      <c r="BG130" s="300">
        <f t="shared" si="106"/>
        <v>0</v>
      </c>
      <c r="BH130" s="301">
        <f>[1]COMMANDE!W128</f>
        <v>0</v>
      </c>
      <c r="BI130" s="297" t="str">
        <f t="shared" si="107"/>
        <v>0</v>
      </c>
      <c r="BJ130" s="298">
        <f t="shared" si="108"/>
        <v>0</v>
      </c>
      <c r="BK130" s="299">
        <f>[1]COMMANDE!Y128</f>
        <v>0</v>
      </c>
      <c r="BL130" s="297" t="str">
        <f t="shared" si="109"/>
        <v>0</v>
      </c>
      <c r="BM130" s="300">
        <f t="shared" si="110"/>
        <v>0</v>
      </c>
      <c r="BN130" s="301">
        <f>[1]COMMANDE!AA128</f>
        <v>0</v>
      </c>
      <c r="BO130" s="297" t="str">
        <f t="shared" si="111"/>
        <v>0</v>
      </c>
      <c r="BP130" s="298">
        <f t="shared" si="112"/>
        <v>0</v>
      </c>
      <c r="BQ130" s="299">
        <f>[1]COMMANDE!AC128</f>
        <v>0</v>
      </c>
      <c r="BR130" s="297" t="str">
        <f t="shared" si="113"/>
        <v>0</v>
      </c>
      <c r="BS130" s="300">
        <f t="shared" si="114"/>
        <v>0</v>
      </c>
      <c r="BT130" s="301">
        <f>[1]COMMANDE!AE128</f>
        <v>0</v>
      </c>
      <c r="BU130" s="297" t="str">
        <f t="shared" si="115"/>
        <v>0</v>
      </c>
      <c r="BV130" s="298">
        <f t="shared" si="116"/>
        <v>0</v>
      </c>
      <c r="BW130" s="299">
        <f>[1]COMMANDE!AG128</f>
        <v>0</v>
      </c>
      <c r="BX130" s="297" t="str">
        <f t="shared" si="117"/>
        <v>0</v>
      </c>
      <c r="BY130" s="300">
        <f t="shared" si="118"/>
        <v>0</v>
      </c>
      <c r="BZ130" s="301">
        <f>[1]COMMANDE!AI128</f>
        <v>0</v>
      </c>
      <c r="CA130" s="297" t="str">
        <f t="shared" si="119"/>
        <v>0</v>
      </c>
      <c r="CB130" s="298">
        <f t="shared" si="120"/>
        <v>0</v>
      </c>
      <c r="CC130" s="299">
        <f>[1]COMMANDE!AK128</f>
        <v>0</v>
      </c>
      <c r="CD130" s="297" t="str">
        <f t="shared" si="121"/>
        <v>0</v>
      </c>
      <c r="CE130" s="300">
        <f t="shared" si="122"/>
        <v>0</v>
      </c>
      <c r="CF130" s="301">
        <f>[1]COMMANDE!AM128</f>
        <v>0</v>
      </c>
      <c r="CG130" s="297" t="str">
        <f t="shared" si="123"/>
        <v>0</v>
      </c>
      <c r="CH130" s="298">
        <f t="shared" si="124"/>
        <v>0</v>
      </c>
      <c r="CI130" s="299">
        <f>[1]COMMANDE!AO128</f>
        <v>0</v>
      </c>
      <c r="CJ130" s="297" t="str">
        <f t="shared" si="125"/>
        <v>0</v>
      </c>
      <c r="CK130" s="300">
        <f t="shared" si="126"/>
        <v>0</v>
      </c>
      <c r="CL130" s="301">
        <f>[1]COMMANDE!AQ128</f>
        <v>0</v>
      </c>
      <c r="CM130" s="297" t="str">
        <f t="shared" si="127"/>
        <v>0</v>
      </c>
      <c r="CN130" s="298">
        <f t="shared" si="128"/>
        <v>0</v>
      </c>
      <c r="CO130" s="299">
        <f>[1]COMMANDE!AS128</f>
        <v>0</v>
      </c>
      <c r="CP130" s="297" t="str">
        <f t="shared" si="129"/>
        <v>0</v>
      </c>
      <c r="CQ130" s="300">
        <f t="shared" si="130"/>
        <v>0</v>
      </c>
      <c r="CR130" s="301">
        <f>[1]COMMANDE!AU128</f>
        <v>0</v>
      </c>
      <c r="CS130" s="297" t="str">
        <f t="shared" si="131"/>
        <v>0</v>
      </c>
      <c r="CT130" s="298">
        <f t="shared" si="132"/>
        <v>0</v>
      </c>
      <c r="CU130" s="299">
        <f>[1]COMMANDE!AW128</f>
        <v>0</v>
      </c>
      <c r="CV130" s="297" t="str">
        <f t="shared" si="133"/>
        <v>0</v>
      </c>
      <c r="CW130" s="300">
        <f t="shared" si="134"/>
        <v>0</v>
      </c>
      <c r="CX130" s="301">
        <f>[1]COMMANDE!AY128</f>
        <v>0</v>
      </c>
      <c r="CY130" s="297" t="str">
        <f t="shared" si="135"/>
        <v>0</v>
      </c>
      <c r="CZ130" s="298">
        <f t="shared" si="136"/>
        <v>0</v>
      </c>
      <c r="DA130" s="299">
        <f>[1]COMMANDE!BA128</f>
        <v>0</v>
      </c>
      <c r="DB130" s="297" t="str">
        <f t="shared" si="137"/>
        <v>0</v>
      </c>
      <c r="DC130" s="302">
        <f t="shared" si="138"/>
        <v>0</v>
      </c>
      <c r="DD130" s="303"/>
      <c r="DE130" s="304"/>
    </row>
    <row r="131" spans="1:128" ht="39.950000000000003" customHeight="1" x14ac:dyDescent="0.25">
      <c r="A131" s="284">
        <f t="shared" si="71"/>
        <v>0</v>
      </c>
      <c r="B131" s="284">
        <f t="shared" si="72"/>
        <v>0</v>
      </c>
      <c r="C131" s="284">
        <f t="shared" si="73"/>
        <v>0</v>
      </c>
      <c r="D131" s="284">
        <f t="shared" si="74"/>
        <v>0</v>
      </c>
      <c r="E131" s="284">
        <f t="shared" si="75"/>
        <v>0</v>
      </c>
      <c r="F131" s="284">
        <f t="shared" si="76"/>
        <v>0</v>
      </c>
      <c r="G131" s="284">
        <f t="shared" si="77"/>
        <v>0</v>
      </c>
      <c r="H131" s="284">
        <f t="shared" si="78"/>
        <v>0</v>
      </c>
      <c r="I131" s="284">
        <f t="shared" si="79"/>
        <v>0</v>
      </c>
      <c r="J131" s="284">
        <f t="shared" si="80"/>
        <v>0</v>
      </c>
      <c r="K131" s="284">
        <f t="shared" si="81"/>
        <v>0</v>
      </c>
      <c r="L131" s="284">
        <f t="shared" si="82"/>
        <v>0</v>
      </c>
      <c r="M131" s="284">
        <f t="shared" si="83"/>
        <v>0</v>
      </c>
      <c r="N131" s="284">
        <f t="shared" si="84"/>
        <v>0</v>
      </c>
      <c r="O131" s="284">
        <f t="shared" si="85"/>
        <v>0</v>
      </c>
      <c r="P131" s="284">
        <f t="shared" si="86"/>
        <v>0</v>
      </c>
      <c r="Q131" s="284">
        <f t="shared" si="87"/>
        <v>0</v>
      </c>
      <c r="R131" s="284">
        <f t="shared" si="88"/>
        <v>0</v>
      </c>
      <c r="S131" s="284">
        <f t="shared" si="89"/>
        <v>0</v>
      </c>
      <c r="T131" s="284">
        <f t="shared" si="90"/>
        <v>0</v>
      </c>
      <c r="U131" s="285">
        <f t="shared" si="91"/>
        <v>0</v>
      </c>
      <c r="V131" s="286">
        <f>[1]BDD!A121</f>
        <v>1003</v>
      </c>
      <c r="W131" s="287" t="str">
        <f>[1]BDD!B121</f>
        <v>Haricot vert BIO</v>
      </c>
      <c r="X131" s="288" t="str">
        <f>IF([1]BDD!F121=0, "", [1]BDD!F121)</f>
        <v/>
      </c>
      <c r="Y131" s="214">
        <f>ROUND([1]BDD!G121+FDP_CMD_KG, 2)</f>
        <v>6.32</v>
      </c>
      <c r="Z131" s="214">
        <f>ROUND([1]BDD!G121+FDP_FACT_KG, 2)</f>
        <v>6.32</v>
      </c>
      <c r="AA131" s="215" t="str">
        <f>[1]BDD!H121</f>
        <v>kg</v>
      </c>
      <c r="AB131" s="225">
        <f>IF(NOT(ISBLANK([1]BDD!I121)), ROUND(SUM(([1]BDD!G121*reduc1),FDP_CMD_KG), 2), "")</f>
        <v>5.78</v>
      </c>
      <c r="AC131" s="225">
        <f>IF(NOT(ISBLANK([1]BDD!J121)), ROUND(SUM(([1]BDD!G121*reduc2),FDP_CMD_KG), 2), "")</f>
        <v>5.23</v>
      </c>
      <c r="AD131" s="225" t="str">
        <f>IF(NOT(ISBLANK([1]BDD!K121)), ROUND(SUM(([1]BDD!G121*reduc3),FDP_CMD_KG), 2), "")</f>
        <v/>
      </c>
      <c r="AE131" s="225">
        <f>IF(NOT(ISBLANK([1]BDD!I121)), ROUND(SUM(([1]BDD!G121*reduc1),FDP_FACT_KG), 2), "")</f>
        <v>5.77</v>
      </c>
      <c r="AF131" s="225">
        <f>IF(NOT(ISBLANK([1]BDD!J121)), ROUND(SUM(([1]BDD!G121*reduc2),FDP_FACT_KG), 2), "")</f>
        <v>5.23</v>
      </c>
      <c r="AG131" s="225" t="str">
        <f>IF(NOT(ISBLANK([1]BDD!K121)), ROUND(SUM(([1]BDD!G121*reduc3),FDP_FACT_KG), 2), "")</f>
        <v/>
      </c>
      <c r="AH131" s="289" t="str">
        <f>[1]BDD!C121</f>
        <v>Malaga</v>
      </c>
      <c r="AI131" s="290">
        <f t="shared" si="92"/>
        <v>0</v>
      </c>
      <c r="AJ131" s="216">
        <f t="shared" si="93"/>
        <v>5.23</v>
      </c>
      <c r="AK131" s="291">
        <f t="shared" si="94"/>
        <v>0</v>
      </c>
      <c r="AL131" s="429"/>
      <c r="AM131" s="292"/>
      <c r="AN131" s="216">
        <f t="shared" si="95"/>
        <v>6.32</v>
      </c>
      <c r="AO131" s="293">
        <f t="shared" si="96"/>
        <v>0</v>
      </c>
      <c r="AP131" s="294"/>
      <c r="AQ131" s="294"/>
      <c r="AR131" s="429"/>
      <c r="AS131" s="295">
        <f t="shared" si="97"/>
        <v>0</v>
      </c>
      <c r="AT131" s="216">
        <f t="shared" si="98"/>
        <v>6.32</v>
      </c>
      <c r="AU131" s="291">
        <f t="shared" si="70"/>
        <v>0</v>
      </c>
      <c r="AV131" s="296">
        <f>[1]COMMANDE!O129</f>
        <v>0</v>
      </c>
      <c r="AW131" s="297" t="str">
        <f t="shared" si="99"/>
        <v>0</v>
      </c>
      <c r="AX131" s="298">
        <f t="shared" si="100"/>
        <v>0</v>
      </c>
      <c r="AY131" s="299">
        <f>[1]COMMANDE!Q129</f>
        <v>0</v>
      </c>
      <c r="AZ131" s="297" t="str">
        <f t="shared" si="101"/>
        <v>0</v>
      </c>
      <c r="BA131" s="300">
        <f t="shared" si="102"/>
        <v>0</v>
      </c>
      <c r="BB131" s="301">
        <f>[1]COMMANDE!S129</f>
        <v>0</v>
      </c>
      <c r="BC131" s="297" t="str">
        <f t="shared" si="103"/>
        <v>0</v>
      </c>
      <c r="BD131" s="298">
        <f t="shared" si="104"/>
        <v>0</v>
      </c>
      <c r="BE131" s="299">
        <f>[1]COMMANDE!U129</f>
        <v>0</v>
      </c>
      <c r="BF131" s="297" t="str">
        <f t="shared" si="105"/>
        <v>0</v>
      </c>
      <c r="BG131" s="300">
        <f t="shared" si="106"/>
        <v>0</v>
      </c>
      <c r="BH131" s="301">
        <f>[1]COMMANDE!W129</f>
        <v>0</v>
      </c>
      <c r="BI131" s="297" t="str">
        <f t="shared" si="107"/>
        <v>0</v>
      </c>
      <c r="BJ131" s="298">
        <f t="shared" si="108"/>
        <v>0</v>
      </c>
      <c r="BK131" s="299">
        <f>[1]COMMANDE!Y129</f>
        <v>0</v>
      </c>
      <c r="BL131" s="297" t="str">
        <f t="shared" si="109"/>
        <v>0</v>
      </c>
      <c r="BM131" s="300">
        <f t="shared" si="110"/>
        <v>0</v>
      </c>
      <c r="BN131" s="301">
        <f>[1]COMMANDE!AA129</f>
        <v>0</v>
      </c>
      <c r="BO131" s="297" t="str">
        <f t="shared" si="111"/>
        <v>0</v>
      </c>
      <c r="BP131" s="298">
        <f t="shared" si="112"/>
        <v>0</v>
      </c>
      <c r="BQ131" s="299">
        <f>[1]COMMANDE!AC129</f>
        <v>0</v>
      </c>
      <c r="BR131" s="297" t="str">
        <f t="shared" si="113"/>
        <v>0</v>
      </c>
      <c r="BS131" s="300">
        <f t="shared" si="114"/>
        <v>0</v>
      </c>
      <c r="BT131" s="301">
        <f>[1]COMMANDE!AE129</f>
        <v>0</v>
      </c>
      <c r="BU131" s="297" t="str">
        <f t="shared" si="115"/>
        <v>0</v>
      </c>
      <c r="BV131" s="298">
        <f t="shared" si="116"/>
        <v>0</v>
      </c>
      <c r="BW131" s="299">
        <f>[1]COMMANDE!AG129</f>
        <v>0</v>
      </c>
      <c r="BX131" s="297" t="str">
        <f t="shared" si="117"/>
        <v>0</v>
      </c>
      <c r="BY131" s="300">
        <f t="shared" si="118"/>
        <v>0</v>
      </c>
      <c r="BZ131" s="301">
        <f>[1]COMMANDE!AI129</f>
        <v>0</v>
      </c>
      <c r="CA131" s="297" t="str">
        <f t="shared" si="119"/>
        <v>0</v>
      </c>
      <c r="CB131" s="298">
        <f t="shared" si="120"/>
        <v>0</v>
      </c>
      <c r="CC131" s="299">
        <f>[1]COMMANDE!AK129</f>
        <v>0</v>
      </c>
      <c r="CD131" s="297" t="str">
        <f t="shared" si="121"/>
        <v>0</v>
      </c>
      <c r="CE131" s="300">
        <f t="shared" si="122"/>
        <v>0</v>
      </c>
      <c r="CF131" s="301">
        <f>[1]COMMANDE!AM129</f>
        <v>0</v>
      </c>
      <c r="CG131" s="297" t="str">
        <f t="shared" si="123"/>
        <v>0</v>
      </c>
      <c r="CH131" s="298">
        <f t="shared" si="124"/>
        <v>0</v>
      </c>
      <c r="CI131" s="299">
        <f>[1]COMMANDE!AO129</f>
        <v>0</v>
      </c>
      <c r="CJ131" s="297" t="str">
        <f t="shared" si="125"/>
        <v>0</v>
      </c>
      <c r="CK131" s="300">
        <f t="shared" si="126"/>
        <v>0</v>
      </c>
      <c r="CL131" s="301">
        <f>[1]COMMANDE!AQ129</f>
        <v>0</v>
      </c>
      <c r="CM131" s="297" t="str">
        <f t="shared" si="127"/>
        <v>0</v>
      </c>
      <c r="CN131" s="298">
        <f t="shared" si="128"/>
        <v>0</v>
      </c>
      <c r="CO131" s="299">
        <f>[1]COMMANDE!AS129</f>
        <v>0</v>
      </c>
      <c r="CP131" s="297" t="str">
        <f t="shared" si="129"/>
        <v>0</v>
      </c>
      <c r="CQ131" s="300">
        <f t="shared" si="130"/>
        <v>0</v>
      </c>
      <c r="CR131" s="301">
        <f>[1]COMMANDE!AU129</f>
        <v>0</v>
      </c>
      <c r="CS131" s="297" t="str">
        <f t="shared" si="131"/>
        <v>0</v>
      </c>
      <c r="CT131" s="298">
        <f t="shared" si="132"/>
        <v>0</v>
      </c>
      <c r="CU131" s="299">
        <f>[1]COMMANDE!AW129</f>
        <v>0</v>
      </c>
      <c r="CV131" s="297" t="str">
        <f t="shared" si="133"/>
        <v>0</v>
      </c>
      <c r="CW131" s="300">
        <f t="shared" si="134"/>
        <v>0</v>
      </c>
      <c r="CX131" s="301">
        <f>[1]COMMANDE!AY129</f>
        <v>0</v>
      </c>
      <c r="CY131" s="297" t="str">
        <f t="shared" si="135"/>
        <v>0</v>
      </c>
      <c r="CZ131" s="298">
        <f t="shared" si="136"/>
        <v>0</v>
      </c>
      <c r="DA131" s="299">
        <f>[1]COMMANDE!BA129</f>
        <v>0</v>
      </c>
      <c r="DB131" s="297" t="str">
        <f t="shared" si="137"/>
        <v>0</v>
      </c>
      <c r="DC131" s="302">
        <f t="shared" si="138"/>
        <v>0</v>
      </c>
      <c r="DD131" s="303"/>
      <c r="DE131" s="304"/>
    </row>
    <row r="132" spans="1:128" ht="39.950000000000003" customHeight="1" x14ac:dyDescent="0.25">
      <c r="A132" s="284">
        <f t="shared" si="71"/>
        <v>0</v>
      </c>
      <c r="B132" s="284">
        <f t="shared" si="72"/>
        <v>0</v>
      </c>
      <c r="C132" s="284">
        <f t="shared" si="73"/>
        <v>0</v>
      </c>
      <c r="D132" s="284">
        <f t="shared" si="74"/>
        <v>0</v>
      </c>
      <c r="E132" s="284">
        <f t="shared" si="75"/>
        <v>0</v>
      </c>
      <c r="F132" s="284">
        <f t="shared" si="76"/>
        <v>0</v>
      </c>
      <c r="G132" s="284">
        <f t="shared" si="77"/>
        <v>0</v>
      </c>
      <c r="H132" s="284">
        <f t="shared" si="78"/>
        <v>0</v>
      </c>
      <c r="I132" s="284">
        <f t="shared" si="79"/>
        <v>0</v>
      </c>
      <c r="J132" s="284">
        <f t="shared" si="80"/>
        <v>0</v>
      </c>
      <c r="K132" s="284">
        <f t="shared" si="81"/>
        <v>0</v>
      </c>
      <c r="L132" s="284">
        <f t="shared" si="82"/>
        <v>0</v>
      </c>
      <c r="M132" s="284">
        <f t="shared" si="83"/>
        <v>0</v>
      </c>
      <c r="N132" s="284">
        <f t="shared" si="84"/>
        <v>0</v>
      </c>
      <c r="O132" s="284">
        <f t="shared" si="85"/>
        <v>0</v>
      </c>
      <c r="P132" s="284">
        <f t="shared" si="86"/>
        <v>0</v>
      </c>
      <c r="Q132" s="284">
        <f t="shared" si="87"/>
        <v>0</v>
      </c>
      <c r="R132" s="284">
        <f t="shared" si="88"/>
        <v>0</v>
      </c>
      <c r="S132" s="284">
        <f t="shared" si="89"/>
        <v>0</v>
      </c>
      <c r="T132" s="284">
        <f t="shared" si="90"/>
        <v>0</v>
      </c>
      <c r="U132" s="285">
        <f t="shared" si="91"/>
        <v>0</v>
      </c>
      <c r="V132" s="286">
        <f>[1]BDD!A122</f>
        <v>6063</v>
      </c>
      <c r="W132" s="287" t="str">
        <f>[1]BDD!B122</f>
        <v>Huile d'olive Alorena 1L BIO (bouteille en verre)</v>
      </c>
      <c r="X132" s="288" t="str">
        <f>IF([1]BDD!F122=0, "", [1]BDD!F122)</f>
        <v/>
      </c>
      <c r="Y132" s="214">
        <f>ROUND([1]BDD!G122+FDP_CMD_KG, 2)</f>
        <v>10.17</v>
      </c>
      <c r="Z132" s="214">
        <f>ROUND([1]BDD!G122+FDP_FACT_KG, 2)</f>
        <v>10.17</v>
      </c>
      <c r="AA132" s="215" t="str">
        <f>[1]BDD!H122</f>
        <v>kg</v>
      </c>
      <c r="AB132" s="225" t="str">
        <f>IF(NOT(ISBLANK([1]BDD!I122)), ROUND(SUM(([1]BDD!G122*reduc1),FDP_CMD_KG), 2), "")</f>
        <v/>
      </c>
      <c r="AC132" s="225" t="str">
        <f>IF(NOT(ISBLANK([1]BDD!J122)), ROUND(SUM(([1]BDD!G122*reduc2),FDP_CMD_KG), 2), "")</f>
        <v/>
      </c>
      <c r="AD132" s="225" t="str">
        <f>IF(NOT(ISBLANK([1]BDD!K122)), ROUND(SUM(([1]BDD!G122*reduc3),FDP_CMD_KG), 2), "")</f>
        <v/>
      </c>
      <c r="AE132" s="225" t="str">
        <f>IF(NOT(ISBLANK([1]BDD!I122)), ROUND(SUM(([1]BDD!G122*reduc1),FDP_FACT_KG), 2), "")</f>
        <v/>
      </c>
      <c r="AF132" s="225" t="str">
        <f>IF(NOT(ISBLANK([1]BDD!J122)), ROUND(SUM(([1]BDD!G122*reduc2),FDP_FACT_KG), 2), "")</f>
        <v/>
      </c>
      <c r="AG132" s="225" t="str">
        <f>IF(NOT(ISBLANK([1]BDD!K122)), ROUND(SUM(([1]BDD!G122*reduc3),FDP_FACT_KG), 2), "")</f>
        <v/>
      </c>
      <c r="AH132" s="289" t="str">
        <f>[1]BDD!C122</f>
        <v>Malaga</v>
      </c>
      <c r="AI132" s="290">
        <f t="shared" si="92"/>
        <v>0</v>
      </c>
      <c r="AJ132" s="216">
        <f t="shared" si="93"/>
        <v>10.17</v>
      </c>
      <c r="AK132" s="291">
        <f t="shared" si="94"/>
        <v>0</v>
      </c>
      <c r="AL132" s="429"/>
      <c r="AM132" s="292"/>
      <c r="AN132" s="216">
        <f t="shared" si="95"/>
        <v>10.17</v>
      </c>
      <c r="AO132" s="293">
        <f t="shared" si="96"/>
        <v>0</v>
      </c>
      <c r="AP132" s="294"/>
      <c r="AQ132" s="294"/>
      <c r="AR132" s="429"/>
      <c r="AS132" s="295">
        <f t="shared" si="97"/>
        <v>0</v>
      </c>
      <c r="AT132" s="216">
        <f t="shared" si="98"/>
        <v>10.17</v>
      </c>
      <c r="AU132" s="291">
        <f t="shared" si="70"/>
        <v>0</v>
      </c>
      <c r="AV132" s="296">
        <f>[1]COMMANDE!O130</f>
        <v>0</v>
      </c>
      <c r="AW132" s="297" t="str">
        <f t="shared" si="99"/>
        <v>0</v>
      </c>
      <c r="AX132" s="298">
        <f t="shared" si="100"/>
        <v>0</v>
      </c>
      <c r="AY132" s="299">
        <f>[1]COMMANDE!Q130</f>
        <v>0</v>
      </c>
      <c r="AZ132" s="297" t="str">
        <f t="shared" si="101"/>
        <v>0</v>
      </c>
      <c r="BA132" s="300">
        <f t="shared" si="102"/>
        <v>0</v>
      </c>
      <c r="BB132" s="301">
        <f>[1]COMMANDE!S130</f>
        <v>0</v>
      </c>
      <c r="BC132" s="297" t="str">
        <f t="shared" si="103"/>
        <v>0</v>
      </c>
      <c r="BD132" s="298">
        <f t="shared" si="104"/>
        <v>0</v>
      </c>
      <c r="BE132" s="299">
        <f>[1]COMMANDE!U130</f>
        <v>0</v>
      </c>
      <c r="BF132" s="297" t="str">
        <f t="shared" si="105"/>
        <v>0</v>
      </c>
      <c r="BG132" s="300">
        <f t="shared" si="106"/>
        <v>0</v>
      </c>
      <c r="BH132" s="301">
        <f>[1]COMMANDE!W130</f>
        <v>0</v>
      </c>
      <c r="BI132" s="297" t="str">
        <f t="shared" si="107"/>
        <v>0</v>
      </c>
      <c r="BJ132" s="298">
        <f t="shared" si="108"/>
        <v>0</v>
      </c>
      <c r="BK132" s="299">
        <f>[1]COMMANDE!Y130</f>
        <v>0</v>
      </c>
      <c r="BL132" s="297" t="str">
        <f t="shared" si="109"/>
        <v>0</v>
      </c>
      <c r="BM132" s="300">
        <f t="shared" si="110"/>
        <v>0</v>
      </c>
      <c r="BN132" s="301">
        <f>[1]COMMANDE!AA130</f>
        <v>0</v>
      </c>
      <c r="BO132" s="297" t="str">
        <f t="shared" si="111"/>
        <v>0</v>
      </c>
      <c r="BP132" s="298">
        <f t="shared" si="112"/>
        <v>0</v>
      </c>
      <c r="BQ132" s="299">
        <f>[1]COMMANDE!AC130</f>
        <v>0</v>
      </c>
      <c r="BR132" s="297" t="str">
        <f t="shared" si="113"/>
        <v>0</v>
      </c>
      <c r="BS132" s="300">
        <f t="shared" si="114"/>
        <v>0</v>
      </c>
      <c r="BT132" s="301">
        <f>[1]COMMANDE!AE130</f>
        <v>0</v>
      </c>
      <c r="BU132" s="297" t="str">
        <f t="shared" si="115"/>
        <v>0</v>
      </c>
      <c r="BV132" s="298">
        <f t="shared" si="116"/>
        <v>0</v>
      </c>
      <c r="BW132" s="299">
        <f>[1]COMMANDE!AG130</f>
        <v>0</v>
      </c>
      <c r="BX132" s="297" t="str">
        <f t="shared" si="117"/>
        <v>0</v>
      </c>
      <c r="BY132" s="300">
        <f t="shared" si="118"/>
        <v>0</v>
      </c>
      <c r="BZ132" s="301">
        <f>[1]COMMANDE!AI130</f>
        <v>0</v>
      </c>
      <c r="CA132" s="297" t="str">
        <f t="shared" si="119"/>
        <v>0</v>
      </c>
      <c r="CB132" s="298">
        <f t="shared" si="120"/>
        <v>0</v>
      </c>
      <c r="CC132" s="299">
        <f>[1]COMMANDE!AK130</f>
        <v>0</v>
      </c>
      <c r="CD132" s="297" t="str">
        <f t="shared" si="121"/>
        <v>0</v>
      </c>
      <c r="CE132" s="300">
        <f t="shared" si="122"/>
        <v>0</v>
      </c>
      <c r="CF132" s="301">
        <f>[1]COMMANDE!AM130</f>
        <v>0</v>
      </c>
      <c r="CG132" s="297" t="str">
        <f t="shared" si="123"/>
        <v>0</v>
      </c>
      <c r="CH132" s="298">
        <f t="shared" si="124"/>
        <v>0</v>
      </c>
      <c r="CI132" s="299">
        <f>[1]COMMANDE!AO130</f>
        <v>0</v>
      </c>
      <c r="CJ132" s="297" t="str">
        <f t="shared" si="125"/>
        <v>0</v>
      </c>
      <c r="CK132" s="300">
        <f t="shared" si="126"/>
        <v>0</v>
      </c>
      <c r="CL132" s="301">
        <f>[1]COMMANDE!AQ130</f>
        <v>0</v>
      </c>
      <c r="CM132" s="297" t="str">
        <f t="shared" si="127"/>
        <v>0</v>
      </c>
      <c r="CN132" s="298">
        <f t="shared" si="128"/>
        <v>0</v>
      </c>
      <c r="CO132" s="299">
        <f>[1]COMMANDE!AS130</f>
        <v>0</v>
      </c>
      <c r="CP132" s="297" t="str">
        <f t="shared" si="129"/>
        <v>0</v>
      </c>
      <c r="CQ132" s="300">
        <f t="shared" si="130"/>
        <v>0</v>
      </c>
      <c r="CR132" s="301">
        <f>[1]COMMANDE!AU130</f>
        <v>0</v>
      </c>
      <c r="CS132" s="297" t="str">
        <f t="shared" si="131"/>
        <v>0</v>
      </c>
      <c r="CT132" s="298">
        <f t="shared" si="132"/>
        <v>0</v>
      </c>
      <c r="CU132" s="299">
        <f>[1]COMMANDE!AW130</f>
        <v>0</v>
      </c>
      <c r="CV132" s="297" t="str">
        <f t="shared" si="133"/>
        <v>0</v>
      </c>
      <c r="CW132" s="300">
        <f t="shared" si="134"/>
        <v>0</v>
      </c>
      <c r="CX132" s="301">
        <f>[1]COMMANDE!AY130</f>
        <v>0</v>
      </c>
      <c r="CY132" s="297" t="str">
        <f t="shared" si="135"/>
        <v>0</v>
      </c>
      <c r="CZ132" s="298">
        <f t="shared" si="136"/>
        <v>0</v>
      </c>
      <c r="DA132" s="299">
        <f>[1]COMMANDE!BA130</f>
        <v>0</v>
      </c>
      <c r="DB132" s="297" t="str">
        <f t="shared" si="137"/>
        <v>0</v>
      </c>
      <c r="DC132" s="302">
        <f t="shared" si="138"/>
        <v>0</v>
      </c>
      <c r="DD132" s="303"/>
      <c r="DE132" s="304"/>
    </row>
    <row r="133" spans="1:128" ht="39.950000000000003" customHeight="1" x14ac:dyDescent="0.25">
      <c r="A133" s="284">
        <f t="shared" si="71"/>
        <v>0</v>
      </c>
      <c r="B133" s="284">
        <f t="shared" si="72"/>
        <v>0</v>
      </c>
      <c r="C133" s="284">
        <f t="shared" si="73"/>
        <v>0</v>
      </c>
      <c r="D133" s="284">
        <f t="shared" si="74"/>
        <v>0</v>
      </c>
      <c r="E133" s="284">
        <f t="shared" si="75"/>
        <v>0</v>
      </c>
      <c r="F133" s="284">
        <f t="shared" si="76"/>
        <v>0</v>
      </c>
      <c r="G133" s="284">
        <f t="shared" si="77"/>
        <v>0</v>
      </c>
      <c r="H133" s="284">
        <f t="shared" si="78"/>
        <v>0</v>
      </c>
      <c r="I133" s="284">
        <f t="shared" si="79"/>
        <v>0</v>
      </c>
      <c r="J133" s="284">
        <f t="shared" si="80"/>
        <v>0</v>
      </c>
      <c r="K133" s="284">
        <f t="shared" si="81"/>
        <v>0</v>
      </c>
      <c r="L133" s="284">
        <f t="shared" si="82"/>
        <v>0</v>
      </c>
      <c r="M133" s="284">
        <f t="shared" si="83"/>
        <v>0</v>
      </c>
      <c r="N133" s="284">
        <f t="shared" si="84"/>
        <v>0</v>
      </c>
      <c r="O133" s="284">
        <f t="shared" si="85"/>
        <v>0</v>
      </c>
      <c r="P133" s="284">
        <f t="shared" si="86"/>
        <v>0</v>
      </c>
      <c r="Q133" s="284">
        <f t="shared" si="87"/>
        <v>0</v>
      </c>
      <c r="R133" s="284">
        <f t="shared" si="88"/>
        <v>0</v>
      </c>
      <c r="S133" s="284">
        <f t="shared" si="89"/>
        <v>0</v>
      </c>
      <c r="T133" s="284">
        <f t="shared" si="90"/>
        <v>0</v>
      </c>
      <c r="U133" s="285">
        <f t="shared" si="91"/>
        <v>0</v>
      </c>
      <c r="V133" s="286">
        <f>[1]BDD!A123</f>
        <v>6064</v>
      </c>
      <c r="W133" s="287" t="str">
        <f>[1]BDD!B123</f>
        <v>Huile d'olive Aloreña 5L BIO (bidon métal)</v>
      </c>
      <c r="X133" s="288" t="str">
        <f>IF([1]BDD!F123=0, "", [1]BDD!F123)</f>
        <v>❤️</v>
      </c>
      <c r="Y133" s="214">
        <f>ROUND([1]BDD!G123+FDP_CMD_KG, 2)</f>
        <v>41.94</v>
      </c>
      <c r="Z133" s="214">
        <f>ROUND([1]BDD!G123+FDP_FACT_KG, 2)</f>
        <v>41.94</v>
      </c>
      <c r="AA133" s="215" t="str">
        <f>[1]BDD!H123</f>
        <v>5l</v>
      </c>
      <c r="AB133" s="225" t="str">
        <f>IF(NOT(ISBLANK([1]BDD!I123)), ROUND(SUM(([1]BDD!G123*reduc1),FDP_CMD_KG), 2), "")</f>
        <v/>
      </c>
      <c r="AC133" s="225" t="str">
        <f>IF(NOT(ISBLANK([1]BDD!J123)), ROUND(SUM(([1]BDD!G123*reduc2),FDP_CMD_KG), 2), "")</f>
        <v/>
      </c>
      <c r="AD133" s="225" t="str">
        <f>IF(NOT(ISBLANK([1]BDD!K123)), ROUND(SUM(([1]BDD!G123*reduc3),FDP_CMD_KG), 2), "")</f>
        <v/>
      </c>
      <c r="AE133" s="225" t="str">
        <f>IF(NOT(ISBLANK([1]BDD!I123)), ROUND(SUM(([1]BDD!G123*reduc1),FDP_FACT_KG), 2), "")</f>
        <v/>
      </c>
      <c r="AF133" s="225" t="str">
        <f>IF(NOT(ISBLANK([1]BDD!J123)), ROUND(SUM(([1]BDD!G123*reduc2),FDP_FACT_KG), 2), "")</f>
        <v/>
      </c>
      <c r="AG133" s="225" t="str">
        <f>IF(NOT(ISBLANK([1]BDD!K123)), ROUND(SUM(([1]BDD!G123*reduc3),FDP_FACT_KG), 2), "")</f>
        <v/>
      </c>
      <c r="AH133" s="289" t="str">
        <f>[1]BDD!C123</f>
        <v>Malaga</v>
      </c>
      <c r="AI133" s="290">
        <f t="shared" si="92"/>
        <v>0</v>
      </c>
      <c r="AJ133" s="216">
        <f t="shared" si="93"/>
        <v>41.94</v>
      </c>
      <c r="AK133" s="291">
        <f t="shared" si="94"/>
        <v>0</v>
      </c>
      <c r="AL133" s="429"/>
      <c r="AM133" s="292"/>
      <c r="AN133" s="216">
        <f t="shared" si="95"/>
        <v>41.94</v>
      </c>
      <c r="AO133" s="293">
        <f t="shared" si="96"/>
        <v>0</v>
      </c>
      <c r="AP133" s="294"/>
      <c r="AQ133" s="294"/>
      <c r="AR133" s="429"/>
      <c r="AS133" s="295">
        <f t="shared" si="97"/>
        <v>0</v>
      </c>
      <c r="AT133" s="216">
        <f t="shared" si="98"/>
        <v>41.94</v>
      </c>
      <c r="AU133" s="291">
        <f t="shared" si="70"/>
        <v>0</v>
      </c>
      <c r="AV133" s="296">
        <f>[1]COMMANDE!O131</f>
        <v>0</v>
      </c>
      <c r="AW133" s="297" t="str">
        <f t="shared" si="99"/>
        <v>0</v>
      </c>
      <c r="AX133" s="298">
        <f t="shared" si="100"/>
        <v>0</v>
      </c>
      <c r="AY133" s="299">
        <f>[1]COMMANDE!Q131</f>
        <v>0</v>
      </c>
      <c r="AZ133" s="297" t="str">
        <f t="shared" si="101"/>
        <v>0</v>
      </c>
      <c r="BA133" s="300">
        <f t="shared" si="102"/>
        <v>0</v>
      </c>
      <c r="BB133" s="301">
        <f>[1]COMMANDE!S131</f>
        <v>0</v>
      </c>
      <c r="BC133" s="297" t="str">
        <f t="shared" si="103"/>
        <v>0</v>
      </c>
      <c r="BD133" s="298">
        <f t="shared" si="104"/>
        <v>0</v>
      </c>
      <c r="BE133" s="299">
        <f>[1]COMMANDE!U131</f>
        <v>0</v>
      </c>
      <c r="BF133" s="297" t="str">
        <f t="shared" si="105"/>
        <v>0</v>
      </c>
      <c r="BG133" s="300">
        <f t="shared" si="106"/>
        <v>0</v>
      </c>
      <c r="BH133" s="301">
        <f>[1]COMMANDE!W131</f>
        <v>0</v>
      </c>
      <c r="BI133" s="297" t="str">
        <f t="shared" si="107"/>
        <v>0</v>
      </c>
      <c r="BJ133" s="298">
        <f t="shared" si="108"/>
        <v>0</v>
      </c>
      <c r="BK133" s="299">
        <f>[1]COMMANDE!Y131</f>
        <v>0</v>
      </c>
      <c r="BL133" s="297" t="str">
        <f t="shared" si="109"/>
        <v>0</v>
      </c>
      <c r="BM133" s="300">
        <f t="shared" si="110"/>
        <v>0</v>
      </c>
      <c r="BN133" s="301">
        <f>[1]COMMANDE!AA131</f>
        <v>0</v>
      </c>
      <c r="BO133" s="297" t="str">
        <f t="shared" si="111"/>
        <v>0</v>
      </c>
      <c r="BP133" s="298">
        <f t="shared" si="112"/>
        <v>0</v>
      </c>
      <c r="BQ133" s="299">
        <f>[1]COMMANDE!AC131</f>
        <v>0</v>
      </c>
      <c r="BR133" s="297" t="str">
        <f t="shared" si="113"/>
        <v>0</v>
      </c>
      <c r="BS133" s="300">
        <f t="shared" si="114"/>
        <v>0</v>
      </c>
      <c r="BT133" s="301">
        <f>[1]COMMANDE!AE131</f>
        <v>0</v>
      </c>
      <c r="BU133" s="297" t="str">
        <f t="shared" si="115"/>
        <v>0</v>
      </c>
      <c r="BV133" s="298">
        <f t="shared" si="116"/>
        <v>0</v>
      </c>
      <c r="BW133" s="299">
        <f>[1]COMMANDE!AG131</f>
        <v>0</v>
      </c>
      <c r="BX133" s="297" t="str">
        <f t="shared" si="117"/>
        <v>0</v>
      </c>
      <c r="BY133" s="300">
        <f t="shared" si="118"/>
        <v>0</v>
      </c>
      <c r="BZ133" s="301">
        <f>[1]COMMANDE!AI131</f>
        <v>0</v>
      </c>
      <c r="CA133" s="297" t="str">
        <f t="shared" si="119"/>
        <v>0</v>
      </c>
      <c r="CB133" s="298">
        <f t="shared" si="120"/>
        <v>0</v>
      </c>
      <c r="CC133" s="299">
        <f>[1]COMMANDE!AK131</f>
        <v>0</v>
      </c>
      <c r="CD133" s="297" t="str">
        <f t="shared" si="121"/>
        <v>0</v>
      </c>
      <c r="CE133" s="300">
        <f t="shared" si="122"/>
        <v>0</v>
      </c>
      <c r="CF133" s="301">
        <f>[1]COMMANDE!AM131</f>
        <v>0</v>
      </c>
      <c r="CG133" s="297" t="str">
        <f t="shared" si="123"/>
        <v>0</v>
      </c>
      <c r="CH133" s="298">
        <f t="shared" si="124"/>
        <v>0</v>
      </c>
      <c r="CI133" s="299">
        <f>[1]COMMANDE!AO131</f>
        <v>0</v>
      </c>
      <c r="CJ133" s="297" t="str">
        <f t="shared" si="125"/>
        <v>0</v>
      </c>
      <c r="CK133" s="300">
        <f t="shared" si="126"/>
        <v>0</v>
      </c>
      <c r="CL133" s="301">
        <f>[1]COMMANDE!AQ131</f>
        <v>0</v>
      </c>
      <c r="CM133" s="297" t="str">
        <f t="shared" si="127"/>
        <v>0</v>
      </c>
      <c r="CN133" s="298">
        <f t="shared" si="128"/>
        <v>0</v>
      </c>
      <c r="CO133" s="299">
        <f>[1]COMMANDE!AS131</f>
        <v>0</v>
      </c>
      <c r="CP133" s="297" t="str">
        <f t="shared" si="129"/>
        <v>0</v>
      </c>
      <c r="CQ133" s="300">
        <f t="shared" si="130"/>
        <v>0</v>
      </c>
      <c r="CR133" s="301">
        <f>[1]COMMANDE!AU131</f>
        <v>0</v>
      </c>
      <c r="CS133" s="297" t="str">
        <f t="shared" si="131"/>
        <v>0</v>
      </c>
      <c r="CT133" s="298">
        <f t="shared" si="132"/>
        <v>0</v>
      </c>
      <c r="CU133" s="299">
        <f>[1]COMMANDE!AW131</f>
        <v>0</v>
      </c>
      <c r="CV133" s="297" t="str">
        <f t="shared" si="133"/>
        <v>0</v>
      </c>
      <c r="CW133" s="300">
        <f t="shared" si="134"/>
        <v>0</v>
      </c>
      <c r="CX133" s="301">
        <f>[1]COMMANDE!AY131</f>
        <v>0</v>
      </c>
      <c r="CY133" s="297" t="str">
        <f t="shared" si="135"/>
        <v>0</v>
      </c>
      <c r="CZ133" s="298">
        <f t="shared" si="136"/>
        <v>0</v>
      </c>
      <c r="DA133" s="299">
        <f>[1]COMMANDE!BA131</f>
        <v>0</v>
      </c>
      <c r="DB133" s="297" t="str">
        <f t="shared" si="137"/>
        <v>0</v>
      </c>
      <c r="DC133" s="302">
        <f t="shared" si="138"/>
        <v>0</v>
      </c>
      <c r="DD133" s="303"/>
      <c r="DE133" s="304"/>
    </row>
    <row r="134" spans="1:128" s="283" customFormat="1" ht="39.950000000000003" customHeight="1" x14ac:dyDescent="0.25">
      <c r="A134" s="284">
        <f t="shared" si="71"/>
        <v>0</v>
      </c>
      <c r="B134" s="284">
        <f t="shared" si="72"/>
        <v>0</v>
      </c>
      <c r="C134" s="284">
        <f t="shared" si="73"/>
        <v>0</v>
      </c>
      <c r="D134" s="284">
        <f t="shared" si="74"/>
        <v>0</v>
      </c>
      <c r="E134" s="284">
        <f t="shared" si="75"/>
        <v>0</v>
      </c>
      <c r="F134" s="284">
        <f t="shared" si="76"/>
        <v>0</v>
      </c>
      <c r="G134" s="284">
        <f t="shared" si="77"/>
        <v>0</v>
      </c>
      <c r="H134" s="284">
        <f t="shared" si="78"/>
        <v>0</v>
      </c>
      <c r="I134" s="284">
        <f t="shared" si="79"/>
        <v>0</v>
      </c>
      <c r="J134" s="284">
        <f t="shared" si="80"/>
        <v>0</v>
      </c>
      <c r="K134" s="284">
        <f t="shared" si="81"/>
        <v>0</v>
      </c>
      <c r="L134" s="284">
        <f t="shared" si="82"/>
        <v>0</v>
      </c>
      <c r="M134" s="284">
        <f t="shared" si="83"/>
        <v>0</v>
      </c>
      <c r="N134" s="284">
        <f t="shared" si="84"/>
        <v>0</v>
      </c>
      <c r="O134" s="284">
        <f t="shared" si="85"/>
        <v>0</v>
      </c>
      <c r="P134" s="284">
        <f t="shared" si="86"/>
        <v>0</v>
      </c>
      <c r="Q134" s="284">
        <f t="shared" si="87"/>
        <v>0</v>
      </c>
      <c r="R134" s="284">
        <f t="shared" si="88"/>
        <v>0</v>
      </c>
      <c r="S134" s="284">
        <f t="shared" si="89"/>
        <v>0</v>
      </c>
      <c r="T134" s="284">
        <f t="shared" si="90"/>
        <v>0</v>
      </c>
      <c r="U134" s="285">
        <f t="shared" si="91"/>
        <v>0</v>
      </c>
      <c r="V134" s="286">
        <f>[1]BDD!A124</f>
        <v>1534</v>
      </c>
      <c r="W134" s="287" t="str">
        <f>[1]BDD!B124</f>
        <v>Kaki déshydraté BIO</v>
      </c>
      <c r="X134" s="288" t="str">
        <f>IF([1]BDD!F124=0, "", [1]BDD!F124)</f>
        <v/>
      </c>
      <c r="Y134" s="214">
        <f>ROUND([1]BDD!G124+FDP_CMD_KG, 2)</f>
        <v>26.87</v>
      </c>
      <c r="Z134" s="214">
        <f>ROUND([1]BDD!G124+FDP_FACT_KG, 2)</f>
        <v>26.87</v>
      </c>
      <c r="AA134" s="215" t="str">
        <f>[1]BDD!H124</f>
        <v>kg</v>
      </c>
      <c r="AB134" s="225" t="str">
        <f>IF(NOT(ISBLANK([1]BDD!I124)), ROUND(SUM(([1]BDD!G124*reduc1),FDP_CMD_KG), 2), "")</f>
        <v/>
      </c>
      <c r="AC134" s="225" t="str">
        <f>IF(NOT(ISBLANK([1]BDD!J124)), ROUND(SUM(([1]BDD!G124*reduc2),FDP_CMD_KG), 2), "")</f>
        <v/>
      </c>
      <c r="AD134" s="225" t="str">
        <f>IF(NOT(ISBLANK([1]BDD!K124)), ROUND(SUM(([1]BDD!G124*reduc3),FDP_CMD_KG), 2), "")</f>
        <v/>
      </c>
      <c r="AE134" s="225" t="str">
        <f>IF(NOT(ISBLANK([1]BDD!I124)), ROUND(SUM(([1]BDD!G124*reduc1),FDP_FACT_KG), 2), "")</f>
        <v/>
      </c>
      <c r="AF134" s="225" t="str">
        <f>IF(NOT(ISBLANK([1]BDD!J124)), ROUND(SUM(([1]BDD!G124*reduc2),FDP_FACT_KG), 2), "")</f>
        <v/>
      </c>
      <c r="AG134" s="225" t="str">
        <f>IF(NOT(ISBLANK([1]BDD!K124)), ROUND(SUM(([1]BDD!G124*reduc3),FDP_FACT_KG), 2), "")</f>
        <v/>
      </c>
      <c r="AH134" s="289" t="str">
        <f>[1]BDD!C124</f>
        <v>Grenade</v>
      </c>
      <c r="AI134" s="290">
        <f t="shared" si="92"/>
        <v>0</v>
      </c>
      <c r="AJ134" s="216">
        <f t="shared" si="93"/>
        <v>26.87</v>
      </c>
      <c r="AK134" s="291">
        <f t="shared" si="94"/>
        <v>0</v>
      </c>
      <c r="AL134" s="429"/>
      <c r="AM134" s="292"/>
      <c r="AN134" s="216">
        <f t="shared" si="95"/>
        <v>26.87</v>
      </c>
      <c r="AO134" s="293">
        <f t="shared" si="96"/>
        <v>0</v>
      </c>
      <c r="AP134" s="294"/>
      <c r="AQ134" s="294"/>
      <c r="AR134" s="429"/>
      <c r="AS134" s="295">
        <f t="shared" si="97"/>
        <v>0</v>
      </c>
      <c r="AT134" s="216">
        <f t="shared" si="98"/>
        <v>26.87</v>
      </c>
      <c r="AU134" s="291">
        <f t="shared" si="70"/>
        <v>0</v>
      </c>
      <c r="AV134" s="296">
        <f>[1]COMMANDE!O132</f>
        <v>0</v>
      </c>
      <c r="AW134" s="297" t="str">
        <f t="shared" si="99"/>
        <v>0</v>
      </c>
      <c r="AX134" s="298">
        <f t="shared" si="100"/>
        <v>0</v>
      </c>
      <c r="AY134" s="299">
        <f>[1]COMMANDE!Q132</f>
        <v>0</v>
      </c>
      <c r="AZ134" s="297" t="str">
        <f t="shared" si="101"/>
        <v>0</v>
      </c>
      <c r="BA134" s="300">
        <f t="shared" si="102"/>
        <v>0</v>
      </c>
      <c r="BB134" s="301">
        <f>[1]COMMANDE!S132</f>
        <v>0</v>
      </c>
      <c r="BC134" s="297" t="str">
        <f t="shared" si="103"/>
        <v>0</v>
      </c>
      <c r="BD134" s="298">
        <f t="shared" si="104"/>
        <v>0</v>
      </c>
      <c r="BE134" s="299">
        <f>[1]COMMANDE!U132</f>
        <v>0</v>
      </c>
      <c r="BF134" s="297" t="str">
        <f t="shared" si="105"/>
        <v>0</v>
      </c>
      <c r="BG134" s="300">
        <f t="shared" si="106"/>
        <v>0</v>
      </c>
      <c r="BH134" s="301">
        <f>[1]COMMANDE!W132</f>
        <v>0</v>
      </c>
      <c r="BI134" s="297" t="str">
        <f t="shared" si="107"/>
        <v>0</v>
      </c>
      <c r="BJ134" s="298">
        <f t="shared" si="108"/>
        <v>0</v>
      </c>
      <c r="BK134" s="299">
        <f>[1]COMMANDE!Y132</f>
        <v>0</v>
      </c>
      <c r="BL134" s="297" t="str">
        <f t="shared" si="109"/>
        <v>0</v>
      </c>
      <c r="BM134" s="300">
        <f t="shared" si="110"/>
        <v>0</v>
      </c>
      <c r="BN134" s="301">
        <f>[1]COMMANDE!AA132</f>
        <v>0</v>
      </c>
      <c r="BO134" s="297" t="str">
        <f t="shared" si="111"/>
        <v>0</v>
      </c>
      <c r="BP134" s="298">
        <f t="shared" si="112"/>
        <v>0</v>
      </c>
      <c r="BQ134" s="299">
        <f>[1]COMMANDE!AC132</f>
        <v>0</v>
      </c>
      <c r="BR134" s="297" t="str">
        <f t="shared" si="113"/>
        <v>0</v>
      </c>
      <c r="BS134" s="300">
        <f t="shared" si="114"/>
        <v>0</v>
      </c>
      <c r="BT134" s="301">
        <f>[1]COMMANDE!AE132</f>
        <v>0</v>
      </c>
      <c r="BU134" s="297" t="str">
        <f t="shared" si="115"/>
        <v>0</v>
      </c>
      <c r="BV134" s="298">
        <f t="shared" si="116"/>
        <v>0</v>
      </c>
      <c r="BW134" s="299">
        <f>[1]COMMANDE!AG132</f>
        <v>0</v>
      </c>
      <c r="BX134" s="297" t="str">
        <f t="shared" si="117"/>
        <v>0</v>
      </c>
      <c r="BY134" s="300">
        <f t="shared" si="118"/>
        <v>0</v>
      </c>
      <c r="BZ134" s="301">
        <f>[1]COMMANDE!AI132</f>
        <v>0</v>
      </c>
      <c r="CA134" s="297" t="str">
        <f t="shared" si="119"/>
        <v>0</v>
      </c>
      <c r="CB134" s="298">
        <f t="shared" si="120"/>
        <v>0</v>
      </c>
      <c r="CC134" s="299">
        <f>[1]COMMANDE!AK132</f>
        <v>0</v>
      </c>
      <c r="CD134" s="297" t="str">
        <f t="shared" si="121"/>
        <v>0</v>
      </c>
      <c r="CE134" s="300">
        <f t="shared" si="122"/>
        <v>0</v>
      </c>
      <c r="CF134" s="301">
        <f>[1]COMMANDE!AM132</f>
        <v>0</v>
      </c>
      <c r="CG134" s="297" t="str">
        <f t="shared" si="123"/>
        <v>0</v>
      </c>
      <c r="CH134" s="298">
        <f t="shared" si="124"/>
        <v>0</v>
      </c>
      <c r="CI134" s="299">
        <f>[1]COMMANDE!AO132</f>
        <v>0</v>
      </c>
      <c r="CJ134" s="297" t="str">
        <f t="shared" si="125"/>
        <v>0</v>
      </c>
      <c r="CK134" s="300">
        <f t="shared" si="126"/>
        <v>0</v>
      </c>
      <c r="CL134" s="301">
        <f>[1]COMMANDE!AQ132</f>
        <v>0</v>
      </c>
      <c r="CM134" s="297" t="str">
        <f t="shared" si="127"/>
        <v>0</v>
      </c>
      <c r="CN134" s="298">
        <f t="shared" si="128"/>
        <v>0</v>
      </c>
      <c r="CO134" s="299">
        <f>[1]COMMANDE!AS132</f>
        <v>0</v>
      </c>
      <c r="CP134" s="297" t="str">
        <f t="shared" si="129"/>
        <v>0</v>
      </c>
      <c r="CQ134" s="300">
        <f t="shared" si="130"/>
        <v>0</v>
      </c>
      <c r="CR134" s="301">
        <f>[1]COMMANDE!AU132</f>
        <v>0</v>
      </c>
      <c r="CS134" s="297" t="str">
        <f t="shared" si="131"/>
        <v>0</v>
      </c>
      <c r="CT134" s="298">
        <f t="shared" si="132"/>
        <v>0</v>
      </c>
      <c r="CU134" s="299">
        <f>[1]COMMANDE!AW132</f>
        <v>0</v>
      </c>
      <c r="CV134" s="297" t="str">
        <f t="shared" si="133"/>
        <v>0</v>
      </c>
      <c r="CW134" s="300">
        <f t="shared" si="134"/>
        <v>0</v>
      </c>
      <c r="CX134" s="301">
        <f>[1]COMMANDE!AY132</f>
        <v>0</v>
      </c>
      <c r="CY134" s="297" t="str">
        <f t="shared" si="135"/>
        <v>0</v>
      </c>
      <c r="CZ134" s="298">
        <f t="shared" si="136"/>
        <v>0</v>
      </c>
      <c r="DA134" s="299">
        <f>[1]COMMANDE!BA132</f>
        <v>0</v>
      </c>
      <c r="DB134" s="297" t="str">
        <f t="shared" si="137"/>
        <v>0</v>
      </c>
      <c r="DC134" s="302">
        <f t="shared" si="138"/>
        <v>0</v>
      </c>
      <c r="DD134" s="303"/>
      <c r="DE134" s="304"/>
      <c r="DF134" s="237"/>
      <c r="DG134" s="237"/>
      <c r="DH134" s="237"/>
      <c r="DI134" s="237"/>
      <c r="DJ134" s="237"/>
      <c r="DK134" s="237"/>
      <c r="DL134" s="237"/>
      <c r="DM134" s="237"/>
      <c r="DN134" s="237"/>
      <c r="DO134" s="237"/>
      <c r="DP134" s="237"/>
      <c r="DQ134" s="237"/>
      <c r="DR134" s="237"/>
      <c r="DS134" s="237"/>
      <c r="DT134" s="237"/>
      <c r="DU134" s="237"/>
      <c r="DV134" s="237"/>
      <c r="DW134" s="237"/>
      <c r="DX134" s="237"/>
    </row>
    <row r="135" spans="1:128" ht="39.950000000000003" customHeight="1" x14ac:dyDescent="0.25">
      <c r="A135" s="284">
        <f t="shared" si="71"/>
        <v>1</v>
      </c>
      <c r="B135" s="284">
        <f t="shared" si="72"/>
        <v>1</v>
      </c>
      <c r="C135" s="284">
        <f t="shared" si="73"/>
        <v>1</v>
      </c>
      <c r="D135" s="284">
        <f t="shared" si="74"/>
        <v>1</v>
      </c>
      <c r="E135" s="284">
        <f t="shared" si="75"/>
        <v>0</v>
      </c>
      <c r="F135" s="284">
        <f t="shared" si="76"/>
        <v>0</v>
      </c>
      <c r="G135" s="284">
        <f t="shared" si="77"/>
        <v>0</v>
      </c>
      <c r="H135" s="284">
        <f t="shared" si="78"/>
        <v>0</v>
      </c>
      <c r="I135" s="284">
        <f t="shared" si="79"/>
        <v>0</v>
      </c>
      <c r="J135" s="284">
        <f t="shared" si="80"/>
        <v>0</v>
      </c>
      <c r="K135" s="284">
        <f t="shared" si="81"/>
        <v>0</v>
      </c>
      <c r="L135" s="284">
        <f t="shared" si="82"/>
        <v>0</v>
      </c>
      <c r="M135" s="284">
        <f t="shared" si="83"/>
        <v>0</v>
      </c>
      <c r="N135" s="284">
        <f t="shared" si="84"/>
        <v>0</v>
      </c>
      <c r="O135" s="284">
        <f t="shared" si="85"/>
        <v>0</v>
      </c>
      <c r="P135" s="284">
        <f t="shared" si="86"/>
        <v>0</v>
      </c>
      <c r="Q135" s="284">
        <f t="shared" si="87"/>
        <v>0</v>
      </c>
      <c r="R135" s="284">
        <f t="shared" si="88"/>
        <v>0</v>
      </c>
      <c r="S135" s="284">
        <f t="shared" si="89"/>
        <v>0</v>
      </c>
      <c r="T135" s="284">
        <f t="shared" si="90"/>
        <v>0</v>
      </c>
      <c r="U135" s="285">
        <f t="shared" si="91"/>
        <v>1</v>
      </c>
      <c r="V135" s="286" t="str">
        <f>[1]BDD!A125</f>
        <v>3601-5043-3261</v>
      </c>
      <c r="W135" s="287" t="str">
        <f>[1]BDD!B125</f>
        <v xml:space="preserve">Kaki différentes variétés - (persimon, rouge brillant, tomatero, sharoni) </v>
      </c>
      <c r="X135" s="288" t="str">
        <f>IF([1]BDD!F125=0, "", [1]BDD!F125)</f>
        <v>❤️</v>
      </c>
      <c r="Y135" s="214">
        <f>ROUND([1]BDD!G125+FDP_CMD_KG, 2)</f>
        <v>4.01</v>
      </c>
      <c r="Z135" s="214">
        <f>ROUND([1]BDD!G125+FDP_FACT_KG, 2)</f>
        <v>4.01</v>
      </c>
      <c r="AA135" s="215" t="str">
        <f>[1]BDD!H125</f>
        <v>kg</v>
      </c>
      <c r="AB135" s="225">
        <f>IF(NOT(ISBLANK([1]BDD!I125)), ROUND(SUM(([1]BDD!G125*reduc1),FDP_CMD_KG), 2), "")</f>
        <v>3.7</v>
      </c>
      <c r="AC135" s="225">
        <f>IF(NOT(ISBLANK([1]BDD!J125)), ROUND(SUM(([1]BDD!G125*reduc2),FDP_CMD_KG), 2), "")</f>
        <v>3.39</v>
      </c>
      <c r="AD135" s="225">
        <f>IF(NOT(ISBLANK([1]BDD!K125)), ROUND(SUM(([1]BDD!G125*reduc3),FDP_CMD_KG), 2), "")</f>
        <v>3.07</v>
      </c>
      <c r="AE135" s="225">
        <f>IF(NOT(ISBLANK([1]BDD!I125)), ROUND(SUM(([1]BDD!G125*reduc1),FDP_FACT_KG), 2), "")</f>
        <v>3.69</v>
      </c>
      <c r="AF135" s="225">
        <f>IF(NOT(ISBLANK([1]BDD!J125)), ROUND(SUM(([1]BDD!G125*reduc2),FDP_FACT_KG), 2), "")</f>
        <v>3.38</v>
      </c>
      <c r="AG135" s="225">
        <f>IF(NOT(ISBLANK([1]BDD!K125)), ROUND(SUM(([1]BDD!G125*reduc3),FDP_FACT_KG), 2), "")</f>
        <v>3.06</v>
      </c>
      <c r="AH135" s="289" t="str">
        <f>[1]BDD!C125</f>
        <v>Grenade</v>
      </c>
      <c r="AI135" s="290">
        <f t="shared" si="92"/>
        <v>10</v>
      </c>
      <c r="AJ135" s="216">
        <f t="shared" si="93"/>
        <v>3.07</v>
      </c>
      <c r="AK135" s="291">
        <f t="shared" si="94"/>
        <v>30.7</v>
      </c>
      <c r="AL135" s="429"/>
      <c r="AM135" s="292">
        <v>10.08</v>
      </c>
      <c r="AN135" s="216">
        <f t="shared" si="95"/>
        <v>3.69</v>
      </c>
      <c r="AO135" s="293">
        <f t="shared" si="96"/>
        <v>37.1952</v>
      </c>
      <c r="AP135" s="294"/>
      <c r="AQ135" s="294"/>
      <c r="AR135" s="429"/>
      <c r="AS135" s="295">
        <f t="shared" si="97"/>
        <v>10.08</v>
      </c>
      <c r="AT135" s="216">
        <f t="shared" si="98"/>
        <v>3.69</v>
      </c>
      <c r="AU135" s="291">
        <f t="shared" si="70"/>
        <v>37.1952</v>
      </c>
      <c r="AV135" s="296">
        <f>[1]COMMANDE!O133</f>
        <v>2</v>
      </c>
      <c r="AW135" s="297">
        <f t="shared" si="99"/>
        <v>2.016</v>
      </c>
      <c r="AX135" s="298">
        <f t="shared" si="100"/>
        <v>7.4390400000000003</v>
      </c>
      <c r="AY135" s="299">
        <f>[1]COMMANDE!Q133</f>
        <v>4</v>
      </c>
      <c r="AZ135" s="297">
        <f t="shared" si="101"/>
        <v>4.032</v>
      </c>
      <c r="BA135" s="300">
        <f t="shared" si="102"/>
        <v>14.878080000000001</v>
      </c>
      <c r="BB135" s="301">
        <f>[1]COMMANDE!S133</f>
        <v>1</v>
      </c>
      <c r="BC135" s="297">
        <f t="shared" si="103"/>
        <v>1.008</v>
      </c>
      <c r="BD135" s="298">
        <f t="shared" si="104"/>
        <v>3.7195200000000002</v>
      </c>
      <c r="BE135" s="299">
        <f>[1]COMMANDE!U133</f>
        <v>3</v>
      </c>
      <c r="BF135" s="297">
        <f t="shared" si="105"/>
        <v>3.024</v>
      </c>
      <c r="BG135" s="300">
        <f t="shared" si="106"/>
        <v>11.15856</v>
      </c>
      <c r="BH135" s="301">
        <f>[1]COMMANDE!W133</f>
        <v>0</v>
      </c>
      <c r="BI135" s="297" t="str">
        <f t="shared" si="107"/>
        <v>0</v>
      </c>
      <c r="BJ135" s="298">
        <f t="shared" si="108"/>
        <v>0</v>
      </c>
      <c r="BK135" s="299">
        <f>[1]COMMANDE!Y133</f>
        <v>0</v>
      </c>
      <c r="BL135" s="297" t="str">
        <f t="shared" si="109"/>
        <v>0</v>
      </c>
      <c r="BM135" s="300">
        <f t="shared" si="110"/>
        <v>0</v>
      </c>
      <c r="BN135" s="301">
        <f>[1]COMMANDE!AA133</f>
        <v>0</v>
      </c>
      <c r="BO135" s="297" t="str">
        <f t="shared" si="111"/>
        <v>0</v>
      </c>
      <c r="BP135" s="298">
        <f t="shared" si="112"/>
        <v>0</v>
      </c>
      <c r="BQ135" s="299">
        <f>[1]COMMANDE!AC133</f>
        <v>0</v>
      </c>
      <c r="BR135" s="297" t="str">
        <f t="shared" si="113"/>
        <v>0</v>
      </c>
      <c r="BS135" s="300">
        <f t="shared" si="114"/>
        <v>0</v>
      </c>
      <c r="BT135" s="301">
        <f>[1]COMMANDE!AE133</f>
        <v>0</v>
      </c>
      <c r="BU135" s="297" t="str">
        <f t="shared" si="115"/>
        <v>0</v>
      </c>
      <c r="BV135" s="298">
        <f t="shared" si="116"/>
        <v>0</v>
      </c>
      <c r="BW135" s="299">
        <f>[1]COMMANDE!AG133</f>
        <v>0</v>
      </c>
      <c r="BX135" s="297" t="str">
        <f t="shared" si="117"/>
        <v>0</v>
      </c>
      <c r="BY135" s="300">
        <f t="shared" si="118"/>
        <v>0</v>
      </c>
      <c r="BZ135" s="301">
        <f>[1]COMMANDE!AI133</f>
        <v>0</v>
      </c>
      <c r="CA135" s="297" t="str">
        <f t="shared" si="119"/>
        <v>0</v>
      </c>
      <c r="CB135" s="298">
        <f t="shared" si="120"/>
        <v>0</v>
      </c>
      <c r="CC135" s="299">
        <f>[1]COMMANDE!AK133</f>
        <v>0</v>
      </c>
      <c r="CD135" s="297" t="str">
        <f t="shared" si="121"/>
        <v>0</v>
      </c>
      <c r="CE135" s="300">
        <f t="shared" si="122"/>
        <v>0</v>
      </c>
      <c r="CF135" s="301">
        <f>[1]COMMANDE!AM133</f>
        <v>0</v>
      </c>
      <c r="CG135" s="297" t="str">
        <f t="shared" si="123"/>
        <v>0</v>
      </c>
      <c r="CH135" s="298">
        <f t="shared" si="124"/>
        <v>0</v>
      </c>
      <c r="CI135" s="299">
        <f>[1]COMMANDE!AO133</f>
        <v>0</v>
      </c>
      <c r="CJ135" s="297" t="str">
        <f t="shared" si="125"/>
        <v>0</v>
      </c>
      <c r="CK135" s="300">
        <f t="shared" si="126"/>
        <v>0</v>
      </c>
      <c r="CL135" s="301">
        <f>[1]COMMANDE!AQ133</f>
        <v>0</v>
      </c>
      <c r="CM135" s="297" t="str">
        <f t="shared" si="127"/>
        <v>0</v>
      </c>
      <c r="CN135" s="298">
        <f t="shared" si="128"/>
        <v>0</v>
      </c>
      <c r="CO135" s="299">
        <f>[1]COMMANDE!AS133</f>
        <v>0</v>
      </c>
      <c r="CP135" s="297" t="str">
        <f t="shared" si="129"/>
        <v>0</v>
      </c>
      <c r="CQ135" s="300">
        <f t="shared" si="130"/>
        <v>0</v>
      </c>
      <c r="CR135" s="301">
        <f>[1]COMMANDE!AU133</f>
        <v>0</v>
      </c>
      <c r="CS135" s="297" t="str">
        <f t="shared" si="131"/>
        <v>0</v>
      </c>
      <c r="CT135" s="298">
        <f t="shared" si="132"/>
        <v>0</v>
      </c>
      <c r="CU135" s="299">
        <f>[1]COMMANDE!AW133</f>
        <v>0</v>
      </c>
      <c r="CV135" s="297" t="str">
        <f t="shared" si="133"/>
        <v>0</v>
      </c>
      <c r="CW135" s="300">
        <f t="shared" si="134"/>
        <v>0</v>
      </c>
      <c r="CX135" s="301">
        <f>[1]COMMANDE!AY133</f>
        <v>0</v>
      </c>
      <c r="CY135" s="297" t="str">
        <f t="shared" si="135"/>
        <v>0</v>
      </c>
      <c r="CZ135" s="298">
        <f t="shared" si="136"/>
        <v>0</v>
      </c>
      <c r="DA135" s="299">
        <f>[1]COMMANDE!BA133</f>
        <v>0</v>
      </c>
      <c r="DB135" s="297" t="str">
        <f t="shared" si="137"/>
        <v>0</v>
      </c>
      <c r="DC135" s="302">
        <f t="shared" si="138"/>
        <v>0</v>
      </c>
      <c r="DD135" s="303"/>
      <c r="DE135" s="304"/>
    </row>
    <row r="136" spans="1:128" ht="39.950000000000003" customHeight="1" x14ac:dyDescent="0.25">
      <c r="A136" s="284">
        <f t="shared" si="71"/>
        <v>0</v>
      </c>
      <c r="B136" s="284">
        <f t="shared" si="72"/>
        <v>0</v>
      </c>
      <c r="C136" s="284">
        <f t="shared" si="73"/>
        <v>0</v>
      </c>
      <c r="D136" s="284">
        <f t="shared" si="74"/>
        <v>0</v>
      </c>
      <c r="E136" s="284">
        <f t="shared" si="75"/>
        <v>0</v>
      </c>
      <c r="F136" s="284">
        <f t="shared" si="76"/>
        <v>0</v>
      </c>
      <c r="G136" s="284">
        <f t="shared" si="77"/>
        <v>0</v>
      </c>
      <c r="H136" s="284">
        <f t="shared" si="78"/>
        <v>0</v>
      </c>
      <c r="I136" s="284">
        <f t="shared" si="79"/>
        <v>0</v>
      </c>
      <c r="J136" s="284">
        <f t="shared" si="80"/>
        <v>0</v>
      </c>
      <c r="K136" s="284">
        <f t="shared" si="81"/>
        <v>0</v>
      </c>
      <c r="L136" s="284">
        <f t="shared" si="82"/>
        <v>0</v>
      </c>
      <c r="M136" s="284">
        <f t="shared" si="83"/>
        <v>0</v>
      </c>
      <c r="N136" s="284">
        <f t="shared" si="84"/>
        <v>0</v>
      </c>
      <c r="O136" s="284">
        <f t="shared" si="85"/>
        <v>0</v>
      </c>
      <c r="P136" s="284">
        <f t="shared" si="86"/>
        <v>0</v>
      </c>
      <c r="Q136" s="284">
        <f t="shared" si="87"/>
        <v>0</v>
      </c>
      <c r="R136" s="284">
        <f t="shared" si="88"/>
        <v>0</v>
      </c>
      <c r="S136" s="284">
        <f t="shared" si="89"/>
        <v>0</v>
      </c>
      <c r="T136" s="284">
        <f t="shared" si="90"/>
        <v>0</v>
      </c>
      <c r="U136" s="285">
        <f t="shared" si="91"/>
        <v>0</v>
      </c>
      <c r="V136" s="286">
        <f>[1]BDD!A126</f>
        <v>3766</v>
      </c>
      <c r="W136" s="287" t="str">
        <f>[1]BDD!B126</f>
        <v>Kaki en plateau env. 900g mûri exprès (couleur rouge vive) - Produit rare !</v>
      </c>
      <c r="X136" s="288" t="str">
        <f>IF([1]BDD!F126=0, "", [1]BDD!F126)</f>
        <v/>
      </c>
      <c r="Y136" s="214">
        <f>ROUND([1]BDD!G126+FDP_CMD_KG, 2)</f>
        <v>4.42</v>
      </c>
      <c r="Z136" s="214">
        <f>ROUND([1]BDD!G126+FDP_FACT_KG, 2)</f>
        <v>4.42</v>
      </c>
      <c r="AA136" s="215" t="str">
        <f>[1]BDD!H126</f>
        <v>Pièce</v>
      </c>
      <c r="AB136" s="225">
        <f>IF(NOT(ISBLANK([1]BDD!I126)), ROUND(SUM(([1]BDD!G126*reduc1),FDP_CMD_KG), 2), "")</f>
        <v>4.07</v>
      </c>
      <c r="AC136" s="225">
        <f>IF(NOT(ISBLANK([1]BDD!J126)), ROUND(SUM(([1]BDD!G126*reduc2),FDP_CMD_KG), 2), "")</f>
        <v>3.71</v>
      </c>
      <c r="AD136" s="225" t="str">
        <f>IF(NOT(ISBLANK([1]BDD!K126)), ROUND(SUM(([1]BDD!G126*reduc3),FDP_CMD_KG), 2), "")</f>
        <v/>
      </c>
      <c r="AE136" s="225">
        <f>IF(NOT(ISBLANK([1]BDD!I126)), ROUND(SUM(([1]BDD!G126*reduc1),FDP_FACT_KG), 2), "")</f>
        <v>4.0599999999999996</v>
      </c>
      <c r="AF136" s="225">
        <f>IF(NOT(ISBLANK([1]BDD!J126)), ROUND(SUM(([1]BDD!G126*reduc2),FDP_FACT_KG), 2), "")</f>
        <v>3.71</v>
      </c>
      <c r="AG136" s="225" t="str">
        <f>IF(NOT(ISBLANK([1]BDD!K126)), ROUND(SUM(([1]BDD!G126*reduc3),FDP_FACT_KG), 2), "")</f>
        <v/>
      </c>
      <c r="AH136" s="289" t="str">
        <f>[1]BDD!C126</f>
        <v>Grenade</v>
      </c>
      <c r="AI136" s="290">
        <f t="shared" si="92"/>
        <v>0</v>
      </c>
      <c r="AJ136" s="216">
        <f t="shared" si="93"/>
        <v>3.71</v>
      </c>
      <c r="AK136" s="291">
        <f t="shared" si="94"/>
        <v>0</v>
      </c>
      <c r="AL136" s="429"/>
      <c r="AM136" s="292"/>
      <c r="AN136" s="216">
        <f t="shared" si="95"/>
        <v>4.42</v>
      </c>
      <c r="AO136" s="293">
        <f t="shared" si="96"/>
        <v>0</v>
      </c>
      <c r="AP136" s="294"/>
      <c r="AQ136" s="294"/>
      <c r="AR136" s="429"/>
      <c r="AS136" s="295">
        <f t="shared" si="97"/>
        <v>0</v>
      </c>
      <c r="AT136" s="216">
        <f t="shared" si="98"/>
        <v>4.42</v>
      </c>
      <c r="AU136" s="291">
        <f t="shared" si="70"/>
        <v>0</v>
      </c>
      <c r="AV136" s="296">
        <f>[1]COMMANDE!O134</f>
        <v>0</v>
      </c>
      <c r="AW136" s="297" t="str">
        <f t="shared" si="99"/>
        <v>0</v>
      </c>
      <c r="AX136" s="298">
        <f t="shared" si="100"/>
        <v>0</v>
      </c>
      <c r="AY136" s="299">
        <f>[1]COMMANDE!Q134</f>
        <v>0</v>
      </c>
      <c r="AZ136" s="297" t="str">
        <f t="shared" si="101"/>
        <v>0</v>
      </c>
      <c r="BA136" s="300">
        <f t="shared" si="102"/>
        <v>0</v>
      </c>
      <c r="BB136" s="301">
        <f>[1]COMMANDE!S134</f>
        <v>0</v>
      </c>
      <c r="BC136" s="297" t="str">
        <f t="shared" si="103"/>
        <v>0</v>
      </c>
      <c r="BD136" s="298">
        <f t="shared" si="104"/>
        <v>0</v>
      </c>
      <c r="BE136" s="299">
        <f>[1]COMMANDE!U134</f>
        <v>0</v>
      </c>
      <c r="BF136" s="297" t="str">
        <f t="shared" si="105"/>
        <v>0</v>
      </c>
      <c r="BG136" s="300">
        <f t="shared" si="106"/>
        <v>0</v>
      </c>
      <c r="BH136" s="301">
        <f>[1]COMMANDE!W134</f>
        <v>0</v>
      </c>
      <c r="BI136" s="297" t="str">
        <f t="shared" si="107"/>
        <v>0</v>
      </c>
      <c r="BJ136" s="298">
        <f t="shared" si="108"/>
        <v>0</v>
      </c>
      <c r="BK136" s="299">
        <f>[1]COMMANDE!Y134</f>
        <v>0</v>
      </c>
      <c r="BL136" s="297" t="str">
        <f t="shared" si="109"/>
        <v>0</v>
      </c>
      <c r="BM136" s="300">
        <f t="shared" si="110"/>
        <v>0</v>
      </c>
      <c r="BN136" s="301">
        <f>[1]COMMANDE!AA134</f>
        <v>0</v>
      </c>
      <c r="BO136" s="297" t="str">
        <f t="shared" si="111"/>
        <v>0</v>
      </c>
      <c r="BP136" s="298">
        <f t="shared" si="112"/>
        <v>0</v>
      </c>
      <c r="BQ136" s="299">
        <f>[1]COMMANDE!AC134</f>
        <v>0</v>
      </c>
      <c r="BR136" s="297" t="str">
        <f t="shared" si="113"/>
        <v>0</v>
      </c>
      <c r="BS136" s="300">
        <f t="shared" si="114"/>
        <v>0</v>
      </c>
      <c r="BT136" s="301">
        <f>[1]COMMANDE!AE134</f>
        <v>0</v>
      </c>
      <c r="BU136" s="297" t="str">
        <f t="shared" si="115"/>
        <v>0</v>
      </c>
      <c r="BV136" s="298">
        <f t="shared" si="116"/>
        <v>0</v>
      </c>
      <c r="BW136" s="299">
        <f>[1]COMMANDE!AG134</f>
        <v>0</v>
      </c>
      <c r="BX136" s="297" t="str">
        <f t="shared" si="117"/>
        <v>0</v>
      </c>
      <c r="BY136" s="300">
        <f t="shared" si="118"/>
        <v>0</v>
      </c>
      <c r="BZ136" s="301">
        <f>[1]COMMANDE!AI134</f>
        <v>0</v>
      </c>
      <c r="CA136" s="297" t="str">
        <f t="shared" si="119"/>
        <v>0</v>
      </c>
      <c r="CB136" s="298">
        <f t="shared" si="120"/>
        <v>0</v>
      </c>
      <c r="CC136" s="299">
        <f>[1]COMMANDE!AK134</f>
        <v>0</v>
      </c>
      <c r="CD136" s="297" t="str">
        <f t="shared" si="121"/>
        <v>0</v>
      </c>
      <c r="CE136" s="300">
        <f t="shared" si="122"/>
        <v>0</v>
      </c>
      <c r="CF136" s="301">
        <f>[1]COMMANDE!AM134</f>
        <v>0</v>
      </c>
      <c r="CG136" s="297" t="str">
        <f t="shared" si="123"/>
        <v>0</v>
      </c>
      <c r="CH136" s="298">
        <f t="shared" si="124"/>
        <v>0</v>
      </c>
      <c r="CI136" s="299">
        <f>[1]COMMANDE!AO134</f>
        <v>0</v>
      </c>
      <c r="CJ136" s="297" t="str">
        <f t="shared" si="125"/>
        <v>0</v>
      </c>
      <c r="CK136" s="300">
        <f t="shared" si="126"/>
        <v>0</v>
      </c>
      <c r="CL136" s="301">
        <f>[1]COMMANDE!AQ134</f>
        <v>0</v>
      </c>
      <c r="CM136" s="297" t="str">
        <f t="shared" si="127"/>
        <v>0</v>
      </c>
      <c r="CN136" s="298">
        <f t="shared" si="128"/>
        <v>0</v>
      </c>
      <c r="CO136" s="299">
        <f>[1]COMMANDE!AS134</f>
        <v>0</v>
      </c>
      <c r="CP136" s="297" t="str">
        <f t="shared" si="129"/>
        <v>0</v>
      </c>
      <c r="CQ136" s="300">
        <f t="shared" si="130"/>
        <v>0</v>
      </c>
      <c r="CR136" s="301">
        <f>[1]COMMANDE!AU134</f>
        <v>0</v>
      </c>
      <c r="CS136" s="297" t="str">
        <f t="shared" si="131"/>
        <v>0</v>
      </c>
      <c r="CT136" s="298">
        <f t="shared" si="132"/>
        <v>0</v>
      </c>
      <c r="CU136" s="299">
        <f>[1]COMMANDE!AW134</f>
        <v>0</v>
      </c>
      <c r="CV136" s="297" t="str">
        <f t="shared" si="133"/>
        <v>0</v>
      </c>
      <c r="CW136" s="300">
        <f t="shared" si="134"/>
        <v>0</v>
      </c>
      <c r="CX136" s="301">
        <f>[1]COMMANDE!AY134</f>
        <v>0</v>
      </c>
      <c r="CY136" s="297" t="str">
        <f t="shared" si="135"/>
        <v>0</v>
      </c>
      <c r="CZ136" s="298">
        <f t="shared" si="136"/>
        <v>0</v>
      </c>
      <c r="DA136" s="299">
        <f>[1]COMMANDE!BA134</f>
        <v>0</v>
      </c>
      <c r="DB136" s="297" t="str">
        <f t="shared" si="137"/>
        <v>0</v>
      </c>
      <c r="DC136" s="302">
        <f t="shared" si="138"/>
        <v>0</v>
      </c>
      <c r="DD136" s="303"/>
      <c r="DE136" s="304"/>
    </row>
    <row r="137" spans="1:128" s="283" customFormat="1" ht="39.950000000000003" customHeight="1" x14ac:dyDescent="0.25">
      <c r="A137" s="284">
        <f t="shared" si="71"/>
        <v>0</v>
      </c>
      <c r="B137" s="284">
        <f t="shared" si="72"/>
        <v>0</v>
      </c>
      <c r="C137" s="284">
        <f t="shared" si="73"/>
        <v>0</v>
      </c>
      <c r="D137" s="284">
        <f t="shared" si="74"/>
        <v>0</v>
      </c>
      <c r="E137" s="284">
        <f t="shared" si="75"/>
        <v>0</v>
      </c>
      <c r="F137" s="284">
        <f t="shared" si="76"/>
        <v>0</v>
      </c>
      <c r="G137" s="284">
        <f t="shared" si="77"/>
        <v>0</v>
      </c>
      <c r="H137" s="284">
        <f t="shared" si="78"/>
        <v>0</v>
      </c>
      <c r="I137" s="284">
        <f t="shared" si="79"/>
        <v>0</v>
      </c>
      <c r="J137" s="284">
        <f t="shared" si="80"/>
        <v>0</v>
      </c>
      <c r="K137" s="284">
        <f t="shared" si="81"/>
        <v>0</v>
      </c>
      <c r="L137" s="284">
        <f t="shared" si="82"/>
        <v>0</v>
      </c>
      <c r="M137" s="284">
        <f t="shared" si="83"/>
        <v>0</v>
      </c>
      <c r="N137" s="284">
        <f t="shared" si="84"/>
        <v>0</v>
      </c>
      <c r="O137" s="284">
        <f t="shared" si="85"/>
        <v>0</v>
      </c>
      <c r="P137" s="284">
        <f t="shared" si="86"/>
        <v>0</v>
      </c>
      <c r="Q137" s="284">
        <f t="shared" si="87"/>
        <v>0</v>
      </c>
      <c r="R137" s="284">
        <f t="shared" si="88"/>
        <v>0</v>
      </c>
      <c r="S137" s="284">
        <f t="shared" si="89"/>
        <v>0</v>
      </c>
      <c r="T137" s="284">
        <f t="shared" si="90"/>
        <v>0</v>
      </c>
      <c r="U137" s="285">
        <f t="shared" si="91"/>
        <v>0</v>
      </c>
      <c r="V137" s="286">
        <f>[1]BDD!A127</f>
        <v>3265</v>
      </c>
      <c r="W137" s="287" t="str">
        <f>[1]BDD!B127</f>
        <v>Kaki Fuyu</v>
      </c>
      <c r="X137" s="288" t="str">
        <f>IF([1]BDD!F127=0, "", [1]BDD!F127)</f>
        <v>❤️</v>
      </c>
      <c r="Y137" s="214">
        <f>ROUND([1]BDD!G127+FDP_CMD_KG, 2)</f>
        <v>4.28</v>
      </c>
      <c r="Z137" s="214">
        <f>ROUND([1]BDD!G127+FDP_FACT_KG, 2)</f>
        <v>4.28</v>
      </c>
      <c r="AA137" s="215" t="str">
        <f>[1]BDD!H127</f>
        <v>kg</v>
      </c>
      <c r="AB137" s="225">
        <f>IF(NOT(ISBLANK([1]BDD!I127)), ROUND(SUM(([1]BDD!G127*reduc1),FDP_CMD_KG), 2), "")</f>
        <v>3.94</v>
      </c>
      <c r="AC137" s="225">
        <f>IF(NOT(ISBLANK([1]BDD!J127)), ROUND(SUM(([1]BDD!G127*reduc2),FDP_CMD_KG), 2), "")</f>
        <v>3.6</v>
      </c>
      <c r="AD137" s="225">
        <f>IF(NOT(ISBLANK([1]BDD!K127)), ROUND(SUM(([1]BDD!G127*reduc3),FDP_CMD_KG), 2), "")</f>
        <v>3.26</v>
      </c>
      <c r="AE137" s="225">
        <f>IF(NOT(ISBLANK([1]BDD!I127)), ROUND(SUM(([1]BDD!G127*reduc1),FDP_FACT_KG), 2), "")</f>
        <v>3.94</v>
      </c>
      <c r="AF137" s="225">
        <f>IF(NOT(ISBLANK([1]BDD!J127)), ROUND(SUM(([1]BDD!G127*reduc2),FDP_FACT_KG), 2), "")</f>
        <v>3.59</v>
      </c>
      <c r="AG137" s="225">
        <f>IF(NOT(ISBLANK([1]BDD!K127)), ROUND(SUM(([1]BDD!G127*reduc3),FDP_FACT_KG), 2), "")</f>
        <v>3.25</v>
      </c>
      <c r="AH137" s="289" t="str">
        <f>[1]BDD!C127</f>
        <v>Grenade</v>
      </c>
      <c r="AI137" s="290">
        <f t="shared" si="92"/>
        <v>0</v>
      </c>
      <c r="AJ137" s="216">
        <f t="shared" si="93"/>
        <v>3.26</v>
      </c>
      <c r="AK137" s="291">
        <f t="shared" si="94"/>
        <v>0</v>
      </c>
      <c r="AL137" s="429"/>
      <c r="AM137" s="292"/>
      <c r="AN137" s="216">
        <f t="shared" si="95"/>
        <v>4.28</v>
      </c>
      <c r="AO137" s="293">
        <f t="shared" si="96"/>
        <v>0</v>
      </c>
      <c r="AP137" s="294"/>
      <c r="AQ137" s="294"/>
      <c r="AR137" s="429"/>
      <c r="AS137" s="295">
        <f t="shared" si="97"/>
        <v>0</v>
      </c>
      <c r="AT137" s="216">
        <f t="shared" si="98"/>
        <v>4.28</v>
      </c>
      <c r="AU137" s="291">
        <f t="shared" si="70"/>
        <v>0</v>
      </c>
      <c r="AV137" s="296">
        <f>[1]COMMANDE!O135</f>
        <v>0</v>
      </c>
      <c r="AW137" s="297" t="str">
        <f t="shared" si="99"/>
        <v>0</v>
      </c>
      <c r="AX137" s="298">
        <f t="shared" si="100"/>
        <v>0</v>
      </c>
      <c r="AY137" s="299">
        <f>[1]COMMANDE!Q135</f>
        <v>0</v>
      </c>
      <c r="AZ137" s="297" t="str">
        <f t="shared" si="101"/>
        <v>0</v>
      </c>
      <c r="BA137" s="300">
        <f t="shared" si="102"/>
        <v>0</v>
      </c>
      <c r="BB137" s="301">
        <f>[1]COMMANDE!S135</f>
        <v>0</v>
      </c>
      <c r="BC137" s="297" t="str">
        <f t="shared" si="103"/>
        <v>0</v>
      </c>
      <c r="BD137" s="298">
        <f t="shared" si="104"/>
        <v>0</v>
      </c>
      <c r="BE137" s="299">
        <f>[1]COMMANDE!U135</f>
        <v>0</v>
      </c>
      <c r="BF137" s="297" t="str">
        <f t="shared" si="105"/>
        <v>0</v>
      </c>
      <c r="BG137" s="300">
        <f t="shared" si="106"/>
        <v>0</v>
      </c>
      <c r="BH137" s="301">
        <f>[1]COMMANDE!W135</f>
        <v>0</v>
      </c>
      <c r="BI137" s="297" t="str">
        <f t="shared" si="107"/>
        <v>0</v>
      </c>
      <c r="BJ137" s="298">
        <f t="shared" si="108"/>
        <v>0</v>
      </c>
      <c r="BK137" s="299">
        <f>[1]COMMANDE!Y135</f>
        <v>0</v>
      </c>
      <c r="BL137" s="297" t="str">
        <f t="shared" si="109"/>
        <v>0</v>
      </c>
      <c r="BM137" s="300">
        <f t="shared" si="110"/>
        <v>0</v>
      </c>
      <c r="BN137" s="301">
        <f>[1]COMMANDE!AA135</f>
        <v>0</v>
      </c>
      <c r="BO137" s="297" t="str">
        <f t="shared" si="111"/>
        <v>0</v>
      </c>
      <c r="BP137" s="298">
        <f t="shared" si="112"/>
        <v>0</v>
      </c>
      <c r="BQ137" s="299">
        <f>[1]COMMANDE!AC135</f>
        <v>0</v>
      </c>
      <c r="BR137" s="297" t="str">
        <f t="shared" si="113"/>
        <v>0</v>
      </c>
      <c r="BS137" s="300">
        <f t="shared" si="114"/>
        <v>0</v>
      </c>
      <c r="BT137" s="301">
        <f>[1]COMMANDE!AE135</f>
        <v>0</v>
      </c>
      <c r="BU137" s="297" t="str">
        <f t="shared" si="115"/>
        <v>0</v>
      </c>
      <c r="BV137" s="298">
        <f t="shared" si="116"/>
        <v>0</v>
      </c>
      <c r="BW137" s="299">
        <f>[1]COMMANDE!AG135</f>
        <v>0</v>
      </c>
      <c r="BX137" s="297" t="str">
        <f t="shared" si="117"/>
        <v>0</v>
      </c>
      <c r="BY137" s="300">
        <f t="shared" si="118"/>
        <v>0</v>
      </c>
      <c r="BZ137" s="301">
        <f>[1]COMMANDE!AI135</f>
        <v>0</v>
      </c>
      <c r="CA137" s="297" t="str">
        <f t="shared" si="119"/>
        <v>0</v>
      </c>
      <c r="CB137" s="298">
        <f t="shared" si="120"/>
        <v>0</v>
      </c>
      <c r="CC137" s="299">
        <f>[1]COMMANDE!AK135</f>
        <v>0</v>
      </c>
      <c r="CD137" s="297" t="str">
        <f t="shared" si="121"/>
        <v>0</v>
      </c>
      <c r="CE137" s="300">
        <f t="shared" si="122"/>
        <v>0</v>
      </c>
      <c r="CF137" s="301">
        <f>[1]COMMANDE!AM135</f>
        <v>0</v>
      </c>
      <c r="CG137" s="297" t="str">
        <f t="shared" si="123"/>
        <v>0</v>
      </c>
      <c r="CH137" s="298">
        <f t="shared" si="124"/>
        <v>0</v>
      </c>
      <c r="CI137" s="299">
        <f>[1]COMMANDE!AO135</f>
        <v>0</v>
      </c>
      <c r="CJ137" s="297" t="str">
        <f t="shared" si="125"/>
        <v>0</v>
      </c>
      <c r="CK137" s="300">
        <f t="shared" si="126"/>
        <v>0</v>
      </c>
      <c r="CL137" s="301">
        <f>[1]COMMANDE!AQ135</f>
        <v>0</v>
      </c>
      <c r="CM137" s="297" t="str">
        <f t="shared" si="127"/>
        <v>0</v>
      </c>
      <c r="CN137" s="298">
        <f t="shared" si="128"/>
        <v>0</v>
      </c>
      <c r="CO137" s="299">
        <f>[1]COMMANDE!AS135</f>
        <v>0</v>
      </c>
      <c r="CP137" s="297" t="str">
        <f t="shared" si="129"/>
        <v>0</v>
      </c>
      <c r="CQ137" s="300">
        <f t="shared" si="130"/>
        <v>0</v>
      </c>
      <c r="CR137" s="301">
        <f>[1]COMMANDE!AU135</f>
        <v>0</v>
      </c>
      <c r="CS137" s="297" t="str">
        <f t="shared" si="131"/>
        <v>0</v>
      </c>
      <c r="CT137" s="298">
        <f t="shared" si="132"/>
        <v>0</v>
      </c>
      <c r="CU137" s="299">
        <f>[1]COMMANDE!AW135</f>
        <v>0</v>
      </c>
      <c r="CV137" s="297" t="str">
        <f t="shared" si="133"/>
        <v>0</v>
      </c>
      <c r="CW137" s="300">
        <f t="shared" si="134"/>
        <v>0</v>
      </c>
      <c r="CX137" s="301">
        <f>[1]COMMANDE!AY135</f>
        <v>0</v>
      </c>
      <c r="CY137" s="297" t="str">
        <f t="shared" si="135"/>
        <v>0</v>
      </c>
      <c r="CZ137" s="298">
        <f t="shared" si="136"/>
        <v>0</v>
      </c>
      <c r="DA137" s="299">
        <f>[1]COMMANDE!BA135</f>
        <v>0</v>
      </c>
      <c r="DB137" s="297" t="str">
        <f t="shared" si="137"/>
        <v>0</v>
      </c>
      <c r="DC137" s="302">
        <f t="shared" si="138"/>
        <v>0</v>
      </c>
      <c r="DD137" s="303"/>
      <c r="DE137" s="304"/>
      <c r="DF137" s="237"/>
      <c r="DG137" s="237"/>
      <c r="DH137" s="237"/>
      <c r="DI137" s="237"/>
      <c r="DJ137" s="237"/>
      <c r="DK137" s="237"/>
      <c r="DL137" s="237"/>
      <c r="DM137" s="237"/>
      <c r="DN137" s="237"/>
      <c r="DO137" s="237"/>
      <c r="DP137" s="237"/>
      <c r="DQ137" s="237"/>
      <c r="DR137" s="237"/>
      <c r="DS137" s="237"/>
      <c r="DT137" s="237"/>
      <c r="DU137" s="237"/>
      <c r="DV137" s="237"/>
      <c r="DW137" s="237"/>
      <c r="DX137" s="237"/>
    </row>
    <row r="138" spans="1:128" s="283" customFormat="1" ht="39.950000000000003" customHeight="1" x14ac:dyDescent="0.25">
      <c r="A138" s="284">
        <f t="shared" si="71"/>
        <v>0</v>
      </c>
      <c r="B138" s="284">
        <f t="shared" si="72"/>
        <v>0</v>
      </c>
      <c r="C138" s="284">
        <f t="shared" si="73"/>
        <v>0</v>
      </c>
      <c r="D138" s="284">
        <f t="shared" si="74"/>
        <v>0</v>
      </c>
      <c r="E138" s="284">
        <f t="shared" si="75"/>
        <v>0</v>
      </c>
      <c r="F138" s="284">
        <f t="shared" si="76"/>
        <v>0</v>
      </c>
      <c r="G138" s="284">
        <f t="shared" si="77"/>
        <v>0</v>
      </c>
      <c r="H138" s="284">
        <f t="shared" si="78"/>
        <v>0</v>
      </c>
      <c r="I138" s="284">
        <f t="shared" si="79"/>
        <v>0</v>
      </c>
      <c r="J138" s="284">
        <f t="shared" si="80"/>
        <v>0</v>
      </c>
      <c r="K138" s="284">
        <f t="shared" si="81"/>
        <v>0</v>
      </c>
      <c r="L138" s="284">
        <f t="shared" si="82"/>
        <v>0</v>
      </c>
      <c r="M138" s="284">
        <f t="shared" si="83"/>
        <v>0</v>
      </c>
      <c r="N138" s="284">
        <f t="shared" si="84"/>
        <v>0</v>
      </c>
      <c r="O138" s="284">
        <f t="shared" si="85"/>
        <v>0</v>
      </c>
      <c r="P138" s="284">
        <f t="shared" si="86"/>
        <v>0</v>
      </c>
      <c r="Q138" s="284">
        <f t="shared" si="87"/>
        <v>0</v>
      </c>
      <c r="R138" s="284">
        <f t="shared" si="88"/>
        <v>0</v>
      </c>
      <c r="S138" s="284">
        <f t="shared" si="89"/>
        <v>0</v>
      </c>
      <c r="T138" s="284">
        <f t="shared" si="90"/>
        <v>0</v>
      </c>
      <c r="U138" s="285">
        <f t="shared" si="91"/>
        <v>0</v>
      </c>
      <c r="V138" s="286">
        <f>[1]BDD!A128</f>
        <v>1623</v>
      </c>
      <c r="W138" s="287" t="str">
        <f>[1]BDD!B128</f>
        <v>Kaki rojo brillante BIO</v>
      </c>
      <c r="X138" s="288" t="str">
        <f>IF([1]BDD!F128=0, "", [1]BDD!F128)</f>
        <v/>
      </c>
      <c r="Y138" s="214">
        <f>ROUND([1]BDD!G128+FDP_CMD_KG, 2)</f>
        <v>4.95</v>
      </c>
      <c r="Z138" s="214">
        <f>ROUND([1]BDD!G128+FDP_FACT_KG, 2)</f>
        <v>4.95</v>
      </c>
      <c r="AA138" s="215" t="str">
        <f>[1]BDD!H128</f>
        <v>kg</v>
      </c>
      <c r="AB138" s="225">
        <f>IF(NOT(ISBLANK([1]BDD!I128)), ROUND(SUM(([1]BDD!G128*reduc1),FDP_CMD_KG), 2), "")</f>
        <v>4.55</v>
      </c>
      <c r="AC138" s="225">
        <f>IF(NOT(ISBLANK([1]BDD!J128)), ROUND(SUM(([1]BDD!G128*reduc2),FDP_CMD_KG), 2), "")</f>
        <v>4.1399999999999997</v>
      </c>
      <c r="AD138" s="225" t="str">
        <f>IF(NOT(ISBLANK([1]BDD!K128)), ROUND(SUM(([1]BDD!G128*reduc3),FDP_CMD_KG), 2), "")</f>
        <v/>
      </c>
      <c r="AE138" s="225">
        <f>IF(NOT(ISBLANK([1]BDD!I128)), ROUND(SUM(([1]BDD!G128*reduc1),FDP_FACT_KG), 2), "")</f>
        <v>4.54</v>
      </c>
      <c r="AF138" s="225">
        <f>IF(NOT(ISBLANK([1]BDD!J128)), ROUND(SUM(([1]BDD!G128*reduc2),FDP_FACT_KG), 2), "")</f>
        <v>4.13</v>
      </c>
      <c r="AG138" s="225" t="str">
        <f>IF(NOT(ISBLANK([1]BDD!K128)), ROUND(SUM(([1]BDD!G128*reduc3),FDP_FACT_KG), 2), "")</f>
        <v/>
      </c>
      <c r="AH138" s="289" t="str">
        <f>[1]BDD!C128</f>
        <v>Grenade</v>
      </c>
      <c r="AI138" s="290">
        <f t="shared" si="92"/>
        <v>0</v>
      </c>
      <c r="AJ138" s="216">
        <f t="shared" si="93"/>
        <v>4.1399999999999997</v>
      </c>
      <c r="AK138" s="291">
        <f t="shared" si="94"/>
        <v>0</v>
      </c>
      <c r="AL138" s="429"/>
      <c r="AM138" s="292"/>
      <c r="AN138" s="216">
        <f t="shared" si="95"/>
        <v>4.95</v>
      </c>
      <c r="AO138" s="293">
        <f t="shared" si="96"/>
        <v>0</v>
      </c>
      <c r="AP138" s="294"/>
      <c r="AQ138" s="294"/>
      <c r="AR138" s="429"/>
      <c r="AS138" s="295">
        <f t="shared" si="97"/>
        <v>0</v>
      </c>
      <c r="AT138" s="216">
        <f t="shared" si="98"/>
        <v>4.95</v>
      </c>
      <c r="AU138" s="291">
        <f t="shared" si="70"/>
        <v>0</v>
      </c>
      <c r="AV138" s="296">
        <f>[1]COMMANDE!O136</f>
        <v>0</v>
      </c>
      <c r="AW138" s="297" t="str">
        <f t="shared" si="99"/>
        <v>0</v>
      </c>
      <c r="AX138" s="298">
        <f t="shared" si="100"/>
        <v>0</v>
      </c>
      <c r="AY138" s="299">
        <f>[1]COMMANDE!Q136</f>
        <v>0</v>
      </c>
      <c r="AZ138" s="297" t="str">
        <f t="shared" si="101"/>
        <v>0</v>
      </c>
      <c r="BA138" s="300">
        <f t="shared" si="102"/>
        <v>0</v>
      </c>
      <c r="BB138" s="301">
        <f>[1]COMMANDE!S136</f>
        <v>0</v>
      </c>
      <c r="BC138" s="297" t="str">
        <f t="shared" si="103"/>
        <v>0</v>
      </c>
      <c r="BD138" s="298">
        <f t="shared" si="104"/>
        <v>0</v>
      </c>
      <c r="BE138" s="299">
        <f>[1]COMMANDE!U136</f>
        <v>0</v>
      </c>
      <c r="BF138" s="297" t="str">
        <f t="shared" si="105"/>
        <v>0</v>
      </c>
      <c r="BG138" s="300">
        <f t="shared" si="106"/>
        <v>0</v>
      </c>
      <c r="BH138" s="301">
        <f>[1]COMMANDE!W136</f>
        <v>0</v>
      </c>
      <c r="BI138" s="297" t="str">
        <f t="shared" si="107"/>
        <v>0</v>
      </c>
      <c r="BJ138" s="298">
        <f t="shared" si="108"/>
        <v>0</v>
      </c>
      <c r="BK138" s="299">
        <f>[1]COMMANDE!Y136</f>
        <v>0</v>
      </c>
      <c r="BL138" s="297" t="str">
        <f t="shared" si="109"/>
        <v>0</v>
      </c>
      <c r="BM138" s="300">
        <f t="shared" si="110"/>
        <v>0</v>
      </c>
      <c r="BN138" s="301">
        <f>[1]COMMANDE!AA136</f>
        <v>0</v>
      </c>
      <c r="BO138" s="297" t="str">
        <f t="shared" si="111"/>
        <v>0</v>
      </c>
      <c r="BP138" s="298">
        <f t="shared" si="112"/>
        <v>0</v>
      </c>
      <c r="BQ138" s="299">
        <f>[1]COMMANDE!AC136</f>
        <v>0</v>
      </c>
      <c r="BR138" s="297" t="str">
        <f t="shared" si="113"/>
        <v>0</v>
      </c>
      <c r="BS138" s="300">
        <f t="shared" si="114"/>
        <v>0</v>
      </c>
      <c r="BT138" s="301">
        <f>[1]COMMANDE!AE136</f>
        <v>0</v>
      </c>
      <c r="BU138" s="297" t="str">
        <f t="shared" si="115"/>
        <v>0</v>
      </c>
      <c r="BV138" s="298">
        <f t="shared" si="116"/>
        <v>0</v>
      </c>
      <c r="BW138" s="299">
        <f>[1]COMMANDE!AG136</f>
        <v>0</v>
      </c>
      <c r="BX138" s="297" t="str">
        <f t="shared" si="117"/>
        <v>0</v>
      </c>
      <c r="BY138" s="300">
        <f t="shared" si="118"/>
        <v>0</v>
      </c>
      <c r="BZ138" s="301">
        <f>[1]COMMANDE!AI136</f>
        <v>0</v>
      </c>
      <c r="CA138" s="297" t="str">
        <f t="shared" si="119"/>
        <v>0</v>
      </c>
      <c r="CB138" s="298">
        <f t="shared" si="120"/>
        <v>0</v>
      </c>
      <c r="CC138" s="299">
        <f>[1]COMMANDE!AK136</f>
        <v>0</v>
      </c>
      <c r="CD138" s="297" t="str">
        <f t="shared" si="121"/>
        <v>0</v>
      </c>
      <c r="CE138" s="300">
        <f t="shared" si="122"/>
        <v>0</v>
      </c>
      <c r="CF138" s="301">
        <f>[1]COMMANDE!AM136</f>
        <v>0</v>
      </c>
      <c r="CG138" s="297" t="str">
        <f t="shared" si="123"/>
        <v>0</v>
      </c>
      <c r="CH138" s="298">
        <f t="shared" si="124"/>
        <v>0</v>
      </c>
      <c r="CI138" s="299">
        <f>[1]COMMANDE!AO136</f>
        <v>0</v>
      </c>
      <c r="CJ138" s="297" t="str">
        <f t="shared" si="125"/>
        <v>0</v>
      </c>
      <c r="CK138" s="300">
        <f t="shared" si="126"/>
        <v>0</v>
      </c>
      <c r="CL138" s="301">
        <f>[1]COMMANDE!AQ136</f>
        <v>0</v>
      </c>
      <c r="CM138" s="297" t="str">
        <f t="shared" si="127"/>
        <v>0</v>
      </c>
      <c r="CN138" s="298">
        <f t="shared" si="128"/>
        <v>0</v>
      </c>
      <c r="CO138" s="299">
        <f>[1]COMMANDE!AS136</f>
        <v>0</v>
      </c>
      <c r="CP138" s="297" t="str">
        <f t="shared" si="129"/>
        <v>0</v>
      </c>
      <c r="CQ138" s="300">
        <f t="shared" si="130"/>
        <v>0</v>
      </c>
      <c r="CR138" s="301">
        <f>[1]COMMANDE!AU136</f>
        <v>0</v>
      </c>
      <c r="CS138" s="297" t="str">
        <f t="shared" si="131"/>
        <v>0</v>
      </c>
      <c r="CT138" s="298">
        <f t="shared" si="132"/>
        <v>0</v>
      </c>
      <c r="CU138" s="299">
        <f>[1]COMMANDE!AW136</f>
        <v>0</v>
      </c>
      <c r="CV138" s="297" t="str">
        <f t="shared" si="133"/>
        <v>0</v>
      </c>
      <c r="CW138" s="300">
        <f t="shared" si="134"/>
        <v>0</v>
      </c>
      <c r="CX138" s="301">
        <f>[1]COMMANDE!AY136</f>
        <v>0</v>
      </c>
      <c r="CY138" s="297" t="str">
        <f t="shared" si="135"/>
        <v>0</v>
      </c>
      <c r="CZ138" s="298">
        <f t="shared" si="136"/>
        <v>0</v>
      </c>
      <c r="DA138" s="299">
        <f>[1]COMMANDE!BA136</f>
        <v>0</v>
      </c>
      <c r="DB138" s="297" t="str">
        <f t="shared" si="137"/>
        <v>0</v>
      </c>
      <c r="DC138" s="302">
        <f t="shared" si="138"/>
        <v>0</v>
      </c>
      <c r="DD138" s="303"/>
      <c r="DE138" s="304"/>
      <c r="DF138" s="237"/>
      <c r="DG138" s="237"/>
      <c r="DH138" s="237"/>
      <c r="DI138" s="237"/>
      <c r="DJ138" s="237"/>
      <c r="DK138" s="237"/>
      <c r="DL138" s="237"/>
      <c r="DM138" s="237"/>
      <c r="DN138" s="237"/>
      <c r="DO138" s="237"/>
      <c r="DP138" s="237"/>
      <c r="DQ138" s="237"/>
      <c r="DR138" s="237"/>
      <c r="DS138" s="237"/>
      <c r="DT138" s="237"/>
      <c r="DU138" s="237"/>
      <c r="DV138" s="237"/>
      <c r="DW138" s="237"/>
      <c r="DX138" s="237"/>
    </row>
    <row r="139" spans="1:128" ht="39.950000000000003" customHeight="1" x14ac:dyDescent="0.25">
      <c r="A139" s="284">
        <f t="shared" si="71"/>
        <v>0</v>
      </c>
      <c r="B139" s="284">
        <f t="shared" si="72"/>
        <v>0</v>
      </c>
      <c r="C139" s="284">
        <f t="shared" si="73"/>
        <v>0</v>
      </c>
      <c r="D139" s="284">
        <f t="shared" si="74"/>
        <v>0</v>
      </c>
      <c r="E139" s="284">
        <f t="shared" si="75"/>
        <v>0</v>
      </c>
      <c r="F139" s="284">
        <f t="shared" si="76"/>
        <v>0</v>
      </c>
      <c r="G139" s="284">
        <f t="shared" si="77"/>
        <v>0</v>
      </c>
      <c r="H139" s="284">
        <f t="shared" si="78"/>
        <v>0</v>
      </c>
      <c r="I139" s="284">
        <f t="shared" si="79"/>
        <v>0</v>
      </c>
      <c r="J139" s="284">
        <f t="shared" si="80"/>
        <v>0</v>
      </c>
      <c r="K139" s="284">
        <f t="shared" si="81"/>
        <v>0</v>
      </c>
      <c r="L139" s="284">
        <f t="shared" si="82"/>
        <v>0</v>
      </c>
      <c r="M139" s="284">
        <f t="shared" si="83"/>
        <v>0</v>
      </c>
      <c r="N139" s="284">
        <f t="shared" si="84"/>
        <v>0</v>
      </c>
      <c r="O139" s="284">
        <f t="shared" si="85"/>
        <v>0</v>
      </c>
      <c r="P139" s="284">
        <f t="shared" si="86"/>
        <v>0</v>
      </c>
      <c r="Q139" s="284">
        <f t="shared" si="87"/>
        <v>0</v>
      </c>
      <c r="R139" s="284">
        <f t="shared" si="88"/>
        <v>0</v>
      </c>
      <c r="S139" s="284">
        <f t="shared" si="89"/>
        <v>0</v>
      </c>
      <c r="T139" s="284">
        <f t="shared" si="90"/>
        <v>0</v>
      </c>
      <c r="U139" s="285">
        <f t="shared" si="91"/>
        <v>0</v>
      </c>
      <c r="V139" s="286" t="str">
        <f>[1]BDD!A129</f>
        <v>1961-1020</v>
      </c>
      <c r="W139" s="287" t="str">
        <f>[1]BDD!B129</f>
        <v>Kiwi  BIO</v>
      </c>
      <c r="X139" s="288" t="str">
        <f>IF([1]BDD!F129=0, "", [1]BDD!F129)</f>
        <v/>
      </c>
      <c r="Y139" s="214">
        <f>ROUND([1]BDD!G129+FDP_CMD_KG, 2)</f>
        <v>6.88</v>
      </c>
      <c r="Z139" s="214">
        <f>ROUND([1]BDD!G129+FDP_FACT_KG, 2)</f>
        <v>6.88</v>
      </c>
      <c r="AA139" s="215" t="str">
        <f>[1]BDD!H129</f>
        <v>kg</v>
      </c>
      <c r="AB139" s="225">
        <f>IF(NOT(ISBLANK([1]BDD!I129)), ROUND(SUM(([1]BDD!G129*reduc1),FDP_CMD_KG), 2), "")</f>
        <v>6.28</v>
      </c>
      <c r="AC139" s="225">
        <f>IF(NOT(ISBLANK([1]BDD!J129)), ROUND(SUM(([1]BDD!G129*reduc2),FDP_CMD_KG), 2), "")</f>
        <v>5.68</v>
      </c>
      <c r="AD139" s="225" t="str">
        <f>IF(NOT(ISBLANK([1]BDD!K129)), ROUND(SUM(([1]BDD!G129*reduc3),FDP_CMD_KG), 2), "")</f>
        <v/>
      </c>
      <c r="AE139" s="225">
        <f>IF(NOT(ISBLANK([1]BDD!I129)), ROUND(SUM(([1]BDD!G129*reduc1),FDP_FACT_KG), 2), "")</f>
        <v>6.28</v>
      </c>
      <c r="AF139" s="225">
        <f>IF(NOT(ISBLANK([1]BDD!J129)), ROUND(SUM(([1]BDD!G129*reduc2),FDP_FACT_KG), 2), "")</f>
        <v>5.67</v>
      </c>
      <c r="AG139" s="225" t="str">
        <f>IF(NOT(ISBLANK([1]BDD!K129)), ROUND(SUM(([1]BDD!G129*reduc3),FDP_FACT_KG), 2), "")</f>
        <v/>
      </c>
      <c r="AH139" s="289" t="str">
        <f>[1]BDD!C129</f>
        <v>Portugal</v>
      </c>
      <c r="AI139" s="290">
        <f t="shared" si="92"/>
        <v>0</v>
      </c>
      <c r="AJ139" s="216">
        <f t="shared" si="93"/>
        <v>5.68</v>
      </c>
      <c r="AK139" s="291">
        <f t="shared" si="94"/>
        <v>0</v>
      </c>
      <c r="AL139" s="429"/>
      <c r="AM139" s="292"/>
      <c r="AN139" s="216">
        <f t="shared" si="95"/>
        <v>6.88</v>
      </c>
      <c r="AO139" s="293">
        <f t="shared" si="96"/>
        <v>0</v>
      </c>
      <c r="AP139" s="294"/>
      <c r="AQ139" s="294"/>
      <c r="AR139" s="429"/>
      <c r="AS139" s="295">
        <f t="shared" si="97"/>
        <v>0</v>
      </c>
      <c r="AT139" s="216">
        <f t="shared" si="98"/>
        <v>6.88</v>
      </c>
      <c r="AU139" s="291">
        <f t="shared" si="70"/>
        <v>0</v>
      </c>
      <c r="AV139" s="296">
        <f>[1]COMMANDE!O137</f>
        <v>0</v>
      </c>
      <c r="AW139" s="297" t="str">
        <f t="shared" si="99"/>
        <v>0</v>
      </c>
      <c r="AX139" s="298">
        <f t="shared" si="100"/>
        <v>0</v>
      </c>
      <c r="AY139" s="299">
        <f>[1]COMMANDE!Q137</f>
        <v>0</v>
      </c>
      <c r="AZ139" s="297" t="str">
        <f t="shared" si="101"/>
        <v>0</v>
      </c>
      <c r="BA139" s="300">
        <f t="shared" si="102"/>
        <v>0</v>
      </c>
      <c r="BB139" s="301">
        <f>[1]COMMANDE!S137</f>
        <v>0</v>
      </c>
      <c r="BC139" s="297" t="str">
        <f t="shared" si="103"/>
        <v>0</v>
      </c>
      <c r="BD139" s="298">
        <f t="shared" si="104"/>
        <v>0</v>
      </c>
      <c r="BE139" s="299">
        <f>[1]COMMANDE!U137</f>
        <v>0</v>
      </c>
      <c r="BF139" s="297" t="str">
        <f t="shared" si="105"/>
        <v>0</v>
      </c>
      <c r="BG139" s="300">
        <f t="shared" si="106"/>
        <v>0</v>
      </c>
      <c r="BH139" s="301">
        <f>[1]COMMANDE!W137</f>
        <v>0</v>
      </c>
      <c r="BI139" s="297" t="str">
        <f t="shared" si="107"/>
        <v>0</v>
      </c>
      <c r="BJ139" s="298">
        <f t="shared" si="108"/>
        <v>0</v>
      </c>
      <c r="BK139" s="299">
        <f>[1]COMMANDE!Y137</f>
        <v>0</v>
      </c>
      <c r="BL139" s="297" t="str">
        <f t="shared" si="109"/>
        <v>0</v>
      </c>
      <c r="BM139" s="300">
        <f t="shared" si="110"/>
        <v>0</v>
      </c>
      <c r="BN139" s="301">
        <f>[1]COMMANDE!AA137</f>
        <v>0</v>
      </c>
      <c r="BO139" s="297" t="str">
        <f t="shared" si="111"/>
        <v>0</v>
      </c>
      <c r="BP139" s="298">
        <f t="shared" si="112"/>
        <v>0</v>
      </c>
      <c r="BQ139" s="299">
        <f>[1]COMMANDE!AC137</f>
        <v>0</v>
      </c>
      <c r="BR139" s="297" t="str">
        <f t="shared" si="113"/>
        <v>0</v>
      </c>
      <c r="BS139" s="300">
        <f t="shared" si="114"/>
        <v>0</v>
      </c>
      <c r="BT139" s="301">
        <f>[1]COMMANDE!AE137</f>
        <v>0</v>
      </c>
      <c r="BU139" s="297" t="str">
        <f t="shared" si="115"/>
        <v>0</v>
      </c>
      <c r="BV139" s="298">
        <f t="shared" si="116"/>
        <v>0</v>
      </c>
      <c r="BW139" s="299">
        <f>[1]COMMANDE!AG137</f>
        <v>0</v>
      </c>
      <c r="BX139" s="297" t="str">
        <f t="shared" si="117"/>
        <v>0</v>
      </c>
      <c r="BY139" s="300">
        <f t="shared" si="118"/>
        <v>0</v>
      </c>
      <c r="BZ139" s="301">
        <f>[1]COMMANDE!AI137</f>
        <v>0</v>
      </c>
      <c r="CA139" s="297" t="str">
        <f t="shared" si="119"/>
        <v>0</v>
      </c>
      <c r="CB139" s="298">
        <f t="shared" si="120"/>
        <v>0</v>
      </c>
      <c r="CC139" s="299">
        <f>[1]COMMANDE!AK137</f>
        <v>0</v>
      </c>
      <c r="CD139" s="297" t="str">
        <f t="shared" si="121"/>
        <v>0</v>
      </c>
      <c r="CE139" s="300">
        <f t="shared" si="122"/>
        <v>0</v>
      </c>
      <c r="CF139" s="301">
        <f>[1]COMMANDE!AM137</f>
        <v>0</v>
      </c>
      <c r="CG139" s="297" t="str">
        <f t="shared" si="123"/>
        <v>0</v>
      </c>
      <c r="CH139" s="298">
        <f t="shared" si="124"/>
        <v>0</v>
      </c>
      <c r="CI139" s="299">
        <f>[1]COMMANDE!AO137</f>
        <v>0</v>
      </c>
      <c r="CJ139" s="297" t="str">
        <f t="shared" si="125"/>
        <v>0</v>
      </c>
      <c r="CK139" s="300">
        <f t="shared" si="126"/>
        <v>0</v>
      </c>
      <c r="CL139" s="301">
        <f>[1]COMMANDE!AQ137</f>
        <v>0</v>
      </c>
      <c r="CM139" s="297" t="str">
        <f t="shared" si="127"/>
        <v>0</v>
      </c>
      <c r="CN139" s="298">
        <f t="shared" si="128"/>
        <v>0</v>
      </c>
      <c r="CO139" s="299">
        <f>[1]COMMANDE!AS137</f>
        <v>0</v>
      </c>
      <c r="CP139" s="297" t="str">
        <f t="shared" si="129"/>
        <v>0</v>
      </c>
      <c r="CQ139" s="300">
        <f t="shared" si="130"/>
        <v>0</v>
      </c>
      <c r="CR139" s="301">
        <f>[1]COMMANDE!AU137</f>
        <v>0</v>
      </c>
      <c r="CS139" s="297" t="str">
        <f t="shared" si="131"/>
        <v>0</v>
      </c>
      <c r="CT139" s="298">
        <f t="shared" si="132"/>
        <v>0</v>
      </c>
      <c r="CU139" s="299">
        <f>[1]COMMANDE!AW137</f>
        <v>0</v>
      </c>
      <c r="CV139" s="297" t="str">
        <f t="shared" si="133"/>
        <v>0</v>
      </c>
      <c r="CW139" s="300">
        <f t="shared" si="134"/>
        <v>0</v>
      </c>
      <c r="CX139" s="301">
        <f>[1]COMMANDE!AY137</f>
        <v>0</v>
      </c>
      <c r="CY139" s="297" t="str">
        <f t="shared" si="135"/>
        <v>0</v>
      </c>
      <c r="CZ139" s="298">
        <f t="shared" si="136"/>
        <v>0</v>
      </c>
      <c r="DA139" s="299">
        <f>[1]COMMANDE!BA137</f>
        <v>0</v>
      </c>
      <c r="DB139" s="297" t="str">
        <f t="shared" si="137"/>
        <v>0</v>
      </c>
      <c r="DC139" s="302">
        <f t="shared" si="138"/>
        <v>0</v>
      </c>
      <c r="DD139" s="303"/>
      <c r="DE139" s="304"/>
    </row>
    <row r="140" spans="1:128" ht="39.950000000000003" customHeight="1" x14ac:dyDescent="0.25">
      <c r="A140" s="284">
        <f t="shared" si="71"/>
        <v>0</v>
      </c>
      <c r="B140" s="284">
        <f t="shared" si="72"/>
        <v>0</v>
      </c>
      <c r="C140" s="284">
        <f t="shared" si="73"/>
        <v>0</v>
      </c>
      <c r="D140" s="284">
        <f t="shared" si="74"/>
        <v>0</v>
      </c>
      <c r="E140" s="284">
        <f t="shared" si="75"/>
        <v>0</v>
      </c>
      <c r="F140" s="284">
        <f t="shared" si="76"/>
        <v>0</v>
      </c>
      <c r="G140" s="284">
        <f t="shared" si="77"/>
        <v>0</v>
      </c>
      <c r="H140" s="284">
        <f t="shared" si="78"/>
        <v>0</v>
      </c>
      <c r="I140" s="284">
        <f t="shared" si="79"/>
        <v>0</v>
      </c>
      <c r="J140" s="284">
        <f t="shared" si="80"/>
        <v>0</v>
      </c>
      <c r="K140" s="284">
        <f t="shared" si="81"/>
        <v>0</v>
      </c>
      <c r="L140" s="284">
        <f t="shared" si="82"/>
        <v>0</v>
      </c>
      <c r="M140" s="284">
        <f t="shared" si="83"/>
        <v>0</v>
      </c>
      <c r="N140" s="284">
        <f t="shared" si="84"/>
        <v>0</v>
      </c>
      <c r="O140" s="284">
        <f t="shared" si="85"/>
        <v>0</v>
      </c>
      <c r="P140" s="284">
        <f t="shared" si="86"/>
        <v>0</v>
      </c>
      <c r="Q140" s="284">
        <f t="shared" si="87"/>
        <v>0</v>
      </c>
      <c r="R140" s="284">
        <f t="shared" si="88"/>
        <v>0</v>
      </c>
      <c r="S140" s="284">
        <f t="shared" si="89"/>
        <v>0</v>
      </c>
      <c r="T140" s="284">
        <f t="shared" si="90"/>
        <v>0</v>
      </c>
      <c r="U140" s="285">
        <f t="shared" si="91"/>
        <v>0</v>
      </c>
      <c r="V140" s="286">
        <f>[1]BDD!A130</f>
        <v>3276</v>
      </c>
      <c r="W140" s="287" t="str">
        <f>[1]BDD!B130</f>
        <v>Kiwi de la Alpujarra</v>
      </c>
      <c r="X140" s="288" t="str">
        <f>IF([1]BDD!F130=0, "", [1]BDD!F130)</f>
        <v/>
      </c>
      <c r="Y140" s="214">
        <f>ROUND([1]BDD!G130+FDP_CMD_KG, 2)</f>
        <v>7.02</v>
      </c>
      <c r="Z140" s="214">
        <f>ROUND([1]BDD!G130+FDP_FACT_KG, 2)</f>
        <v>7.02</v>
      </c>
      <c r="AA140" s="215" t="str">
        <f>[1]BDD!H130</f>
        <v>kg</v>
      </c>
      <c r="AB140" s="225">
        <f>IF(NOT(ISBLANK([1]BDD!I130)), ROUND(SUM(([1]BDD!G130*reduc1),FDP_CMD_KG), 2), "")</f>
        <v>6.41</v>
      </c>
      <c r="AC140" s="225">
        <f>IF(NOT(ISBLANK([1]BDD!J130)), ROUND(SUM(([1]BDD!G130*reduc2),FDP_CMD_KG), 2), "")</f>
        <v>5.79</v>
      </c>
      <c r="AD140" s="225" t="str">
        <f>IF(NOT(ISBLANK([1]BDD!K130)), ROUND(SUM(([1]BDD!G130*reduc3),FDP_CMD_KG), 2), "")</f>
        <v/>
      </c>
      <c r="AE140" s="225">
        <f>IF(NOT(ISBLANK([1]BDD!I130)), ROUND(SUM(([1]BDD!G130*reduc1),FDP_FACT_KG), 2), "")</f>
        <v>6.4</v>
      </c>
      <c r="AF140" s="225">
        <f>IF(NOT(ISBLANK([1]BDD!J130)), ROUND(SUM(([1]BDD!G130*reduc2),FDP_FACT_KG), 2), "")</f>
        <v>5.79</v>
      </c>
      <c r="AG140" s="225" t="str">
        <f>IF(NOT(ISBLANK([1]BDD!K130)), ROUND(SUM(([1]BDD!G130*reduc3),FDP_FACT_KG), 2), "")</f>
        <v/>
      </c>
      <c r="AH140" s="289" t="str">
        <f>[1]BDD!C130</f>
        <v>Grenade</v>
      </c>
      <c r="AI140" s="290">
        <f t="shared" si="92"/>
        <v>0</v>
      </c>
      <c r="AJ140" s="216">
        <f t="shared" si="93"/>
        <v>5.79</v>
      </c>
      <c r="AK140" s="291">
        <f t="shared" si="94"/>
        <v>0</v>
      </c>
      <c r="AL140" s="429"/>
      <c r="AM140" s="292"/>
      <c r="AN140" s="216">
        <f t="shared" si="95"/>
        <v>7.02</v>
      </c>
      <c r="AO140" s="293">
        <f t="shared" si="96"/>
        <v>0</v>
      </c>
      <c r="AP140" s="294"/>
      <c r="AQ140" s="294"/>
      <c r="AR140" s="429"/>
      <c r="AS140" s="295">
        <f t="shared" si="97"/>
        <v>0</v>
      </c>
      <c r="AT140" s="216">
        <f t="shared" si="98"/>
        <v>7.02</v>
      </c>
      <c r="AU140" s="291">
        <f t="shared" ref="AU140:AU203" si="139">$AS140*$AT140</f>
        <v>0</v>
      </c>
      <c r="AV140" s="296">
        <f>[1]COMMANDE!O138</f>
        <v>0</v>
      </c>
      <c r="AW140" s="297" t="str">
        <f t="shared" si="99"/>
        <v>0</v>
      </c>
      <c r="AX140" s="298">
        <f t="shared" si="100"/>
        <v>0</v>
      </c>
      <c r="AY140" s="299">
        <f>[1]COMMANDE!Q138</f>
        <v>0</v>
      </c>
      <c r="AZ140" s="297" t="str">
        <f t="shared" si="101"/>
        <v>0</v>
      </c>
      <c r="BA140" s="300">
        <f t="shared" si="102"/>
        <v>0</v>
      </c>
      <c r="BB140" s="301">
        <f>[1]COMMANDE!S138</f>
        <v>0</v>
      </c>
      <c r="BC140" s="297" t="str">
        <f t="shared" si="103"/>
        <v>0</v>
      </c>
      <c r="BD140" s="298">
        <f t="shared" si="104"/>
        <v>0</v>
      </c>
      <c r="BE140" s="299">
        <f>[1]COMMANDE!U138</f>
        <v>0</v>
      </c>
      <c r="BF140" s="297" t="str">
        <f t="shared" si="105"/>
        <v>0</v>
      </c>
      <c r="BG140" s="300">
        <f t="shared" si="106"/>
        <v>0</v>
      </c>
      <c r="BH140" s="301">
        <f>[1]COMMANDE!W138</f>
        <v>0</v>
      </c>
      <c r="BI140" s="297" t="str">
        <f t="shared" si="107"/>
        <v>0</v>
      </c>
      <c r="BJ140" s="298">
        <f t="shared" si="108"/>
        <v>0</v>
      </c>
      <c r="BK140" s="299">
        <f>[1]COMMANDE!Y138</f>
        <v>0</v>
      </c>
      <c r="BL140" s="297" t="str">
        <f t="shared" si="109"/>
        <v>0</v>
      </c>
      <c r="BM140" s="300">
        <f t="shared" si="110"/>
        <v>0</v>
      </c>
      <c r="BN140" s="301">
        <f>[1]COMMANDE!AA138</f>
        <v>0</v>
      </c>
      <c r="BO140" s="297" t="str">
        <f t="shared" si="111"/>
        <v>0</v>
      </c>
      <c r="BP140" s="298">
        <f t="shared" si="112"/>
        <v>0</v>
      </c>
      <c r="BQ140" s="299">
        <f>[1]COMMANDE!AC138</f>
        <v>0</v>
      </c>
      <c r="BR140" s="297" t="str">
        <f t="shared" si="113"/>
        <v>0</v>
      </c>
      <c r="BS140" s="300">
        <f t="shared" si="114"/>
        <v>0</v>
      </c>
      <c r="BT140" s="301">
        <f>[1]COMMANDE!AE138</f>
        <v>0</v>
      </c>
      <c r="BU140" s="297" t="str">
        <f t="shared" si="115"/>
        <v>0</v>
      </c>
      <c r="BV140" s="298">
        <f t="shared" si="116"/>
        <v>0</v>
      </c>
      <c r="BW140" s="299">
        <f>[1]COMMANDE!AG138</f>
        <v>0</v>
      </c>
      <c r="BX140" s="297" t="str">
        <f t="shared" si="117"/>
        <v>0</v>
      </c>
      <c r="BY140" s="300">
        <f t="shared" si="118"/>
        <v>0</v>
      </c>
      <c r="BZ140" s="301">
        <f>[1]COMMANDE!AI138</f>
        <v>0</v>
      </c>
      <c r="CA140" s="297" t="str">
        <f t="shared" si="119"/>
        <v>0</v>
      </c>
      <c r="CB140" s="298">
        <f t="shared" si="120"/>
        <v>0</v>
      </c>
      <c r="CC140" s="299">
        <f>[1]COMMANDE!AK138</f>
        <v>0</v>
      </c>
      <c r="CD140" s="297" t="str">
        <f t="shared" si="121"/>
        <v>0</v>
      </c>
      <c r="CE140" s="300">
        <f t="shared" si="122"/>
        <v>0</v>
      </c>
      <c r="CF140" s="301">
        <f>[1]COMMANDE!AM138</f>
        <v>0</v>
      </c>
      <c r="CG140" s="297" t="str">
        <f t="shared" si="123"/>
        <v>0</v>
      </c>
      <c r="CH140" s="298">
        <f t="shared" si="124"/>
        <v>0</v>
      </c>
      <c r="CI140" s="299">
        <f>[1]COMMANDE!AO138</f>
        <v>0</v>
      </c>
      <c r="CJ140" s="297" t="str">
        <f t="shared" si="125"/>
        <v>0</v>
      </c>
      <c r="CK140" s="300">
        <f t="shared" si="126"/>
        <v>0</v>
      </c>
      <c r="CL140" s="301">
        <f>[1]COMMANDE!AQ138</f>
        <v>0</v>
      </c>
      <c r="CM140" s="297" t="str">
        <f t="shared" si="127"/>
        <v>0</v>
      </c>
      <c r="CN140" s="298">
        <f t="shared" si="128"/>
        <v>0</v>
      </c>
      <c r="CO140" s="299">
        <f>[1]COMMANDE!AS138</f>
        <v>0</v>
      </c>
      <c r="CP140" s="297" t="str">
        <f t="shared" si="129"/>
        <v>0</v>
      </c>
      <c r="CQ140" s="300">
        <f t="shared" si="130"/>
        <v>0</v>
      </c>
      <c r="CR140" s="301">
        <f>[1]COMMANDE!AU138</f>
        <v>0</v>
      </c>
      <c r="CS140" s="297" t="str">
        <f t="shared" si="131"/>
        <v>0</v>
      </c>
      <c r="CT140" s="298">
        <f t="shared" si="132"/>
        <v>0</v>
      </c>
      <c r="CU140" s="299">
        <f>[1]COMMANDE!AW138</f>
        <v>0</v>
      </c>
      <c r="CV140" s="297" t="str">
        <f t="shared" si="133"/>
        <v>0</v>
      </c>
      <c r="CW140" s="300">
        <f t="shared" si="134"/>
        <v>0</v>
      </c>
      <c r="CX140" s="301">
        <f>[1]COMMANDE!AY138</f>
        <v>0</v>
      </c>
      <c r="CY140" s="297" t="str">
        <f t="shared" si="135"/>
        <v>0</v>
      </c>
      <c r="CZ140" s="298">
        <f t="shared" si="136"/>
        <v>0</v>
      </c>
      <c r="DA140" s="299">
        <f>[1]COMMANDE!BA138</f>
        <v>0</v>
      </c>
      <c r="DB140" s="297" t="str">
        <f t="shared" si="137"/>
        <v>0</v>
      </c>
      <c r="DC140" s="302">
        <f t="shared" si="138"/>
        <v>0</v>
      </c>
      <c r="DD140" s="303"/>
      <c r="DE140" s="304"/>
    </row>
    <row r="141" spans="1:128" ht="39.950000000000003" customHeight="1" x14ac:dyDescent="0.25">
      <c r="A141" s="284">
        <f t="shared" ref="A141:A262" si="140">IF(OR($AV141&gt;0, $AX141&gt;0), 1, 0)</f>
        <v>0</v>
      </c>
      <c r="B141" s="284">
        <f t="shared" ref="B141:B262" si="141">IF(OR($AY141&gt;0, $BA141&gt;0), 1, 0)</f>
        <v>0</v>
      </c>
      <c r="C141" s="284">
        <f t="shared" ref="C141:C262" si="142">IF(OR($BB141&gt;0, $BD141&gt;0), 1, 0)</f>
        <v>0</v>
      </c>
      <c r="D141" s="284">
        <f t="shared" ref="D141:D262" si="143">IF(OR($BE141&gt;0, $BG141&gt;0), 1, 0)</f>
        <v>0</v>
      </c>
      <c r="E141" s="284">
        <f t="shared" ref="E141:E262" si="144">IF(OR($BH141&gt;0, $BJ141&gt;0), 1, 0)</f>
        <v>0</v>
      </c>
      <c r="F141" s="284">
        <f t="shared" ref="F141:F262" si="145">IF(OR($BK141&gt;0, $BM141&gt;0), 1, 0)</f>
        <v>0</v>
      </c>
      <c r="G141" s="284">
        <f t="shared" ref="G141:G262" si="146">IF(OR($BN141&gt;0, $BP141&gt;0), 1, 0)</f>
        <v>0</v>
      </c>
      <c r="H141" s="284">
        <f t="shared" ref="H141:H262" si="147">IF(OR($BQ141&gt;0, $BS141&gt;0), 1, 0)</f>
        <v>0</v>
      </c>
      <c r="I141" s="284">
        <f t="shared" ref="I141:I262" si="148">IF(OR($BT141&gt;0, $BV141&gt;0), 1, 0)</f>
        <v>0</v>
      </c>
      <c r="J141" s="284">
        <f t="shared" ref="J141:J262" si="149">IF(OR($BW141&gt;0, $BY141&gt;0), 1, 0)</f>
        <v>0</v>
      </c>
      <c r="K141" s="284">
        <f t="shared" ref="K141:K262" si="150">IF(OR($BZ141&gt;0, $CB141&gt;0), 1, 0)</f>
        <v>0</v>
      </c>
      <c r="L141" s="284">
        <f t="shared" ref="L141:L262" si="151">IF(OR($CC141&gt;0, $CE141&gt;0), 1, 0)</f>
        <v>0</v>
      </c>
      <c r="M141" s="284">
        <f t="shared" ref="M141:M262" si="152">IF(OR($CF141&gt;0, $CH141&gt;0), 1, 0)</f>
        <v>0</v>
      </c>
      <c r="N141" s="284">
        <f t="shared" ref="N141:N262" si="153">IF(OR($CI141&gt;0, $CK141&gt;0), 1, 0)</f>
        <v>0</v>
      </c>
      <c r="O141" s="284">
        <f t="shared" ref="O141:O262" si="154">IF(OR($CL141&gt;0, $CN141&gt;0), 1, 0)</f>
        <v>0</v>
      </c>
      <c r="P141" s="284">
        <f t="shared" ref="P141:P204" si="155">IF(OR($CO141&gt;0, $CQ141&gt;0), 1, 0)</f>
        <v>0</v>
      </c>
      <c r="Q141" s="284">
        <f t="shared" ref="Q141:Q204" si="156">IF(OR($CR141&gt;0, $CT141&gt;0), 1, 0)</f>
        <v>0</v>
      </c>
      <c r="R141" s="284">
        <f t="shared" ref="R141:R204" si="157">IF(OR($CU141&gt;0, $CW141&gt;0), 1, 0)</f>
        <v>0</v>
      </c>
      <c r="S141" s="284">
        <f t="shared" ref="S141:S204" si="158">IF(OR($CX141&gt;0, $CZ141&gt;0), 1, 0)</f>
        <v>0</v>
      </c>
      <c r="T141" s="284">
        <f t="shared" ref="T141:T204" si="159">IF(OR($DA141&gt;0, $DC141&gt;0), 1, 0)</f>
        <v>0</v>
      </c>
      <c r="U141" s="285">
        <f t="shared" ref="U141:U204" si="160">IF(OR($AI141&gt;0,$AM141&gt;0,$AS141&gt;0), 1, 0)</f>
        <v>0</v>
      </c>
      <c r="V141" s="286" t="str">
        <f>[1]BDD!A131</f>
        <v>5130-3941</v>
      </c>
      <c r="W141" s="287" t="str">
        <f>[1]BDD!B131</f>
        <v>Kiwi jaune Sun Gold</v>
      </c>
      <c r="X141" s="288" t="str">
        <f>IF([1]BDD!F131=0, "", [1]BDD!F131)</f>
        <v>❤️</v>
      </c>
      <c r="Y141" s="214">
        <f>ROUND([1]BDD!G131+FDP_CMD_KG, 2)</f>
        <v>10.17</v>
      </c>
      <c r="Z141" s="214">
        <f>ROUND([1]BDD!G131+FDP_FACT_KG, 2)</f>
        <v>10.17</v>
      </c>
      <c r="AA141" s="215" t="str">
        <f>[1]BDD!H131</f>
        <v>kg</v>
      </c>
      <c r="AB141" s="225" t="str">
        <f>IF(NOT(ISBLANK([1]BDD!I131)), ROUND(SUM(([1]BDD!G131*reduc1),FDP_CMD_KG), 2), "")</f>
        <v/>
      </c>
      <c r="AC141" s="225" t="str">
        <f>IF(NOT(ISBLANK([1]BDD!J131)), ROUND(SUM(([1]BDD!G131*reduc2),FDP_CMD_KG), 2), "")</f>
        <v/>
      </c>
      <c r="AD141" s="225" t="str">
        <f>IF(NOT(ISBLANK([1]BDD!K131)), ROUND(SUM(([1]BDD!G131*reduc3),FDP_CMD_KG), 2), "")</f>
        <v/>
      </c>
      <c r="AE141" s="225" t="str">
        <f>IF(NOT(ISBLANK([1]BDD!I131)), ROUND(SUM(([1]BDD!G131*reduc1),FDP_FACT_KG), 2), "")</f>
        <v/>
      </c>
      <c r="AF141" s="225" t="str">
        <f>IF(NOT(ISBLANK([1]BDD!J131)), ROUND(SUM(([1]BDD!G131*reduc2),FDP_FACT_KG), 2), "")</f>
        <v/>
      </c>
      <c r="AG141" s="225" t="str">
        <f>IF(NOT(ISBLANK([1]BDD!K131)), ROUND(SUM(([1]BDD!G131*reduc3),FDP_FACT_KG), 2), "")</f>
        <v/>
      </c>
      <c r="AH141" s="289" t="str">
        <f>[1]BDD!C131</f>
        <v>Nouvelle
Zélande</v>
      </c>
      <c r="AI141" s="290">
        <f t="shared" ref="AI141:AI204" si="161">SUM(AV141,AY141,BB141,BE141,BH141,BK141,BN141,BQ141,BT141,BW141,BZ141,CC141,CF141,CI141,CL141,CO141,CR141,CU141,CX141,DA141)</f>
        <v>0</v>
      </c>
      <c r="AJ141" s="216">
        <f t="shared" ref="AJ141:AJ204" si="162">_xlfn.IFS($AD141&lt;&gt;"", $AD141,    $AC141&lt;&gt;"", $AC141,    $AB141&lt;&gt;"", $AB141,    TRUE, $Y141)</f>
        <v>10.17</v>
      </c>
      <c r="AK141" s="291">
        <f t="shared" ref="AK141:AK204" si="163">$AI141*$AJ141</f>
        <v>0</v>
      </c>
      <c r="AL141" s="429"/>
      <c r="AM141" s="292"/>
      <c r="AN141" s="216">
        <f t="shared" ref="AN141:AN204" si="164">_xlfn.IFS(AND(AM141&gt;=60,$AG141&lt;&gt;""), $AG141,    AND(AM141&gt;=30,$AF141&lt;&gt;""), $AF141,    AND(AM141&gt;=10,$AE141&lt;&gt;""), $AE141,    TRUE, $Z141)</f>
        <v>10.17</v>
      </c>
      <c r="AO141" s="293">
        <f t="shared" ref="AO141:AO204" si="165">AM141*AN141</f>
        <v>0</v>
      </c>
      <c r="AP141" s="294"/>
      <c r="AQ141" s="294"/>
      <c r="AR141" s="429"/>
      <c r="AS141" s="295">
        <f t="shared" ref="AS141:AS204" si="166">SUM(AW141,AZ141,BC141,BF141,BI141,BL141,BO141,BR141,BU141,BX141,CA141,CD141,CG141,CJ141,CM141,CP141,CS141,CV141,CY141,DB141)</f>
        <v>0</v>
      </c>
      <c r="AT141" s="216">
        <f t="shared" ref="AT141:AT204" si="167">_xlfn.IFS(AND(AS141&gt;=60,$AG141&lt;&gt;""), $AG141,    AND(AS141&gt;=30,$AF141&lt;&gt;""), $AF141,    AND(AS141&gt;=10,$AE141&lt;&gt;""), $AE141,    TRUE, $Z141)</f>
        <v>10.17</v>
      </c>
      <c r="AU141" s="291">
        <f t="shared" si="139"/>
        <v>0</v>
      </c>
      <c r="AV141" s="296">
        <f>[1]COMMANDE!O139</f>
        <v>0</v>
      </c>
      <c r="AW141" s="297" t="str">
        <f t="shared" ref="AW141:AW204" si="168">_xlfn.IFS(AND($AI141=$AM141,$AI141&gt;0,$AM141&gt;0,AV141&gt;0), AV141,     AND(NOT($AI141=$AM141),$AI141&gt;0,$AM141&gt;0,AV141&gt;0), ($AM141*AV141)/$AI141,     AND($AI141=0,$AM141&gt;0,$AQ141&gt;0), IF(INDEX(AV$12:AV$263,MATCH($AQ141,$AP$12:$AP$263,0))&gt;0,($AM141*INDEX(AV$12:AV$263,MATCH($AQ141,$AP$12:$AP$263,0)))/INDEX($AI$12:$AI$263,MATCH($AQ141,$AP$12:$AP$263,0)), "-"),     TRUE, "0")</f>
        <v>0</v>
      </c>
      <c r="AX141" s="298">
        <f t="shared" ref="AX141:AX204" si="169">IF(AW$9&gt;0, IF(OR(AW141="",AW141="-"), 0, AW141*$AT141), AV141*$AJ141)</f>
        <v>0</v>
      </c>
      <c r="AY141" s="299">
        <f>[1]COMMANDE!Q139</f>
        <v>0</v>
      </c>
      <c r="AZ141" s="297" t="str">
        <f t="shared" ref="AZ141:AZ204" si="170">_xlfn.IFS(AND($AI141=$AM141,$AI141&gt;0,$AM141&gt;0,AY141&gt;0), AY141,     AND(NOT($AI141=$AM141),$AI141&gt;0,$AM141&gt;0,AY141&gt;0), ($AM141*AY141)/$AI141,     AND($AI141=0,$AM141&gt;0,$AQ141&gt;0), IF(INDEX(AY$12:AY$263,MATCH($AQ141,$AP$12:$AP$263,0))&gt;0,($AM141*INDEX(AY$12:AY$263,MATCH($AQ141,$AP$12:$AP$263,0)))/INDEX($AI$12:$AI$263,MATCH($AQ141,$AP$12:$AP$263,0)), "-"),     TRUE, "0")</f>
        <v>0</v>
      </c>
      <c r="BA141" s="300">
        <f t="shared" ref="BA141:BA204" si="171">IF(AZ$9&gt;0, IF(OR(AZ141="",AZ141="-"), 0, AZ141*$AT141), AY141*$AJ141)</f>
        <v>0</v>
      </c>
      <c r="BB141" s="301">
        <f>[1]COMMANDE!S139</f>
        <v>0</v>
      </c>
      <c r="BC141" s="297" t="str">
        <f t="shared" ref="BC141:BC204" si="172">_xlfn.IFS(AND($AI141=$AM141,$AI141&gt;0,$AM141&gt;0,BB141&gt;0), BB141,     AND(NOT($AI141=$AM141),$AI141&gt;0,$AM141&gt;0,BB141&gt;0), ($AM141*BB141)/$AI141,     AND($AI141=0,$AM141&gt;0,$AQ141&gt;0), IF(INDEX(BB$12:BB$263,MATCH($AQ141,$AP$12:$AP$263,0))&gt;0,($AM141*INDEX(BB$12:BB$263,MATCH($AQ141,$AP$12:$AP$263,0)))/INDEX($AI$12:$AI$263,MATCH($AQ141,$AP$12:$AP$263,0)), "-"),     TRUE, "0")</f>
        <v>0</v>
      </c>
      <c r="BD141" s="298">
        <f t="shared" ref="BD141:BD204" si="173">IF(BC$9&gt;0, IF(OR(BC141="",BC141="-"), 0, BC141*$AT141), BB141*$AJ141)</f>
        <v>0</v>
      </c>
      <c r="BE141" s="299">
        <f>[1]COMMANDE!U139</f>
        <v>0</v>
      </c>
      <c r="BF141" s="297" t="str">
        <f t="shared" ref="BF141:BF204" si="174">_xlfn.IFS(AND($AI141=$AM141,$AI141&gt;0,$AM141&gt;0,BE141&gt;0), BE141,     AND(NOT($AI141=$AM141),$AI141&gt;0,$AM141&gt;0,BE141&gt;0), ($AM141*BE141)/$AI141,     AND($AI141=0,$AM141&gt;0,$AQ141&gt;0), IF(INDEX(BE$12:BE$263,MATCH($AQ141,$AP$12:$AP$263,0))&gt;0,($AM141*INDEX(BE$12:BE$263,MATCH($AQ141,$AP$12:$AP$263,0)))/INDEX($AI$12:$AI$263,MATCH($AQ141,$AP$12:$AP$263,0)), "-"),     TRUE, "0")</f>
        <v>0</v>
      </c>
      <c r="BG141" s="300">
        <f t="shared" ref="BG141:BG204" si="175">IF(BF$9&gt;0, IF(OR(BF141="",BF141="-"), 0, BF141*$AT141), BE141*$AJ141)</f>
        <v>0</v>
      </c>
      <c r="BH141" s="301">
        <f>[1]COMMANDE!W139</f>
        <v>0</v>
      </c>
      <c r="BI141" s="297" t="str">
        <f t="shared" ref="BI141:BI204" si="176">_xlfn.IFS(AND($AI141=$AM141,$AI141&gt;0,$AM141&gt;0,BH141&gt;0), BH141,     AND(NOT($AI141=$AM141),$AI141&gt;0,$AM141&gt;0,BH141&gt;0), ($AM141*BH141)/$AI141,     AND($AI141=0,$AM141&gt;0,$AQ141&gt;0), IF(INDEX(BH$12:BH$263,MATCH($AQ141,$AP$12:$AP$263,0))&gt;0,($AM141*INDEX(BH$12:BH$263,MATCH($AQ141,$AP$12:$AP$263,0)))/INDEX($AI$12:$AI$263,MATCH($AQ141,$AP$12:$AP$263,0)), "-"),     TRUE, "0")</f>
        <v>0</v>
      </c>
      <c r="BJ141" s="298">
        <f t="shared" ref="BJ141:BJ204" si="177">IF(BI$9&gt;0, IF(OR(BI141="",BI141="-"), 0, BI141*$AT141), BH141*$AJ141)</f>
        <v>0</v>
      </c>
      <c r="BK141" s="299">
        <f>[1]COMMANDE!Y139</f>
        <v>0</v>
      </c>
      <c r="BL141" s="297" t="str">
        <f t="shared" ref="BL141:BL204" si="178">_xlfn.IFS(AND($AI141=$AM141,$AI141&gt;0,$AM141&gt;0,BK141&gt;0), BK141,     AND(NOT($AI141=$AM141),$AI141&gt;0,$AM141&gt;0,BK141&gt;0), ($AM141*BK141)/$AI141,     AND($AI141=0,$AM141&gt;0,$AQ141&gt;0), IF(INDEX(BK$12:BK$263,MATCH($AQ141,$AP$12:$AP$263,0))&gt;0,($AM141*INDEX(BK$12:BK$263,MATCH($AQ141,$AP$12:$AP$263,0)))/INDEX($AI$12:$AI$263,MATCH($AQ141,$AP$12:$AP$263,0)), "-"),     TRUE, "0")</f>
        <v>0</v>
      </c>
      <c r="BM141" s="300">
        <f t="shared" ref="BM141:BM204" si="179">IF(BL$9&gt;0, IF(OR(BL141="",BL141="-"), 0, BL141*$AT141), BK141*$AJ141)</f>
        <v>0</v>
      </c>
      <c r="BN141" s="301">
        <f>[1]COMMANDE!AA139</f>
        <v>0</v>
      </c>
      <c r="BO141" s="297" t="str">
        <f t="shared" ref="BO141:BO204" si="180">_xlfn.IFS(AND($AI141=$AM141,$AI141&gt;0,$AM141&gt;0,BN141&gt;0), BN141,     AND(NOT($AI141=$AM141),$AI141&gt;0,$AM141&gt;0,BN141&gt;0), ($AM141*BN141)/$AI141,     AND($AI141=0,$AM141&gt;0,$AQ141&gt;0), IF(INDEX(BN$12:BN$263,MATCH($AQ141,$AP$12:$AP$263,0))&gt;0,($AM141*INDEX(BN$12:BN$263,MATCH($AQ141,$AP$12:$AP$263,0)))/INDEX($AI$12:$AI$263,MATCH($AQ141,$AP$12:$AP$263,0)), "-"),     TRUE, "0")</f>
        <v>0</v>
      </c>
      <c r="BP141" s="298">
        <f t="shared" ref="BP141:BP204" si="181">IF(BO$9&gt;0, IF(OR(BO141="",BO141="-"), 0, BO141*$AT141), BN141*$AJ141)</f>
        <v>0</v>
      </c>
      <c r="BQ141" s="299">
        <f>[1]COMMANDE!AC139</f>
        <v>0</v>
      </c>
      <c r="BR141" s="297" t="str">
        <f t="shared" ref="BR141:BR204" si="182">_xlfn.IFS(AND($AI141=$AM141,$AI141&gt;0,$AM141&gt;0,BQ141&gt;0), BQ141,     AND(NOT($AI141=$AM141),$AI141&gt;0,$AM141&gt;0,BQ141&gt;0), ($AM141*BQ141)/$AI141,     AND($AI141=0,$AM141&gt;0,$AQ141&gt;0), IF(INDEX(BQ$12:BQ$263,MATCH($AQ141,$AP$12:$AP$263,0))&gt;0,($AM141*INDEX(BQ$12:BQ$263,MATCH($AQ141,$AP$12:$AP$263,0)))/INDEX($AI$12:$AI$263,MATCH($AQ141,$AP$12:$AP$263,0)), "-"),     TRUE, "0")</f>
        <v>0</v>
      </c>
      <c r="BS141" s="300">
        <f t="shared" ref="BS141:BS204" si="183">IF(BR$9&gt;0, IF(OR(BR141="",BR141="-"), 0, BR141*$AT141), BQ141*$AJ141)</f>
        <v>0</v>
      </c>
      <c r="BT141" s="301">
        <f>[1]COMMANDE!AE139</f>
        <v>0</v>
      </c>
      <c r="BU141" s="297" t="str">
        <f t="shared" ref="BU141:BU204" si="184">_xlfn.IFS(AND($AI141=$AM141,$AI141&gt;0,$AM141&gt;0,BT141&gt;0), BT141,     AND(NOT($AI141=$AM141),$AI141&gt;0,$AM141&gt;0,BT141&gt;0), ($AM141*BT141)/$AI141,     AND($AI141=0,$AM141&gt;0,$AQ141&gt;0), IF(INDEX(BT$12:BT$263,MATCH($AQ141,$AP$12:$AP$263,0))&gt;0,($AM141*INDEX(BT$12:BT$263,MATCH($AQ141,$AP$12:$AP$263,0)))/INDEX($AI$12:$AI$263,MATCH($AQ141,$AP$12:$AP$263,0)), "-"),     TRUE, "0")</f>
        <v>0</v>
      </c>
      <c r="BV141" s="298">
        <f t="shared" ref="BV141:BV204" si="185">IF(BU$9&gt;0, IF(OR(BU141="",BU141="-"), 0, BU141*$AT141), BT141*$AJ141)</f>
        <v>0</v>
      </c>
      <c r="BW141" s="299">
        <f>[1]COMMANDE!AG139</f>
        <v>0</v>
      </c>
      <c r="BX141" s="297" t="str">
        <f t="shared" ref="BX141:BX204" si="186">_xlfn.IFS(AND($AI141=$AM141,$AI141&gt;0,$AM141&gt;0,BW141&gt;0), BW141,     AND(NOT($AI141=$AM141),$AI141&gt;0,$AM141&gt;0,BW141&gt;0), ($AM141*BW141)/$AI141,     AND($AI141=0,$AM141&gt;0,$AQ141&gt;0), IF(INDEX(BW$12:BW$263,MATCH($AQ141,$AP$12:$AP$263,0))&gt;0,($AM141*INDEX(BW$12:BW$263,MATCH($AQ141,$AP$12:$AP$263,0)))/INDEX($AI$12:$AI$263,MATCH($AQ141,$AP$12:$AP$263,0)), "-"),     TRUE, "0")</f>
        <v>0</v>
      </c>
      <c r="BY141" s="300">
        <f t="shared" ref="BY141:BY204" si="187">IF(BX$9&gt;0, IF(OR(BX141="",BX141="-"), 0, BX141*$AT141), BW141*$AJ141)</f>
        <v>0</v>
      </c>
      <c r="BZ141" s="301">
        <f>[1]COMMANDE!AI139</f>
        <v>0</v>
      </c>
      <c r="CA141" s="297" t="str">
        <f t="shared" ref="CA141:CA204" si="188">_xlfn.IFS(AND($AI141=$AM141,$AI141&gt;0,$AM141&gt;0,BZ141&gt;0), BZ141,     AND(NOT($AI141=$AM141),$AI141&gt;0,$AM141&gt;0,BZ141&gt;0), ($AM141*BZ141)/$AI141,     AND($AI141=0,$AM141&gt;0,$AQ141&gt;0), IF(INDEX(BZ$12:BZ$263,MATCH($AQ141,$AP$12:$AP$263,0))&gt;0,($AM141*INDEX(BZ$12:BZ$263,MATCH($AQ141,$AP$12:$AP$263,0)))/INDEX($AI$12:$AI$263,MATCH($AQ141,$AP$12:$AP$263,0)), "-"),     TRUE, "0")</f>
        <v>0</v>
      </c>
      <c r="CB141" s="298">
        <f t="shared" ref="CB141:CB204" si="189">IF(CA$9&gt;0, IF(OR(CA141="",CA141="-"), 0, CA141*$AT141), BZ141*$AJ141)</f>
        <v>0</v>
      </c>
      <c r="CC141" s="299">
        <f>[1]COMMANDE!AK139</f>
        <v>0</v>
      </c>
      <c r="CD141" s="297" t="str">
        <f t="shared" ref="CD141:CD204" si="190">_xlfn.IFS(AND($AI141=$AM141,$AI141&gt;0,$AM141&gt;0,CC141&gt;0), CC141,     AND(NOT($AI141=$AM141),$AI141&gt;0,$AM141&gt;0,CC141&gt;0), ($AM141*CC141)/$AI141,     AND($AI141=0,$AM141&gt;0,$AQ141&gt;0), IF(INDEX(CC$12:CC$263,MATCH($AQ141,$AP$12:$AP$263,0))&gt;0,($AM141*INDEX(CC$12:CC$263,MATCH($AQ141,$AP$12:$AP$263,0)))/INDEX($AI$12:$AI$263,MATCH($AQ141,$AP$12:$AP$263,0)), "-"),     TRUE, "0")</f>
        <v>0</v>
      </c>
      <c r="CE141" s="300">
        <f t="shared" ref="CE141:CE204" si="191">IF(CD$9&gt;0, IF(OR(CD141="",CD141="-"), 0, CD141*$AT141), CC141*$AJ141)</f>
        <v>0</v>
      </c>
      <c r="CF141" s="301">
        <f>[1]COMMANDE!AM139</f>
        <v>0</v>
      </c>
      <c r="CG141" s="297" t="str">
        <f t="shared" ref="CG141:CG204" si="192">_xlfn.IFS(AND($AI141=$AM141,$AI141&gt;0,$AM141&gt;0,CF141&gt;0), CF141,     AND(NOT($AI141=$AM141),$AI141&gt;0,$AM141&gt;0,CF141&gt;0), ($AM141*CF141)/$AI141,     AND($AI141=0,$AM141&gt;0,$AQ141&gt;0), IF(INDEX(CF$12:CF$263,MATCH($AQ141,$AP$12:$AP$263,0))&gt;0,($AM141*INDEX(CF$12:CF$263,MATCH($AQ141,$AP$12:$AP$263,0)))/INDEX($AI$12:$AI$263,MATCH($AQ141,$AP$12:$AP$263,0)), "-"),     TRUE, "0")</f>
        <v>0</v>
      </c>
      <c r="CH141" s="298">
        <f t="shared" ref="CH141:CH204" si="193">IF(CG$9&gt;0, IF(OR(CG141="",CG141="-"), 0, CG141*$AT141), CF141*$AJ141)</f>
        <v>0</v>
      </c>
      <c r="CI141" s="299">
        <f>[1]COMMANDE!AO139</f>
        <v>0</v>
      </c>
      <c r="CJ141" s="297" t="str">
        <f t="shared" ref="CJ141:CJ204" si="194">_xlfn.IFS(AND($AI141=$AM141,$AI141&gt;0,$AM141&gt;0,CI141&gt;0), CI141,     AND(NOT($AI141=$AM141),$AI141&gt;0,$AM141&gt;0,CI141&gt;0), ($AM141*CI141)/$AI141,     AND($AI141=0,$AM141&gt;0,$AQ141&gt;0), IF(INDEX(CI$12:CI$263,MATCH($AQ141,$AP$12:$AP$263,0))&gt;0,($AM141*INDEX(CI$12:CI$263,MATCH($AQ141,$AP$12:$AP$263,0)))/INDEX($AI$12:$AI$263,MATCH($AQ141,$AP$12:$AP$263,0)), "-"),     TRUE, "0")</f>
        <v>0</v>
      </c>
      <c r="CK141" s="300">
        <f t="shared" ref="CK141:CK204" si="195">IF(CJ$9&gt;0, IF(OR(CJ141="",CJ141="-"), 0, CJ141*$AT141), CI141*$AJ141)</f>
        <v>0</v>
      </c>
      <c r="CL141" s="301">
        <f>[1]COMMANDE!AQ139</f>
        <v>0</v>
      </c>
      <c r="CM141" s="297" t="str">
        <f t="shared" ref="CM141:CM204" si="196">_xlfn.IFS(AND($AI141=$AM141,$AI141&gt;0,$AM141&gt;0,CL141&gt;0), CL141,     AND(NOT($AI141=$AM141),$AI141&gt;0,$AM141&gt;0,CL141&gt;0), ($AM141*CL141)/$AI141,     AND($AI141=0,$AM141&gt;0,$AQ141&gt;0), IF(INDEX(CL$12:CL$263,MATCH($AQ141,$AP$12:$AP$263,0))&gt;0,($AM141*INDEX(CL$12:CL$263,MATCH($AQ141,$AP$12:$AP$263,0)))/INDEX($AI$12:$AI$263,MATCH($AQ141,$AP$12:$AP$263,0)), "-"),     TRUE, "0")</f>
        <v>0</v>
      </c>
      <c r="CN141" s="298">
        <f t="shared" ref="CN141:CN204" si="197">IF(CM$9&gt;0, IF(OR(CM141="",CM141="-"), 0, CM141*$AT141), CL141*$AJ141)</f>
        <v>0</v>
      </c>
      <c r="CO141" s="299">
        <f>[1]COMMANDE!AS139</f>
        <v>0</v>
      </c>
      <c r="CP141" s="297" t="str">
        <f t="shared" ref="CP141:CP204" si="198">_xlfn.IFS(AND($AI141=$AM141,$AI141&gt;0,$AM141&gt;0,CO141&gt;0), CO141,     AND(NOT($AI141=$AM141),$AI141&gt;0,$AM141&gt;0,CO141&gt;0), ($AM141*CO141)/$AI141,     AND($AI141=0,$AM141&gt;0,$AQ141&gt;0), IF(INDEX(CO$12:CO$263,MATCH($AQ141,$AP$12:$AP$263,0))&gt;0,($AM141*INDEX(CO$12:CO$263,MATCH($AQ141,$AP$12:$AP$263,0)))/INDEX($AI$12:$AI$263,MATCH($AQ141,$AP$12:$AP$263,0)), "-"),     TRUE, "0")</f>
        <v>0</v>
      </c>
      <c r="CQ141" s="300">
        <f t="shared" ref="CQ141:CQ204" si="199">IF(CP$9&gt;0, IF(OR(CP141="",CP141="-"), 0, CP141*$AT141), CO141*$AJ141)</f>
        <v>0</v>
      </c>
      <c r="CR141" s="301">
        <f>[1]COMMANDE!AU139</f>
        <v>0</v>
      </c>
      <c r="CS141" s="297" t="str">
        <f t="shared" ref="CS141:CS204" si="200">_xlfn.IFS(AND($AI141=$AM141,$AI141&gt;0,$AM141&gt;0,CR141&gt;0), CR141,     AND(NOT($AI141=$AM141),$AI141&gt;0,$AM141&gt;0,CR141&gt;0), ($AM141*CR141)/$AI141,     AND($AI141=0,$AM141&gt;0,$AQ141&gt;0), IF(INDEX(CR$12:CR$263,MATCH($AQ141,$AP$12:$AP$263,0))&gt;0,($AM141*INDEX(CR$12:CR$263,MATCH($AQ141,$AP$12:$AP$263,0)))/INDEX($AI$12:$AI$263,MATCH($AQ141,$AP$12:$AP$263,0)), "-"),     TRUE, "0")</f>
        <v>0</v>
      </c>
      <c r="CT141" s="298">
        <f t="shared" ref="CT141:CT204" si="201">IF(CS$9&gt;0, IF(OR(CS141="",CS141="-"), 0, CS141*$AT141), CR141*$AJ141)</f>
        <v>0</v>
      </c>
      <c r="CU141" s="299">
        <f>[1]COMMANDE!AW139</f>
        <v>0</v>
      </c>
      <c r="CV141" s="297" t="str">
        <f t="shared" ref="CV141:CV204" si="202">_xlfn.IFS(AND($AI141=$AM141,$AI141&gt;0,$AM141&gt;0,CU141&gt;0), CU141,     AND(NOT($AI141=$AM141),$AI141&gt;0,$AM141&gt;0,CU141&gt;0), ($AM141*CU141)/$AI141,     AND($AI141=0,$AM141&gt;0,$AQ141&gt;0), IF(INDEX(CU$12:CU$263,MATCH($AQ141,$AP$12:$AP$263,0))&gt;0,($AM141*INDEX(CU$12:CU$263,MATCH($AQ141,$AP$12:$AP$263,0)))/INDEX($AI$12:$AI$263,MATCH($AQ141,$AP$12:$AP$263,0)), "-"),     TRUE, "0")</f>
        <v>0</v>
      </c>
      <c r="CW141" s="300">
        <f t="shared" ref="CW141:CW204" si="203">IF(CV$9&gt;0, IF(OR(CV141="",CV141="-"), 0, CV141*$AT141), CU141*$AJ141)</f>
        <v>0</v>
      </c>
      <c r="CX141" s="301">
        <f>[1]COMMANDE!AY139</f>
        <v>0</v>
      </c>
      <c r="CY141" s="297" t="str">
        <f t="shared" ref="CY141:CY204" si="204">_xlfn.IFS(AND($AI141=$AM141,$AI141&gt;0,$AM141&gt;0,CX141&gt;0), CX141,     AND(NOT($AI141=$AM141),$AI141&gt;0,$AM141&gt;0,CX141&gt;0), ($AM141*CX141)/$AI141,     AND($AI141=0,$AM141&gt;0,$AQ141&gt;0), IF(INDEX(CX$12:CX$263,MATCH($AQ141,$AP$12:$AP$263,0))&gt;0,($AM141*INDEX(CX$12:CX$263,MATCH($AQ141,$AP$12:$AP$263,0)))/INDEX($AI$12:$AI$263,MATCH($AQ141,$AP$12:$AP$263,0)), "-"),     TRUE, "0")</f>
        <v>0</v>
      </c>
      <c r="CZ141" s="298">
        <f t="shared" ref="CZ141:CZ204" si="205">IF(CY$9&gt;0, IF(OR(CY141="",CY141="-"), 0, CY141*$AT141), CX141*$AJ141)</f>
        <v>0</v>
      </c>
      <c r="DA141" s="299">
        <f>[1]COMMANDE!BA139</f>
        <v>0</v>
      </c>
      <c r="DB141" s="297" t="str">
        <f t="shared" ref="DB141:DB204" si="206">_xlfn.IFS(AND($AI141=$AM141,$AI141&gt;0,$AM141&gt;0,DA141&gt;0), DA141,     AND(NOT($AI141=$AM141),$AI141&gt;0,$AM141&gt;0,DA141&gt;0), ($AM141*DA141)/$AI141,     AND($AI141=0,$AM141&gt;0,$AQ141&gt;0), IF(INDEX(DA$12:DA$263,MATCH($AQ141,$AP$12:$AP$263,0))&gt;0,($AM141*INDEX(DA$12:DA$263,MATCH($AQ141,$AP$12:$AP$263,0)))/INDEX($AI$12:$AI$263,MATCH($AQ141,$AP$12:$AP$263,0)), "-"),     TRUE, "0")</f>
        <v>0</v>
      </c>
      <c r="DC141" s="302">
        <f t="shared" ref="DC141:DC204" si="207">IF(DB$9&gt;0, IF(OR(DB141="",DB141="-"), 0, DB141*$AT141), DA141*$AJ141)</f>
        <v>0</v>
      </c>
      <c r="DD141" s="303"/>
      <c r="DE141" s="304"/>
    </row>
    <row r="142" spans="1:128" ht="39.950000000000003" customHeight="1" x14ac:dyDescent="0.25">
      <c r="A142" s="284">
        <f t="shared" si="140"/>
        <v>0</v>
      </c>
      <c r="B142" s="284">
        <f t="shared" si="141"/>
        <v>0</v>
      </c>
      <c r="C142" s="284">
        <f t="shared" si="142"/>
        <v>0</v>
      </c>
      <c r="D142" s="284">
        <f t="shared" si="143"/>
        <v>0</v>
      </c>
      <c r="E142" s="284">
        <f t="shared" si="144"/>
        <v>0</v>
      </c>
      <c r="F142" s="284">
        <f t="shared" si="145"/>
        <v>0</v>
      </c>
      <c r="G142" s="284">
        <f t="shared" si="146"/>
        <v>0</v>
      </c>
      <c r="H142" s="284">
        <f t="shared" si="147"/>
        <v>0</v>
      </c>
      <c r="I142" s="284">
        <f t="shared" si="148"/>
        <v>0</v>
      </c>
      <c r="J142" s="284">
        <f t="shared" si="149"/>
        <v>0</v>
      </c>
      <c r="K142" s="284">
        <f t="shared" si="150"/>
        <v>0</v>
      </c>
      <c r="L142" s="284">
        <f t="shared" si="151"/>
        <v>0</v>
      </c>
      <c r="M142" s="284">
        <f t="shared" si="152"/>
        <v>0</v>
      </c>
      <c r="N142" s="284">
        <f t="shared" si="153"/>
        <v>0</v>
      </c>
      <c r="O142" s="284">
        <f t="shared" si="154"/>
        <v>0</v>
      </c>
      <c r="P142" s="284">
        <f t="shared" si="155"/>
        <v>0</v>
      </c>
      <c r="Q142" s="284">
        <f t="shared" si="156"/>
        <v>0</v>
      </c>
      <c r="R142" s="284">
        <f t="shared" si="157"/>
        <v>0</v>
      </c>
      <c r="S142" s="284">
        <f t="shared" si="158"/>
        <v>0</v>
      </c>
      <c r="T142" s="284">
        <f t="shared" si="159"/>
        <v>0</v>
      </c>
      <c r="U142" s="285">
        <f t="shared" si="160"/>
        <v>0</v>
      </c>
      <c r="V142" s="286">
        <f>[1]BDD!A132</f>
        <v>6093</v>
      </c>
      <c r="W142" s="287" t="str">
        <f>[1]BDD!B132</f>
        <v xml:space="preserve">Kombucha océanique (spiruline et citron) BIO Viver (env. 500ml en verre) </v>
      </c>
      <c r="X142" s="288" t="str">
        <f>IF([1]BDD!F132=0, "", [1]BDD!F132)</f>
        <v/>
      </c>
      <c r="Y142" s="214">
        <f>ROUND([1]BDD!G132+FDP_CMD_KG, 2)</f>
        <v>6.2</v>
      </c>
      <c r="Z142" s="214">
        <f>ROUND([1]BDD!G132+FDP_FACT_KG, 2)</f>
        <v>6.2</v>
      </c>
      <c r="AA142" s="215" t="str">
        <f>[1]BDD!H132</f>
        <v>Pièce</v>
      </c>
      <c r="AB142" s="225" t="str">
        <f>IF(NOT(ISBLANK([1]BDD!I132)), ROUND(SUM(([1]BDD!G132*reduc1),FDP_CMD_KG), 2), "")</f>
        <v/>
      </c>
      <c r="AC142" s="225" t="str">
        <f>IF(NOT(ISBLANK([1]BDD!J132)), ROUND(SUM(([1]BDD!G132*reduc2),FDP_CMD_KG), 2), "")</f>
        <v/>
      </c>
      <c r="AD142" s="225" t="str">
        <f>IF(NOT(ISBLANK([1]BDD!K132)), ROUND(SUM(([1]BDD!G132*reduc3),FDP_CMD_KG), 2), "")</f>
        <v/>
      </c>
      <c r="AE142" s="225" t="str">
        <f>IF(NOT(ISBLANK([1]BDD!I132)), ROUND(SUM(([1]BDD!G132*reduc1),FDP_FACT_KG), 2), "")</f>
        <v/>
      </c>
      <c r="AF142" s="225" t="str">
        <f>IF(NOT(ISBLANK([1]BDD!J132)), ROUND(SUM(([1]BDD!G132*reduc2),FDP_FACT_KG), 2), "")</f>
        <v/>
      </c>
      <c r="AG142" s="225" t="str">
        <f>IF(NOT(ISBLANK([1]BDD!K132)), ROUND(SUM(([1]BDD!G132*reduc3),FDP_FACT_KG), 2), "")</f>
        <v/>
      </c>
      <c r="AH142" s="289" t="str">
        <f>[1]BDD!C132</f>
        <v>Grenade</v>
      </c>
      <c r="AI142" s="290">
        <f t="shared" si="161"/>
        <v>0</v>
      </c>
      <c r="AJ142" s="216">
        <f t="shared" si="162"/>
        <v>6.2</v>
      </c>
      <c r="AK142" s="291">
        <f t="shared" si="163"/>
        <v>0</v>
      </c>
      <c r="AL142" s="429"/>
      <c r="AM142" s="292"/>
      <c r="AN142" s="216">
        <f t="shared" si="164"/>
        <v>6.2</v>
      </c>
      <c r="AO142" s="293">
        <f t="shared" si="165"/>
        <v>0</v>
      </c>
      <c r="AP142" s="294"/>
      <c r="AQ142" s="294"/>
      <c r="AR142" s="429"/>
      <c r="AS142" s="295">
        <f t="shared" si="166"/>
        <v>0</v>
      </c>
      <c r="AT142" s="216">
        <f t="shared" si="167"/>
        <v>6.2</v>
      </c>
      <c r="AU142" s="291">
        <f t="shared" si="139"/>
        <v>0</v>
      </c>
      <c r="AV142" s="296">
        <f>[1]COMMANDE!O140</f>
        <v>0</v>
      </c>
      <c r="AW142" s="297" t="str">
        <f t="shared" si="168"/>
        <v>0</v>
      </c>
      <c r="AX142" s="298">
        <f t="shared" si="169"/>
        <v>0</v>
      </c>
      <c r="AY142" s="299">
        <f>[1]COMMANDE!Q140</f>
        <v>0</v>
      </c>
      <c r="AZ142" s="297" t="str">
        <f t="shared" si="170"/>
        <v>0</v>
      </c>
      <c r="BA142" s="300">
        <f t="shared" si="171"/>
        <v>0</v>
      </c>
      <c r="BB142" s="301">
        <f>[1]COMMANDE!S140</f>
        <v>0</v>
      </c>
      <c r="BC142" s="297" t="str">
        <f t="shared" si="172"/>
        <v>0</v>
      </c>
      <c r="BD142" s="298">
        <f t="shared" si="173"/>
        <v>0</v>
      </c>
      <c r="BE142" s="299">
        <f>[1]COMMANDE!U140</f>
        <v>0</v>
      </c>
      <c r="BF142" s="297" t="str">
        <f t="shared" si="174"/>
        <v>0</v>
      </c>
      <c r="BG142" s="300">
        <f t="shared" si="175"/>
        <v>0</v>
      </c>
      <c r="BH142" s="301">
        <f>[1]COMMANDE!W140</f>
        <v>0</v>
      </c>
      <c r="BI142" s="297" t="str">
        <f t="shared" si="176"/>
        <v>0</v>
      </c>
      <c r="BJ142" s="298">
        <f t="shared" si="177"/>
        <v>0</v>
      </c>
      <c r="BK142" s="299">
        <f>[1]COMMANDE!Y140</f>
        <v>0</v>
      </c>
      <c r="BL142" s="297" t="str">
        <f t="shared" si="178"/>
        <v>0</v>
      </c>
      <c r="BM142" s="300">
        <f t="shared" si="179"/>
        <v>0</v>
      </c>
      <c r="BN142" s="301">
        <f>[1]COMMANDE!AA140</f>
        <v>0</v>
      </c>
      <c r="BO142" s="297" t="str">
        <f t="shared" si="180"/>
        <v>0</v>
      </c>
      <c r="BP142" s="298">
        <f t="shared" si="181"/>
        <v>0</v>
      </c>
      <c r="BQ142" s="299">
        <f>[1]COMMANDE!AC140</f>
        <v>0</v>
      </c>
      <c r="BR142" s="297" t="str">
        <f t="shared" si="182"/>
        <v>0</v>
      </c>
      <c r="BS142" s="300">
        <f t="shared" si="183"/>
        <v>0</v>
      </c>
      <c r="BT142" s="301">
        <f>[1]COMMANDE!AE140</f>
        <v>0</v>
      </c>
      <c r="BU142" s="297" t="str">
        <f t="shared" si="184"/>
        <v>0</v>
      </c>
      <c r="BV142" s="298">
        <f t="shared" si="185"/>
        <v>0</v>
      </c>
      <c r="BW142" s="299">
        <f>[1]COMMANDE!AG140</f>
        <v>0</v>
      </c>
      <c r="BX142" s="297" t="str">
        <f t="shared" si="186"/>
        <v>0</v>
      </c>
      <c r="BY142" s="300">
        <f t="shared" si="187"/>
        <v>0</v>
      </c>
      <c r="BZ142" s="301">
        <f>[1]COMMANDE!AI140</f>
        <v>0</v>
      </c>
      <c r="CA142" s="297" t="str">
        <f t="shared" si="188"/>
        <v>0</v>
      </c>
      <c r="CB142" s="298">
        <f t="shared" si="189"/>
        <v>0</v>
      </c>
      <c r="CC142" s="299">
        <f>[1]COMMANDE!AK140</f>
        <v>0</v>
      </c>
      <c r="CD142" s="297" t="str">
        <f t="shared" si="190"/>
        <v>0</v>
      </c>
      <c r="CE142" s="300">
        <f t="shared" si="191"/>
        <v>0</v>
      </c>
      <c r="CF142" s="301">
        <f>[1]COMMANDE!AM140</f>
        <v>0</v>
      </c>
      <c r="CG142" s="297" t="str">
        <f t="shared" si="192"/>
        <v>0</v>
      </c>
      <c r="CH142" s="298">
        <f t="shared" si="193"/>
        <v>0</v>
      </c>
      <c r="CI142" s="299">
        <f>[1]COMMANDE!AO140</f>
        <v>0</v>
      </c>
      <c r="CJ142" s="297" t="str">
        <f t="shared" si="194"/>
        <v>0</v>
      </c>
      <c r="CK142" s="300">
        <f t="shared" si="195"/>
        <v>0</v>
      </c>
      <c r="CL142" s="301">
        <f>[1]COMMANDE!AQ140</f>
        <v>0</v>
      </c>
      <c r="CM142" s="297" t="str">
        <f t="shared" si="196"/>
        <v>0</v>
      </c>
      <c r="CN142" s="298">
        <f t="shared" si="197"/>
        <v>0</v>
      </c>
      <c r="CO142" s="299">
        <f>[1]COMMANDE!AS140</f>
        <v>0</v>
      </c>
      <c r="CP142" s="297" t="str">
        <f t="shared" si="198"/>
        <v>0</v>
      </c>
      <c r="CQ142" s="300">
        <f t="shared" si="199"/>
        <v>0</v>
      </c>
      <c r="CR142" s="301">
        <f>[1]COMMANDE!AU140</f>
        <v>0</v>
      </c>
      <c r="CS142" s="297" t="str">
        <f t="shared" si="200"/>
        <v>0</v>
      </c>
      <c r="CT142" s="298">
        <f t="shared" si="201"/>
        <v>0</v>
      </c>
      <c r="CU142" s="299">
        <f>[1]COMMANDE!AW140</f>
        <v>0</v>
      </c>
      <c r="CV142" s="297" t="str">
        <f t="shared" si="202"/>
        <v>0</v>
      </c>
      <c r="CW142" s="300">
        <f t="shared" si="203"/>
        <v>0</v>
      </c>
      <c r="CX142" s="301">
        <f>[1]COMMANDE!AY140</f>
        <v>0</v>
      </c>
      <c r="CY142" s="297" t="str">
        <f t="shared" si="204"/>
        <v>0</v>
      </c>
      <c r="CZ142" s="298">
        <f t="shared" si="205"/>
        <v>0</v>
      </c>
      <c r="DA142" s="299">
        <f>[1]COMMANDE!BA140</f>
        <v>0</v>
      </c>
      <c r="DB142" s="297" t="str">
        <f t="shared" si="206"/>
        <v>0</v>
      </c>
      <c r="DC142" s="302">
        <f t="shared" si="207"/>
        <v>0</v>
      </c>
      <c r="DD142" s="303"/>
      <c r="DE142" s="304"/>
    </row>
    <row r="143" spans="1:128" ht="39.950000000000003" customHeight="1" x14ac:dyDescent="0.25">
      <c r="A143" s="284">
        <f t="shared" si="140"/>
        <v>0</v>
      </c>
      <c r="B143" s="284">
        <f t="shared" si="141"/>
        <v>0</v>
      </c>
      <c r="C143" s="284">
        <f t="shared" si="142"/>
        <v>0</v>
      </c>
      <c r="D143" s="284">
        <f t="shared" si="143"/>
        <v>0</v>
      </c>
      <c r="E143" s="284">
        <f t="shared" si="144"/>
        <v>0</v>
      </c>
      <c r="F143" s="284">
        <f t="shared" si="145"/>
        <v>0</v>
      </c>
      <c r="G143" s="284">
        <f t="shared" si="146"/>
        <v>0</v>
      </c>
      <c r="H143" s="284">
        <f t="shared" si="147"/>
        <v>0</v>
      </c>
      <c r="I143" s="284">
        <f t="shared" si="148"/>
        <v>0</v>
      </c>
      <c r="J143" s="284">
        <f t="shared" si="149"/>
        <v>0</v>
      </c>
      <c r="K143" s="284">
        <f t="shared" si="150"/>
        <v>0</v>
      </c>
      <c r="L143" s="284">
        <f t="shared" si="151"/>
        <v>0</v>
      </c>
      <c r="M143" s="284">
        <f t="shared" si="152"/>
        <v>0</v>
      </c>
      <c r="N143" s="284">
        <f t="shared" si="153"/>
        <v>0</v>
      </c>
      <c r="O143" s="284">
        <f t="shared" si="154"/>
        <v>0</v>
      </c>
      <c r="P143" s="284">
        <f t="shared" si="155"/>
        <v>0</v>
      </c>
      <c r="Q143" s="284">
        <f t="shared" si="156"/>
        <v>0</v>
      </c>
      <c r="R143" s="284">
        <f t="shared" si="157"/>
        <v>0</v>
      </c>
      <c r="S143" s="284">
        <f t="shared" si="158"/>
        <v>0</v>
      </c>
      <c r="T143" s="284">
        <f t="shared" si="159"/>
        <v>0</v>
      </c>
      <c r="U143" s="285">
        <f t="shared" si="160"/>
        <v>0</v>
      </c>
      <c r="V143" s="286">
        <f>[1]BDD!A133</f>
        <v>1755</v>
      </c>
      <c r="W143" s="287" t="str">
        <f>[1]BDD!B133</f>
        <v>Lait de coco en poudre CRU BIO (1kg)</v>
      </c>
      <c r="X143" s="288" t="str">
        <f>IF([1]BDD!F133=0, "", [1]BDD!F133)</f>
        <v>❤️</v>
      </c>
      <c r="Y143" s="214">
        <f>ROUND([1]BDD!G133+FDP_CMD_KG, 2)</f>
        <v>35.090000000000003</v>
      </c>
      <c r="Z143" s="214">
        <f>ROUND([1]BDD!G133+FDP_FACT_KG, 2)</f>
        <v>35.090000000000003</v>
      </c>
      <c r="AA143" s="215" t="str">
        <f>[1]BDD!H133</f>
        <v>kg</v>
      </c>
      <c r="AB143" s="225">
        <f>IF(NOT(ISBLANK([1]BDD!I133)), ROUND(SUM(([1]BDD!G133*reduc1),FDP_CMD_KG), 2), "")</f>
        <v>31.67</v>
      </c>
      <c r="AC143" s="225" t="str">
        <f>IF(NOT(ISBLANK([1]BDD!J133)), ROUND(SUM(([1]BDD!G133*reduc2),FDP_CMD_KG), 2), "")</f>
        <v/>
      </c>
      <c r="AD143" s="225" t="str">
        <f>IF(NOT(ISBLANK([1]BDD!K133)), ROUND(SUM(([1]BDD!G133*reduc3),FDP_CMD_KG), 2), "")</f>
        <v/>
      </c>
      <c r="AE143" s="225">
        <f>IF(NOT(ISBLANK([1]BDD!I133)), ROUND(SUM(([1]BDD!G133*reduc1),FDP_FACT_KG), 2), "")</f>
        <v>31.66</v>
      </c>
      <c r="AF143" s="225" t="str">
        <f>IF(NOT(ISBLANK([1]BDD!J133)), ROUND(SUM(([1]BDD!G133*reduc2),FDP_FACT_KG), 2), "")</f>
        <v/>
      </c>
      <c r="AG143" s="225" t="str">
        <f>IF(NOT(ISBLANK([1]BDD!K133)), ROUND(SUM(([1]BDD!G133*reduc3),FDP_FACT_KG), 2), "")</f>
        <v/>
      </c>
      <c r="AH143" s="289" t="str">
        <f>[1]BDD!C133</f>
        <v>Sri Lanka</v>
      </c>
      <c r="AI143" s="290">
        <f t="shared" si="161"/>
        <v>0</v>
      </c>
      <c r="AJ143" s="216">
        <f t="shared" si="162"/>
        <v>31.67</v>
      </c>
      <c r="AK143" s="291">
        <f t="shared" si="163"/>
        <v>0</v>
      </c>
      <c r="AL143" s="429"/>
      <c r="AM143" s="292"/>
      <c r="AN143" s="216">
        <f t="shared" si="164"/>
        <v>35.090000000000003</v>
      </c>
      <c r="AO143" s="293">
        <f t="shared" si="165"/>
        <v>0</v>
      </c>
      <c r="AP143" s="294"/>
      <c r="AQ143" s="294"/>
      <c r="AR143" s="429"/>
      <c r="AS143" s="295">
        <f t="shared" si="166"/>
        <v>0</v>
      </c>
      <c r="AT143" s="216">
        <f t="shared" si="167"/>
        <v>35.090000000000003</v>
      </c>
      <c r="AU143" s="291">
        <f t="shared" si="139"/>
        <v>0</v>
      </c>
      <c r="AV143" s="296">
        <f>[1]COMMANDE!O141</f>
        <v>0</v>
      </c>
      <c r="AW143" s="297" t="str">
        <f t="shared" si="168"/>
        <v>0</v>
      </c>
      <c r="AX143" s="298">
        <f t="shared" si="169"/>
        <v>0</v>
      </c>
      <c r="AY143" s="299">
        <f>[1]COMMANDE!Q141</f>
        <v>0</v>
      </c>
      <c r="AZ143" s="297" t="str">
        <f t="shared" si="170"/>
        <v>0</v>
      </c>
      <c r="BA143" s="300">
        <f t="shared" si="171"/>
        <v>0</v>
      </c>
      <c r="BB143" s="301">
        <f>[1]COMMANDE!S141</f>
        <v>0</v>
      </c>
      <c r="BC143" s="297" t="str">
        <f t="shared" si="172"/>
        <v>0</v>
      </c>
      <c r="BD143" s="298">
        <f t="shared" si="173"/>
        <v>0</v>
      </c>
      <c r="BE143" s="299">
        <f>[1]COMMANDE!U141</f>
        <v>0</v>
      </c>
      <c r="BF143" s="297" t="str">
        <f t="shared" si="174"/>
        <v>0</v>
      </c>
      <c r="BG143" s="300">
        <f t="shared" si="175"/>
        <v>0</v>
      </c>
      <c r="BH143" s="301">
        <f>[1]COMMANDE!W141</f>
        <v>0</v>
      </c>
      <c r="BI143" s="297" t="str">
        <f t="shared" si="176"/>
        <v>0</v>
      </c>
      <c r="BJ143" s="298">
        <f t="shared" si="177"/>
        <v>0</v>
      </c>
      <c r="BK143" s="299">
        <f>[1]COMMANDE!Y141</f>
        <v>0</v>
      </c>
      <c r="BL143" s="297" t="str">
        <f t="shared" si="178"/>
        <v>0</v>
      </c>
      <c r="BM143" s="300">
        <f t="shared" si="179"/>
        <v>0</v>
      </c>
      <c r="BN143" s="301">
        <f>[1]COMMANDE!AA141</f>
        <v>0</v>
      </c>
      <c r="BO143" s="297" t="str">
        <f t="shared" si="180"/>
        <v>0</v>
      </c>
      <c r="BP143" s="298">
        <f t="shared" si="181"/>
        <v>0</v>
      </c>
      <c r="BQ143" s="299">
        <f>[1]COMMANDE!AC141</f>
        <v>0</v>
      </c>
      <c r="BR143" s="297" t="str">
        <f t="shared" si="182"/>
        <v>0</v>
      </c>
      <c r="BS143" s="300">
        <f t="shared" si="183"/>
        <v>0</v>
      </c>
      <c r="BT143" s="301">
        <f>[1]COMMANDE!AE141</f>
        <v>0</v>
      </c>
      <c r="BU143" s="297" t="str">
        <f t="shared" si="184"/>
        <v>0</v>
      </c>
      <c r="BV143" s="298">
        <f t="shared" si="185"/>
        <v>0</v>
      </c>
      <c r="BW143" s="299">
        <f>[1]COMMANDE!AG141</f>
        <v>0</v>
      </c>
      <c r="BX143" s="297" t="str">
        <f t="shared" si="186"/>
        <v>0</v>
      </c>
      <c r="BY143" s="300">
        <f t="shared" si="187"/>
        <v>0</v>
      </c>
      <c r="BZ143" s="301">
        <f>[1]COMMANDE!AI141</f>
        <v>0</v>
      </c>
      <c r="CA143" s="297" t="str">
        <f t="shared" si="188"/>
        <v>0</v>
      </c>
      <c r="CB143" s="298">
        <f t="shared" si="189"/>
        <v>0</v>
      </c>
      <c r="CC143" s="299">
        <f>[1]COMMANDE!AK141</f>
        <v>0</v>
      </c>
      <c r="CD143" s="297" t="str">
        <f t="shared" si="190"/>
        <v>0</v>
      </c>
      <c r="CE143" s="300">
        <f t="shared" si="191"/>
        <v>0</v>
      </c>
      <c r="CF143" s="301">
        <f>[1]COMMANDE!AM141</f>
        <v>0</v>
      </c>
      <c r="CG143" s="297" t="str">
        <f t="shared" si="192"/>
        <v>0</v>
      </c>
      <c r="CH143" s="298">
        <f t="shared" si="193"/>
        <v>0</v>
      </c>
      <c r="CI143" s="299">
        <f>[1]COMMANDE!AO141</f>
        <v>0</v>
      </c>
      <c r="CJ143" s="297" t="str">
        <f t="shared" si="194"/>
        <v>0</v>
      </c>
      <c r="CK143" s="300">
        <f t="shared" si="195"/>
        <v>0</v>
      </c>
      <c r="CL143" s="301">
        <f>[1]COMMANDE!AQ141</f>
        <v>0</v>
      </c>
      <c r="CM143" s="297" t="str">
        <f t="shared" si="196"/>
        <v>0</v>
      </c>
      <c r="CN143" s="298">
        <f t="shared" si="197"/>
        <v>0</v>
      </c>
      <c r="CO143" s="299">
        <f>[1]COMMANDE!AS141</f>
        <v>0</v>
      </c>
      <c r="CP143" s="297" t="str">
        <f t="shared" si="198"/>
        <v>0</v>
      </c>
      <c r="CQ143" s="300">
        <f t="shared" si="199"/>
        <v>0</v>
      </c>
      <c r="CR143" s="301">
        <f>[1]COMMANDE!AU141</f>
        <v>0</v>
      </c>
      <c r="CS143" s="297" t="str">
        <f t="shared" si="200"/>
        <v>0</v>
      </c>
      <c r="CT143" s="298">
        <f t="shared" si="201"/>
        <v>0</v>
      </c>
      <c r="CU143" s="299">
        <f>[1]COMMANDE!AW141</f>
        <v>0</v>
      </c>
      <c r="CV143" s="297" t="str">
        <f t="shared" si="202"/>
        <v>0</v>
      </c>
      <c r="CW143" s="300">
        <f t="shared" si="203"/>
        <v>0</v>
      </c>
      <c r="CX143" s="301">
        <f>[1]COMMANDE!AY141</f>
        <v>0</v>
      </c>
      <c r="CY143" s="297" t="str">
        <f t="shared" si="204"/>
        <v>0</v>
      </c>
      <c r="CZ143" s="298">
        <f t="shared" si="205"/>
        <v>0</v>
      </c>
      <c r="DA143" s="299">
        <f>[1]COMMANDE!BA141</f>
        <v>0</v>
      </c>
      <c r="DB143" s="297" t="str">
        <f t="shared" si="206"/>
        <v>0</v>
      </c>
      <c r="DC143" s="302">
        <f t="shared" si="207"/>
        <v>0</v>
      </c>
      <c r="DD143" s="303"/>
      <c r="DE143" s="304"/>
    </row>
    <row r="144" spans="1:128" ht="39.950000000000003" customHeight="1" x14ac:dyDescent="0.25">
      <c r="A144" s="284">
        <f t="shared" si="140"/>
        <v>0</v>
      </c>
      <c r="B144" s="284">
        <f t="shared" si="141"/>
        <v>0</v>
      </c>
      <c r="C144" s="284">
        <f t="shared" si="142"/>
        <v>0</v>
      </c>
      <c r="D144" s="284">
        <f t="shared" si="143"/>
        <v>0</v>
      </c>
      <c r="E144" s="284">
        <f t="shared" si="144"/>
        <v>0</v>
      </c>
      <c r="F144" s="284">
        <f t="shared" si="145"/>
        <v>0</v>
      </c>
      <c r="G144" s="284">
        <f t="shared" si="146"/>
        <v>0</v>
      </c>
      <c r="H144" s="284">
        <f t="shared" si="147"/>
        <v>0</v>
      </c>
      <c r="I144" s="284">
        <f t="shared" si="148"/>
        <v>0</v>
      </c>
      <c r="J144" s="284">
        <f t="shared" si="149"/>
        <v>0</v>
      </c>
      <c r="K144" s="284">
        <f t="shared" si="150"/>
        <v>0</v>
      </c>
      <c r="L144" s="284">
        <f t="shared" si="151"/>
        <v>0</v>
      </c>
      <c r="M144" s="284">
        <f t="shared" si="152"/>
        <v>0</v>
      </c>
      <c r="N144" s="284">
        <f t="shared" si="153"/>
        <v>0</v>
      </c>
      <c r="O144" s="284">
        <f t="shared" si="154"/>
        <v>0</v>
      </c>
      <c r="P144" s="284">
        <f t="shared" si="155"/>
        <v>0</v>
      </c>
      <c r="Q144" s="284">
        <f t="shared" si="156"/>
        <v>0</v>
      </c>
      <c r="R144" s="284">
        <f t="shared" si="157"/>
        <v>0</v>
      </c>
      <c r="S144" s="284">
        <f t="shared" si="158"/>
        <v>0</v>
      </c>
      <c r="T144" s="284">
        <f t="shared" si="159"/>
        <v>0</v>
      </c>
      <c r="U144" s="285">
        <f t="shared" si="160"/>
        <v>0</v>
      </c>
      <c r="V144" s="286">
        <f>[1]BDD!A134</f>
        <v>1755</v>
      </c>
      <c r="W144" s="287" t="str">
        <f>[1]BDD!B134</f>
        <v>Lait de coco en poudre CRU BIO (500g)</v>
      </c>
      <c r="X144" s="288" t="str">
        <f>IF([1]BDD!F134=0, "", [1]BDD!F134)</f>
        <v>❤️</v>
      </c>
      <c r="Y144" s="214">
        <f>ROUND([1]BDD!G134+FDP_CMD_KG, 2)</f>
        <v>18.649999999999999</v>
      </c>
      <c r="Z144" s="214">
        <f>ROUND([1]BDD!G134+FDP_FACT_KG, 2)</f>
        <v>18.649999999999999</v>
      </c>
      <c r="AA144" s="215" t="str">
        <f>[1]BDD!H134</f>
        <v>kg</v>
      </c>
      <c r="AB144" s="225" t="str">
        <f>IF(NOT(ISBLANK([1]BDD!I134)), ROUND(SUM(([1]BDD!G134*reduc1),FDP_CMD_KG), 2), "")</f>
        <v/>
      </c>
      <c r="AC144" s="225" t="str">
        <f>IF(NOT(ISBLANK([1]BDD!J134)), ROUND(SUM(([1]BDD!G134*reduc2),FDP_CMD_KG), 2), "")</f>
        <v/>
      </c>
      <c r="AD144" s="225" t="str">
        <f>IF(NOT(ISBLANK([1]BDD!K134)), ROUND(SUM(([1]BDD!G134*reduc3),FDP_CMD_KG), 2), "")</f>
        <v/>
      </c>
      <c r="AE144" s="225" t="str">
        <f>IF(NOT(ISBLANK([1]BDD!I134)), ROUND(SUM(([1]BDD!G134*reduc1),FDP_FACT_KG), 2), "")</f>
        <v/>
      </c>
      <c r="AF144" s="225" t="str">
        <f>IF(NOT(ISBLANK([1]BDD!J134)), ROUND(SUM(([1]BDD!G134*reduc2),FDP_FACT_KG), 2), "")</f>
        <v/>
      </c>
      <c r="AG144" s="225" t="str">
        <f>IF(NOT(ISBLANK([1]BDD!K134)), ROUND(SUM(([1]BDD!G134*reduc3),FDP_FACT_KG), 2), "")</f>
        <v/>
      </c>
      <c r="AH144" s="289" t="str">
        <f>[1]BDD!C134</f>
        <v>Sri Lanka</v>
      </c>
      <c r="AI144" s="290">
        <f t="shared" si="161"/>
        <v>0</v>
      </c>
      <c r="AJ144" s="216">
        <f t="shared" si="162"/>
        <v>18.649999999999999</v>
      </c>
      <c r="AK144" s="291">
        <f t="shared" si="163"/>
        <v>0</v>
      </c>
      <c r="AL144" s="429"/>
      <c r="AM144" s="292"/>
      <c r="AN144" s="216">
        <f t="shared" si="164"/>
        <v>18.649999999999999</v>
      </c>
      <c r="AO144" s="293">
        <f t="shared" si="165"/>
        <v>0</v>
      </c>
      <c r="AP144" s="294"/>
      <c r="AQ144" s="294"/>
      <c r="AR144" s="429"/>
      <c r="AS144" s="295">
        <f t="shared" si="166"/>
        <v>0</v>
      </c>
      <c r="AT144" s="216">
        <f t="shared" si="167"/>
        <v>18.649999999999999</v>
      </c>
      <c r="AU144" s="291">
        <f t="shared" si="139"/>
        <v>0</v>
      </c>
      <c r="AV144" s="296">
        <f>[1]COMMANDE!O142</f>
        <v>0</v>
      </c>
      <c r="AW144" s="297" t="str">
        <f t="shared" si="168"/>
        <v>0</v>
      </c>
      <c r="AX144" s="298">
        <f t="shared" si="169"/>
        <v>0</v>
      </c>
      <c r="AY144" s="299">
        <f>[1]COMMANDE!Q142</f>
        <v>0</v>
      </c>
      <c r="AZ144" s="297" t="str">
        <f t="shared" si="170"/>
        <v>0</v>
      </c>
      <c r="BA144" s="300">
        <f t="shared" si="171"/>
        <v>0</v>
      </c>
      <c r="BB144" s="301">
        <f>[1]COMMANDE!S142</f>
        <v>0</v>
      </c>
      <c r="BC144" s="297" t="str">
        <f t="shared" si="172"/>
        <v>0</v>
      </c>
      <c r="BD144" s="298">
        <f t="shared" si="173"/>
        <v>0</v>
      </c>
      <c r="BE144" s="299">
        <f>[1]COMMANDE!U142</f>
        <v>0</v>
      </c>
      <c r="BF144" s="297" t="str">
        <f t="shared" si="174"/>
        <v>0</v>
      </c>
      <c r="BG144" s="300">
        <f t="shared" si="175"/>
        <v>0</v>
      </c>
      <c r="BH144" s="301">
        <f>[1]COMMANDE!W142</f>
        <v>0</v>
      </c>
      <c r="BI144" s="297" t="str">
        <f t="shared" si="176"/>
        <v>0</v>
      </c>
      <c r="BJ144" s="298">
        <f t="shared" si="177"/>
        <v>0</v>
      </c>
      <c r="BK144" s="299">
        <f>[1]COMMANDE!Y142</f>
        <v>0</v>
      </c>
      <c r="BL144" s="297" t="str">
        <f t="shared" si="178"/>
        <v>0</v>
      </c>
      <c r="BM144" s="300">
        <f t="shared" si="179"/>
        <v>0</v>
      </c>
      <c r="BN144" s="301">
        <f>[1]COMMANDE!AA142</f>
        <v>0</v>
      </c>
      <c r="BO144" s="297" t="str">
        <f t="shared" si="180"/>
        <v>0</v>
      </c>
      <c r="BP144" s="298">
        <f t="shared" si="181"/>
        <v>0</v>
      </c>
      <c r="BQ144" s="299">
        <f>[1]COMMANDE!AC142</f>
        <v>0</v>
      </c>
      <c r="BR144" s="297" t="str">
        <f t="shared" si="182"/>
        <v>0</v>
      </c>
      <c r="BS144" s="300">
        <f t="shared" si="183"/>
        <v>0</v>
      </c>
      <c r="BT144" s="301">
        <f>[1]COMMANDE!AE142</f>
        <v>0</v>
      </c>
      <c r="BU144" s="297" t="str">
        <f t="shared" si="184"/>
        <v>0</v>
      </c>
      <c r="BV144" s="298">
        <f t="shared" si="185"/>
        <v>0</v>
      </c>
      <c r="BW144" s="299">
        <f>[1]COMMANDE!AG142</f>
        <v>0</v>
      </c>
      <c r="BX144" s="297" t="str">
        <f t="shared" si="186"/>
        <v>0</v>
      </c>
      <c r="BY144" s="300">
        <f t="shared" si="187"/>
        <v>0</v>
      </c>
      <c r="BZ144" s="301">
        <f>[1]COMMANDE!AI142</f>
        <v>0</v>
      </c>
      <c r="CA144" s="297" t="str">
        <f t="shared" si="188"/>
        <v>0</v>
      </c>
      <c r="CB144" s="298">
        <f t="shared" si="189"/>
        <v>0</v>
      </c>
      <c r="CC144" s="299">
        <f>[1]COMMANDE!AK142</f>
        <v>0</v>
      </c>
      <c r="CD144" s="297" t="str">
        <f t="shared" si="190"/>
        <v>0</v>
      </c>
      <c r="CE144" s="300">
        <f t="shared" si="191"/>
        <v>0</v>
      </c>
      <c r="CF144" s="301">
        <f>[1]COMMANDE!AM142</f>
        <v>0</v>
      </c>
      <c r="CG144" s="297" t="str">
        <f t="shared" si="192"/>
        <v>0</v>
      </c>
      <c r="CH144" s="298">
        <f t="shared" si="193"/>
        <v>0</v>
      </c>
      <c r="CI144" s="299">
        <f>[1]COMMANDE!AO142</f>
        <v>0</v>
      </c>
      <c r="CJ144" s="297" t="str">
        <f t="shared" si="194"/>
        <v>0</v>
      </c>
      <c r="CK144" s="300">
        <f t="shared" si="195"/>
        <v>0</v>
      </c>
      <c r="CL144" s="301">
        <f>[1]COMMANDE!AQ142</f>
        <v>0</v>
      </c>
      <c r="CM144" s="297" t="str">
        <f t="shared" si="196"/>
        <v>0</v>
      </c>
      <c r="CN144" s="298">
        <f t="shared" si="197"/>
        <v>0</v>
      </c>
      <c r="CO144" s="299">
        <f>[1]COMMANDE!AS142</f>
        <v>0</v>
      </c>
      <c r="CP144" s="297" t="str">
        <f t="shared" si="198"/>
        <v>0</v>
      </c>
      <c r="CQ144" s="300">
        <f t="shared" si="199"/>
        <v>0</v>
      </c>
      <c r="CR144" s="301">
        <f>[1]COMMANDE!AU142</f>
        <v>0</v>
      </c>
      <c r="CS144" s="297" t="str">
        <f t="shared" si="200"/>
        <v>0</v>
      </c>
      <c r="CT144" s="298">
        <f t="shared" si="201"/>
        <v>0</v>
      </c>
      <c r="CU144" s="299">
        <f>[1]COMMANDE!AW142</f>
        <v>0</v>
      </c>
      <c r="CV144" s="297" t="str">
        <f t="shared" si="202"/>
        <v>0</v>
      </c>
      <c r="CW144" s="300">
        <f t="shared" si="203"/>
        <v>0</v>
      </c>
      <c r="CX144" s="301">
        <f>[1]COMMANDE!AY142</f>
        <v>0</v>
      </c>
      <c r="CY144" s="297" t="str">
        <f t="shared" si="204"/>
        <v>0</v>
      </c>
      <c r="CZ144" s="298">
        <f t="shared" si="205"/>
        <v>0</v>
      </c>
      <c r="DA144" s="299">
        <f>[1]COMMANDE!BA142</f>
        <v>0</v>
      </c>
      <c r="DB144" s="297" t="str">
        <f t="shared" si="206"/>
        <v>0</v>
      </c>
      <c r="DC144" s="302">
        <f t="shared" si="207"/>
        <v>0</v>
      </c>
      <c r="DD144" s="303"/>
      <c r="DE144" s="304"/>
    </row>
    <row r="145" spans="1:128" ht="39.950000000000003" customHeight="1" x14ac:dyDescent="0.25">
      <c r="A145" s="284">
        <f t="shared" si="140"/>
        <v>0</v>
      </c>
      <c r="B145" s="284">
        <f t="shared" si="141"/>
        <v>0</v>
      </c>
      <c r="C145" s="284">
        <f t="shared" si="142"/>
        <v>0</v>
      </c>
      <c r="D145" s="284">
        <f t="shared" si="143"/>
        <v>0</v>
      </c>
      <c r="E145" s="284">
        <f t="shared" si="144"/>
        <v>0</v>
      </c>
      <c r="F145" s="284">
        <f t="shared" si="145"/>
        <v>0</v>
      </c>
      <c r="G145" s="284">
        <f t="shared" si="146"/>
        <v>0</v>
      </c>
      <c r="H145" s="284">
        <f t="shared" si="147"/>
        <v>0</v>
      </c>
      <c r="I145" s="284">
        <f t="shared" si="148"/>
        <v>0</v>
      </c>
      <c r="J145" s="284">
        <f t="shared" si="149"/>
        <v>0</v>
      </c>
      <c r="K145" s="284">
        <f t="shared" si="150"/>
        <v>0</v>
      </c>
      <c r="L145" s="284">
        <f t="shared" si="151"/>
        <v>0</v>
      </c>
      <c r="M145" s="284">
        <f t="shared" si="152"/>
        <v>0</v>
      </c>
      <c r="N145" s="284">
        <f t="shared" si="153"/>
        <v>0</v>
      </c>
      <c r="O145" s="284">
        <f t="shared" si="154"/>
        <v>0</v>
      </c>
      <c r="P145" s="284">
        <f t="shared" si="155"/>
        <v>0</v>
      </c>
      <c r="Q145" s="284">
        <f t="shared" si="156"/>
        <v>0</v>
      </c>
      <c r="R145" s="284">
        <f t="shared" si="157"/>
        <v>0</v>
      </c>
      <c r="S145" s="284">
        <f t="shared" si="158"/>
        <v>0</v>
      </c>
      <c r="T145" s="284">
        <f t="shared" si="159"/>
        <v>0</v>
      </c>
      <c r="U145" s="285">
        <f t="shared" si="160"/>
        <v>0</v>
      </c>
      <c r="V145" s="286">
        <f>[1]BDD!A135</f>
        <v>6126</v>
      </c>
      <c r="W145" s="287" t="str">
        <f>[1]BDD!B135</f>
        <v>Laitue Maravilla de Verano Neruda BIO (production Rufino)</v>
      </c>
      <c r="X145" s="288" t="str">
        <f>IF([1]BDD!F135=0, "", [1]BDD!F135)</f>
        <v/>
      </c>
      <c r="Y145" s="214">
        <f>ROUND([1]BDD!G135+FDP_CMD_KG, 2)</f>
        <v>2.09</v>
      </c>
      <c r="Z145" s="214">
        <f>ROUND([1]BDD!G135+FDP_FACT_KG, 2)</f>
        <v>2.09</v>
      </c>
      <c r="AA145" s="215" t="str">
        <f>[1]BDD!H135</f>
        <v>Pièce</v>
      </c>
      <c r="AB145" s="225">
        <f>IF(NOT(ISBLANK([1]BDD!I135)), ROUND(SUM(([1]BDD!G135*reduc1),FDP_CMD_KG), 2), "")</f>
        <v>1.97</v>
      </c>
      <c r="AC145" s="225" t="str">
        <f>IF(NOT(ISBLANK([1]BDD!J135)), ROUND(SUM(([1]BDD!G135*reduc2),FDP_CMD_KG), 2), "")</f>
        <v/>
      </c>
      <c r="AD145" s="225" t="str">
        <f>IF(NOT(ISBLANK([1]BDD!K135)), ROUND(SUM(([1]BDD!G135*reduc3),FDP_CMD_KG), 2), "")</f>
        <v/>
      </c>
      <c r="AE145" s="225">
        <f>IF(NOT(ISBLANK([1]BDD!I135)), ROUND(SUM(([1]BDD!G135*reduc1),FDP_FACT_KG), 2), "")</f>
        <v>1.96</v>
      </c>
      <c r="AF145" s="225" t="str">
        <f>IF(NOT(ISBLANK([1]BDD!J135)), ROUND(SUM(([1]BDD!G135*reduc2),FDP_FACT_KG), 2), "")</f>
        <v/>
      </c>
      <c r="AG145" s="225" t="str">
        <f>IF(NOT(ISBLANK([1]BDD!K135)), ROUND(SUM(([1]BDD!G135*reduc3),FDP_FACT_KG), 2), "")</f>
        <v/>
      </c>
      <c r="AH145" s="289" t="str">
        <f>[1]BDD!C135</f>
        <v>Grenade</v>
      </c>
      <c r="AI145" s="290">
        <f t="shared" si="161"/>
        <v>0</v>
      </c>
      <c r="AJ145" s="216">
        <f t="shared" si="162"/>
        <v>1.97</v>
      </c>
      <c r="AK145" s="291">
        <f t="shared" si="163"/>
        <v>0</v>
      </c>
      <c r="AL145" s="429"/>
      <c r="AM145" s="292"/>
      <c r="AN145" s="216">
        <f t="shared" si="164"/>
        <v>2.09</v>
      </c>
      <c r="AO145" s="293">
        <f t="shared" si="165"/>
        <v>0</v>
      </c>
      <c r="AP145" s="294"/>
      <c r="AQ145" s="294"/>
      <c r="AR145" s="429"/>
      <c r="AS145" s="295">
        <f t="shared" si="166"/>
        <v>0</v>
      </c>
      <c r="AT145" s="216">
        <f t="shared" si="167"/>
        <v>2.09</v>
      </c>
      <c r="AU145" s="291">
        <f t="shared" si="139"/>
        <v>0</v>
      </c>
      <c r="AV145" s="296">
        <f>[1]COMMANDE!O143</f>
        <v>0</v>
      </c>
      <c r="AW145" s="297" t="str">
        <f t="shared" si="168"/>
        <v>0</v>
      </c>
      <c r="AX145" s="298">
        <f t="shared" si="169"/>
        <v>0</v>
      </c>
      <c r="AY145" s="299">
        <f>[1]COMMANDE!Q143</f>
        <v>0</v>
      </c>
      <c r="AZ145" s="297" t="str">
        <f t="shared" si="170"/>
        <v>0</v>
      </c>
      <c r="BA145" s="300">
        <f t="shared" si="171"/>
        <v>0</v>
      </c>
      <c r="BB145" s="301">
        <f>[1]COMMANDE!S143</f>
        <v>0</v>
      </c>
      <c r="BC145" s="297" t="str">
        <f t="shared" si="172"/>
        <v>0</v>
      </c>
      <c r="BD145" s="298">
        <f t="shared" si="173"/>
        <v>0</v>
      </c>
      <c r="BE145" s="299">
        <f>[1]COMMANDE!U143</f>
        <v>0</v>
      </c>
      <c r="BF145" s="297" t="str">
        <f t="shared" si="174"/>
        <v>0</v>
      </c>
      <c r="BG145" s="300">
        <f t="shared" si="175"/>
        <v>0</v>
      </c>
      <c r="BH145" s="301">
        <f>[1]COMMANDE!W143</f>
        <v>0</v>
      </c>
      <c r="BI145" s="297" t="str">
        <f t="shared" si="176"/>
        <v>0</v>
      </c>
      <c r="BJ145" s="298">
        <f t="shared" si="177"/>
        <v>0</v>
      </c>
      <c r="BK145" s="299">
        <f>[1]COMMANDE!Y143</f>
        <v>0</v>
      </c>
      <c r="BL145" s="297" t="str">
        <f t="shared" si="178"/>
        <v>0</v>
      </c>
      <c r="BM145" s="300">
        <f t="shared" si="179"/>
        <v>0</v>
      </c>
      <c r="BN145" s="301">
        <f>[1]COMMANDE!AA143</f>
        <v>0</v>
      </c>
      <c r="BO145" s="297" t="str">
        <f t="shared" si="180"/>
        <v>0</v>
      </c>
      <c r="BP145" s="298">
        <f t="shared" si="181"/>
        <v>0</v>
      </c>
      <c r="BQ145" s="299">
        <f>[1]COMMANDE!AC143</f>
        <v>0</v>
      </c>
      <c r="BR145" s="297" t="str">
        <f t="shared" si="182"/>
        <v>0</v>
      </c>
      <c r="BS145" s="300">
        <f t="shared" si="183"/>
        <v>0</v>
      </c>
      <c r="BT145" s="301">
        <f>[1]COMMANDE!AE143</f>
        <v>0</v>
      </c>
      <c r="BU145" s="297" t="str">
        <f t="shared" si="184"/>
        <v>0</v>
      </c>
      <c r="BV145" s="298">
        <f t="shared" si="185"/>
        <v>0</v>
      </c>
      <c r="BW145" s="299">
        <f>[1]COMMANDE!AG143</f>
        <v>0</v>
      </c>
      <c r="BX145" s="297" t="str">
        <f t="shared" si="186"/>
        <v>0</v>
      </c>
      <c r="BY145" s="300">
        <f t="shared" si="187"/>
        <v>0</v>
      </c>
      <c r="BZ145" s="301">
        <f>[1]COMMANDE!AI143</f>
        <v>0</v>
      </c>
      <c r="CA145" s="297" t="str">
        <f t="shared" si="188"/>
        <v>0</v>
      </c>
      <c r="CB145" s="298">
        <f t="shared" si="189"/>
        <v>0</v>
      </c>
      <c r="CC145" s="299">
        <f>[1]COMMANDE!AK143</f>
        <v>0</v>
      </c>
      <c r="CD145" s="297" t="str">
        <f t="shared" si="190"/>
        <v>0</v>
      </c>
      <c r="CE145" s="300">
        <f t="shared" si="191"/>
        <v>0</v>
      </c>
      <c r="CF145" s="301">
        <f>[1]COMMANDE!AM143</f>
        <v>0</v>
      </c>
      <c r="CG145" s="297" t="str">
        <f t="shared" si="192"/>
        <v>0</v>
      </c>
      <c r="CH145" s="298">
        <f t="shared" si="193"/>
        <v>0</v>
      </c>
      <c r="CI145" s="299">
        <f>[1]COMMANDE!AO143</f>
        <v>0</v>
      </c>
      <c r="CJ145" s="297" t="str">
        <f t="shared" si="194"/>
        <v>0</v>
      </c>
      <c r="CK145" s="300">
        <f t="shared" si="195"/>
        <v>0</v>
      </c>
      <c r="CL145" s="301">
        <f>[1]COMMANDE!AQ143</f>
        <v>0</v>
      </c>
      <c r="CM145" s="297" t="str">
        <f t="shared" si="196"/>
        <v>0</v>
      </c>
      <c r="CN145" s="298">
        <f t="shared" si="197"/>
        <v>0</v>
      </c>
      <c r="CO145" s="299">
        <f>[1]COMMANDE!AS143</f>
        <v>0</v>
      </c>
      <c r="CP145" s="297" t="str">
        <f t="shared" si="198"/>
        <v>0</v>
      </c>
      <c r="CQ145" s="300">
        <f t="shared" si="199"/>
        <v>0</v>
      </c>
      <c r="CR145" s="301">
        <f>[1]COMMANDE!AU143</f>
        <v>0</v>
      </c>
      <c r="CS145" s="297" t="str">
        <f t="shared" si="200"/>
        <v>0</v>
      </c>
      <c r="CT145" s="298">
        <f t="shared" si="201"/>
        <v>0</v>
      </c>
      <c r="CU145" s="299">
        <f>[1]COMMANDE!AW143</f>
        <v>0</v>
      </c>
      <c r="CV145" s="297" t="str">
        <f t="shared" si="202"/>
        <v>0</v>
      </c>
      <c r="CW145" s="300">
        <f t="shared" si="203"/>
        <v>0</v>
      </c>
      <c r="CX145" s="301">
        <f>[1]COMMANDE!AY143</f>
        <v>0</v>
      </c>
      <c r="CY145" s="297" t="str">
        <f t="shared" si="204"/>
        <v>0</v>
      </c>
      <c r="CZ145" s="298">
        <f t="shared" si="205"/>
        <v>0</v>
      </c>
      <c r="DA145" s="299">
        <f>[1]COMMANDE!BA143</f>
        <v>0</v>
      </c>
      <c r="DB145" s="297" t="str">
        <f t="shared" si="206"/>
        <v>0</v>
      </c>
      <c r="DC145" s="302">
        <f t="shared" si="207"/>
        <v>0</v>
      </c>
      <c r="DD145" s="303"/>
      <c r="DE145" s="304"/>
    </row>
    <row r="146" spans="1:128" ht="39.950000000000003" customHeight="1" x14ac:dyDescent="0.25">
      <c r="A146" s="284">
        <f t="shared" si="140"/>
        <v>0</v>
      </c>
      <c r="B146" s="284">
        <f t="shared" si="141"/>
        <v>0</v>
      </c>
      <c r="C146" s="284">
        <f t="shared" si="142"/>
        <v>0</v>
      </c>
      <c r="D146" s="284">
        <f t="shared" si="143"/>
        <v>0</v>
      </c>
      <c r="E146" s="284">
        <f t="shared" si="144"/>
        <v>0</v>
      </c>
      <c r="F146" s="284">
        <f t="shared" si="145"/>
        <v>0</v>
      </c>
      <c r="G146" s="284">
        <f t="shared" si="146"/>
        <v>0</v>
      </c>
      <c r="H146" s="284">
        <f t="shared" si="147"/>
        <v>0</v>
      </c>
      <c r="I146" s="284">
        <f t="shared" si="148"/>
        <v>0</v>
      </c>
      <c r="J146" s="284">
        <f t="shared" si="149"/>
        <v>0</v>
      </c>
      <c r="K146" s="284">
        <f t="shared" si="150"/>
        <v>0</v>
      </c>
      <c r="L146" s="284">
        <f t="shared" si="151"/>
        <v>0</v>
      </c>
      <c r="M146" s="284">
        <f t="shared" si="152"/>
        <v>0</v>
      </c>
      <c r="N146" s="284">
        <f t="shared" si="153"/>
        <v>0</v>
      </c>
      <c r="O146" s="284">
        <f t="shared" si="154"/>
        <v>0</v>
      </c>
      <c r="P146" s="284">
        <f t="shared" si="155"/>
        <v>0</v>
      </c>
      <c r="Q146" s="284">
        <f t="shared" si="156"/>
        <v>0</v>
      </c>
      <c r="R146" s="284">
        <f t="shared" si="157"/>
        <v>0</v>
      </c>
      <c r="S146" s="284">
        <f t="shared" si="158"/>
        <v>0</v>
      </c>
      <c r="T146" s="284">
        <f t="shared" si="159"/>
        <v>0</v>
      </c>
      <c r="U146" s="285">
        <f t="shared" si="160"/>
        <v>0</v>
      </c>
      <c r="V146" s="286">
        <f>[1]BDD!A136</f>
        <v>3977</v>
      </c>
      <c r="W146" s="287" t="str">
        <f>[1]BDD!B136</f>
        <v>Levure nutritionnelle + B12 (env. 1 kg)</v>
      </c>
      <c r="X146" s="288" t="str">
        <f>IF([1]BDD!F136=0, "", [1]BDD!F136)</f>
        <v/>
      </c>
      <c r="Y146" s="214">
        <f>ROUND([1]BDD!G136+FDP_CMD_KG, 2)</f>
        <v>21.39</v>
      </c>
      <c r="Z146" s="214">
        <f>ROUND([1]BDD!G136+FDP_FACT_KG, 2)</f>
        <v>21.39</v>
      </c>
      <c r="AA146" s="215" t="str">
        <f>[1]BDD!H136</f>
        <v>Pièce</v>
      </c>
      <c r="AB146" s="225" t="str">
        <f>IF(NOT(ISBLANK([1]BDD!I136)), ROUND(SUM(([1]BDD!G136*reduc1),FDP_CMD_KG), 2), "")</f>
        <v/>
      </c>
      <c r="AC146" s="225" t="str">
        <f>IF(NOT(ISBLANK([1]BDD!J136)), ROUND(SUM(([1]BDD!G136*reduc2),FDP_CMD_KG), 2), "")</f>
        <v/>
      </c>
      <c r="AD146" s="225" t="str">
        <f>IF(NOT(ISBLANK([1]BDD!K136)), ROUND(SUM(([1]BDD!G136*reduc3),FDP_CMD_KG), 2), "")</f>
        <v/>
      </c>
      <c r="AE146" s="225" t="str">
        <f>IF(NOT(ISBLANK([1]BDD!I136)), ROUND(SUM(([1]BDD!G136*reduc1),FDP_FACT_KG), 2), "")</f>
        <v/>
      </c>
      <c r="AF146" s="225" t="str">
        <f>IF(NOT(ISBLANK([1]BDD!J136)), ROUND(SUM(([1]BDD!G136*reduc2),FDP_FACT_KG), 2), "")</f>
        <v/>
      </c>
      <c r="AG146" s="225" t="str">
        <f>IF(NOT(ISBLANK([1]BDD!K136)), ROUND(SUM(([1]BDD!G136*reduc3),FDP_FACT_KG), 2), "")</f>
        <v/>
      </c>
      <c r="AH146" s="289" t="str">
        <f>[1]BDD!C136</f>
        <v>Estonie</v>
      </c>
      <c r="AI146" s="290">
        <f t="shared" si="161"/>
        <v>0</v>
      </c>
      <c r="AJ146" s="216">
        <f t="shared" si="162"/>
        <v>21.39</v>
      </c>
      <c r="AK146" s="291">
        <f t="shared" si="163"/>
        <v>0</v>
      </c>
      <c r="AL146" s="429"/>
      <c r="AM146" s="292"/>
      <c r="AN146" s="216">
        <f t="shared" si="164"/>
        <v>21.39</v>
      </c>
      <c r="AO146" s="293">
        <f t="shared" si="165"/>
        <v>0</v>
      </c>
      <c r="AP146" s="294"/>
      <c r="AQ146" s="294"/>
      <c r="AR146" s="429"/>
      <c r="AS146" s="295">
        <f t="shared" si="166"/>
        <v>0</v>
      </c>
      <c r="AT146" s="216">
        <f t="shared" si="167"/>
        <v>21.39</v>
      </c>
      <c r="AU146" s="291">
        <f t="shared" si="139"/>
        <v>0</v>
      </c>
      <c r="AV146" s="296">
        <f>[1]COMMANDE!O144</f>
        <v>0</v>
      </c>
      <c r="AW146" s="297" t="str">
        <f t="shared" si="168"/>
        <v>0</v>
      </c>
      <c r="AX146" s="298">
        <f t="shared" si="169"/>
        <v>0</v>
      </c>
      <c r="AY146" s="299">
        <f>[1]COMMANDE!Q144</f>
        <v>0</v>
      </c>
      <c r="AZ146" s="297" t="str">
        <f t="shared" si="170"/>
        <v>0</v>
      </c>
      <c r="BA146" s="300">
        <f t="shared" si="171"/>
        <v>0</v>
      </c>
      <c r="BB146" s="301">
        <f>[1]COMMANDE!S144</f>
        <v>0</v>
      </c>
      <c r="BC146" s="297" t="str">
        <f t="shared" si="172"/>
        <v>0</v>
      </c>
      <c r="BD146" s="298">
        <f t="shared" si="173"/>
        <v>0</v>
      </c>
      <c r="BE146" s="299">
        <f>[1]COMMANDE!U144</f>
        <v>0</v>
      </c>
      <c r="BF146" s="297" t="str">
        <f t="shared" si="174"/>
        <v>0</v>
      </c>
      <c r="BG146" s="300">
        <f t="shared" si="175"/>
        <v>0</v>
      </c>
      <c r="BH146" s="301">
        <f>[1]COMMANDE!W144</f>
        <v>0</v>
      </c>
      <c r="BI146" s="297" t="str">
        <f t="shared" si="176"/>
        <v>0</v>
      </c>
      <c r="BJ146" s="298">
        <f t="shared" si="177"/>
        <v>0</v>
      </c>
      <c r="BK146" s="299">
        <f>[1]COMMANDE!Y144</f>
        <v>0</v>
      </c>
      <c r="BL146" s="297" t="str">
        <f t="shared" si="178"/>
        <v>0</v>
      </c>
      <c r="BM146" s="300">
        <f t="shared" si="179"/>
        <v>0</v>
      </c>
      <c r="BN146" s="301">
        <f>[1]COMMANDE!AA144</f>
        <v>0</v>
      </c>
      <c r="BO146" s="297" t="str">
        <f t="shared" si="180"/>
        <v>0</v>
      </c>
      <c r="BP146" s="298">
        <f t="shared" si="181"/>
        <v>0</v>
      </c>
      <c r="BQ146" s="299">
        <f>[1]COMMANDE!AC144</f>
        <v>0</v>
      </c>
      <c r="BR146" s="297" t="str">
        <f t="shared" si="182"/>
        <v>0</v>
      </c>
      <c r="BS146" s="300">
        <f t="shared" si="183"/>
        <v>0</v>
      </c>
      <c r="BT146" s="301">
        <f>[1]COMMANDE!AE144</f>
        <v>0</v>
      </c>
      <c r="BU146" s="297" t="str">
        <f t="shared" si="184"/>
        <v>0</v>
      </c>
      <c r="BV146" s="298">
        <f t="shared" si="185"/>
        <v>0</v>
      </c>
      <c r="BW146" s="299">
        <f>[1]COMMANDE!AG144</f>
        <v>0</v>
      </c>
      <c r="BX146" s="297" t="str">
        <f t="shared" si="186"/>
        <v>0</v>
      </c>
      <c r="BY146" s="300">
        <f t="shared" si="187"/>
        <v>0</v>
      </c>
      <c r="BZ146" s="301">
        <f>[1]COMMANDE!AI144</f>
        <v>0</v>
      </c>
      <c r="CA146" s="297" t="str">
        <f t="shared" si="188"/>
        <v>0</v>
      </c>
      <c r="CB146" s="298">
        <f t="shared" si="189"/>
        <v>0</v>
      </c>
      <c r="CC146" s="299">
        <f>[1]COMMANDE!AK144</f>
        <v>0</v>
      </c>
      <c r="CD146" s="297" t="str">
        <f t="shared" si="190"/>
        <v>0</v>
      </c>
      <c r="CE146" s="300">
        <f t="shared" si="191"/>
        <v>0</v>
      </c>
      <c r="CF146" s="301">
        <f>[1]COMMANDE!AM144</f>
        <v>0</v>
      </c>
      <c r="CG146" s="297" t="str">
        <f t="shared" si="192"/>
        <v>0</v>
      </c>
      <c r="CH146" s="298">
        <f t="shared" si="193"/>
        <v>0</v>
      </c>
      <c r="CI146" s="299">
        <f>[1]COMMANDE!AO144</f>
        <v>0</v>
      </c>
      <c r="CJ146" s="297" t="str">
        <f t="shared" si="194"/>
        <v>0</v>
      </c>
      <c r="CK146" s="300">
        <f t="shared" si="195"/>
        <v>0</v>
      </c>
      <c r="CL146" s="301">
        <f>[1]COMMANDE!AQ144</f>
        <v>0</v>
      </c>
      <c r="CM146" s="297" t="str">
        <f t="shared" si="196"/>
        <v>0</v>
      </c>
      <c r="CN146" s="298">
        <f t="shared" si="197"/>
        <v>0</v>
      </c>
      <c r="CO146" s="299">
        <f>[1]COMMANDE!AS144</f>
        <v>0</v>
      </c>
      <c r="CP146" s="297" t="str">
        <f t="shared" si="198"/>
        <v>0</v>
      </c>
      <c r="CQ146" s="300">
        <f t="shared" si="199"/>
        <v>0</v>
      </c>
      <c r="CR146" s="301">
        <f>[1]COMMANDE!AU144</f>
        <v>0</v>
      </c>
      <c r="CS146" s="297" t="str">
        <f t="shared" si="200"/>
        <v>0</v>
      </c>
      <c r="CT146" s="298">
        <f t="shared" si="201"/>
        <v>0</v>
      </c>
      <c r="CU146" s="299">
        <f>[1]COMMANDE!AW144</f>
        <v>0</v>
      </c>
      <c r="CV146" s="297" t="str">
        <f t="shared" si="202"/>
        <v>0</v>
      </c>
      <c r="CW146" s="300">
        <f t="shared" si="203"/>
        <v>0</v>
      </c>
      <c r="CX146" s="301">
        <f>[1]COMMANDE!AY144</f>
        <v>0</v>
      </c>
      <c r="CY146" s="297" t="str">
        <f t="shared" si="204"/>
        <v>0</v>
      </c>
      <c r="CZ146" s="298">
        <f t="shared" si="205"/>
        <v>0</v>
      </c>
      <c r="DA146" s="299">
        <f>[1]COMMANDE!BA144</f>
        <v>0</v>
      </c>
      <c r="DB146" s="297" t="str">
        <f t="shared" si="206"/>
        <v>0</v>
      </c>
      <c r="DC146" s="302">
        <f t="shared" si="207"/>
        <v>0</v>
      </c>
      <c r="DD146" s="303"/>
      <c r="DE146" s="304"/>
    </row>
    <row r="147" spans="1:128" ht="39.950000000000003" customHeight="1" x14ac:dyDescent="0.25">
      <c r="A147" s="284">
        <f t="shared" si="140"/>
        <v>0</v>
      </c>
      <c r="B147" s="284">
        <f t="shared" si="141"/>
        <v>0</v>
      </c>
      <c r="C147" s="284">
        <f t="shared" si="142"/>
        <v>0</v>
      </c>
      <c r="D147" s="284">
        <f t="shared" si="143"/>
        <v>0</v>
      </c>
      <c r="E147" s="284">
        <f t="shared" si="144"/>
        <v>0</v>
      </c>
      <c r="F147" s="284">
        <f t="shared" si="145"/>
        <v>0</v>
      </c>
      <c r="G147" s="284">
        <f t="shared" si="146"/>
        <v>0</v>
      </c>
      <c r="H147" s="284">
        <f t="shared" si="147"/>
        <v>0</v>
      </c>
      <c r="I147" s="284">
        <f t="shared" si="148"/>
        <v>0</v>
      </c>
      <c r="J147" s="284">
        <f t="shared" si="149"/>
        <v>0</v>
      </c>
      <c r="K147" s="284">
        <f t="shared" si="150"/>
        <v>0</v>
      </c>
      <c r="L147" s="284">
        <f t="shared" si="151"/>
        <v>0</v>
      </c>
      <c r="M147" s="284">
        <f t="shared" si="152"/>
        <v>0</v>
      </c>
      <c r="N147" s="284">
        <f t="shared" si="153"/>
        <v>0</v>
      </c>
      <c r="O147" s="284">
        <f t="shared" si="154"/>
        <v>0</v>
      </c>
      <c r="P147" s="284">
        <f t="shared" si="155"/>
        <v>0</v>
      </c>
      <c r="Q147" s="284">
        <f t="shared" si="156"/>
        <v>0</v>
      </c>
      <c r="R147" s="284">
        <f t="shared" si="157"/>
        <v>0</v>
      </c>
      <c r="S147" s="284">
        <f t="shared" si="158"/>
        <v>0</v>
      </c>
      <c r="T147" s="284">
        <f t="shared" si="159"/>
        <v>0</v>
      </c>
      <c r="U147" s="285">
        <f t="shared" si="160"/>
        <v>0</v>
      </c>
      <c r="V147" s="286">
        <f>[1]BDD!A137</f>
        <v>3977</v>
      </c>
      <c r="W147" s="287" t="str">
        <f>[1]BDD!B137</f>
        <v>Levure nutritionnelle + B12 (env. 500g)</v>
      </c>
      <c r="X147" s="288" t="str">
        <f>IF([1]BDD!F137=0, "", [1]BDD!F137)</f>
        <v/>
      </c>
      <c r="Y147" s="214">
        <f>ROUND([1]BDD!G137+FDP_CMD_KG, 2)</f>
        <v>11.13</v>
      </c>
      <c r="Z147" s="214">
        <f>ROUND([1]BDD!G137+FDP_FACT_KG, 2)</f>
        <v>11.13</v>
      </c>
      <c r="AA147" s="215" t="str">
        <f>[1]BDD!H137</f>
        <v>Pièce</v>
      </c>
      <c r="AB147" s="225" t="str">
        <f>IF(NOT(ISBLANK([1]BDD!I137)), ROUND(SUM(([1]BDD!G137*reduc1),FDP_CMD_KG), 2), "")</f>
        <v/>
      </c>
      <c r="AC147" s="225" t="str">
        <f>IF(NOT(ISBLANK([1]BDD!J137)), ROUND(SUM(([1]BDD!G137*reduc2),FDP_CMD_KG), 2), "")</f>
        <v/>
      </c>
      <c r="AD147" s="225" t="str">
        <f>IF(NOT(ISBLANK([1]BDD!K137)), ROUND(SUM(([1]BDD!G137*reduc3),FDP_CMD_KG), 2), "")</f>
        <v/>
      </c>
      <c r="AE147" s="225" t="str">
        <f>IF(NOT(ISBLANK([1]BDD!I137)), ROUND(SUM(([1]BDD!G137*reduc1),FDP_FACT_KG), 2), "")</f>
        <v/>
      </c>
      <c r="AF147" s="225" t="str">
        <f>IF(NOT(ISBLANK([1]BDD!J137)), ROUND(SUM(([1]BDD!G137*reduc2),FDP_FACT_KG), 2), "")</f>
        <v/>
      </c>
      <c r="AG147" s="225" t="str">
        <f>IF(NOT(ISBLANK([1]BDD!K137)), ROUND(SUM(([1]BDD!G137*reduc3),FDP_FACT_KG), 2), "")</f>
        <v/>
      </c>
      <c r="AH147" s="289" t="str">
        <f>[1]BDD!C137</f>
        <v>Estonie</v>
      </c>
      <c r="AI147" s="290">
        <f t="shared" si="161"/>
        <v>0</v>
      </c>
      <c r="AJ147" s="216">
        <f t="shared" si="162"/>
        <v>11.13</v>
      </c>
      <c r="AK147" s="291">
        <f t="shared" si="163"/>
        <v>0</v>
      </c>
      <c r="AL147" s="429"/>
      <c r="AM147" s="292"/>
      <c r="AN147" s="216">
        <f t="shared" si="164"/>
        <v>11.13</v>
      </c>
      <c r="AO147" s="293">
        <f t="shared" si="165"/>
        <v>0</v>
      </c>
      <c r="AP147" s="294"/>
      <c r="AQ147" s="294"/>
      <c r="AR147" s="429"/>
      <c r="AS147" s="295">
        <f t="shared" si="166"/>
        <v>0</v>
      </c>
      <c r="AT147" s="216">
        <f t="shared" si="167"/>
        <v>11.13</v>
      </c>
      <c r="AU147" s="291">
        <f t="shared" si="139"/>
        <v>0</v>
      </c>
      <c r="AV147" s="296">
        <f>[1]COMMANDE!O145</f>
        <v>0</v>
      </c>
      <c r="AW147" s="297" t="str">
        <f t="shared" si="168"/>
        <v>0</v>
      </c>
      <c r="AX147" s="298">
        <f t="shared" si="169"/>
        <v>0</v>
      </c>
      <c r="AY147" s="299">
        <f>[1]COMMANDE!Q145</f>
        <v>0</v>
      </c>
      <c r="AZ147" s="297" t="str">
        <f t="shared" si="170"/>
        <v>0</v>
      </c>
      <c r="BA147" s="300">
        <f t="shared" si="171"/>
        <v>0</v>
      </c>
      <c r="BB147" s="301">
        <f>[1]COMMANDE!S145</f>
        <v>0</v>
      </c>
      <c r="BC147" s="297" t="str">
        <f t="shared" si="172"/>
        <v>0</v>
      </c>
      <c r="BD147" s="298">
        <f t="shared" si="173"/>
        <v>0</v>
      </c>
      <c r="BE147" s="299">
        <f>[1]COMMANDE!U145</f>
        <v>0</v>
      </c>
      <c r="BF147" s="297" t="str">
        <f t="shared" si="174"/>
        <v>0</v>
      </c>
      <c r="BG147" s="300">
        <f t="shared" si="175"/>
        <v>0</v>
      </c>
      <c r="BH147" s="301">
        <f>[1]COMMANDE!W145</f>
        <v>0</v>
      </c>
      <c r="BI147" s="297" t="str">
        <f t="shared" si="176"/>
        <v>0</v>
      </c>
      <c r="BJ147" s="298">
        <f t="shared" si="177"/>
        <v>0</v>
      </c>
      <c r="BK147" s="299">
        <f>[1]COMMANDE!Y145</f>
        <v>0</v>
      </c>
      <c r="BL147" s="297" t="str">
        <f t="shared" si="178"/>
        <v>0</v>
      </c>
      <c r="BM147" s="300">
        <f t="shared" si="179"/>
        <v>0</v>
      </c>
      <c r="BN147" s="301">
        <f>[1]COMMANDE!AA145</f>
        <v>0</v>
      </c>
      <c r="BO147" s="297" t="str">
        <f t="shared" si="180"/>
        <v>0</v>
      </c>
      <c r="BP147" s="298">
        <f t="shared" si="181"/>
        <v>0</v>
      </c>
      <c r="BQ147" s="299">
        <f>[1]COMMANDE!AC145</f>
        <v>0</v>
      </c>
      <c r="BR147" s="297" t="str">
        <f t="shared" si="182"/>
        <v>0</v>
      </c>
      <c r="BS147" s="300">
        <f t="shared" si="183"/>
        <v>0</v>
      </c>
      <c r="BT147" s="301">
        <f>[1]COMMANDE!AE145</f>
        <v>0</v>
      </c>
      <c r="BU147" s="297" t="str">
        <f t="shared" si="184"/>
        <v>0</v>
      </c>
      <c r="BV147" s="298">
        <f t="shared" si="185"/>
        <v>0</v>
      </c>
      <c r="BW147" s="299">
        <f>[1]COMMANDE!AG145</f>
        <v>0</v>
      </c>
      <c r="BX147" s="297" t="str">
        <f t="shared" si="186"/>
        <v>0</v>
      </c>
      <c r="BY147" s="300">
        <f t="shared" si="187"/>
        <v>0</v>
      </c>
      <c r="BZ147" s="301">
        <f>[1]COMMANDE!AI145</f>
        <v>0</v>
      </c>
      <c r="CA147" s="297" t="str">
        <f t="shared" si="188"/>
        <v>0</v>
      </c>
      <c r="CB147" s="298">
        <f t="shared" si="189"/>
        <v>0</v>
      </c>
      <c r="CC147" s="299">
        <f>[1]COMMANDE!AK145</f>
        <v>0</v>
      </c>
      <c r="CD147" s="297" t="str">
        <f t="shared" si="190"/>
        <v>0</v>
      </c>
      <c r="CE147" s="300">
        <f t="shared" si="191"/>
        <v>0</v>
      </c>
      <c r="CF147" s="301">
        <f>[1]COMMANDE!AM145</f>
        <v>0</v>
      </c>
      <c r="CG147" s="297" t="str">
        <f t="shared" si="192"/>
        <v>0</v>
      </c>
      <c r="CH147" s="298">
        <f t="shared" si="193"/>
        <v>0</v>
      </c>
      <c r="CI147" s="299">
        <f>[1]COMMANDE!AO145</f>
        <v>0</v>
      </c>
      <c r="CJ147" s="297" t="str">
        <f t="shared" si="194"/>
        <v>0</v>
      </c>
      <c r="CK147" s="300">
        <f t="shared" si="195"/>
        <v>0</v>
      </c>
      <c r="CL147" s="301">
        <f>[1]COMMANDE!AQ145</f>
        <v>0</v>
      </c>
      <c r="CM147" s="297" t="str">
        <f t="shared" si="196"/>
        <v>0</v>
      </c>
      <c r="CN147" s="298">
        <f t="shared" si="197"/>
        <v>0</v>
      </c>
      <c r="CO147" s="299">
        <f>[1]COMMANDE!AS145</f>
        <v>0</v>
      </c>
      <c r="CP147" s="297" t="str">
        <f t="shared" si="198"/>
        <v>0</v>
      </c>
      <c r="CQ147" s="300">
        <f t="shared" si="199"/>
        <v>0</v>
      </c>
      <c r="CR147" s="301">
        <f>[1]COMMANDE!AU145</f>
        <v>0</v>
      </c>
      <c r="CS147" s="297" t="str">
        <f t="shared" si="200"/>
        <v>0</v>
      </c>
      <c r="CT147" s="298">
        <f t="shared" si="201"/>
        <v>0</v>
      </c>
      <c r="CU147" s="299">
        <f>[1]COMMANDE!AW145</f>
        <v>0</v>
      </c>
      <c r="CV147" s="297" t="str">
        <f t="shared" si="202"/>
        <v>0</v>
      </c>
      <c r="CW147" s="300">
        <f t="shared" si="203"/>
        <v>0</v>
      </c>
      <c r="CX147" s="301">
        <f>[1]COMMANDE!AY145</f>
        <v>0</v>
      </c>
      <c r="CY147" s="297" t="str">
        <f t="shared" si="204"/>
        <v>0</v>
      </c>
      <c r="CZ147" s="298">
        <f t="shared" si="205"/>
        <v>0</v>
      </c>
      <c r="DA147" s="299">
        <f>[1]COMMANDE!BA145</f>
        <v>0</v>
      </c>
      <c r="DB147" s="297" t="str">
        <f t="shared" si="206"/>
        <v>0</v>
      </c>
      <c r="DC147" s="302">
        <f t="shared" si="207"/>
        <v>0</v>
      </c>
      <c r="DD147" s="303"/>
      <c r="DE147" s="304"/>
    </row>
    <row r="148" spans="1:128" ht="39.950000000000003" customHeight="1" x14ac:dyDescent="0.25">
      <c r="A148" s="284">
        <f t="shared" si="140"/>
        <v>0</v>
      </c>
      <c r="B148" s="284">
        <f t="shared" si="141"/>
        <v>0</v>
      </c>
      <c r="C148" s="284">
        <f t="shared" si="142"/>
        <v>0</v>
      </c>
      <c r="D148" s="284">
        <f t="shared" si="143"/>
        <v>0</v>
      </c>
      <c r="E148" s="284">
        <f t="shared" si="144"/>
        <v>0</v>
      </c>
      <c r="F148" s="284">
        <f t="shared" si="145"/>
        <v>0</v>
      </c>
      <c r="G148" s="284">
        <f t="shared" si="146"/>
        <v>0</v>
      </c>
      <c r="H148" s="284">
        <f t="shared" si="147"/>
        <v>0</v>
      </c>
      <c r="I148" s="284">
        <f t="shared" si="148"/>
        <v>0</v>
      </c>
      <c r="J148" s="284">
        <f t="shared" si="149"/>
        <v>0</v>
      </c>
      <c r="K148" s="284">
        <f t="shared" si="150"/>
        <v>0</v>
      </c>
      <c r="L148" s="284">
        <f t="shared" si="151"/>
        <v>0</v>
      </c>
      <c r="M148" s="284">
        <f t="shared" si="152"/>
        <v>0</v>
      </c>
      <c r="N148" s="284">
        <f t="shared" si="153"/>
        <v>0</v>
      </c>
      <c r="O148" s="284">
        <f t="shared" si="154"/>
        <v>0</v>
      </c>
      <c r="P148" s="284">
        <f t="shared" si="155"/>
        <v>0</v>
      </c>
      <c r="Q148" s="284">
        <f t="shared" si="156"/>
        <v>0</v>
      </c>
      <c r="R148" s="284">
        <f t="shared" si="157"/>
        <v>0</v>
      </c>
      <c r="S148" s="284">
        <f t="shared" si="158"/>
        <v>0</v>
      </c>
      <c r="T148" s="284">
        <f t="shared" si="159"/>
        <v>0</v>
      </c>
      <c r="U148" s="285">
        <f t="shared" si="160"/>
        <v>0</v>
      </c>
      <c r="V148" s="286">
        <f>[1]BDD!A138</f>
        <v>1103</v>
      </c>
      <c r="W148" s="287" t="str">
        <f>[1]BDD!B138</f>
        <v>Lima-Limon BIO (entre citron vert et jaune, cueilli à maturité, variété indienne)</v>
      </c>
      <c r="X148" s="288" t="str">
        <f>IF([1]BDD!F138=0, "", [1]BDD!F138)</f>
        <v>❤️</v>
      </c>
      <c r="Y148" s="214">
        <f>ROUND([1]BDD!G138+FDP_CMD_KG, 2)</f>
        <v>4.01</v>
      </c>
      <c r="Z148" s="214">
        <f>ROUND([1]BDD!G138+FDP_FACT_KG, 2)</f>
        <v>4.01</v>
      </c>
      <c r="AA148" s="215" t="str">
        <f>[1]BDD!H138</f>
        <v>kg</v>
      </c>
      <c r="AB148" s="225">
        <f>IF(NOT(ISBLANK([1]BDD!I138)), ROUND(SUM(([1]BDD!G138*reduc1),FDP_CMD_KG), 2), "")</f>
        <v>3.7</v>
      </c>
      <c r="AC148" s="225">
        <f>IF(NOT(ISBLANK([1]BDD!J138)), ROUND(SUM(([1]BDD!G138*reduc2),FDP_CMD_KG), 2), "")</f>
        <v>3.39</v>
      </c>
      <c r="AD148" s="225">
        <f>IF(NOT(ISBLANK([1]BDD!K138)), ROUND(SUM(([1]BDD!G138*reduc3),FDP_CMD_KG), 2), "")</f>
        <v>3.07</v>
      </c>
      <c r="AE148" s="225">
        <f>IF(NOT(ISBLANK([1]BDD!I138)), ROUND(SUM(([1]BDD!G138*reduc1),FDP_FACT_KG), 2), "")</f>
        <v>3.69</v>
      </c>
      <c r="AF148" s="225">
        <f>IF(NOT(ISBLANK([1]BDD!J138)), ROUND(SUM(([1]BDD!G138*reduc2),FDP_FACT_KG), 2), "")</f>
        <v>3.38</v>
      </c>
      <c r="AG148" s="225">
        <f>IF(NOT(ISBLANK([1]BDD!K138)), ROUND(SUM(([1]BDD!G138*reduc3),FDP_FACT_KG), 2), "")</f>
        <v>3.06</v>
      </c>
      <c r="AH148" s="289" t="str">
        <f>[1]BDD!C138</f>
        <v>Malaga</v>
      </c>
      <c r="AI148" s="290">
        <f t="shared" si="161"/>
        <v>0</v>
      </c>
      <c r="AJ148" s="216">
        <f t="shared" si="162"/>
        <v>3.07</v>
      </c>
      <c r="AK148" s="291">
        <f t="shared" si="163"/>
        <v>0</v>
      </c>
      <c r="AL148" s="429"/>
      <c r="AM148" s="292"/>
      <c r="AN148" s="216">
        <f t="shared" si="164"/>
        <v>4.01</v>
      </c>
      <c r="AO148" s="293">
        <f t="shared" si="165"/>
        <v>0</v>
      </c>
      <c r="AP148" s="294"/>
      <c r="AQ148" s="294"/>
      <c r="AR148" s="429"/>
      <c r="AS148" s="295">
        <f t="shared" si="166"/>
        <v>0</v>
      </c>
      <c r="AT148" s="216">
        <f t="shared" si="167"/>
        <v>4.01</v>
      </c>
      <c r="AU148" s="291">
        <f t="shared" si="139"/>
        <v>0</v>
      </c>
      <c r="AV148" s="296">
        <f>[1]COMMANDE!O146</f>
        <v>0</v>
      </c>
      <c r="AW148" s="297" t="str">
        <f t="shared" si="168"/>
        <v>0</v>
      </c>
      <c r="AX148" s="298">
        <f t="shared" si="169"/>
        <v>0</v>
      </c>
      <c r="AY148" s="299">
        <f>[1]COMMANDE!Q146</f>
        <v>0</v>
      </c>
      <c r="AZ148" s="297" t="str">
        <f t="shared" si="170"/>
        <v>0</v>
      </c>
      <c r="BA148" s="300">
        <f t="shared" si="171"/>
        <v>0</v>
      </c>
      <c r="BB148" s="301">
        <f>[1]COMMANDE!S146</f>
        <v>0</v>
      </c>
      <c r="BC148" s="297" t="str">
        <f t="shared" si="172"/>
        <v>0</v>
      </c>
      <c r="BD148" s="298">
        <f t="shared" si="173"/>
        <v>0</v>
      </c>
      <c r="BE148" s="299">
        <f>[1]COMMANDE!U146</f>
        <v>0</v>
      </c>
      <c r="BF148" s="297" t="str">
        <f t="shared" si="174"/>
        <v>0</v>
      </c>
      <c r="BG148" s="300">
        <f t="shared" si="175"/>
        <v>0</v>
      </c>
      <c r="BH148" s="301">
        <f>[1]COMMANDE!W146</f>
        <v>0</v>
      </c>
      <c r="BI148" s="297" t="str">
        <f t="shared" si="176"/>
        <v>0</v>
      </c>
      <c r="BJ148" s="298">
        <f t="shared" si="177"/>
        <v>0</v>
      </c>
      <c r="BK148" s="299">
        <f>[1]COMMANDE!Y146</f>
        <v>0</v>
      </c>
      <c r="BL148" s="297" t="str">
        <f t="shared" si="178"/>
        <v>0</v>
      </c>
      <c r="BM148" s="300">
        <f t="shared" si="179"/>
        <v>0</v>
      </c>
      <c r="BN148" s="301">
        <f>[1]COMMANDE!AA146</f>
        <v>0</v>
      </c>
      <c r="BO148" s="297" t="str">
        <f t="shared" si="180"/>
        <v>0</v>
      </c>
      <c r="BP148" s="298">
        <f t="shared" si="181"/>
        <v>0</v>
      </c>
      <c r="BQ148" s="299">
        <f>[1]COMMANDE!AC146</f>
        <v>0</v>
      </c>
      <c r="BR148" s="297" t="str">
        <f t="shared" si="182"/>
        <v>0</v>
      </c>
      <c r="BS148" s="300">
        <f t="shared" si="183"/>
        <v>0</v>
      </c>
      <c r="BT148" s="301">
        <f>[1]COMMANDE!AE146</f>
        <v>0</v>
      </c>
      <c r="BU148" s="297" t="str">
        <f t="shared" si="184"/>
        <v>0</v>
      </c>
      <c r="BV148" s="298">
        <f t="shared" si="185"/>
        <v>0</v>
      </c>
      <c r="BW148" s="299">
        <f>[1]COMMANDE!AG146</f>
        <v>0</v>
      </c>
      <c r="BX148" s="297" t="str">
        <f t="shared" si="186"/>
        <v>0</v>
      </c>
      <c r="BY148" s="300">
        <f t="shared" si="187"/>
        <v>0</v>
      </c>
      <c r="BZ148" s="301">
        <f>[1]COMMANDE!AI146</f>
        <v>0</v>
      </c>
      <c r="CA148" s="297" t="str">
        <f t="shared" si="188"/>
        <v>0</v>
      </c>
      <c r="CB148" s="298">
        <f t="shared" si="189"/>
        <v>0</v>
      </c>
      <c r="CC148" s="299">
        <f>[1]COMMANDE!AK146</f>
        <v>0</v>
      </c>
      <c r="CD148" s="297" t="str">
        <f t="shared" si="190"/>
        <v>0</v>
      </c>
      <c r="CE148" s="300">
        <f t="shared" si="191"/>
        <v>0</v>
      </c>
      <c r="CF148" s="301">
        <f>[1]COMMANDE!AM146</f>
        <v>0</v>
      </c>
      <c r="CG148" s="297" t="str">
        <f t="shared" si="192"/>
        <v>0</v>
      </c>
      <c r="CH148" s="298">
        <f t="shared" si="193"/>
        <v>0</v>
      </c>
      <c r="CI148" s="299">
        <f>[1]COMMANDE!AO146</f>
        <v>0</v>
      </c>
      <c r="CJ148" s="297" t="str">
        <f t="shared" si="194"/>
        <v>0</v>
      </c>
      <c r="CK148" s="300">
        <f t="shared" si="195"/>
        <v>0</v>
      </c>
      <c r="CL148" s="301">
        <f>[1]COMMANDE!AQ146</f>
        <v>0</v>
      </c>
      <c r="CM148" s="297" t="str">
        <f t="shared" si="196"/>
        <v>0</v>
      </c>
      <c r="CN148" s="298">
        <f t="shared" si="197"/>
        <v>0</v>
      </c>
      <c r="CO148" s="299">
        <f>[1]COMMANDE!AS146</f>
        <v>0</v>
      </c>
      <c r="CP148" s="297" t="str">
        <f t="shared" si="198"/>
        <v>0</v>
      </c>
      <c r="CQ148" s="300">
        <f t="shared" si="199"/>
        <v>0</v>
      </c>
      <c r="CR148" s="301">
        <f>[1]COMMANDE!AU146</f>
        <v>0</v>
      </c>
      <c r="CS148" s="297" t="str">
        <f t="shared" si="200"/>
        <v>0</v>
      </c>
      <c r="CT148" s="298">
        <f t="shared" si="201"/>
        <v>0</v>
      </c>
      <c r="CU148" s="299">
        <f>[1]COMMANDE!AW146</f>
        <v>0</v>
      </c>
      <c r="CV148" s="297" t="str">
        <f t="shared" si="202"/>
        <v>0</v>
      </c>
      <c r="CW148" s="300">
        <f t="shared" si="203"/>
        <v>0</v>
      </c>
      <c r="CX148" s="301">
        <f>[1]COMMANDE!AY146</f>
        <v>0</v>
      </c>
      <c r="CY148" s="297" t="str">
        <f t="shared" si="204"/>
        <v>0</v>
      </c>
      <c r="CZ148" s="298">
        <f t="shared" si="205"/>
        <v>0</v>
      </c>
      <c r="DA148" s="299">
        <f>[1]COMMANDE!BA146</f>
        <v>0</v>
      </c>
      <c r="DB148" s="297" t="str">
        <f t="shared" si="206"/>
        <v>0</v>
      </c>
      <c r="DC148" s="302">
        <f t="shared" si="207"/>
        <v>0</v>
      </c>
      <c r="DD148" s="303"/>
      <c r="DE148" s="304"/>
    </row>
    <row r="149" spans="1:128" s="283" customFormat="1" ht="39.950000000000003" customHeight="1" x14ac:dyDescent="0.25">
      <c r="A149" s="284">
        <f t="shared" si="140"/>
        <v>0</v>
      </c>
      <c r="B149" s="284">
        <f t="shared" si="141"/>
        <v>0</v>
      </c>
      <c r="C149" s="284">
        <f t="shared" si="142"/>
        <v>0</v>
      </c>
      <c r="D149" s="284">
        <f t="shared" si="143"/>
        <v>0</v>
      </c>
      <c r="E149" s="284">
        <f t="shared" si="144"/>
        <v>0</v>
      </c>
      <c r="F149" s="284">
        <f t="shared" si="145"/>
        <v>0</v>
      </c>
      <c r="G149" s="284">
        <f t="shared" si="146"/>
        <v>0</v>
      </c>
      <c r="H149" s="284">
        <f t="shared" si="147"/>
        <v>0</v>
      </c>
      <c r="I149" s="284">
        <f t="shared" si="148"/>
        <v>0</v>
      </c>
      <c r="J149" s="284">
        <f t="shared" si="149"/>
        <v>0</v>
      </c>
      <c r="K149" s="284">
        <f t="shared" si="150"/>
        <v>0</v>
      </c>
      <c r="L149" s="284">
        <f t="shared" si="151"/>
        <v>0</v>
      </c>
      <c r="M149" s="284">
        <f t="shared" si="152"/>
        <v>0</v>
      </c>
      <c r="N149" s="284">
        <f t="shared" si="153"/>
        <v>0</v>
      </c>
      <c r="O149" s="284">
        <f t="shared" si="154"/>
        <v>0</v>
      </c>
      <c r="P149" s="284">
        <f t="shared" si="155"/>
        <v>0</v>
      </c>
      <c r="Q149" s="284">
        <f t="shared" si="156"/>
        <v>0</v>
      </c>
      <c r="R149" s="284">
        <f t="shared" si="157"/>
        <v>0</v>
      </c>
      <c r="S149" s="284">
        <f t="shared" si="158"/>
        <v>0</v>
      </c>
      <c r="T149" s="284">
        <f t="shared" si="159"/>
        <v>0</v>
      </c>
      <c r="U149" s="285">
        <f t="shared" si="160"/>
        <v>0</v>
      </c>
      <c r="V149" s="286">
        <f>[1]BDD!A139</f>
        <v>1480</v>
      </c>
      <c r="W149" s="287" t="str">
        <f>[1]BDD!B139</f>
        <v>Lin brun BIO (env. 1 kg).</v>
      </c>
      <c r="X149" s="288" t="str">
        <f>IF([1]BDD!F139=0, "", [1]BDD!F139)</f>
        <v/>
      </c>
      <c r="Y149" s="214">
        <f>ROUND([1]BDD!G139+FDP_CMD_KG, 2)</f>
        <v>6.06</v>
      </c>
      <c r="Z149" s="214">
        <f>ROUND([1]BDD!G139+FDP_FACT_KG, 2)</f>
        <v>6.06</v>
      </c>
      <c r="AA149" s="215" t="str">
        <f>[1]BDD!H139</f>
        <v>Pièce</v>
      </c>
      <c r="AB149" s="225">
        <f>IF(NOT(ISBLANK([1]BDD!I139)), ROUND(SUM(([1]BDD!G139*reduc1),FDP_CMD_KG), 2), "")</f>
        <v>5.54</v>
      </c>
      <c r="AC149" s="225" t="str">
        <f>IF(NOT(ISBLANK([1]BDD!J139)), ROUND(SUM(([1]BDD!G139*reduc2),FDP_CMD_KG), 2), "")</f>
        <v/>
      </c>
      <c r="AD149" s="225" t="str">
        <f>IF(NOT(ISBLANK([1]BDD!K139)), ROUND(SUM(([1]BDD!G139*reduc3),FDP_CMD_KG), 2), "")</f>
        <v/>
      </c>
      <c r="AE149" s="225">
        <f>IF(NOT(ISBLANK([1]BDD!I139)), ROUND(SUM(([1]BDD!G139*reduc1),FDP_FACT_KG), 2), "")</f>
        <v>5.54</v>
      </c>
      <c r="AF149" s="225" t="str">
        <f>IF(NOT(ISBLANK([1]BDD!J139)), ROUND(SUM(([1]BDD!G139*reduc2),FDP_FACT_KG), 2), "")</f>
        <v/>
      </c>
      <c r="AG149" s="225" t="str">
        <f>IF(NOT(ISBLANK([1]BDD!K139)), ROUND(SUM(([1]BDD!G139*reduc3),FDP_FACT_KG), 2), "")</f>
        <v/>
      </c>
      <c r="AH149" s="289" t="str">
        <f>[1]BDD!C139</f>
        <v>Kazakhstan</v>
      </c>
      <c r="AI149" s="290">
        <f t="shared" si="161"/>
        <v>0</v>
      </c>
      <c r="AJ149" s="216">
        <f t="shared" si="162"/>
        <v>5.54</v>
      </c>
      <c r="AK149" s="291">
        <f t="shared" si="163"/>
        <v>0</v>
      </c>
      <c r="AL149" s="429"/>
      <c r="AM149" s="292"/>
      <c r="AN149" s="216">
        <f t="shared" si="164"/>
        <v>6.06</v>
      </c>
      <c r="AO149" s="293">
        <f t="shared" si="165"/>
        <v>0</v>
      </c>
      <c r="AP149" s="294"/>
      <c r="AQ149" s="294"/>
      <c r="AR149" s="429"/>
      <c r="AS149" s="295">
        <f t="shared" si="166"/>
        <v>0</v>
      </c>
      <c r="AT149" s="216">
        <f t="shared" si="167"/>
        <v>6.06</v>
      </c>
      <c r="AU149" s="291">
        <f t="shared" si="139"/>
        <v>0</v>
      </c>
      <c r="AV149" s="296">
        <f>[1]COMMANDE!O147</f>
        <v>0</v>
      </c>
      <c r="AW149" s="297" t="str">
        <f t="shared" si="168"/>
        <v>0</v>
      </c>
      <c r="AX149" s="298">
        <f t="shared" si="169"/>
        <v>0</v>
      </c>
      <c r="AY149" s="299">
        <f>[1]COMMANDE!Q147</f>
        <v>0</v>
      </c>
      <c r="AZ149" s="297" t="str">
        <f t="shared" si="170"/>
        <v>0</v>
      </c>
      <c r="BA149" s="300">
        <f t="shared" si="171"/>
        <v>0</v>
      </c>
      <c r="BB149" s="301">
        <f>[1]COMMANDE!S147</f>
        <v>0</v>
      </c>
      <c r="BC149" s="297" t="str">
        <f t="shared" si="172"/>
        <v>0</v>
      </c>
      <c r="BD149" s="298">
        <f t="shared" si="173"/>
        <v>0</v>
      </c>
      <c r="BE149" s="299">
        <f>[1]COMMANDE!U147</f>
        <v>0</v>
      </c>
      <c r="BF149" s="297" t="str">
        <f t="shared" si="174"/>
        <v>0</v>
      </c>
      <c r="BG149" s="300">
        <f t="shared" si="175"/>
        <v>0</v>
      </c>
      <c r="BH149" s="301">
        <f>[1]COMMANDE!W147</f>
        <v>0</v>
      </c>
      <c r="BI149" s="297" t="str">
        <f t="shared" si="176"/>
        <v>0</v>
      </c>
      <c r="BJ149" s="298">
        <f t="shared" si="177"/>
        <v>0</v>
      </c>
      <c r="BK149" s="299">
        <f>[1]COMMANDE!Y147</f>
        <v>0</v>
      </c>
      <c r="BL149" s="297" t="str">
        <f t="shared" si="178"/>
        <v>0</v>
      </c>
      <c r="BM149" s="300">
        <f t="shared" si="179"/>
        <v>0</v>
      </c>
      <c r="BN149" s="301">
        <f>[1]COMMANDE!AA147</f>
        <v>0</v>
      </c>
      <c r="BO149" s="297" t="str">
        <f t="shared" si="180"/>
        <v>0</v>
      </c>
      <c r="BP149" s="298">
        <f t="shared" si="181"/>
        <v>0</v>
      </c>
      <c r="BQ149" s="299">
        <f>[1]COMMANDE!AC147</f>
        <v>0</v>
      </c>
      <c r="BR149" s="297" t="str">
        <f t="shared" si="182"/>
        <v>0</v>
      </c>
      <c r="BS149" s="300">
        <f t="shared" si="183"/>
        <v>0</v>
      </c>
      <c r="BT149" s="301">
        <f>[1]COMMANDE!AE147</f>
        <v>0</v>
      </c>
      <c r="BU149" s="297" t="str">
        <f t="shared" si="184"/>
        <v>0</v>
      </c>
      <c r="BV149" s="298">
        <f t="shared" si="185"/>
        <v>0</v>
      </c>
      <c r="BW149" s="299">
        <f>[1]COMMANDE!AG147</f>
        <v>0</v>
      </c>
      <c r="BX149" s="297" t="str">
        <f t="shared" si="186"/>
        <v>0</v>
      </c>
      <c r="BY149" s="300">
        <f t="shared" si="187"/>
        <v>0</v>
      </c>
      <c r="BZ149" s="301">
        <f>[1]COMMANDE!AI147</f>
        <v>0</v>
      </c>
      <c r="CA149" s="297" t="str">
        <f t="shared" si="188"/>
        <v>0</v>
      </c>
      <c r="CB149" s="298">
        <f t="shared" si="189"/>
        <v>0</v>
      </c>
      <c r="CC149" s="299">
        <f>[1]COMMANDE!AK147</f>
        <v>0</v>
      </c>
      <c r="CD149" s="297" t="str">
        <f t="shared" si="190"/>
        <v>0</v>
      </c>
      <c r="CE149" s="300">
        <f t="shared" si="191"/>
        <v>0</v>
      </c>
      <c r="CF149" s="301">
        <f>[1]COMMANDE!AM147</f>
        <v>0</v>
      </c>
      <c r="CG149" s="297" t="str">
        <f t="shared" si="192"/>
        <v>0</v>
      </c>
      <c r="CH149" s="298">
        <f t="shared" si="193"/>
        <v>0</v>
      </c>
      <c r="CI149" s="299">
        <f>[1]COMMANDE!AO147</f>
        <v>0</v>
      </c>
      <c r="CJ149" s="297" t="str">
        <f t="shared" si="194"/>
        <v>0</v>
      </c>
      <c r="CK149" s="300">
        <f t="shared" si="195"/>
        <v>0</v>
      </c>
      <c r="CL149" s="301">
        <f>[1]COMMANDE!AQ147</f>
        <v>0</v>
      </c>
      <c r="CM149" s="297" t="str">
        <f t="shared" si="196"/>
        <v>0</v>
      </c>
      <c r="CN149" s="298">
        <f t="shared" si="197"/>
        <v>0</v>
      </c>
      <c r="CO149" s="299">
        <f>[1]COMMANDE!AS147</f>
        <v>0</v>
      </c>
      <c r="CP149" s="297" t="str">
        <f t="shared" si="198"/>
        <v>0</v>
      </c>
      <c r="CQ149" s="300">
        <f t="shared" si="199"/>
        <v>0</v>
      </c>
      <c r="CR149" s="301">
        <f>[1]COMMANDE!AU147</f>
        <v>0</v>
      </c>
      <c r="CS149" s="297" t="str">
        <f t="shared" si="200"/>
        <v>0</v>
      </c>
      <c r="CT149" s="298">
        <f t="shared" si="201"/>
        <v>0</v>
      </c>
      <c r="CU149" s="299">
        <f>[1]COMMANDE!AW147</f>
        <v>0</v>
      </c>
      <c r="CV149" s="297" t="str">
        <f t="shared" si="202"/>
        <v>0</v>
      </c>
      <c r="CW149" s="300">
        <f t="shared" si="203"/>
        <v>0</v>
      </c>
      <c r="CX149" s="301">
        <f>[1]COMMANDE!AY147</f>
        <v>0</v>
      </c>
      <c r="CY149" s="297" t="str">
        <f t="shared" si="204"/>
        <v>0</v>
      </c>
      <c r="CZ149" s="298">
        <f t="shared" si="205"/>
        <v>0</v>
      </c>
      <c r="DA149" s="299">
        <f>[1]COMMANDE!BA147</f>
        <v>0</v>
      </c>
      <c r="DB149" s="297" t="str">
        <f t="shared" si="206"/>
        <v>0</v>
      </c>
      <c r="DC149" s="302">
        <f t="shared" si="207"/>
        <v>0</v>
      </c>
      <c r="DD149" s="303"/>
      <c r="DE149" s="304"/>
    </row>
    <row r="150" spans="1:128" s="283" customFormat="1" ht="39.950000000000003" customHeight="1" x14ac:dyDescent="0.25">
      <c r="A150" s="284">
        <f t="shared" si="140"/>
        <v>0</v>
      </c>
      <c r="B150" s="284">
        <f t="shared" si="141"/>
        <v>0</v>
      </c>
      <c r="C150" s="284">
        <f t="shared" si="142"/>
        <v>0</v>
      </c>
      <c r="D150" s="284">
        <f t="shared" si="143"/>
        <v>0</v>
      </c>
      <c r="E150" s="284">
        <f t="shared" si="144"/>
        <v>0</v>
      </c>
      <c r="F150" s="284">
        <f t="shared" si="145"/>
        <v>0</v>
      </c>
      <c r="G150" s="284">
        <f t="shared" si="146"/>
        <v>0</v>
      </c>
      <c r="H150" s="284">
        <f t="shared" si="147"/>
        <v>0</v>
      </c>
      <c r="I150" s="284">
        <f t="shared" si="148"/>
        <v>0</v>
      </c>
      <c r="J150" s="284">
        <f t="shared" si="149"/>
        <v>0</v>
      </c>
      <c r="K150" s="284">
        <f t="shared" si="150"/>
        <v>0</v>
      </c>
      <c r="L150" s="284">
        <f t="shared" si="151"/>
        <v>0</v>
      </c>
      <c r="M150" s="284">
        <f t="shared" si="152"/>
        <v>0</v>
      </c>
      <c r="N150" s="284">
        <f t="shared" si="153"/>
        <v>0</v>
      </c>
      <c r="O150" s="284">
        <f t="shared" si="154"/>
        <v>0</v>
      </c>
      <c r="P150" s="284">
        <f t="shared" si="155"/>
        <v>0</v>
      </c>
      <c r="Q150" s="284">
        <f t="shared" si="156"/>
        <v>0</v>
      </c>
      <c r="R150" s="284">
        <f t="shared" si="157"/>
        <v>0</v>
      </c>
      <c r="S150" s="284">
        <f t="shared" si="158"/>
        <v>0</v>
      </c>
      <c r="T150" s="284">
        <f t="shared" si="159"/>
        <v>0</v>
      </c>
      <c r="U150" s="285">
        <f t="shared" si="160"/>
        <v>0</v>
      </c>
      <c r="V150" s="286">
        <f>[1]BDD!A140</f>
        <v>1480</v>
      </c>
      <c r="W150" s="287" t="str">
        <f>[1]BDD!B140</f>
        <v>Lin brun BIO (env. 500g)</v>
      </c>
      <c r="X150" s="288" t="str">
        <f>IF([1]BDD!F140=0, "", [1]BDD!F140)</f>
        <v/>
      </c>
      <c r="Y150" s="214">
        <f>ROUND([1]BDD!G140+FDP_CMD_KG, 2)</f>
        <v>4.1399999999999997</v>
      </c>
      <c r="Z150" s="214">
        <f>ROUND([1]BDD!G140+FDP_FACT_KG, 2)</f>
        <v>4.1399999999999997</v>
      </c>
      <c r="AA150" s="215" t="str">
        <f>[1]BDD!H140</f>
        <v>Pièce</v>
      </c>
      <c r="AB150" s="225" t="str">
        <f>IF(NOT(ISBLANK([1]BDD!I140)), ROUND(SUM(([1]BDD!G140*reduc1),FDP_CMD_KG), 2), "")</f>
        <v/>
      </c>
      <c r="AC150" s="225" t="str">
        <f>IF(NOT(ISBLANK([1]BDD!J140)), ROUND(SUM(([1]BDD!G140*reduc2),FDP_CMD_KG), 2), "")</f>
        <v/>
      </c>
      <c r="AD150" s="225" t="str">
        <f>IF(NOT(ISBLANK([1]BDD!K140)), ROUND(SUM(([1]BDD!G140*reduc3),FDP_CMD_KG), 2), "")</f>
        <v/>
      </c>
      <c r="AE150" s="225" t="str">
        <f>IF(NOT(ISBLANK([1]BDD!I140)), ROUND(SUM(([1]BDD!G140*reduc1),FDP_FACT_KG), 2), "")</f>
        <v/>
      </c>
      <c r="AF150" s="225" t="str">
        <f>IF(NOT(ISBLANK([1]BDD!J140)), ROUND(SUM(([1]BDD!G140*reduc2),FDP_FACT_KG), 2), "")</f>
        <v/>
      </c>
      <c r="AG150" s="225" t="str">
        <f>IF(NOT(ISBLANK([1]BDD!K140)), ROUND(SUM(([1]BDD!G140*reduc3),FDP_FACT_KG), 2), "")</f>
        <v/>
      </c>
      <c r="AH150" s="289" t="str">
        <f>[1]BDD!C140</f>
        <v>Kazakhstan</v>
      </c>
      <c r="AI150" s="290">
        <f t="shared" si="161"/>
        <v>0</v>
      </c>
      <c r="AJ150" s="216">
        <f t="shared" si="162"/>
        <v>4.1399999999999997</v>
      </c>
      <c r="AK150" s="291">
        <f t="shared" si="163"/>
        <v>0</v>
      </c>
      <c r="AL150" s="429"/>
      <c r="AM150" s="292"/>
      <c r="AN150" s="216">
        <f t="shared" si="164"/>
        <v>4.1399999999999997</v>
      </c>
      <c r="AO150" s="293">
        <f t="shared" si="165"/>
        <v>0</v>
      </c>
      <c r="AP150" s="294"/>
      <c r="AQ150" s="294"/>
      <c r="AR150" s="429"/>
      <c r="AS150" s="295">
        <f t="shared" si="166"/>
        <v>0</v>
      </c>
      <c r="AT150" s="216">
        <f t="shared" si="167"/>
        <v>4.1399999999999997</v>
      </c>
      <c r="AU150" s="291">
        <f t="shared" si="139"/>
        <v>0</v>
      </c>
      <c r="AV150" s="296">
        <f>[1]COMMANDE!O148</f>
        <v>0</v>
      </c>
      <c r="AW150" s="297" t="str">
        <f t="shared" si="168"/>
        <v>0</v>
      </c>
      <c r="AX150" s="298">
        <f t="shared" si="169"/>
        <v>0</v>
      </c>
      <c r="AY150" s="299">
        <f>[1]COMMANDE!Q148</f>
        <v>0</v>
      </c>
      <c r="AZ150" s="297" t="str">
        <f t="shared" si="170"/>
        <v>0</v>
      </c>
      <c r="BA150" s="300">
        <f t="shared" si="171"/>
        <v>0</v>
      </c>
      <c r="BB150" s="301">
        <f>[1]COMMANDE!S148</f>
        <v>0</v>
      </c>
      <c r="BC150" s="297" t="str">
        <f t="shared" si="172"/>
        <v>0</v>
      </c>
      <c r="BD150" s="298">
        <f t="shared" si="173"/>
        <v>0</v>
      </c>
      <c r="BE150" s="299">
        <f>[1]COMMANDE!U148</f>
        <v>0</v>
      </c>
      <c r="BF150" s="297" t="str">
        <f t="shared" si="174"/>
        <v>0</v>
      </c>
      <c r="BG150" s="300">
        <f t="shared" si="175"/>
        <v>0</v>
      </c>
      <c r="BH150" s="301">
        <f>[1]COMMANDE!W148</f>
        <v>0</v>
      </c>
      <c r="BI150" s="297" t="str">
        <f t="shared" si="176"/>
        <v>0</v>
      </c>
      <c r="BJ150" s="298">
        <f t="shared" si="177"/>
        <v>0</v>
      </c>
      <c r="BK150" s="299">
        <f>[1]COMMANDE!Y148</f>
        <v>0</v>
      </c>
      <c r="BL150" s="297" t="str">
        <f t="shared" si="178"/>
        <v>0</v>
      </c>
      <c r="BM150" s="300">
        <f t="shared" si="179"/>
        <v>0</v>
      </c>
      <c r="BN150" s="301">
        <f>[1]COMMANDE!AA148</f>
        <v>0</v>
      </c>
      <c r="BO150" s="297" t="str">
        <f t="shared" si="180"/>
        <v>0</v>
      </c>
      <c r="BP150" s="298">
        <f t="shared" si="181"/>
        <v>0</v>
      </c>
      <c r="BQ150" s="299">
        <f>[1]COMMANDE!AC148</f>
        <v>0</v>
      </c>
      <c r="BR150" s="297" t="str">
        <f t="shared" si="182"/>
        <v>0</v>
      </c>
      <c r="BS150" s="300">
        <f t="shared" si="183"/>
        <v>0</v>
      </c>
      <c r="BT150" s="301">
        <f>[1]COMMANDE!AE148</f>
        <v>0</v>
      </c>
      <c r="BU150" s="297" t="str">
        <f t="shared" si="184"/>
        <v>0</v>
      </c>
      <c r="BV150" s="298">
        <f t="shared" si="185"/>
        <v>0</v>
      </c>
      <c r="BW150" s="299">
        <f>[1]COMMANDE!AG148</f>
        <v>0</v>
      </c>
      <c r="BX150" s="297" t="str">
        <f t="shared" si="186"/>
        <v>0</v>
      </c>
      <c r="BY150" s="300">
        <f t="shared" si="187"/>
        <v>0</v>
      </c>
      <c r="BZ150" s="301">
        <f>[1]COMMANDE!AI148</f>
        <v>0</v>
      </c>
      <c r="CA150" s="297" t="str">
        <f t="shared" si="188"/>
        <v>0</v>
      </c>
      <c r="CB150" s="298">
        <f t="shared" si="189"/>
        <v>0</v>
      </c>
      <c r="CC150" s="299">
        <f>[1]COMMANDE!AK148</f>
        <v>0</v>
      </c>
      <c r="CD150" s="297" t="str">
        <f t="shared" si="190"/>
        <v>0</v>
      </c>
      <c r="CE150" s="300">
        <f t="shared" si="191"/>
        <v>0</v>
      </c>
      <c r="CF150" s="301">
        <f>[1]COMMANDE!AM148</f>
        <v>0</v>
      </c>
      <c r="CG150" s="297" t="str">
        <f t="shared" si="192"/>
        <v>0</v>
      </c>
      <c r="CH150" s="298">
        <f t="shared" si="193"/>
        <v>0</v>
      </c>
      <c r="CI150" s="299">
        <f>[1]COMMANDE!AO148</f>
        <v>0</v>
      </c>
      <c r="CJ150" s="297" t="str">
        <f t="shared" si="194"/>
        <v>0</v>
      </c>
      <c r="CK150" s="300">
        <f t="shared" si="195"/>
        <v>0</v>
      </c>
      <c r="CL150" s="301">
        <f>[1]COMMANDE!AQ148</f>
        <v>0</v>
      </c>
      <c r="CM150" s="297" t="str">
        <f t="shared" si="196"/>
        <v>0</v>
      </c>
      <c r="CN150" s="298">
        <f t="shared" si="197"/>
        <v>0</v>
      </c>
      <c r="CO150" s="299">
        <f>[1]COMMANDE!AS148</f>
        <v>0</v>
      </c>
      <c r="CP150" s="297" t="str">
        <f t="shared" si="198"/>
        <v>0</v>
      </c>
      <c r="CQ150" s="300">
        <f t="shared" si="199"/>
        <v>0</v>
      </c>
      <c r="CR150" s="301">
        <f>[1]COMMANDE!AU148</f>
        <v>0</v>
      </c>
      <c r="CS150" s="297" t="str">
        <f t="shared" si="200"/>
        <v>0</v>
      </c>
      <c r="CT150" s="298">
        <f t="shared" si="201"/>
        <v>0</v>
      </c>
      <c r="CU150" s="299">
        <f>[1]COMMANDE!AW148</f>
        <v>0</v>
      </c>
      <c r="CV150" s="297" t="str">
        <f t="shared" si="202"/>
        <v>0</v>
      </c>
      <c r="CW150" s="300">
        <f t="shared" si="203"/>
        <v>0</v>
      </c>
      <c r="CX150" s="301">
        <f>[1]COMMANDE!AY148</f>
        <v>0</v>
      </c>
      <c r="CY150" s="297" t="str">
        <f t="shared" si="204"/>
        <v>0</v>
      </c>
      <c r="CZ150" s="298">
        <f t="shared" si="205"/>
        <v>0</v>
      </c>
      <c r="DA150" s="299">
        <f>[1]COMMANDE!BA148</f>
        <v>0</v>
      </c>
      <c r="DB150" s="297" t="str">
        <f t="shared" si="206"/>
        <v>0</v>
      </c>
      <c r="DC150" s="302">
        <f t="shared" si="207"/>
        <v>0</v>
      </c>
      <c r="DD150" s="303"/>
      <c r="DE150" s="304"/>
    </row>
    <row r="151" spans="1:128" s="283" customFormat="1" ht="39.950000000000003" customHeight="1" x14ac:dyDescent="0.25">
      <c r="A151" s="284">
        <f t="shared" si="140"/>
        <v>0</v>
      </c>
      <c r="B151" s="284">
        <f t="shared" si="141"/>
        <v>0</v>
      </c>
      <c r="C151" s="284">
        <f t="shared" si="142"/>
        <v>0</v>
      </c>
      <c r="D151" s="284">
        <f t="shared" si="143"/>
        <v>0</v>
      </c>
      <c r="E151" s="284">
        <f t="shared" si="144"/>
        <v>0</v>
      </c>
      <c r="F151" s="284">
        <f t="shared" si="145"/>
        <v>0</v>
      </c>
      <c r="G151" s="284">
        <f t="shared" si="146"/>
        <v>0</v>
      </c>
      <c r="H151" s="284">
        <f t="shared" si="147"/>
        <v>0</v>
      </c>
      <c r="I151" s="284">
        <f t="shared" si="148"/>
        <v>0</v>
      </c>
      <c r="J151" s="284">
        <f t="shared" si="149"/>
        <v>0</v>
      </c>
      <c r="K151" s="284">
        <f t="shared" si="150"/>
        <v>0</v>
      </c>
      <c r="L151" s="284">
        <f t="shared" si="151"/>
        <v>0</v>
      </c>
      <c r="M151" s="284">
        <f t="shared" si="152"/>
        <v>0</v>
      </c>
      <c r="N151" s="284">
        <f t="shared" si="153"/>
        <v>0</v>
      </c>
      <c r="O151" s="284">
        <f t="shared" si="154"/>
        <v>0</v>
      </c>
      <c r="P151" s="284">
        <f t="shared" si="155"/>
        <v>0</v>
      </c>
      <c r="Q151" s="284">
        <f t="shared" si="156"/>
        <v>0</v>
      </c>
      <c r="R151" s="284">
        <f t="shared" si="157"/>
        <v>0</v>
      </c>
      <c r="S151" s="284">
        <f t="shared" si="158"/>
        <v>0</v>
      </c>
      <c r="T151" s="284">
        <f t="shared" si="159"/>
        <v>0</v>
      </c>
      <c r="U151" s="285">
        <f t="shared" si="160"/>
        <v>0</v>
      </c>
      <c r="V151" s="286">
        <f>[1]BDD!A141</f>
        <v>1606</v>
      </c>
      <c r="W151" s="287" t="str">
        <f>[1]BDD!B141</f>
        <v>Lucuma cru en poudre CRU BIO (env. 1 kg)</v>
      </c>
      <c r="X151" s="288" t="str">
        <f>IF([1]BDD!F141=0, "", [1]BDD!F141)</f>
        <v/>
      </c>
      <c r="Y151" s="214">
        <f>ROUND([1]BDD!G141+FDP_CMD_KG, 2)</f>
        <v>30.98</v>
      </c>
      <c r="Z151" s="214">
        <f>ROUND([1]BDD!G141+FDP_FACT_KG, 2)</f>
        <v>30.98</v>
      </c>
      <c r="AA151" s="215" t="str">
        <f>[1]BDD!H141</f>
        <v>Pièce</v>
      </c>
      <c r="AB151" s="225" t="str">
        <f>IF(NOT(ISBLANK([1]BDD!I141)), ROUND(SUM(([1]BDD!G141*reduc1),FDP_CMD_KG), 2), "")</f>
        <v/>
      </c>
      <c r="AC151" s="225" t="str">
        <f>IF(NOT(ISBLANK([1]BDD!J141)), ROUND(SUM(([1]BDD!G141*reduc2),FDP_CMD_KG), 2), "")</f>
        <v/>
      </c>
      <c r="AD151" s="225" t="str">
        <f>IF(NOT(ISBLANK([1]BDD!K141)), ROUND(SUM(([1]BDD!G141*reduc3),FDP_CMD_KG), 2), "")</f>
        <v/>
      </c>
      <c r="AE151" s="225" t="str">
        <f>IF(NOT(ISBLANK([1]BDD!I141)), ROUND(SUM(([1]BDD!G141*reduc1),FDP_FACT_KG), 2), "")</f>
        <v/>
      </c>
      <c r="AF151" s="225" t="str">
        <f>IF(NOT(ISBLANK([1]BDD!J141)), ROUND(SUM(([1]BDD!G141*reduc2),FDP_FACT_KG), 2), "")</f>
        <v/>
      </c>
      <c r="AG151" s="225" t="str">
        <f>IF(NOT(ISBLANK([1]BDD!K141)), ROUND(SUM(([1]BDD!G141*reduc3),FDP_FACT_KG), 2), "")</f>
        <v/>
      </c>
      <c r="AH151" s="289" t="str">
        <f>[1]BDD!C141</f>
        <v>Pérou</v>
      </c>
      <c r="AI151" s="290">
        <f t="shared" si="161"/>
        <v>0</v>
      </c>
      <c r="AJ151" s="216">
        <f t="shared" si="162"/>
        <v>30.98</v>
      </c>
      <c r="AK151" s="291">
        <f t="shared" si="163"/>
        <v>0</v>
      </c>
      <c r="AL151" s="429"/>
      <c r="AM151" s="292"/>
      <c r="AN151" s="216">
        <f t="shared" si="164"/>
        <v>30.98</v>
      </c>
      <c r="AO151" s="293">
        <f t="shared" si="165"/>
        <v>0</v>
      </c>
      <c r="AP151" s="294"/>
      <c r="AQ151" s="294"/>
      <c r="AR151" s="429"/>
      <c r="AS151" s="295">
        <f t="shared" si="166"/>
        <v>0</v>
      </c>
      <c r="AT151" s="216">
        <f t="shared" si="167"/>
        <v>30.98</v>
      </c>
      <c r="AU151" s="291">
        <f t="shared" si="139"/>
        <v>0</v>
      </c>
      <c r="AV151" s="296">
        <f>[1]COMMANDE!O149</f>
        <v>0</v>
      </c>
      <c r="AW151" s="297" t="str">
        <f t="shared" si="168"/>
        <v>0</v>
      </c>
      <c r="AX151" s="298">
        <f t="shared" si="169"/>
        <v>0</v>
      </c>
      <c r="AY151" s="299">
        <f>[1]COMMANDE!Q149</f>
        <v>0</v>
      </c>
      <c r="AZ151" s="297" t="str">
        <f t="shared" si="170"/>
        <v>0</v>
      </c>
      <c r="BA151" s="300">
        <f t="shared" si="171"/>
        <v>0</v>
      </c>
      <c r="BB151" s="301">
        <f>[1]COMMANDE!S149</f>
        <v>0</v>
      </c>
      <c r="BC151" s="297" t="str">
        <f t="shared" si="172"/>
        <v>0</v>
      </c>
      <c r="BD151" s="298">
        <f t="shared" si="173"/>
        <v>0</v>
      </c>
      <c r="BE151" s="299">
        <f>[1]COMMANDE!U149</f>
        <v>0</v>
      </c>
      <c r="BF151" s="297" t="str">
        <f t="shared" si="174"/>
        <v>0</v>
      </c>
      <c r="BG151" s="300">
        <f t="shared" si="175"/>
        <v>0</v>
      </c>
      <c r="BH151" s="301">
        <f>[1]COMMANDE!W149</f>
        <v>0</v>
      </c>
      <c r="BI151" s="297" t="str">
        <f t="shared" si="176"/>
        <v>0</v>
      </c>
      <c r="BJ151" s="298">
        <f t="shared" si="177"/>
        <v>0</v>
      </c>
      <c r="BK151" s="299">
        <f>[1]COMMANDE!Y149</f>
        <v>0</v>
      </c>
      <c r="BL151" s="297" t="str">
        <f t="shared" si="178"/>
        <v>0</v>
      </c>
      <c r="BM151" s="300">
        <f t="shared" si="179"/>
        <v>0</v>
      </c>
      <c r="BN151" s="301">
        <f>[1]COMMANDE!AA149</f>
        <v>0</v>
      </c>
      <c r="BO151" s="297" t="str">
        <f t="shared" si="180"/>
        <v>0</v>
      </c>
      <c r="BP151" s="298">
        <f t="shared" si="181"/>
        <v>0</v>
      </c>
      <c r="BQ151" s="299">
        <f>[1]COMMANDE!AC149</f>
        <v>0</v>
      </c>
      <c r="BR151" s="297" t="str">
        <f t="shared" si="182"/>
        <v>0</v>
      </c>
      <c r="BS151" s="300">
        <f t="shared" si="183"/>
        <v>0</v>
      </c>
      <c r="BT151" s="301">
        <f>[1]COMMANDE!AE149</f>
        <v>0</v>
      </c>
      <c r="BU151" s="297" t="str">
        <f t="shared" si="184"/>
        <v>0</v>
      </c>
      <c r="BV151" s="298">
        <f t="shared" si="185"/>
        <v>0</v>
      </c>
      <c r="BW151" s="299">
        <f>[1]COMMANDE!AG149</f>
        <v>0</v>
      </c>
      <c r="BX151" s="297" t="str">
        <f t="shared" si="186"/>
        <v>0</v>
      </c>
      <c r="BY151" s="300">
        <f t="shared" si="187"/>
        <v>0</v>
      </c>
      <c r="BZ151" s="301">
        <f>[1]COMMANDE!AI149</f>
        <v>0</v>
      </c>
      <c r="CA151" s="297" t="str">
        <f t="shared" si="188"/>
        <v>0</v>
      </c>
      <c r="CB151" s="298">
        <f t="shared" si="189"/>
        <v>0</v>
      </c>
      <c r="CC151" s="299">
        <f>[1]COMMANDE!AK149</f>
        <v>0</v>
      </c>
      <c r="CD151" s="297" t="str">
        <f t="shared" si="190"/>
        <v>0</v>
      </c>
      <c r="CE151" s="300">
        <f t="shared" si="191"/>
        <v>0</v>
      </c>
      <c r="CF151" s="301">
        <f>[1]COMMANDE!AM149</f>
        <v>0</v>
      </c>
      <c r="CG151" s="297" t="str">
        <f t="shared" si="192"/>
        <v>0</v>
      </c>
      <c r="CH151" s="298">
        <f t="shared" si="193"/>
        <v>0</v>
      </c>
      <c r="CI151" s="299">
        <f>[1]COMMANDE!AO149</f>
        <v>0</v>
      </c>
      <c r="CJ151" s="297" t="str">
        <f t="shared" si="194"/>
        <v>0</v>
      </c>
      <c r="CK151" s="300">
        <f t="shared" si="195"/>
        <v>0</v>
      </c>
      <c r="CL151" s="301">
        <f>[1]COMMANDE!AQ149</f>
        <v>0</v>
      </c>
      <c r="CM151" s="297" t="str">
        <f t="shared" si="196"/>
        <v>0</v>
      </c>
      <c r="CN151" s="298">
        <f t="shared" si="197"/>
        <v>0</v>
      </c>
      <c r="CO151" s="299">
        <f>[1]COMMANDE!AS149</f>
        <v>0</v>
      </c>
      <c r="CP151" s="297" t="str">
        <f t="shared" si="198"/>
        <v>0</v>
      </c>
      <c r="CQ151" s="300">
        <f t="shared" si="199"/>
        <v>0</v>
      </c>
      <c r="CR151" s="301">
        <f>[1]COMMANDE!AU149</f>
        <v>0</v>
      </c>
      <c r="CS151" s="297" t="str">
        <f t="shared" si="200"/>
        <v>0</v>
      </c>
      <c r="CT151" s="298">
        <f t="shared" si="201"/>
        <v>0</v>
      </c>
      <c r="CU151" s="299">
        <f>[1]COMMANDE!AW149</f>
        <v>0</v>
      </c>
      <c r="CV151" s="297" t="str">
        <f t="shared" si="202"/>
        <v>0</v>
      </c>
      <c r="CW151" s="300">
        <f t="shared" si="203"/>
        <v>0</v>
      </c>
      <c r="CX151" s="301">
        <f>[1]COMMANDE!AY149</f>
        <v>0</v>
      </c>
      <c r="CY151" s="297" t="str">
        <f t="shared" si="204"/>
        <v>0</v>
      </c>
      <c r="CZ151" s="298">
        <f t="shared" si="205"/>
        <v>0</v>
      </c>
      <c r="DA151" s="299">
        <f>[1]COMMANDE!BA149</f>
        <v>0</v>
      </c>
      <c r="DB151" s="297" t="str">
        <f t="shared" si="206"/>
        <v>0</v>
      </c>
      <c r="DC151" s="302">
        <f t="shared" si="207"/>
        <v>0</v>
      </c>
      <c r="DD151" s="303"/>
      <c r="DE151" s="304"/>
    </row>
    <row r="152" spans="1:128" s="283" customFormat="1" ht="39.950000000000003" customHeight="1" x14ac:dyDescent="0.25">
      <c r="A152" s="284">
        <f t="shared" si="140"/>
        <v>0</v>
      </c>
      <c r="B152" s="284">
        <f t="shared" si="141"/>
        <v>0</v>
      </c>
      <c r="C152" s="284">
        <f t="shared" si="142"/>
        <v>0</v>
      </c>
      <c r="D152" s="284">
        <f t="shared" si="143"/>
        <v>0</v>
      </c>
      <c r="E152" s="284">
        <f t="shared" si="144"/>
        <v>0</v>
      </c>
      <c r="F152" s="284">
        <f t="shared" si="145"/>
        <v>0</v>
      </c>
      <c r="G152" s="284">
        <f t="shared" si="146"/>
        <v>0</v>
      </c>
      <c r="H152" s="284">
        <f t="shared" si="147"/>
        <v>0</v>
      </c>
      <c r="I152" s="284">
        <f t="shared" si="148"/>
        <v>0</v>
      </c>
      <c r="J152" s="284">
        <f t="shared" si="149"/>
        <v>0</v>
      </c>
      <c r="K152" s="284">
        <f t="shared" si="150"/>
        <v>0</v>
      </c>
      <c r="L152" s="284">
        <f t="shared" si="151"/>
        <v>0</v>
      </c>
      <c r="M152" s="284">
        <f t="shared" si="152"/>
        <v>0</v>
      </c>
      <c r="N152" s="284">
        <f t="shared" si="153"/>
        <v>0</v>
      </c>
      <c r="O152" s="284">
        <f t="shared" si="154"/>
        <v>0</v>
      </c>
      <c r="P152" s="284">
        <f t="shared" si="155"/>
        <v>0</v>
      </c>
      <c r="Q152" s="284">
        <f t="shared" si="156"/>
        <v>0</v>
      </c>
      <c r="R152" s="284">
        <f t="shared" si="157"/>
        <v>0</v>
      </c>
      <c r="S152" s="284">
        <f t="shared" si="158"/>
        <v>0</v>
      </c>
      <c r="T152" s="284">
        <f t="shared" si="159"/>
        <v>0</v>
      </c>
      <c r="U152" s="285">
        <f t="shared" si="160"/>
        <v>0</v>
      </c>
      <c r="V152" s="286">
        <f>[1]BDD!A142</f>
        <v>1640</v>
      </c>
      <c r="W152" s="287" t="str">
        <f>[1]BDD!B142</f>
        <v>Maca brute en poudre CRU BIO (env. 1kg)</v>
      </c>
      <c r="X152" s="288" t="str">
        <f>IF([1]BDD!F142=0, "", [1]BDD!F142)</f>
        <v/>
      </c>
      <c r="Y152" s="214">
        <f>ROUND([1]BDD!G142+FDP_CMD_KG, 2)</f>
        <v>17.28</v>
      </c>
      <c r="Z152" s="214">
        <f>ROUND([1]BDD!G142+FDP_FACT_KG, 2)</f>
        <v>17.28</v>
      </c>
      <c r="AA152" s="215" t="str">
        <f>[1]BDD!H142</f>
        <v>Pièce</v>
      </c>
      <c r="AB152" s="225">
        <f>IF(NOT(ISBLANK([1]BDD!I142)), ROUND(SUM(([1]BDD!G142*reduc1),FDP_CMD_KG), 2), "")</f>
        <v>15.64</v>
      </c>
      <c r="AC152" s="225" t="str">
        <f>IF(NOT(ISBLANK([1]BDD!J142)), ROUND(SUM(([1]BDD!G142*reduc2),FDP_CMD_KG), 2), "")</f>
        <v/>
      </c>
      <c r="AD152" s="225" t="str">
        <f>IF(NOT(ISBLANK([1]BDD!K142)), ROUND(SUM(([1]BDD!G142*reduc3),FDP_CMD_KG), 2), "")</f>
        <v/>
      </c>
      <c r="AE152" s="225">
        <f>IF(NOT(ISBLANK([1]BDD!I142)), ROUND(SUM(([1]BDD!G142*reduc1),FDP_FACT_KG), 2), "")</f>
        <v>15.64</v>
      </c>
      <c r="AF152" s="225" t="str">
        <f>IF(NOT(ISBLANK([1]BDD!J142)), ROUND(SUM(([1]BDD!G142*reduc2),FDP_FACT_KG), 2), "")</f>
        <v/>
      </c>
      <c r="AG152" s="225" t="str">
        <f>IF(NOT(ISBLANK([1]BDD!K142)), ROUND(SUM(([1]BDD!G142*reduc3),FDP_FACT_KG), 2), "")</f>
        <v/>
      </c>
      <c r="AH152" s="289" t="str">
        <f>[1]BDD!C142</f>
        <v>Pérou</v>
      </c>
      <c r="AI152" s="290">
        <f t="shared" si="161"/>
        <v>0</v>
      </c>
      <c r="AJ152" s="216">
        <f t="shared" si="162"/>
        <v>15.64</v>
      </c>
      <c r="AK152" s="291">
        <f t="shared" si="163"/>
        <v>0</v>
      </c>
      <c r="AL152" s="429"/>
      <c r="AM152" s="292"/>
      <c r="AN152" s="216">
        <f t="shared" si="164"/>
        <v>17.28</v>
      </c>
      <c r="AO152" s="293">
        <f t="shared" si="165"/>
        <v>0</v>
      </c>
      <c r="AP152" s="294"/>
      <c r="AQ152" s="294"/>
      <c r="AR152" s="429"/>
      <c r="AS152" s="295">
        <f t="shared" si="166"/>
        <v>0</v>
      </c>
      <c r="AT152" s="216">
        <f t="shared" si="167"/>
        <v>17.28</v>
      </c>
      <c r="AU152" s="291">
        <f t="shared" si="139"/>
        <v>0</v>
      </c>
      <c r="AV152" s="296">
        <f>[1]COMMANDE!O150</f>
        <v>0</v>
      </c>
      <c r="AW152" s="297" t="str">
        <f t="shared" si="168"/>
        <v>0</v>
      </c>
      <c r="AX152" s="298">
        <f t="shared" si="169"/>
        <v>0</v>
      </c>
      <c r="AY152" s="299">
        <f>[1]COMMANDE!Q150</f>
        <v>0</v>
      </c>
      <c r="AZ152" s="297" t="str">
        <f t="shared" si="170"/>
        <v>0</v>
      </c>
      <c r="BA152" s="300">
        <f t="shared" si="171"/>
        <v>0</v>
      </c>
      <c r="BB152" s="301">
        <f>[1]COMMANDE!S150</f>
        <v>0</v>
      </c>
      <c r="BC152" s="297" t="str">
        <f t="shared" si="172"/>
        <v>0</v>
      </c>
      <c r="BD152" s="298">
        <f t="shared" si="173"/>
        <v>0</v>
      </c>
      <c r="BE152" s="299">
        <f>[1]COMMANDE!U150</f>
        <v>0</v>
      </c>
      <c r="BF152" s="297" t="str">
        <f t="shared" si="174"/>
        <v>0</v>
      </c>
      <c r="BG152" s="300">
        <f t="shared" si="175"/>
        <v>0</v>
      </c>
      <c r="BH152" s="301">
        <f>[1]COMMANDE!W150</f>
        <v>0</v>
      </c>
      <c r="BI152" s="297" t="str">
        <f t="shared" si="176"/>
        <v>0</v>
      </c>
      <c r="BJ152" s="298">
        <f t="shared" si="177"/>
        <v>0</v>
      </c>
      <c r="BK152" s="299">
        <f>[1]COMMANDE!Y150</f>
        <v>0</v>
      </c>
      <c r="BL152" s="297" t="str">
        <f t="shared" si="178"/>
        <v>0</v>
      </c>
      <c r="BM152" s="300">
        <f t="shared" si="179"/>
        <v>0</v>
      </c>
      <c r="BN152" s="301">
        <f>[1]COMMANDE!AA150</f>
        <v>0</v>
      </c>
      <c r="BO152" s="297" t="str">
        <f t="shared" si="180"/>
        <v>0</v>
      </c>
      <c r="BP152" s="298">
        <f t="shared" si="181"/>
        <v>0</v>
      </c>
      <c r="BQ152" s="299">
        <f>[1]COMMANDE!AC150</f>
        <v>0</v>
      </c>
      <c r="BR152" s="297" t="str">
        <f t="shared" si="182"/>
        <v>0</v>
      </c>
      <c r="BS152" s="300">
        <f t="shared" si="183"/>
        <v>0</v>
      </c>
      <c r="BT152" s="301">
        <f>[1]COMMANDE!AE150</f>
        <v>0</v>
      </c>
      <c r="BU152" s="297" t="str">
        <f t="shared" si="184"/>
        <v>0</v>
      </c>
      <c r="BV152" s="298">
        <f t="shared" si="185"/>
        <v>0</v>
      </c>
      <c r="BW152" s="299">
        <f>[1]COMMANDE!AG150</f>
        <v>0</v>
      </c>
      <c r="BX152" s="297" t="str">
        <f t="shared" si="186"/>
        <v>0</v>
      </c>
      <c r="BY152" s="300">
        <f t="shared" si="187"/>
        <v>0</v>
      </c>
      <c r="BZ152" s="301">
        <f>[1]COMMANDE!AI150</f>
        <v>0</v>
      </c>
      <c r="CA152" s="297" t="str">
        <f t="shared" si="188"/>
        <v>0</v>
      </c>
      <c r="CB152" s="298">
        <f t="shared" si="189"/>
        <v>0</v>
      </c>
      <c r="CC152" s="299">
        <f>[1]COMMANDE!AK150</f>
        <v>0</v>
      </c>
      <c r="CD152" s="297" t="str">
        <f t="shared" si="190"/>
        <v>0</v>
      </c>
      <c r="CE152" s="300">
        <f t="shared" si="191"/>
        <v>0</v>
      </c>
      <c r="CF152" s="301">
        <f>[1]COMMANDE!AM150</f>
        <v>0</v>
      </c>
      <c r="CG152" s="297" t="str">
        <f t="shared" si="192"/>
        <v>0</v>
      </c>
      <c r="CH152" s="298">
        <f t="shared" si="193"/>
        <v>0</v>
      </c>
      <c r="CI152" s="299">
        <f>[1]COMMANDE!AO150</f>
        <v>0</v>
      </c>
      <c r="CJ152" s="297" t="str">
        <f t="shared" si="194"/>
        <v>0</v>
      </c>
      <c r="CK152" s="300">
        <f t="shared" si="195"/>
        <v>0</v>
      </c>
      <c r="CL152" s="301">
        <f>[1]COMMANDE!AQ150</f>
        <v>0</v>
      </c>
      <c r="CM152" s="297" t="str">
        <f t="shared" si="196"/>
        <v>0</v>
      </c>
      <c r="CN152" s="298">
        <f t="shared" si="197"/>
        <v>0</v>
      </c>
      <c r="CO152" s="299">
        <f>[1]COMMANDE!AS150</f>
        <v>0</v>
      </c>
      <c r="CP152" s="297" t="str">
        <f t="shared" si="198"/>
        <v>0</v>
      </c>
      <c r="CQ152" s="300">
        <f t="shared" si="199"/>
        <v>0</v>
      </c>
      <c r="CR152" s="301">
        <f>[1]COMMANDE!AU150</f>
        <v>0</v>
      </c>
      <c r="CS152" s="297" t="str">
        <f t="shared" si="200"/>
        <v>0</v>
      </c>
      <c r="CT152" s="298">
        <f t="shared" si="201"/>
        <v>0</v>
      </c>
      <c r="CU152" s="299">
        <f>[1]COMMANDE!AW150</f>
        <v>0</v>
      </c>
      <c r="CV152" s="297" t="str">
        <f t="shared" si="202"/>
        <v>0</v>
      </c>
      <c r="CW152" s="300">
        <f t="shared" si="203"/>
        <v>0</v>
      </c>
      <c r="CX152" s="301">
        <f>[1]COMMANDE!AY150</f>
        <v>0</v>
      </c>
      <c r="CY152" s="297" t="str">
        <f t="shared" si="204"/>
        <v>0</v>
      </c>
      <c r="CZ152" s="298">
        <f t="shared" si="205"/>
        <v>0</v>
      </c>
      <c r="DA152" s="299">
        <f>[1]COMMANDE!BA150</f>
        <v>0</v>
      </c>
      <c r="DB152" s="297" t="str">
        <f t="shared" si="206"/>
        <v>0</v>
      </c>
      <c r="DC152" s="302">
        <f t="shared" si="207"/>
        <v>0</v>
      </c>
      <c r="DD152" s="303"/>
      <c r="DE152" s="304"/>
    </row>
    <row r="153" spans="1:128" s="283" customFormat="1" ht="39.950000000000003" customHeight="1" x14ac:dyDescent="0.25">
      <c r="A153" s="284">
        <f t="shared" si="140"/>
        <v>0</v>
      </c>
      <c r="B153" s="284">
        <f t="shared" si="141"/>
        <v>0</v>
      </c>
      <c r="C153" s="284">
        <f t="shared" si="142"/>
        <v>0</v>
      </c>
      <c r="D153" s="284">
        <f t="shared" si="143"/>
        <v>0</v>
      </c>
      <c r="E153" s="284">
        <f t="shared" si="144"/>
        <v>0</v>
      </c>
      <c r="F153" s="284">
        <f t="shared" si="145"/>
        <v>0</v>
      </c>
      <c r="G153" s="284">
        <f t="shared" si="146"/>
        <v>0</v>
      </c>
      <c r="H153" s="284">
        <f t="shared" si="147"/>
        <v>0</v>
      </c>
      <c r="I153" s="284">
        <f t="shared" si="148"/>
        <v>0</v>
      </c>
      <c r="J153" s="284">
        <f t="shared" si="149"/>
        <v>0</v>
      </c>
      <c r="K153" s="284">
        <f t="shared" si="150"/>
        <v>0</v>
      </c>
      <c r="L153" s="284">
        <f t="shared" si="151"/>
        <v>0</v>
      </c>
      <c r="M153" s="284">
        <f t="shared" si="152"/>
        <v>0</v>
      </c>
      <c r="N153" s="284">
        <f t="shared" si="153"/>
        <v>0</v>
      </c>
      <c r="O153" s="284">
        <f t="shared" si="154"/>
        <v>0</v>
      </c>
      <c r="P153" s="284">
        <f t="shared" si="155"/>
        <v>0</v>
      </c>
      <c r="Q153" s="284">
        <f t="shared" si="156"/>
        <v>0</v>
      </c>
      <c r="R153" s="284">
        <f t="shared" si="157"/>
        <v>0</v>
      </c>
      <c r="S153" s="284">
        <f t="shared" si="158"/>
        <v>0</v>
      </c>
      <c r="T153" s="284">
        <f t="shared" si="159"/>
        <v>0</v>
      </c>
      <c r="U153" s="285">
        <f t="shared" si="160"/>
        <v>0</v>
      </c>
      <c r="V153" s="286">
        <f>[1]BDD!A143</f>
        <v>1640</v>
      </c>
      <c r="W153" s="287" t="str">
        <f>[1]BDD!B143</f>
        <v>Maca brute en poudre CRU BIO (env. 500g)</v>
      </c>
      <c r="X153" s="288" t="str">
        <f>IF([1]BDD!F143=0, "", [1]BDD!F143)</f>
        <v>❤️</v>
      </c>
      <c r="Y153" s="214">
        <f>ROUND([1]BDD!G143+FDP_CMD_KG, 2)</f>
        <v>9.76</v>
      </c>
      <c r="Z153" s="214">
        <f>ROUND([1]BDD!G143+FDP_FACT_KG, 2)</f>
        <v>9.76</v>
      </c>
      <c r="AA153" s="215" t="str">
        <f>[1]BDD!H143</f>
        <v>Pièce</v>
      </c>
      <c r="AB153" s="225" t="str">
        <f>IF(NOT(ISBLANK([1]BDD!I143)), ROUND(SUM(([1]BDD!G143*reduc1),FDP_CMD_KG), 2), "")</f>
        <v/>
      </c>
      <c r="AC153" s="225" t="str">
        <f>IF(NOT(ISBLANK([1]BDD!J143)), ROUND(SUM(([1]BDD!G143*reduc2),FDP_CMD_KG), 2), "")</f>
        <v/>
      </c>
      <c r="AD153" s="225" t="str">
        <f>IF(NOT(ISBLANK([1]BDD!K143)), ROUND(SUM(([1]BDD!G143*reduc3),FDP_CMD_KG), 2), "")</f>
        <v/>
      </c>
      <c r="AE153" s="225" t="str">
        <f>IF(NOT(ISBLANK([1]BDD!I143)), ROUND(SUM(([1]BDD!G143*reduc1),FDP_FACT_KG), 2), "")</f>
        <v/>
      </c>
      <c r="AF153" s="225" t="str">
        <f>IF(NOT(ISBLANK([1]BDD!J143)), ROUND(SUM(([1]BDD!G143*reduc2),FDP_FACT_KG), 2), "")</f>
        <v/>
      </c>
      <c r="AG153" s="225" t="str">
        <f>IF(NOT(ISBLANK([1]BDD!K143)), ROUND(SUM(([1]BDD!G143*reduc3),FDP_FACT_KG), 2), "")</f>
        <v/>
      </c>
      <c r="AH153" s="289" t="str">
        <f>[1]BDD!C143</f>
        <v>Pérou</v>
      </c>
      <c r="AI153" s="290">
        <f t="shared" si="161"/>
        <v>0</v>
      </c>
      <c r="AJ153" s="216">
        <f t="shared" si="162"/>
        <v>9.76</v>
      </c>
      <c r="AK153" s="291">
        <f t="shared" si="163"/>
        <v>0</v>
      </c>
      <c r="AL153" s="429"/>
      <c r="AM153" s="292"/>
      <c r="AN153" s="216">
        <f t="shared" si="164"/>
        <v>9.76</v>
      </c>
      <c r="AO153" s="293">
        <f t="shared" si="165"/>
        <v>0</v>
      </c>
      <c r="AP153" s="294"/>
      <c r="AQ153" s="294"/>
      <c r="AR153" s="429"/>
      <c r="AS153" s="295">
        <f t="shared" si="166"/>
        <v>0</v>
      </c>
      <c r="AT153" s="216">
        <f t="shared" si="167"/>
        <v>9.76</v>
      </c>
      <c r="AU153" s="291">
        <f t="shared" si="139"/>
        <v>0</v>
      </c>
      <c r="AV153" s="296">
        <f>[1]COMMANDE!O151</f>
        <v>0</v>
      </c>
      <c r="AW153" s="297" t="str">
        <f t="shared" si="168"/>
        <v>0</v>
      </c>
      <c r="AX153" s="298">
        <f t="shared" si="169"/>
        <v>0</v>
      </c>
      <c r="AY153" s="299">
        <f>[1]COMMANDE!Q151</f>
        <v>0</v>
      </c>
      <c r="AZ153" s="297" t="str">
        <f t="shared" si="170"/>
        <v>0</v>
      </c>
      <c r="BA153" s="300">
        <f t="shared" si="171"/>
        <v>0</v>
      </c>
      <c r="BB153" s="301">
        <f>[1]COMMANDE!S151</f>
        <v>0</v>
      </c>
      <c r="BC153" s="297" t="str">
        <f t="shared" si="172"/>
        <v>0</v>
      </c>
      <c r="BD153" s="298">
        <f t="shared" si="173"/>
        <v>0</v>
      </c>
      <c r="BE153" s="299">
        <f>[1]COMMANDE!U151</f>
        <v>0</v>
      </c>
      <c r="BF153" s="297" t="str">
        <f t="shared" si="174"/>
        <v>0</v>
      </c>
      <c r="BG153" s="300">
        <f t="shared" si="175"/>
        <v>0</v>
      </c>
      <c r="BH153" s="301">
        <f>[1]COMMANDE!W151</f>
        <v>0</v>
      </c>
      <c r="BI153" s="297" t="str">
        <f t="shared" si="176"/>
        <v>0</v>
      </c>
      <c r="BJ153" s="298">
        <f t="shared" si="177"/>
        <v>0</v>
      </c>
      <c r="BK153" s="299">
        <f>[1]COMMANDE!Y151</f>
        <v>0</v>
      </c>
      <c r="BL153" s="297" t="str">
        <f t="shared" si="178"/>
        <v>0</v>
      </c>
      <c r="BM153" s="300">
        <f t="shared" si="179"/>
        <v>0</v>
      </c>
      <c r="BN153" s="301">
        <f>[1]COMMANDE!AA151</f>
        <v>0</v>
      </c>
      <c r="BO153" s="297" t="str">
        <f t="shared" si="180"/>
        <v>0</v>
      </c>
      <c r="BP153" s="298">
        <f t="shared" si="181"/>
        <v>0</v>
      </c>
      <c r="BQ153" s="299">
        <f>[1]COMMANDE!AC151</f>
        <v>0</v>
      </c>
      <c r="BR153" s="297" t="str">
        <f t="shared" si="182"/>
        <v>0</v>
      </c>
      <c r="BS153" s="300">
        <f t="shared" si="183"/>
        <v>0</v>
      </c>
      <c r="BT153" s="301">
        <f>[1]COMMANDE!AE151</f>
        <v>0</v>
      </c>
      <c r="BU153" s="297" t="str">
        <f t="shared" si="184"/>
        <v>0</v>
      </c>
      <c r="BV153" s="298">
        <f t="shared" si="185"/>
        <v>0</v>
      </c>
      <c r="BW153" s="299">
        <f>[1]COMMANDE!AG151</f>
        <v>0</v>
      </c>
      <c r="BX153" s="297" t="str">
        <f t="shared" si="186"/>
        <v>0</v>
      </c>
      <c r="BY153" s="300">
        <f t="shared" si="187"/>
        <v>0</v>
      </c>
      <c r="BZ153" s="301">
        <f>[1]COMMANDE!AI151</f>
        <v>0</v>
      </c>
      <c r="CA153" s="297" t="str">
        <f t="shared" si="188"/>
        <v>0</v>
      </c>
      <c r="CB153" s="298">
        <f t="shared" si="189"/>
        <v>0</v>
      </c>
      <c r="CC153" s="299">
        <f>[1]COMMANDE!AK151</f>
        <v>0</v>
      </c>
      <c r="CD153" s="297" t="str">
        <f t="shared" si="190"/>
        <v>0</v>
      </c>
      <c r="CE153" s="300">
        <f t="shared" si="191"/>
        <v>0</v>
      </c>
      <c r="CF153" s="301">
        <f>[1]COMMANDE!AM151</f>
        <v>0</v>
      </c>
      <c r="CG153" s="297" t="str">
        <f t="shared" si="192"/>
        <v>0</v>
      </c>
      <c r="CH153" s="298">
        <f t="shared" si="193"/>
        <v>0</v>
      </c>
      <c r="CI153" s="299">
        <f>[1]COMMANDE!AO151</f>
        <v>0</v>
      </c>
      <c r="CJ153" s="297" t="str">
        <f t="shared" si="194"/>
        <v>0</v>
      </c>
      <c r="CK153" s="300">
        <f t="shared" si="195"/>
        <v>0</v>
      </c>
      <c r="CL153" s="301">
        <f>[1]COMMANDE!AQ151</f>
        <v>0</v>
      </c>
      <c r="CM153" s="297" t="str">
        <f t="shared" si="196"/>
        <v>0</v>
      </c>
      <c r="CN153" s="298">
        <f t="shared" si="197"/>
        <v>0</v>
      </c>
      <c r="CO153" s="299">
        <f>[1]COMMANDE!AS151</f>
        <v>0</v>
      </c>
      <c r="CP153" s="297" t="str">
        <f t="shared" si="198"/>
        <v>0</v>
      </c>
      <c r="CQ153" s="300">
        <f t="shared" si="199"/>
        <v>0</v>
      </c>
      <c r="CR153" s="301">
        <f>[1]COMMANDE!AU151</f>
        <v>0</v>
      </c>
      <c r="CS153" s="297" t="str">
        <f t="shared" si="200"/>
        <v>0</v>
      </c>
      <c r="CT153" s="298">
        <f t="shared" si="201"/>
        <v>0</v>
      </c>
      <c r="CU153" s="299">
        <f>[1]COMMANDE!AW151</f>
        <v>0</v>
      </c>
      <c r="CV153" s="297" t="str">
        <f t="shared" si="202"/>
        <v>0</v>
      </c>
      <c r="CW153" s="300">
        <f t="shared" si="203"/>
        <v>0</v>
      </c>
      <c r="CX153" s="301">
        <f>[1]COMMANDE!AY151</f>
        <v>0</v>
      </c>
      <c r="CY153" s="297" t="str">
        <f t="shared" si="204"/>
        <v>0</v>
      </c>
      <c r="CZ153" s="298">
        <f t="shared" si="205"/>
        <v>0</v>
      </c>
      <c r="DA153" s="299">
        <f>[1]COMMANDE!BA151</f>
        <v>0</v>
      </c>
      <c r="DB153" s="297" t="str">
        <f t="shared" si="206"/>
        <v>0</v>
      </c>
      <c r="DC153" s="302">
        <f t="shared" si="207"/>
        <v>0</v>
      </c>
      <c r="DD153" s="303"/>
      <c r="DE153" s="304"/>
    </row>
    <row r="154" spans="1:128" ht="39.950000000000003" customHeight="1" x14ac:dyDescent="0.25">
      <c r="A154" s="284">
        <f t="shared" si="140"/>
        <v>0</v>
      </c>
      <c r="B154" s="284">
        <f t="shared" si="141"/>
        <v>0</v>
      </c>
      <c r="C154" s="284">
        <f t="shared" si="142"/>
        <v>0</v>
      </c>
      <c r="D154" s="284">
        <f t="shared" si="143"/>
        <v>0</v>
      </c>
      <c r="E154" s="284">
        <f t="shared" si="144"/>
        <v>0</v>
      </c>
      <c r="F154" s="284">
        <f t="shared" si="145"/>
        <v>0</v>
      </c>
      <c r="G154" s="284">
        <f t="shared" si="146"/>
        <v>0</v>
      </c>
      <c r="H154" s="284">
        <f t="shared" si="147"/>
        <v>0</v>
      </c>
      <c r="I154" s="284">
        <f t="shared" si="148"/>
        <v>0</v>
      </c>
      <c r="J154" s="284">
        <f t="shared" si="149"/>
        <v>0</v>
      </c>
      <c r="K154" s="284">
        <f t="shared" si="150"/>
        <v>0</v>
      </c>
      <c r="L154" s="284">
        <f t="shared" si="151"/>
        <v>0</v>
      </c>
      <c r="M154" s="284">
        <f t="shared" si="152"/>
        <v>0</v>
      </c>
      <c r="N154" s="284">
        <f t="shared" si="153"/>
        <v>0</v>
      </c>
      <c r="O154" s="284">
        <f t="shared" si="154"/>
        <v>0</v>
      </c>
      <c r="P154" s="284">
        <f t="shared" si="155"/>
        <v>0</v>
      </c>
      <c r="Q154" s="284">
        <f t="shared" si="156"/>
        <v>0</v>
      </c>
      <c r="R154" s="284">
        <f t="shared" si="157"/>
        <v>0</v>
      </c>
      <c r="S154" s="284">
        <f t="shared" si="158"/>
        <v>0</v>
      </c>
      <c r="T154" s="284">
        <f t="shared" si="159"/>
        <v>0</v>
      </c>
      <c r="U154" s="285">
        <f t="shared" si="160"/>
        <v>0</v>
      </c>
      <c r="V154" s="286">
        <f>[1]BDD!A144</f>
        <v>1639</v>
      </c>
      <c r="W154" s="287" t="str">
        <f>[1]BDD!B144</f>
        <v>Maca noire BIO (env. 1kg)</v>
      </c>
      <c r="X154" s="288" t="str">
        <f>IF([1]BDD!F144=0, "", [1]BDD!F144)</f>
        <v/>
      </c>
      <c r="Y154" s="214">
        <f>ROUND([1]BDD!G144+FDP_CMD_KG, 2)</f>
        <v>28.24</v>
      </c>
      <c r="Z154" s="214">
        <f>ROUND([1]BDD!G144+FDP_FACT_KG, 2)</f>
        <v>28.24</v>
      </c>
      <c r="AA154" s="215" t="str">
        <f>[1]BDD!H144</f>
        <v>Pièce</v>
      </c>
      <c r="AB154" s="225" t="str">
        <f>IF(NOT(ISBLANK([1]BDD!I144)), ROUND(SUM(([1]BDD!G144*reduc1),FDP_CMD_KG), 2), "")</f>
        <v/>
      </c>
      <c r="AC154" s="225" t="str">
        <f>IF(NOT(ISBLANK([1]BDD!J144)), ROUND(SUM(([1]BDD!G144*reduc2),FDP_CMD_KG), 2), "")</f>
        <v/>
      </c>
      <c r="AD154" s="225" t="str">
        <f>IF(NOT(ISBLANK([1]BDD!K144)), ROUND(SUM(([1]BDD!G144*reduc3),FDP_CMD_KG), 2), "")</f>
        <v/>
      </c>
      <c r="AE154" s="225" t="str">
        <f>IF(NOT(ISBLANK([1]BDD!I144)), ROUND(SUM(([1]BDD!G144*reduc1),FDP_FACT_KG), 2), "")</f>
        <v/>
      </c>
      <c r="AF154" s="225" t="str">
        <f>IF(NOT(ISBLANK([1]BDD!J144)), ROUND(SUM(([1]BDD!G144*reduc2),FDP_FACT_KG), 2), "")</f>
        <v/>
      </c>
      <c r="AG154" s="225" t="str">
        <f>IF(NOT(ISBLANK([1]BDD!K144)), ROUND(SUM(([1]BDD!G144*reduc3),FDP_FACT_KG), 2), "")</f>
        <v/>
      </c>
      <c r="AH154" s="289" t="str">
        <f>[1]BDD!C144</f>
        <v>Pérou</v>
      </c>
      <c r="AI154" s="290">
        <f t="shared" si="161"/>
        <v>0</v>
      </c>
      <c r="AJ154" s="216">
        <f t="shared" si="162"/>
        <v>28.24</v>
      </c>
      <c r="AK154" s="291">
        <f t="shared" si="163"/>
        <v>0</v>
      </c>
      <c r="AL154" s="429"/>
      <c r="AM154" s="292"/>
      <c r="AN154" s="216">
        <f t="shared" si="164"/>
        <v>28.24</v>
      </c>
      <c r="AO154" s="293">
        <f t="shared" si="165"/>
        <v>0</v>
      </c>
      <c r="AP154" s="294"/>
      <c r="AQ154" s="294"/>
      <c r="AR154" s="429"/>
      <c r="AS154" s="295">
        <f t="shared" si="166"/>
        <v>0</v>
      </c>
      <c r="AT154" s="216">
        <f t="shared" si="167"/>
        <v>28.24</v>
      </c>
      <c r="AU154" s="291">
        <f t="shared" si="139"/>
        <v>0</v>
      </c>
      <c r="AV154" s="296">
        <f>[1]COMMANDE!O152</f>
        <v>0</v>
      </c>
      <c r="AW154" s="297" t="str">
        <f t="shared" si="168"/>
        <v>0</v>
      </c>
      <c r="AX154" s="298">
        <f t="shared" si="169"/>
        <v>0</v>
      </c>
      <c r="AY154" s="299">
        <f>[1]COMMANDE!Q152</f>
        <v>0</v>
      </c>
      <c r="AZ154" s="297" t="str">
        <f t="shared" si="170"/>
        <v>0</v>
      </c>
      <c r="BA154" s="300">
        <f t="shared" si="171"/>
        <v>0</v>
      </c>
      <c r="BB154" s="301">
        <f>[1]COMMANDE!S152</f>
        <v>0</v>
      </c>
      <c r="BC154" s="297" t="str">
        <f t="shared" si="172"/>
        <v>0</v>
      </c>
      <c r="BD154" s="298">
        <f t="shared" si="173"/>
        <v>0</v>
      </c>
      <c r="BE154" s="299">
        <f>[1]COMMANDE!U152</f>
        <v>0</v>
      </c>
      <c r="BF154" s="297" t="str">
        <f t="shared" si="174"/>
        <v>0</v>
      </c>
      <c r="BG154" s="300">
        <f t="shared" si="175"/>
        <v>0</v>
      </c>
      <c r="BH154" s="301">
        <f>[1]COMMANDE!W152</f>
        <v>0</v>
      </c>
      <c r="BI154" s="297" t="str">
        <f t="shared" si="176"/>
        <v>0</v>
      </c>
      <c r="BJ154" s="298">
        <f t="shared" si="177"/>
        <v>0</v>
      </c>
      <c r="BK154" s="299">
        <f>[1]COMMANDE!Y152</f>
        <v>0</v>
      </c>
      <c r="BL154" s="297" t="str">
        <f t="shared" si="178"/>
        <v>0</v>
      </c>
      <c r="BM154" s="300">
        <f t="shared" si="179"/>
        <v>0</v>
      </c>
      <c r="BN154" s="301">
        <f>[1]COMMANDE!AA152</f>
        <v>0</v>
      </c>
      <c r="BO154" s="297" t="str">
        <f t="shared" si="180"/>
        <v>0</v>
      </c>
      <c r="BP154" s="298">
        <f t="shared" si="181"/>
        <v>0</v>
      </c>
      <c r="BQ154" s="299">
        <f>[1]COMMANDE!AC152</f>
        <v>0</v>
      </c>
      <c r="BR154" s="297" t="str">
        <f t="shared" si="182"/>
        <v>0</v>
      </c>
      <c r="BS154" s="300">
        <f t="shared" si="183"/>
        <v>0</v>
      </c>
      <c r="BT154" s="301">
        <f>[1]COMMANDE!AE152</f>
        <v>0</v>
      </c>
      <c r="BU154" s="297" t="str">
        <f t="shared" si="184"/>
        <v>0</v>
      </c>
      <c r="BV154" s="298">
        <f t="shared" si="185"/>
        <v>0</v>
      </c>
      <c r="BW154" s="299">
        <f>[1]COMMANDE!AG152</f>
        <v>0</v>
      </c>
      <c r="BX154" s="297" t="str">
        <f t="shared" si="186"/>
        <v>0</v>
      </c>
      <c r="BY154" s="300">
        <f t="shared" si="187"/>
        <v>0</v>
      </c>
      <c r="BZ154" s="301">
        <f>[1]COMMANDE!AI152</f>
        <v>0</v>
      </c>
      <c r="CA154" s="297" t="str">
        <f t="shared" si="188"/>
        <v>0</v>
      </c>
      <c r="CB154" s="298">
        <f t="shared" si="189"/>
        <v>0</v>
      </c>
      <c r="CC154" s="299">
        <f>[1]COMMANDE!AK152</f>
        <v>0</v>
      </c>
      <c r="CD154" s="297" t="str">
        <f t="shared" si="190"/>
        <v>0</v>
      </c>
      <c r="CE154" s="300">
        <f t="shared" si="191"/>
        <v>0</v>
      </c>
      <c r="CF154" s="301">
        <f>[1]COMMANDE!AM152</f>
        <v>0</v>
      </c>
      <c r="CG154" s="297" t="str">
        <f t="shared" si="192"/>
        <v>0</v>
      </c>
      <c r="CH154" s="298">
        <f t="shared" si="193"/>
        <v>0</v>
      </c>
      <c r="CI154" s="299">
        <f>[1]COMMANDE!AO152</f>
        <v>0</v>
      </c>
      <c r="CJ154" s="297" t="str">
        <f t="shared" si="194"/>
        <v>0</v>
      </c>
      <c r="CK154" s="300">
        <f t="shared" si="195"/>
        <v>0</v>
      </c>
      <c r="CL154" s="301">
        <f>[1]COMMANDE!AQ152</f>
        <v>0</v>
      </c>
      <c r="CM154" s="297" t="str">
        <f t="shared" si="196"/>
        <v>0</v>
      </c>
      <c r="CN154" s="298">
        <f t="shared" si="197"/>
        <v>0</v>
      </c>
      <c r="CO154" s="299">
        <f>[1]COMMANDE!AS152</f>
        <v>0</v>
      </c>
      <c r="CP154" s="297" t="str">
        <f t="shared" si="198"/>
        <v>0</v>
      </c>
      <c r="CQ154" s="300">
        <f t="shared" si="199"/>
        <v>0</v>
      </c>
      <c r="CR154" s="301">
        <f>[1]COMMANDE!AU152</f>
        <v>0</v>
      </c>
      <c r="CS154" s="297" t="str">
        <f t="shared" si="200"/>
        <v>0</v>
      </c>
      <c r="CT154" s="298">
        <f t="shared" si="201"/>
        <v>0</v>
      </c>
      <c r="CU154" s="299">
        <f>[1]COMMANDE!AW152</f>
        <v>0</v>
      </c>
      <c r="CV154" s="297" t="str">
        <f t="shared" si="202"/>
        <v>0</v>
      </c>
      <c r="CW154" s="300">
        <f t="shared" si="203"/>
        <v>0</v>
      </c>
      <c r="CX154" s="301">
        <f>[1]COMMANDE!AY152</f>
        <v>0</v>
      </c>
      <c r="CY154" s="297" t="str">
        <f t="shared" si="204"/>
        <v>0</v>
      </c>
      <c r="CZ154" s="298">
        <f t="shared" si="205"/>
        <v>0</v>
      </c>
      <c r="DA154" s="299">
        <f>[1]COMMANDE!BA152</f>
        <v>0</v>
      </c>
      <c r="DB154" s="297" t="str">
        <f t="shared" si="206"/>
        <v>0</v>
      </c>
      <c r="DC154" s="302">
        <f t="shared" si="207"/>
        <v>0</v>
      </c>
      <c r="DD154" s="303"/>
      <c r="DE154" s="304"/>
      <c r="DF154" s="283"/>
      <c r="DG154" s="283"/>
      <c r="DH154" s="283"/>
      <c r="DI154" s="283"/>
      <c r="DJ154" s="283"/>
      <c r="DK154" s="283"/>
      <c r="DL154" s="283"/>
      <c r="DM154" s="283"/>
      <c r="DN154" s="283"/>
      <c r="DO154" s="283"/>
      <c r="DP154" s="283"/>
      <c r="DQ154" s="283"/>
      <c r="DR154" s="283"/>
      <c r="DS154" s="283"/>
      <c r="DT154" s="283"/>
      <c r="DU154" s="283"/>
      <c r="DV154" s="283"/>
      <c r="DW154" s="283"/>
      <c r="DX154" s="283"/>
    </row>
    <row r="155" spans="1:128" ht="39.950000000000003" customHeight="1" x14ac:dyDescent="0.25">
      <c r="A155" s="284">
        <f t="shared" si="140"/>
        <v>0</v>
      </c>
      <c r="B155" s="284">
        <f t="shared" si="141"/>
        <v>0</v>
      </c>
      <c r="C155" s="284">
        <f t="shared" si="142"/>
        <v>0</v>
      </c>
      <c r="D155" s="284">
        <f t="shared" si="143"/>
        <v>0</v>
      </c>
      <c r="E155" s="284">
        <f t="shared" si="144"/>
        <v>0</v>
      </c>
      <c r="F155" s="284">
        <f t="shared" si="145"/>
        <v>0</v>
      </c>
      <c r="G155" s="284">
        <f t="shared" si="146"/>
        <v>0</v>
      </c>
      <c r="H155" s="284">
        <f t="shared" si="147"/>
        <v>0</v>
      </c>
      <c r="I155" s="284">
        <f t="shared" si="148"/>
        <v>0</v>
      </c>
      <c r="J155" s="284">
        <f t="shared" si="149"/>
        <v>0</v>
      </c>
      <c r="K155" s="284">
        <f t="shared" si="150"/>
        <v>0</v>
      </c>
      <c r="L155" s="284">
        <f t="shared" si="151"/>
        <v>0</v>
      </c>
      <c r="M155" s="284">
        <f t="shared" si="152"/>
        <v>0</v>
      </c>
      <c r="N155" s="284">
        <f t="shared" si="153"/>
        <v>0</v>
      </c>
      <c r="O155" s="284">
        <f t="shared" si="154"/>
        <v>0</v>
      </c>
      <c r="P155" s="284">
        <f t="shared" si="155"/>
        <v>0</v>
      </c>
      <c r="Q155" s="284">
        <f t="shared" si="156"/>
        <v>0</v>
      </c>
      <c r="R155" s="284">
        <f t="shared" si="157"/>
        <v>0</v>
      </c>
      <c r="S155" s="284">
        <f t="shared" si="158"/>
        <v>0</v>
      </c>
      <c r="T155" s="284">
        <f t="shared" si="159"/>
        <v>0</v>
      </c>
      <c r="U155" s="285">
        <f t="shared" si="160"/>
        <v>0</v>
      </c>
      <c r="V155" s="286">
        <f>[1]BDD!A145</f>
        <v>1639</v>
      </c>
      <c r="W155" s="287" t="str">
        <f>[1]BDD!B145</f>
        <v>Maca noire BIO (env. 500g)</v>
      </c>
      <c r="X155" s="288" t="str">
        <f>IF([1]BDD!F145=0, "", [1]BDD!F145)</f>
        <v/>
      </c>
      <c r="Y155" s="214">
        <f>ROUND([1]BDD!G145+FDP_CMD_KG, 2)</f>
        <v>15.24</v>
      </c>
      <c r="Z155" s="214">
        <f>ROUND([1]BDD!G145+FDP_FACT_KG, 2)</f>
        <v>15.24</v>
      </c>
      <c r="AA155" s="215" t="str">
        <f>[1]BDD!H145</f>
        <v>Pièce</v>
      </c>
      <c r="AB155" s="225" t="str">
        <f>IF(NOT(ISBLANK([1]BDD!I145)), ROUND(SUM(([1]BDD!G145*reduc1),FDP_CMD_KG), 2), "")</f>
        <v/>
      </c>
      <c r="AC155" s="225" t="str">
        <f>IF(NOT(ISBLANK([1]BDD!J145)), ROUND(SUM(([1]BDD!G145*reduc2),FDP_CMD_KG), 2), "")</f>
        <v/>
      </c>
      <c r="AD155" s="225" t="str">
        <f>IF(NOT(ISBLANK([1]BDD!K145)), ROUND(SUM(([1]BDD!G145*reduc3),FDP_CMD_KG), 2), "")</f>
        <v/>
      </c>
      <c r="AE155" s="225" t="str">
        <f>IF(NOT(ISBLANK([1]BDD!I145)), ROUND(SUM(([1]BDD!G145*reduc1),FDP_FACT_KG), 2), "")</f>
        <v/>
      </c>
      <c r="AF155" s="225" t="str">
        <f>IF(NOT(ISBLANK([1]BDD!J145)), ROUND(SUM(([1]BDD!G145*reduc2),FDP_FACT_KG), 2), "")</f>
        <v/>
      </c>
      <c r="AG155" s="225" t="str">
        <f>IF(NOT(ISBLANK([1]BDD!K145)), ROUND(SUM(([1]BDD!G145*reduc3),FDP_FACT_KG), 2), "")</f>
        <v/>
      </c>
      <c r="AH155" s="289" t="str">
        <f>[1]BDD!C145</f>
        <v>Pérou</v>
      </c>
      <c r="AI155" s="290">
        <f t="shared" si="161"/>
        <v>0</v>
      </c>
      <c r="AJ155" s="216">
        <f t="shared" si="162"/>
        <v>15.24</v>
      </c>
      <c r="AK155" s="291">
        <f t="shared" si="163"/>
        <v>0</v>
      </c>
      <c r="AL155" s="429"/>
      <c r="AM155" s="292"/>
      <c r="AN155" s="216">
        <f t="shared" si="164"/>
        <v>15.24</v>
      </c>
      <c r="AO155" s="293">
        <f t="shared" si="165"/>
        <v>0</v>
      </c>
      <c r="AP155" s="294"/>
      <c r="AQ155" s="294"/>
      <c r="AR155" s="429"/>
      <c r="AS155" s="295">
        <f t="shared" si="166"/>
        <v>0</v>
      </c>
      <c r="AT155" s="216">
        <f t="shared" si="167"/>
        <v>15.24</v>
      </c>
      <c r="AU155" s="291">
        <f t="shared" si="139"/>
        <v>0</v>
      </c>
      <c r="AV155" s="296">
        <f>[1]COMMANDE!O153</f>
        <v>0</v>
      </c>
      <c r="AW155" s="297" t="str">
        <f t="shared" si="168"/>
        <v>0</v>
      </c>
      <c r="AX155" s="298">
        <f t="shared" si="169"/>
        <v>0</v>
      </c>
      <c r="AY155" s="299">
        <f>[1]COMMANDE!Q153</f>
        <v>0</v>
      </c>
      <c r="AZ155" s="297" t="str">
        <f t="shared" si="170"/>
        <v>0</v>
      </c>
      <c r="BA155" s="300">
        <f t="shared" si="171"/>
        <v>0</v>
      </c>
      <c r="BB155" s="301">
        <f>[1]COMMANDE!S153</f>
        <v>0</v>
      </c>
      <c r="BC155" s="297" t="str">
        <f t="shared" si="172"/>
        <v>0</v>
      </c>
      <c r="BD155" s="298">
        <f t="shared" si="173"/>
        <v>0</v>
      </c>
      <c r="BE155" s="299">
        <f>[1]COMMANDE!U153</f>
        <v>0</v>
      </c>
      <c r="BF155" s="297" t="str">
        <f t="shared" si="174"/>
        <v>0</v>
      </c>
      <c r="BG155" s="300">
        <f t="shared" si="175"/>
        <v>0</v>
      </c>
      <c r="BH155" s="301">
        <f>[1]COMMANDE!W153</f>
        <v>0</v>
      </c>
      <c r="BI155" s="297" t="str">
        <f t="shared" si="176"/>
        <v>0</v>
      </c>
      <c r="BJ155" s="298">
        <f t="shared" si="177"/>
        <v>0</v>
      </c>
      <c r="BK155" s="299">
        <f>[1]COMMANDE!Y153</f>
        <v>0</v>
      </c>
      <c r="BL155" s="297" t="str">
        <f t="shared" si="178"/>
        <v>0</v>
      </c>
      <c r="BM155" s="300">
        <f t="shared" si="179"/>
        <v>0</v>
      </c>
      <c r="BN155" s="301">
        <f>[1]COMMANDE!AA153</f>
        <v>0</v>
      </c>
      <c r="BO155" s="297" t="str">
        <f t="shared" si="180"/>
        <v>0</v>
      </c>
      <c r="BP155" s="298">
        <f t="shared" si="181"/>
        <v>0</v>
      </c>
      <c r="BQ155" s="299">
        <f>[1]COMMANDE!AC153</f>
        <v>0</v>
      </c>
      <c r="BR155" s="297" t="str">
        <f t="shared" si="182"/>
        <v>0</v>
      </c>
      <c r="BS155" s="300">
        <f t="shared" si="183"/>
        <v>0</v>
      </c>
      <c r="BT155" s="301">
        <f>[1]COMMANDE!AE153</f>
        <v>0</v>
      </c>
      <c r="BU155" s="297" t="str">
        <f t="shared" si="184"/>
        <v>0</v>
      </c>
      <c r="BV155" s="298">
        <f t="shared" si="185"/>
        <v>0</v>
      </c>
      <c r="BW155" s="299">
        <f>[1]COMMANDE!AG153</f>
        <v>0</v>
      </c>
      <c r="BX155" s="297" t="str">
        <f t="shared" si="186"/>
        <v>0</v>
      </c>
      <c r="BY155" s="300">
        <f t="shared" si="187"/>
        <v>0</v>
      </c>
      <c r="BZ155" s="301">
        <f>[1]COMMANDE!AI153</f>
        <v>0</v>
      </c>
      <c r="CA155" s="297" t="str">
        <f t="shared" si="188"/>
        <v>0</v>
      </c>
      <c r="CB155" s="298">
        <f t="shared" si="189"/>
        <v>0</v>
      </c>
      <c r="CC155" s="299">
        <f>[1]COMMANDE!AK153</f>
        <v>0</v>
      </c>
      <c r="CD155" s="297" t="str">
        <f t="shared" si="190"/>
        <v>0</v>
      </c>
      <c r="CE155" s="300">
        <f t="shared" si="191"/>
        <v>0</v>
      </c>
      <c r="CF155" s="301">
        <f>[1]COMMANDE!AM153</f>
        <v>0</v>
      </c>
      <c r="CG155" s="297" t="str">
        <f t="shared" si="192"/>
        <v>0</v>
      </c>
      <c r="CH155" s="298">
        <f t="shared" si="193"/>
        <v>0</v>
      </c>
      <c r="CI155" s="299">
        <f>[1]COMMANDE!AO153</f>
        <v>0</v>
      </c>
      <c r="CJ155" s="297" t="str">
        <f t="shared" si="194"/>
        <v>0</v>
      </c>
      <c r="CK155" s="300">
        <f t="shared" si="195"/>
        <v>0</v>
      </c>
      <c r="CL155" s="301">
        <f>[1]COMMANDE!AQ153</f>
        <v>0</v>
      </c>
      <c r="CM155" s="297" t="str">
        <f t="shared" si="196"/>
        <v>0</v>
      </c>
      <c r="CN155" s="298">
        <f t="shared" si="197"/>
        <v>0</v>
      </c>
      <c r="CO155" s="299">
        <f>[1]COMMANDE!AS153</f>
        <v>0</v>
      </c>
      <c r="CP155" s="297" t="str">
        <f t="shared" si="198"/>
        <v>0</v>
      </c>
      <c r="CQ155" s="300">
        <f t="shared" si="199"/>
        <v>0</v>
      </c>
      <c r="CR155" s="301">
        <f>[1]COMMANDE!AU153</f>
        <v>0</v>
      </c>
      <c r="CS155" s="297" t="str">
        <f t="shared" si="200"/>
        <v>0</v>
      </c>
      <c r="CT155" s="298">
        <f t="shared" si="201"/>
        <v>0</v>
      </c>
      <c r="CU155" s="299">
        <f>[1]COMMANDE!AW153</f>
        <v>0</v>
      </c>
      <c r="CV155" s="297" t="str">
        <f t="shared" si="202"/>
        <v>0</v>
      </c>
      <c r="CW155" s="300">
        <f t="shared" si="203"/>
        <v>0</v>
      </c>
      <c r="CX155" s="301">
        <f>[1]COMMANDE!AY153</f>
        <v>0</v>
      </c>
      <c r="CY155" s="297" t="str">
        <f t="shared" si="204"/>
        <v>0</v>
      </c>
      <c r="CZ155" s="298">
        <f t="shared" si="205"/>
        <v>0</v>
      </c>
      <c r="DA155" s="299">
        <f>[1]COMMANDE!BA153</f>
        <v>0</v>
      </c>
      <c r="DB155" s="297" t="str">
        <f t="shared" si="206"/>
        <v>0</v>
      </c>
      <c r="DC155" s="302">
        <f t="shared" si="207"/>
        <v>0</v>
      </c>
      <c r="DD155" s="303"/>
      <c r="DE155" s="304"/>
    </row>
    <row r="156" spans="1:128" ht="39.950000000000003" customHeight="1" x14ac:dyDescent="0.25">
      <c r="A156" s="284">
        <f t="shared" si="140"/>
        <v>1</v>
      </c>
      <c r="B156" s="284">
        <f t="shared" si="141"/>
        <v>0</v>
      </c>
      <c r="C156" s="284">
        <f t="shared" si="142"/>
        <v>1</v>
      </c>
      <c r="D156" s="284">
        <f t="shared" si="143"/>
        <v>1</v>
      </c>
      <c r="E156" s="284">
        <f t="shared" si="144"/>
        <v>0</v>
      </c>
      <c r="F156" s="284">
        <f t="shared" si="145"/>
        <v>0</v>
      </c>
      <c r="G156" s="284">
        <f t="shared" si="146"/>
        <v>0</v>
      </c>
      <c r="H156" s="284">
        <f t="shared" si="147"/>
        <v>0</v>
      </c>
      <c r="I156" s="284">
        <f t="shared" si="148"/>
        <v>0</v>
      </c>
      <c r="J156" s="284">
        <f t="shared" si="149"/>
        <v>0</v>
      </c>
      <c r="K156" s="284">
        <f t="shared" si="150"/>
        <v>0</v>
      </c>
      <c r="L156" s="284">
        <f t="shared" si="151"/>
        <v>0</v>
      </c>
      <c r="M156" s="284">
        <f t="shared" si="152"/>
        <v>0</v>
      </c>
      <c r="N156" s="284">
        <f t="shared" si="153"/>
        <v>0</v>
      </c>
      <c r="O156" s="284">
        <f t="shared" si="154"/>
        <v>0</v>
      </c>
      <c r="P156" s="284">
        <f t="shared" si="155"/>
        <v>0</v>
      </c>
      <c r="Q156" s="284">
        <f t="shared" si="156"/>
        <v>0</v>
      </c>
      <c r="R156" s="284">
        <f t="shared" si="157"/>
        <v>0</v>
      </c>
      <c r="S156" s="284">
        <f t="shared" si="158"/>
        <v>0</v>
      </c>
      <c r="T156" s="284">
        <f t="shared" si="159"/>
        <v>0</v>
      </c>
      <c r="U156" s="285">
        <f t="shared" si="160"/>
        <v>1</v>
      </c>
      <c r="V156" s="286">
        <f>[1]BDD!A146</f>
        <v>1207</v>
      </c>
      <c r="W156" s="287" t="str">
        <f>[1]BDD!B146</f>
        <v>Mandarine BIO</v>
      </c>
      <c r="X156" s="288" t="str">
        <f>IF([1]BDD!F146=0, "", [1]BDD!F146)</f>
        <v/>
      </c>
      <c r="Y156" s="214">
        <f>ROUND([1]BDD!G146+FDP_CMD_KG, 2)</f>
        <v>3.32</v>
      </c>
      <c r="Z156" s="214">
        <f>ROUND([1]BDD!G146+FDP_FACT_KG, 2)</f>
        <v>3.32</v>
      </c>
      <c r="AA156" s="215" t="str">
        <f>[1]BDD!H146</f>
        <v>kg</v>
      </c>
      <c r="AB156" s="225">
        <f>IF(NOT(ISBLANK([1]BDD!I146)), ROUND(SUM(([1]BDD!G146*reduc1),FDP_CMD_KG), 2), "")</f>
        <v>3.08</v>
      </c>
      <c r="AC156" s="225">
        <f>IF(NOT(ISBLANK([1]BDD!J146)), ROUND(SUM(([1]BDD!G146*reduc2),FDP_CMD_KG), 2), "")</f>
        <v>2.83</v>
      </c>
      <c r="AD156" s="225" t="str">
        <f>IF(NOT(ISBLANK([1]BDD!K146)), ROUND(SUM(([1]BDD!G146*reduc3),FDP_CMD_KG), 2), "")</f>
        <v/>
      </c>
      <c r="AE156" s="225">
        <f>IF(NOT(ISBLANK([1]BDD!I146)), ROUND(SUM(([1]BDD!G146*reduc1),FDP_FACT_KG), 2), "")</f>
        <v>3.07</v>
      </c>
      <c r="AF156" s="225">
        <f>IF(NOT(ISBLANK([1]BDD!J146)), ROUND(SUM(([1]BDD!G146*reduc2),FDP_FACT_KG), 2), "")</f>
        <v>2.83</v>
      </c>
      <c r="AG156" s="225" t="str">
        <f>IF(NOT(ISBLANK([1]BDD!K146)), ROUND(SUM(([1]BDD!G146*reduc3),FDP_FACT_KG), 2), "")</f>
        <v/>
      </c>
      <c r="AH156" s="289" t="str">
        <f>[1]BDD!C146</f>
        <v>Grenade</v>
      </c>
      <c r="AI156" s="290">
        <f t="shared" si="161"/>
        <v>10</v>
      </c>
      <c r="AJ156" s="216">
        <f t="shared" si="162"/>
        <v>2.83</v>
      </c>
      <c r="AK156" s="291">
        <f t="shared" si="163"/>
        <v>28.3</v>
      </c>
      <c r="AL156" s="429"/>
      <c r="AM156" s="292">
        <v>10</v>
      </c>
      <c r="AN156" s="216">
        <f t="shared" si="164"/>
        <v>3.07</v>
      </c>
      <c r="AO156" s="293">
        <f t="shared" si="165"/>
        <v>30.7</v>
      </c>
      <c r="AP156" s="294"/>
      <c r="AQ156" s="294"/>
      <c r="AR156" s="429"/>
      <c r="AS156" s="295">
        <f t="shared" si="166"/>
        <v>10</v>
      </c>
      <c r="AT156" s="216">
        <f t="shared" si="167"/>
        <v>3.07</v>
      </c>
      <c r="AU156" s="291">
        <f t="shared" si="139"/>
        <v>30.7</v>
      </c>
      <c r="AV156" s="296">
        <f>[1]COMMANDE!O154</f>
        <v>5</v>
      </c>
      <c r="AW156" s="297">
        <f t="shared" si="168"/>
        <v>5</v>
      </c>
      <c r="AX156" s="298">
        <f t="shared" si="169"/>
        <v>15.35</v>
      </c>
      <c r="AY156" s="299">
        <f>[1]COMMANDE!Q154</f>
        <v>0</v>
      </c>
      <c r="AZ156" s="297" t="str">
        <f t="shared" si="170"/>
        <v>0</v>
      </c>
      <c r="BA156" s="300">
        <f t="shared" si="171"/>
        <v>0</v>
      </c>
      <c r="BB156" s="301">
        <f>[1]COMMANDE!S154</f>
        <v>2</v>
      </c>
      <c r="BC156" s="297">
        <f t="shared" si="172"/>
        <v>2</v>
      </c>
      <c r="BD156" s="298">
        <f t="shared" si="173"/>
        <v>6.14</v>
      </c>
      <c r="BE156" s="299">
        <f>[1]COMMANDE!U154</f>
        <v>3</v>
      </c>
      <c r="BF156" s="297">
        <f t="shared" si="174"/>
        <v>3</v>
      </c>
      <c r="BG156" s="300">
        <f t="shared" si="175"/>
        <v>9.2099999999999991</v>
      </c>
      <c r="BH156" s="301">
        <f>[1]COMMANDE!W154</f>
        <v>0</v>
      </c>
      <c r="BI156" s="297" t="str">
        <f t="shared" si="176"/>
        <v>0</v>
      </c>
      <c r="BJ156" s="298">
        <f t="shared" si="177"/>
        <v>0</v>
      </c>
      <c r="BK156" s="299">
        <f>[1]COMMANDE!Y154</f>
        <v>0</v>
      </c>
      <c r="BL156" s="297" t="str">
        <f t="shared" si="178"/>
        <v>0</v>
      </c>
      <c r="BM156" s="300">
        <f t="shared" si="179"/>
        <v>0</v>
      </c>
      <c r="BN156" s="301">
        <f>[1]COMMANDE!AA154</f>
        <v>0</v>
      </c>
      <c r="BO156" s="297" t="str">
        <f t="shared" si="180"/>
        <v>0</v>
      </c>
      <c r="BP156" s="298">
        <f t="shared" si="181"/>
        <v>0</v>
      </c>
      <c r="BQ156" s="299">
        <f>[1]COMMANDE!AC154</f>
        <v>0</v>
      </c>
      <c r="BR156" s="297" t="str">
        <f t="shared" si="182"/>
        <v>0</v>
      </c>
      <c r="BS156" s="300">
        <f t="shared" si="183"/>
        <v>0</v>
      </c>
      <c r="BT156" s="301">
        <f>[1]COMMANDE!AE154</f>
        <v>0</v>
      </c>
      <c r="BU156" s="297" t="str">
        <f t="shared" si="184"/>
        <v>0</v>
      </c>
      <c r="BV156" s="298">
        <f t="shared" si="185"/>
        <v>0</v>
      </c>
      <c r="BW156" s="299">
        <f>[1]COMMANDE!AG154</f>
        <v>0</v>
      </c>
      <c r="BX156" s="297" t="str">
        <f t="shared" si="186"/>
        <v>0</v>
      </c>
      <c r="BY156" s="300">
        <f t="shared" si="187"/>
        <v>0</v>
      </c>
      <c r="BZ156" s="301">
        <f>[1]COMMANDE!AI154</f>
        <v>0</v>
      </c>
      <c r="CA156" s="297" t="str">
        <f t="shared" si="188"/>
        <v>0</v>
      </c>
      <c r="CB156" s="298">
        <f t="shared" si="189"/>
        <v>0</v>
      </c>
      <c r="CC156" s="299">
        <f>[1]COMMANDE!AK154</f>
        <v>0</v>
      </c>
      <c r="CD156" s="297" t="str">
        <f t="shared" si="190"/>
        <v>0</v>
      </c>
      <c r="CE156" s="300">
        <f t="shared" si="191"/>
        <v>0</v>
      </c>
      <c r="CF156" s="301">
        <f>[1]COMMANDE!AM154</f>
        <v>0</v>
      </c>
      <c r="CG156" s="297" t="str">
        <f t="shared" si="192"/>
        <v>0</v>
      </c>
      <c r="CH156" s="298">
        <f t="shared" si="193"/>
        <v>0</v>
      </c>
      <c r="CI156" s="299">
        <f>[1]COMMANDE!AO154</f>
        <v>0</v>
      </c>
      <c r="CJ156" s="297" t="str">
        <f t="shared" si="194"/>
        <v>0</v>
      </c>
      <c r="CK156" s="300">
        <f t="shared" si="195"/>
        <v>0</v>
      </c>
      <c r="CL156" s="301">
        <f>[1]COMMANDE!AQ154</f>
        <v>0</v>
      </c>
      <c r="CM156" s="297" t="str">
        <f t="shared" si="196"/>
        <v>0</v>
      </c>
      <c r="CN156" s="298">
        <f t="shared" si="197"/>
        <v>0</v>
      </c>
      <c r="CO156" s="299">
        <f>[1]COMMANDE!AS154</f>
        <v>0</v>
      </c>
      <c r="CP156" s="297" t="str">
        <f t="shared" si="198"/>
        <v>0</v>
      </c>
      <c r="CQ156" s="300">
        <f t="shared" si="199"/>
        <v>0</v>
      </c>
      <c r="CR156" s="301">
        <f>[1]COMMANDE!AU154</f>
        <v>0</v>
      </c>
      <c r="CS156" s="297" t="str">
        <f t="shared" si="200"/>
        <v>0</v>
      </c>
      <c r="CT156" s="298">
        <f t="shared" si="201"/>
        <v>0</v>
      </c>
      <c r="CU156" s="299">
        <f>[1]COMMANDE!AW154</f>
        <v>0</v>
      </c>
      <c r="CV156" s="297" t="str">
        <f t="shared" si="202"/>
        <v>0</v>
      </c>
      <c r="CW156" s="300">
        <f t="shared" si="203"/>
        <v>0</v>
      </c>
      <c r="CX156" s="301">
        <f>[1]COMMANDE!AY154</f>
        <v>0</v>
      </c>
      <c r="CY156" s="297" t="str">
        <f t="shared" si="204"/>
        <v>0</v>
      </c>
      <c r="CZ156" s="298">
        <f t="shared" si="205"/>
        <v>0</v>
      </c>
      <c r="DA156" s="299">
        <f>[1]COMMANDE!BA154</f>
        <v>0</v>
      </c>
      <c r="DB156" s="297" t="str">
        <f t="shared" si="206"/>
        <v>0</v>
      </c>
      <c r="DC156" s="302">
        <f t="shared" si="207"/>
        <v>0</v>
      </c>
      <c r="DD156" s="303"/>
      <c r="DE156" s="304"/>
    </row>
    <row r="157" spans="1:128" ht="39.950000000000003" customHeight="1" x14ac:dyDescent="0.25">
      <c r="A157" s="284">
        <f t="shared" si="140"/>
        <v>0</v>
      </c>
      <c r="B157" s="284">
        <f t="shared" si="141"/>
        <v>0</v>
      </c>
      <c r="C157" s="284">
        <f t="shared" si="142"/>
        <v>0</v>
      </c>
      <c r="D157" s="284">
        <f t="shared" si="143"/>
        <v>0</v>
      </c>
      <c r="E157" s="284">
        <f t="shared" si="144"/>
        <v>0</v>
      </c>
      <c r="F157" s="284">
        <f t="shared" si="145"/>
        <v>0</v>
      </c>
      <c r="G157" s="284">
        <f t="shared" si="146"/>
        <v>0</v>
      </c>
      <c r="H157" s="284">
        <f t="shared" si="147"/>
        <v>0</v>
      </c>
      <c r="I157" s="284">
        <f t="shared" si="148"/>
        <v>0</v>
      </c>
      <c r="J157" s="284">
        <f t="shared" si="149"/>
        <v>0</v>
      </c>
      <c r="K157" s="284">
        <f t="shared" si="150"/>
        <v>0</v>
      </c>
      <c r="L157" s="284">
        <f t="shared" si="151"/>
        <v>0</v>
      </c>
      <c r="M157" s="284">
        <f t="shared" si="152"/>
        <v>0</v>
      </c>
      <c r="N157" s="284">
        <f t="shared" si="153"/>
        <v>0</v>
      </c>
      <c r="O157" s="284">
        <f t="shared" si="154"/>
        <v>0</v>
      </c>
      <c r="P157" s="284">
        <f t="shared" si="155"/>
        <v>0</v>
      </c>
      <c r="Q157" s="284">
        <f t="shared" si="156"/>
        <v>0</v>
      </c>
      <c r="R157" s="284">
        <f t="shared" si="157"/>
        <v>0</v>
      </c>
      <c r="S157" s="284">
        <f t="shared" si="158"/>
        <v>0</v>
      </c>
      <c r="T157" s="284">
        <f t="shared" si="159"/>
        <v>0</v>
      </c>
      <c r="U157" s="285">
        <f t="shared" si="160"/>
        <v>0</v>
      </c>
      <c r="V157" s="286">
        <f>[1]BDD!A147</f>
        <v>3308</v>
      </c>
      <c r="W157" s="287" t="str">
        <f>[1]BDD!B147</f>
        <v>Mandarine Clemenules</v>
      </c>
      <c r="X157" s="288" t="str">
        <f>IF([1]BDD!F147=0, "", [1]BDD!F147)</f>
        <v/>
      </c>
      <c r="Y157" s="214">
        <f>ROUND([1]BDD!G147+FDP_CMD_KG, 2)</f>
        <v>2.91</v>
      </c>
      <c r="Z157" s="214">
        <f>ROUND([1]BDD!G147+FDP_FACT_KG, 2)</f>
        <v>2.91</v>
      </c>
      <c r="AA157" s="215" t="str">
        <f>[1]BDD!H147</f>
        <v>kg</v>
      </c>
      <c r="AB157" s="225">
        <f>IF(NOT(ISBLANK([1]BDD!I147)), ROUND(SUM(([1]BDD!G147*reduc1),FDP_CMD_KG), 2), "")</f>
        <v>2.71</v>
      </c>
      <c r="AC157" s="225" t="str">
        <f>IF(NOT(ISBLANK([1]BDD!J147)), ROUND(SUM(([1]BDD!G147*reduc2),FDP_CMD_KG), 2), "")</f>
        <v/>
      </c>
      <c r="AD157" s="225" t="str">
        <f>IF(NOT(ISBLANK([1]BDD!K147)), ROUND(SUM(([1]BDD!G147*reduc3),FDP_CMD_KG), 2), "")</f>
        <v/>
      </c>
      <c r="AE157" s="225">
        <f>IF(NOT(ISBLANK([1]BDD!I147)), ROUND(SUM(([1]BDD!G147*reduc1),FDP_FACT_KG), 2), "")</f>
        <v>2.7</v>
      </c>
      <c r="AF157" s="225" t="str">
        <f>IF(NOT(ISBLANK([1]BDD!J147)), ROUND(SUM(([1]BDD!G147*reduc2),FDP_FACT_KG), 2), "")</f>
        <v/>
      </c>
      <c r="AG157" s="225" t="str">
        <f>IF(NOT(ISBLANK([1]BDD!K147)), ROUND(SUM(([1]BDD!G147*reduc3),FDP_FACT_KG), 2), "")</f>
        <v/>
      </c>
      <c r="AH157" s="289" t="str">
        <f>[1]BDD!C147</f>
        <v>Grenade</v>
      </c>
      <c r="AI157" s="290">
        <f t="shared" si="161"/>
        <v>0</v>
      </c>
      <c r="AJ157" s="216">
        <f t="shared" si="162"/>
        <v>2.71</v>
      </c>
      <c r="AK157" s="291">
        <f t="shared" si="163"/>
        <v>0</v>
      </c>
      <c r="AL157" s="429"/>
      <c r="AM157" s="292"/>
      <c r="AN157" s="216">
        <f t="shared" si="164"/>
        <v>2.91</v>
      </c>
      <c r="AO157" s="293">
        <f t="shared" si="165"/>
        <v>0</v>
      </c>
      <c r="AP157" s="294"/>
      <c r="AQ157" s="294"/>
      <c r="AR157" s="429"/>
      <c r="AS157" s="295">
        <f t="shared" si="166"/>
        <v>0</v>
      </c>
      <c r="AT157" s="216">
        <f t="shared" si="167"/>
        <v>2.91</v>
      </c>
      <c r="AU157" s="291">
        <f t="shared" si="139"/>
        <v>0</v>
      </c>
      <c r="AV157" s="296">
        <f>[1]COMMANDE!O155</f>
        <v>0</v>
      </c>
      <c r="AW157" s="297" t="str">
        <f t="shared" si="168"/>
        <v>0</v>
      </c>
      <c r="AX157" s="298">
        <f t="shared" si="169"/>
        <v>0</v>
      </c>
      <c r="AY157" s="299">
        <f>[1]COMMANDE!Q155</f>
        <v>0</v>
      </c>
      <c r="AZ157" s="297" t="str">
        <f t="shared" si="170"/>
        <v>0</v>
      </c>
      <c r="BA157" s="300">
        <f t="shared" si="171"/>
        <v>0</v>
      </c>
      <c r="BB157" s="301">
        <f>[1]COMMANDE!S155</f>
        <v>0</v>
      </c>
      <c r="BC157" s="297" t="str">
        <f t="shared" si="172"/>
        <v>0</v>
      </c>
      <c r="BD157" s="298">
        <f t="shared" si="173"/>
        <v>0</v>
      </c>
      <c r="BE157" s="299">
        <f>[1]COMMANDE!U155</f>
        <v>0</v>
      </c>
      <c r="BF157" s="297" t="str">
        <f t="shared" si="174"/>
        <v>0</v>
      </c>
      <c r="BG157" s="300">
        <f t="shared" si="175"/>
        <v>0</v>
      </c>
      <c r="BH157" s="301">
        <f>[1]COMMANDE!W155</f>
        <v>0</v>
      </c>
      <c r="BI157" s="297" t="str">
        <f t="shared" si="176"/>
        <v>0</v>
      </c>
      <c r="BJ157" s="298">
        <f t="shared" si="177"/>
        <v>0</v>
      </c>
      <c r="BK157" s="299">
        <f>[1]COMMANDE!Y155</f>
        <v>0</v>
      </c>
      <c r="BL157" s="297" t="str">
        <f t="shared" si="178"/>
        <v>0</v>
      </c>
      <c r="BM157" s="300">
        <f t="shared" si="179"/>
        <v>0</v>
      </c>
      <c r="BN157" s="301">
        <f>[1]COMMANDE!AA155</f>
        <v>0</v>
      </c>
      <c r="BO157" s="297" t="str">
        <f t="shared" si="180"/>
        <v>0</v>
      </c>
      <c r="BP157" s="298">
        <f t="shared" si="181"/>
        <v>0</v>
      </c>
      <c r="BQ157" s="299">
        <f>[1]COMMANDE!AC155</f>
        <v>0</v>
      </c>
      <c r="BR157" s="297" t="str">
        <f t="shared" si="182"/>
        <v>0</v>
      </c>
      <c r="BS157" s="300">
        <f t="shared" si="183"/>
        <v>0</v>
      </c>
      <c r="BT157" s="301">
        <f>[1]COMMANDE!AE155</f>
        <v>0</v>
      </c>
      <c r="BU157" s="297" t="str">
        <f t="shared" si="184"/>
        <v>0</v>
      </c>
      <c r="BV157" s="298">
        <f t="shared" si="185"/>
        <v>0</v>
      </c>
      <c r="BW157" s="299">
        <f>[1]COMMANDE!AG155</f>
        <v>0</v>
      </c>
      <c r="BX157" s="297" t="str">
        <f t="shared" si="186"/>
        <v>0</v>
      </c>
      <c r="BY157" s="300">
        <f t="shared" si="187"/>
        <v>0</v>
      </c>
      <c r="BZ157" s="301">
        <f>[1]COMMANDE!AI155</f>
        <v>0</v>
      </c>
      <c r="CA157" s="297" t="str">
        <f t="shared" si="188"/>
        <v>0</v>
      </c>
      <c r="CB157" s="298">
        <f t="shared" si="189"/>
        <v>0</v>
      </c>
      <c r="CC157" s="299">
        <f>[1]COMMANDE!AK155</f>
        <v>0</v>
      </c>
      <c r="CD157" s="297" t="str">
        <f t="shared" si="190"/>
        <v>0</v>
      </c>
      <c r="CE157" s="300">
        <f t="shared" si="191"/>
        <v>0</v>
      </c>
      <c r="CF157" s="301">
        <f>[1]COMMANDE!AM155</f>
        <v>0</v>
      </c>
      <c r="CG157" s="297" t="str">
        <f t="shared" si="192"/>
        <v>0</v>
      </c>
      <c r="CH157" s="298">
        <f t="shared" si="193"/>
        <v>0</v>
      </c>
      <c r="CI157" s="299">
        <f>[1]COMMANDE!AO155</f>
        <v>0</v>
      </c>
      <c r="CJ157" s="297" t="str">
        <f t="shared" si="194"/>
        <v>0</v>
      </c>
      <c r="CK157" s="300">
        <f t="shared" si="195"/>
        <v>0</v>
      </c>
      <c r="CL157" s="301">
        <f>[1]COMMANDE!AQ155</f>
        <v>0</v>
      </c>
      <c r="CM157" s="297" t="str">
        <f t="shared" si="196"/>
        <v>0</v>
      </c>
      <c r="CN157" s="298">
        <f t="shared" si="197"/>
        <v>0</v>
      </c>
      <c r="CO157" s="299">
        <f>[1]COMMANDE!AS155</f>
        <v>0</v>
      </c>
      <c r="CP157" s="297" t="str">
        <f t="shared" si="198"/>
        <v>0</v>
      </c>
      <c r="CQ157" s="300">
        <f t="shared" si="199"/>
        <v>0</v>
      </c>
      <c r="CR157" s="301">
        <f>[1]COMMANDE!AU155</f>
        <v>0</v>
      </c>
      <c r="CS157" s="297" t="str">
        <f t="shared" si="200"/>
        <v>0</v>
      </c>
      <c r="CT157" s="298">
        <f t="shared" si="201"/>
        <v>0</v>
      </c>
      <c r="CU157" s="299">
        <f>[1]COMMANDE!AW155</f>
        <v>0</v>
      </c>
      <c r="CV157" s="297" t="str">
        <f t="shared" si="202"/>
        <v>0</v>
      </c>
      <c r="CW157" s="300">
        <f t="shared" si="203"/>
        <v>0</v>
      </c>
      <c r="CX157" s="301">
        <f>[1]COMMANDE!AY155</f>
        <v>0</v>
      </c>
      <c r="CY157" s="297" t="str">
        <f t="shared" si="204"/>
        <v>0</v>
      </c>
      <c r="CZ157" s="298">
        <f t="shared" si="205"/>
        <v>0</v>
      </c>
      <c r="DA157" s="299">
        <f>[1]COMMANDE!BA155</f>
        <v>0</v>
      </c>
      <c r="DB157" s="297" t="str">
        <f t="shared" si="206"/>
        <v>0</v>
      </c>
      <c r="DC157" s="302">
        <f t="shared" si="207"/>
        <v>0</v>
      </c>
      <c r="DD157" s="303"/>
      <c r="DE157" s="304"/>
    </row>
    <row r="158" spans="1:128" ht="39.950000000000003" customHeight="1" x14ac:dyDescent="0.25">
      <c r="A158" s="284">
        <f t="shared" si="140"/>
        <v>0</v>
      </c>
      <c r="B158" s="284">
        <f t="shared" si="141"/>
        <v>0</v>
      </c>
      <c r="C158" s="284">
        <f t="shared" si="142"/>
        <v>0</v>
      </c>
      <c r="D158" s="284">
        <f t="shared" si="143"/>
        <v>0</v>
      </c>
      <c r="E158" s="284">
        <f t="shared" si="144"/>
        <v>0</v>
      </c>
      <c r="F158" s="284">
        <f t="shared" si="145"/>
        <v>0</v>
      </c>
      <c r="G158" s="284">
        <f t="shared" si="146"/>
        <v>0</v>
      </c>
      <c r="H158" s="284">
        <f t="shared" si="147"/>
        <v>0</v>
      </c>
      <c r="I158" s="284">
        <f t="shared" si="148"/>
        <v>0</v>
      </c>
      <c r="J158" s="284">
        <f t="shared" si="149"/>
        <v>0</v>
      </c>
      <c r="K158" s="284">
        <f t="shared" si="150"/>
        <v>0</v>
      </c>
      <c r="L158" s="284">
        <f t="shared" si="151"/>
        <v>0</v>
      </c>
      <c r="M158" s="284">
        <f t="shared" si="152"/>
        <v>0</v>
      </c>
      <c r="N158" s="284">
        <f t="shared" si="153"/>
        <v>0</v>
      </c>
      <c r="O158" s="284">
        <f t="shared" si="154"/>
        <v>0</v>
      </c>
      <c r="P158" s="284">
        <f t="shared" si="155"/>
        <v>0</v>
      </c>
      <c r="Q158" s="284">
        <f t="shared" si="156"/>
        <v>0</v>
      </c>
      <c r="R158" s="284">
        <f t="shared" si="157"/>
        <v>0</v>
      </c>
      <c r="S158" s="284">
        <f t="shared" si="158"/>
        <v>0</v>
      </c>
      <c r="T158" s="284">
        <f t="shared" si="159"/>
        <v>0</v>
      </c>
      <c r="U158" s="285">
        <f t="shared" si="160"/>
        <v>0</v>
      </c>
      <c r="V158" s="286">
        <f>[1]BDD!A148</f>
        <v>6258</v>
      </c>
      <c r="W158" s="287" t="str">
        <f>[1]BDD!B148</f>
        <v>Mangue Adania BIO (production Rufino)</v>
      </c>
      <c r="X158" s="288" t="str">
        <f>IF([1]BDD!F148=0, "", [1]BDD!F148)</f>
        <v/>
      </c>
      <c r="Y158" s="214">
        <f>ROUND([1]BDD!G148+FDP_CMD_KG, 2)</f>
        <v>5.93</v>
      </c>
      <c r="Z158" s="214">
        <f>ROUND([1]BDD!G148+FDP_FACT_KG, 2)</f>
        <v>5.93</v>
      </c>
      <c r="AA158" s="215" t="str">
        <f>[1]BDD!H148</f>
        <v>kg</v>
      </c>
      <c r="AB158" s="225">
        <f>IF(NOT(ISBLANK([1]BDD!I148)), ROUND(SUM(([1]BDD!G148*reduc1),FDP_CMD_KG), 2), "")</f>
        <v>5.43</v>
      </c>
      <c r="AC158" s="225">
        <f>IF(NOT(ISBLANK([1]BDD!J148)), ROUND(SUM(([1]BDD!G148*reduc2),FDP_CMD_KG), 2), "")</f>
        <v>4.92</v>
      </c>
      <c r="AD158" s="225">
        <f>IF(NOT(ISBLANK([1]BDD!K148)), ROUND(SUM(([1]BDD!G148*reduc3),FDP_CMD_KG), 2), "")</f>
        <v>4.42</v>
      </c>
      <c r="AE158" s="225">
        <f>IF(NOT(ISBLANK([1]BDD!I148)), ROUND(SUM(([1]BDD!G148*reduc1),FDP_FACT_KG), 2), "")</f>
        <v>5.42</v>
      </c>
      <c r="AF158" s="225">
        <f>IF(NOT(ISBLANK([1]BDD!J148)), ROUND(SUM(([1]BDD!G148*reduc2),FDP_FACT_KG), 2), "")</f>
        <v>4.91</v>
      </c>
      <c r="AG158" s="225">
        <f>IF(NOT(ISBLANK([1]BDD!K148)), ROUND(SUM(([1]BDD!G148*reduc3),FDP_FACT_KG), 2), "")</f>
        <v>4.41</v>
      </c>
      <c r="AH158" s="289" t="str">
        <f>[1]BDD!C148</f>
        <v>Grenade</v>
      </c>
      <c r="AI158" s="290">
        <f t="shared" si="161"/>
        <v>0</v>
      </c>
      <c r="AJ158" s="216">
        <f t="shared" si="162"/>
        <v>4.42</v>
      </c>
      <c r="AK158" s="291">
        <f t="shared" si="163"/>
        <v>0</v>
      </c>
      <c r="AL158" s="429"/>
      <c r="AM158" s="292"/>
      <c r="AN158" s="216">
        <f t="shared" si="164"/>
        <v>5.93</v>
      </c>
      <c r="AO158" s="293">
        <f t="shared" si="165"/>
        <v>0</v>
      </c>
      <c r="AP158" s="294"/>
      <c r="AQ158" s="294"/>
      <c r="AR158" s="429"/>
      <c r="AS158" s="295">
        <f t="shared" si="166"/>
        <v>0</v>
      </c>
      <c r="AT158" s="216">
        <f t="shared" si="167"/>
        <v>5.93</v>
      </c>
      <c r="AU158" s="291">
        <f t="shared" si="139"/>
        <v>0</v>
      </c>
      <c r="AV158" s="296">
        <f>[1]COMMANDE!O156</f>
        <v>0</v>
      </c>
      <c r="AW158" s="297" t="str">
        <f t="shared" si="168"/>
        <v>0</v>
      </c>
      <c r="AX158" s="298">
        <f t="shared" si="169"/>
        <v>0</v>
      </c>
      <c r="AY158" s="299">
        <f>[1]COMMANDE!Q156</f>
        <v>0</v>
      </c>
      <c r="AZ158" s="297" t="str">
        <f t="shared" si="170"/>
        <v>0</v>
      </c>
      <c r="BA158" s="300">
        <f t="shared" si="171"/>
        <v>0</v>
      </c>
      <c r="BB158" s="301">
        <f>[1]COMMANDE!S156</f>
        <v>0</v>
      </c>
      <c r="BC158" s="297" t="str">
        <f t="shared" si="172"/>
        <v>0</v>
      </c>
      <c r="BD158" s="298">
        <f t="shared" si="173"/>
        <v>0</v>
      </c>
      <c r="BE158" s="299">
        <f>[1]COMMANDE!U156</f>
        <v>0</v>
      </c>
      <c r="BF158" s="297" t="str">
        <f t="shared" si="174"/>
        <v>0</v>
      </c>
      <c r="BG158" s="300">
        <f t="shared" si="175"/>
        <v>0</v>
      </c>
      <c r="BH158" s="301">
        <f>[1]COMMANDE!W156</f>
        <v>0</v>
      </c>
      <c r="BI158" s="297" t="str">
        <f t="shared" si="176"/>
        <v>0</v>
      </c>
      <c r="BJ158" s="298">
        <f t="shared" si="177"/>
        <v>0</v>
      </c>
      <c r="BK158" s="299">
        <f>[1]COMMANDE!Y156</f>
        <v>0</v>
      </c>
      <c r="BL158" s="297" t="str">
        <f t="shared" si="178"/>
        <v>0</v>
      </c>
      <c r="BM158" s="300">
        <f t="shared" si="179"/>
        <v>0</v>
      </c>
      <c r="BN158" s="301">
        <f>[1]COMMANDE!AA156</f>
        <v>0</v>
      </c>
      <c r="BO158" s="297" t="str">
        <f t="shared" si="180"/>
        <v>0</v>
      </c>
      <c r="BP158" s="298">
        <f t="shared" si="181"/>
        <v>0</v>
      </c>
      <c r="BQ158" s="299">
        <f>[1]COMMANDE!AC156</f>
        <v>0</v>
      </c>
      <c r="BR158" s="297" t="str">
        <f t="shared" si="182"/>
        <v>0</v>
      </c>
      <c r="BS158" s="300">
        <f t="shared" si="183"/>
        <v>0</v>
      </c>
      <c r="BT158" s="301">
        <f>[1]COMMANDE!AE156</f>
        <v>0</v>
      </c>
      <c r="BU158" s="297" t="str">
        <f t="shared" si="184"/>
        <v>0</v>
      </c>
      <c r="BV158" s="298">
        <f t="shared" si="185"/>
        <v>0</v>
      </c>
      <c r="BW158" s="299">
        <f>[1]COMMANDE!AG156</f>
        <v>0</v>
      </c>
      <c r="BX158" s="297" t="str">
        <f t="shared" si="186"/>
        <v>0</v>
      </c>
      <c r="BY158" s="300">
        <f t="shared" si="187"/>
        <v>0</v>
      </c>
      <c r="BZ158" s="301">
        <f>[1]COMMANDE!AI156</f>
        <v>0</v>
      </c>
      <c r="CA158" s="297" t="str">
        <f t="shared" si="188"/>
        <v>0</v>
      </c>
      <c r="CB158" s="298">
        <f t="shared" si="189"/>
        <v>0</v>
      </c>
      <c r="CC158" s="299">
        <f>[1]COMMANDE!AK156</f>
        <v>0</v>
      </c>
      <c r="CD158" s="297" t="str">
        <f t="shared" si="190"/>
        <v>0</v>
      </c>
      <c r="CE158" s="300">
        <f t="shared" si="191"/>
        <v>0</v>
      </c>
      <c r="CF158" s="301">
        <f>[1]COMMANDE!AM156</f>
        <v>0</v>
      </c>
      <c r="CG158" s="297" t="str">
        <f t="shared" si="192"/>
        <v>0</v>
      </c>
      <c r="CH158" s="298">
        <f t="shared" si="193"/>
        <v>0</v>
      </c>
      <c r="CI158" s="299">
        <f>[1]COMMANDE!AO156</f>
        <v>0</v>
      </c>
      <c r="CJ158" s="297" t="str">
        <f t="shared" si="194"/>
        <v>0</v>
      </c>
      <c r="CK158" s="300">
        <f t="shared" si="195"/>
        <v>0</v>
      </c>
      <c r="CL158" s="301">
        <f>[1]COMMANDE!AQ156</f>
        <v>0</v>
      </c>
      <c r="CM158" s="297" t="str">
        <f t="shared" si="196"/>
        <v>0</v>
      </c>
      <c r="CN158" s="298">
        <f t="shared" si="197"/>
        <v>0</v>
      </c>
      <c r="CO158" s="299">
        <f>[1]COMMANDE!AS156</f>
        <v>0</v>
      </c>
      <c r="CP158" s="297" t="str">
        <f t="shared" si="198"/>
        <v>0</v>
      </c>
      <c r="CQ158" s="300">
        <f t="shared" si="199"/>
        <v>0</v>
      </c>
      <c r="CR158" s="301">
        <f>[1]COMMANDE!AU156</f>
        <v>0</v>
      </c>
      <c r="CS158" s="297" t="str">
        <f t="shared" si="200"/>
        <v>0</v>
      </c>
      <c r="CT158" s="298">
        <f t="shared" si="201"/>
        <v>0</v>
      </c>
      <c r="CU158" s="299">
        <f>[1]COMMANDE!AW156</f>
        <v>0</v>
      </c>
      <c r="CV158" s="297" t="str">
        <f t="shared" si="202"/>
        <v>0</v>
      </c>
      <c r="CW158" s="300">
        <f t="shared" si="203"/>
        <v>0</v>
      </c>
      <c r="CX158" s="301">
        <f>[1]COMMANDE!AY156</f>
        <v>0</v>
      </c>
      <c r="CY158" s="297" t="str">
        <f t="shared" si="204"/>
        <v>0</v>
      </c>
      <c r="CZ158" s="298">
        <f t="shared" si="205"/>
        <v>0</v>
      </c>
      <c r="DA158" s="299">
        <f>[1]COMMANDE!BA156</f>
        <v>0</v>
      </c>
      <c r="DB158" s="297" t="str">
        <f t="shared" si="206"/>
        <v>0</v>
      </c>
      <c r="DC158" s="302">
        <f t="shared" si="207"/>
        <v>0</v>
      </c>
      <c r="DD158" s="303"/>
      <c r="DE158" s="304"/>
    </row>
    <row r="159" spans="1:128" ht="39.950000000000003" customHeight="1" x14ac:dyDescent="0.25">
      <c r="A159" s="284">
        <f t="shared" si="140"/>
        <v>0</v>
      </c>
      <c r="B159" s="284">
        <f t="shared" si="141"/>
        <v>0</v>
      </c>
      <c r="C159" s="284">
        <f t="shared" si="142"/>
        <v>0</v>
      </c>
      <c r="D159" s="284">
        <f t="shared" si="143"/>
        <v>0</v>
      </c>
      <c r="E159" s="284">
        <f t="shared" si="144"/>
        <v>0</v>
      </c>
      <c r="F159" s="284">
        <f t="shared" si="145"/>
        <v>0</v>
      </c>
      <c r="G159" s="284">
        <f t="shared" si="146"/>
        <v>0</v>
      </c>
      <c r="H159" s="284">
        <f t="shared" si="147"/>
        <v>0</v>
      </c>
      <c r="I159" s="284">
        <f t="shared" si="148"/>
        <v>0</v>
      </c>
      <c r="J159" s="284">
        <f t="shared" si="149"/>
        <v>0</v>
      </c>
      <c r="K159" s="284">
        <f t="shared" si="150"/>
        <v>0</v>
      </c>
      <c r="L159" s="284">
        <f t="shared" si="151"/>
        <v>0</v>
      </c>
      <c r="M159" s="284">
        <f t="shared" si="152"/>
        <v>0</v>
      </c>
      <c r="N159" s="284">
        <f t="shared" si="153"/>
        <v>0</v>
      </c>
      <c r="O159" s="284">
        <f t="shared" si="154"/>
        <v>0</v>
      </c>
      <c r="P159" s="284">
        <f t="shared" si="155"/>
        <v>0</v>
      </c>
      <c r="Q159" s="284">
        <f t="shared" si="156"/>
        <v>0</v>
      </c>
      <c r="R159" s="284">
        <f t="shared" si="157"/>
        <v>0</v>
      </c>
      <c r="S159" s="284">
        <f t="shared" si="158"/>
        <v>0</v>
      </c>
      <c r="T159" s="284">
        <f t="shared" si="159"/>
        <v>0</v>
      </c>
      <c r="U159" s="285">
        <f t="shared" si="160"/>
        <v>0</v>
      </c>
      <c r="V159" s="286">
        <f>[1]BDD!A149</f>
        <v>6066</v>
      </c>
      <c r="W159" s="287" t="str">
        <f>[1]BDD!B149</f>
        <v>Mangue BIO déjà assez mûre
    - (Keitt, Sensacion, Palmer Rojo, ...)</v>
      </c>
      <c r="X159" s="288" t="str">
        <f>IF([1]BDD!F149=0, "", [1]BDD!F149)</f>
        <v/>
      </c>
      <c r="Y159" s="214">
        <f>ROUND([1]BDD!G149+FDP_CMD_KG, 2)</f>
        <v>3.58</v>
      </c>
      <c r="Z159" s="214">
        <f>ROUND([1]BDD!G149+FDP_FACT_KG, 2)</f>
        <v>3.58</v>
      </c>
      <c r="AA159" s="215" t="str">
        <f>[1]BDD!H149</f>
        <v>kg</v>
      </c>
      <c r="AB159" s="225" t="str">
        <f>IF(NOT(ISBLANK([1]BDD!I149)), ROUND(SUM(([1]BDD!G149*reduc1),FDP_CMD_KG), 2), "")</f>
        <v/>
      </c>
      <c r="AC159" s="225" t="str">
        <f>IF(NOT(ISBLANK([1]BDD!J149)), ROUND(SUM(([1]BDD!G149*reduc2),FDP_CMD_KG), 2), "")</f>
        <v/>
      </c>
      <c r="AD159" s="225" t="str">
        <f>IF(NOT(ISBLANK([1]BDD!K149)), ROUND(SUM(([1]BDD!G149*reduc3),FDP_CMD_KG), 2), "")</f>
        <v/>
      </c>
      <c r="AE159" s="225" t="str">
        <f>IF(NOT(ISBLANK([1]BDD!I149)), ROUND(SUM(([1]BDD!G149*reduc1),FDP_FACT_KG), 2), "")</f>
        <v/>
      </c>
      <c r="AF159" s="225" t="str">
        <f>IF(NOT(ISBLANK([1]BDD!J149)), ROUND(SUM(([1]BDD!G149*reduc2),FDP_FACT_KG), 2), "")</f>
        <v/>
      </c>
      <c r="AG159" s="225" t="str">
        <f>IF(NOT(ISBLANK([1]BDD!K149)), ROUND(SUM(([1]BDD!G149*reduc3),FDP_FACT_KG), 2), "")</f>
        <v/>
      </c>
      <c r="AH159" s="289" t="str">
        <f>[1]BDD!C149</f>
        <v>Grenade/Malaga</v>
      </c>
      <c r="AI159" s="290">
        <f t="shared" si="161"/>
        <v>0</v>
      </c>
      <c r="AJ159" s="216">
        <f t="shared" si="162"/>
        <v>3.58</v>
      </c>
      <c r="AK159" s="291">
        <f t="shared" si="163"/>
        <v>0</v>
      </c>
      <c r="AL159" s="429"/>
      <c r="AM159" s="292"/>
      <c r="AN159" s="216">
        <f t="shared" si="164"/>
        <v>3.58</v>
      </c>
      <c r="AO159" s="293">
        <f t="shared" si="165"/>
        <v>0</v>
      </c>
      <c r="AP159" s="294"/>
      <c r="AQ159" s="294"/>
      <c r="AR159" s="429"/>
      <c r="AS159" s="295">
        <f t="shared" si="166"/>
        <v>0</v>
      </c>
      <c r="AT159" s="216">
        <f t="shared" si="167"/>
        <v>3.58</v>
      </c>
      <c r="AU159" s="291">
        <f t="shared" si="139"/>
        <v>0</v>
      </c>
      <c r="AV159" s="296">
        <f>[1]COMMANDE!O157</f>
        <v>0</v>
      </c>
      <c r="AW159" s="297" t="str">
        <f t="shared" si="168"/>
        <v>0</v>
      </c>
      <c r="AX159" s="298">
        <f t="shared" si="169"/>
        <v>0</v>
      </c>
      <c r="AY159" s="299">
        <f>[1]COMMANDE!Q157</f>
        <v>0</v>
      </c>
      <c r="AZ159" s="297" t="str">
        <f t="shared" si="170"/>
        <v>0</v>
      </c>
      <c r="BA159" s="300">
        <f t="shared" si="171"/>
        <v>0</v>
      </c>
      <c r="BB159" s="301">
        <f>[1]COMMANDE!S157</f>
        <v>0</v>
      </c>
      <c r="BC159" s="297" t="str">
        <f t="shared" si="172"/>
        <v>0</v>
      </c>
      <c r="BD159" s="298">
        <f t="shared" si="173"/>
        <v>0</v>
      </c>
      <c r="BE159" s="299">
        <f>[1]COMMANDE!U157</f>
        <v>0</v>
      </c>
      <c r="BF159" s="297" t="str">
        <f t="shared" si="174"/>
        <v>0</v>
      </c>
      <c r="BG159" s="300">
        <f t="shared" si="175"/>
        <v>0</v>
      </c>
      <c r="BH159" s="301">
        <f>[1]COMMANDE!W157</f>
        <v>0</v>
      </c>
      <c r="BI159" s="297" t="str">
        <f t="shared" si="176"/>
        <v>0</v>
      </c>
      <c r="BJ159" s="298">
        <f t="shared" si="177"/>
        <v>0</v>
      </c>
      <c r="BK159" s="299">
        <f>[1]COMMANDE!Y157</f>
        <v>0</v>
      </c>
      <c r="BL159" s="297" t="str">
        <f t="shared" si="178"/>
        <v>0</v>
      </c>
      <c r="BM159" s="300">
        <f t="shared" si="179"/>
        <v>0</v>
      </c>
      <c r="BN159" s="301">
        <f>[1]COMMANDE!AA157</f>
        <v>0</v>
      </c>
      <c r="BO159" s="297" t="str">
        <f t="shared" si="180"/>
        <v>0</v>
      </c>
      <c r="BP159" s="298">
        <f t="shared" si="181"/>
        <v>0</v>
      </c>
      <c r="BQ159" s="299">
        <f>[1]COMMANDE!AC157</f>
        <v>0</v>
      </c>
      <c r="BR159" s="297" t="str">
        <f t="shared" si="182"/>
        <v>0</v>
      </c>
      <c r="BS159" s="300">
        <f t="shared" si="183"/>
        <v>0</v>
      </c>
      <c r="BT159" s="301">
        <f>[1]COMMANDE!AE157</f>
        <v>0</v>
      </c>
      <c r="BU159" s="297" t="str">
        <f t="shared" si="184"/>
        <v>0</v>
      </c>
      <c r="BV159" s="298">
        <f t="shared" si="185"/>
        <v>0</v>
      </c>
      <c r="BW159" s="299">
        <f>[1]COMMANDE!AG157</f>
        <v>0</v>
      </c>
      <c r="BX159" s="297" t="str">
        <f t="shared" si="186"/>
        <v>0</v>
      </c>
      <c r="BY159" s="300">
        <f t="shared" si="187"/>
        <v>0</v>
      </c>
      <c r="BZ159" s="301">
        <f>[1]COMMANDE!AI157</f>
        <v>0</v>
      </c>
      <c r="CA159" s="297" t="str">
        <f t="shared" si="188"/>
        <v>0</v>
      </c>
      <c r="CB159" s="298">
        <f t="shared" si="189"/>
        <v>0</v>
      </c>
      <c r="CC159" s="299">
        <f>[1]COMMANDE!AK157</f>
        <v>0</v>
      </c>
      <c r="CD159" s="297" t="str">
        <f t="shared" si="190"/>
        <v>0</v>
      </c>
      <c r="CE159" s="300">
        <f t="shared" si="191"/>
        <v>0</v>
      </c>
      <c r="CF159" s="301">
        <f>[1]COMMANDE!AM157</f>
        <v>0</v>
      </c>
      <c r="CG159" s="297" t="str">
        <f t="shared" si="192"/>
        <v>0</v>
      </c>
      <c r="CH159" s="298">
        <f t="shared" si="193"/>
        <v>0</v>
      </c>
      <c r="CI159" s="299">
        <f>[1]COMMANDE!AO157</f>
        <v>0</v>
      </c>
      <c r="CJ159" s="297" t="str">
        <f t="shared" si="194"/>
        <v>0</v>
      </c>
      <c r="CK159" s="300">
        <f t="shared" si="195"/>
        <v>0</v>
      </c>
      <c r="CL159" s="301">
        <f>[1]COMMANDE!AQ157</f>
        <v>0</v>
      </c>
      <c r="CM159" s="297" t="str">
        <f t="shared" si="196"/>
        <v>0</v>
      </c>
      <c r="CN159" s="298">
        <f t="shared" si="197"/>
        <v>0</v>
      </c>
      <c r="CO159" s="299">
        <f>[1]COMMANDE!AS157</f>
        <v>0</v>
      </c>
      <c r="CP159" s="297" t="str">
        <f t="shared" si="198"/>
        <v>0</v>
      </c>
      <c r="CQ159" s="300">
        <f t="shared" si="199"/>
        <v>0</v>
      </c>
      <c r="CR159" s="301">
        <f>[1]COMMANDE!AU157</f>
        <v>0</v>
      </c>
      <c r="CS159" s="297" t="str">
        <f t="shared" si="200"/>
        <v>0</v>
      </c>
      <c r="CT159" s="298">
        <f t="shared" si="201"/>
        <v>0</v>
      </c>
      <c r="CU159" s="299">
        <f>[1]COMMANDE!AW157</f>
        <v>0</v>
      </c>
      <c r="CV159" s="297" t="str">
        <f t="shared" si="202"/>
        <v>0</v>
      </c>
      <c r="CW159" s="300">
        <f t="shared" si="203"/>
        <v>0</v>
      </c>
      <c r="CX159" s="301">
        <f>[1]COMMANDE!AY157</f>
        <v>0</v>
      </c>
      <c r="CY159" s="297" t="str">
        <f t="shared" si="204"/>
        <v>0</v>
      </c>
      <c r="CZ159" s="298">
        <f t="shared" si="205"/>
        <v>0</v>
      </c>
      <c r="DA159" s="299">
        <f>[1]COMMANDE!BA157</f>
        <v>0</v>
      </c>
      <c r="DB159" s="297" t="str">
        <f t="shared" si="206"/>
        <v>0</v>
      </c>
      <c r="DC159" s="302">
        <f t="shared" si="207"/>
        <v>0</v>
      </c>
      <c r="DD159" s="303"/>
      <c r="DE159" s="304"/>
    </row>
    <row r="160" spans="1:128" s="306" customFormat="1" ht="39.950000000000003" customHeight="1" x14ac:dyDescent="0.25">
      <c r="A160" s="284">
        <f t="shared" si="140"/>
        <v>0</v>
      </c>
      <c r="B160" s="284">
        <f t="shared" si="141"/>
        <v>0</v>
      </c>
      <c r="C160" s="284">
        <f t="shared" si="142"/>
        <v>0</v>
      </c>
      <c r="D160" s="284">
        <f t="shared" si="143"/>
        <v>0</v>
      </c>
      <c r="E160" s="284">
        <f t="shared" si="144"/>
        <v>0</v>
      </c>
      <c r="F160" s="284">
        <f t="shared" si="145"/>
        <v>0</v>
      </c>
      <c r="G160" s="284">
        <f t="shared" si="146"/>
        <v>0</v>
      </c>
      <c r="H160" s="284">
        <f t="shared" si="147"/>
        <v>0</v>
      </c>
      <c r="I160" s="284">
        <f t="shared" si="148"/>
        <v>0</v>
      </c>
      <c r="J160" s="284">
        <f t="shared" si="149"/>
        <v>0</v>
      </c>
      <c r="K160" s="284">
        <f t="shared" si="150"/>
        <v>0</v>
      </c>
      <c r="L160" s="284">
        <f t="shared" si="151"/>
        <v>0</v>
      </c>
      <c r="M160" s="284">
        <f t="shared" si="152"/>
        <v>0</v>
      </c>
      <c r="N160" s="284">
        <f t="shared" si="153"/>
        <v>0</v>
      </c>
      <c r="O160" s="284">
        <f t="shared" si="154"/>
        <v>0</v>
      </c>
      <c r="P160" s="284">
        <f t="shared" si="155"/>
        <v>0</v>
      </c>
      <c r="Q160" s="284">
        <f t="shared" si="156"/>
        <v>0</v>
      </c>
      <c r="R160" s="284">
        <f t="shared" si="157"/>
        <v>0</v>
      </c>
      <c r="S160" s="284">
        <f t="shared" si="158"/>
        <v>0</v>
      </c>
      <c r="T160" s="284">
        <f t="shared" si="159"/>
        <v>0</v>
      </c>
      <c r="U160" s="285">
        <f t="shared" si="160"/>
        <v>0</v>
      </c>
      <c r="V160" s="286">
        <f>[1]BDD!A150</f>
        <v>5215</v>
      </c>
      <c r="W160" s="287" t="str">
        <f>[1]BDD!B150</f>
        <v>Mangue Irwin gourmet déshydratée en tranche à basse température (40-45°) CRU</v>
      </c>
      <c r="X160" s="288" t="str">
        <f>IF([1]BDD!F150=0, "", [1]BDD!F150)</f>
        <v>❤️</v>
      </c>
      <c r="Y160" s="214">
        <f>ROUND([1]BDD!G150+FDP_CMD_KG, 2)</f>
        <v>54.27</v>
      </c>
      <c r="Z160" s="214">
        <f>ROUND([1]BDD!G150+FDP_FACT_KG, 2)</f>
        <v>54.27</v>
      </c>
      <c r="AA160" s="215" t="str">
        <f>[1]BDD!H150</f>
        <v>kg</v>
      </c>
      <c r="AB160" s="225" t="str">
        <f>IF(NOT(ISBLANK([1]BDD!I150)), ROUND(SUM(([1]BDD!G150*reduc1),FDP_CMD_KG), 2), "")</f>
        <v/>
      </c>
      <c r="AC160" s="225" t="str">
        <f>IF(NOT(ISBLANK([1]BDD!J150)), ROUND(SUM(([1]BDD!G150*reduc2),FDP_CMD_KG), 2), "")</f>
        <v/>
      </c>
      <c r="AD160" s="225" t="str">
        <f>IF(NOT(ISBLANK([1]BDD!K150)), ROUND(SUM(([1]BDD!G150*reduc3),FDP_CMD_KG), 2), "")</f>
        <v/>
      </c>
      <c r="AE160" s="225" t="str">
        <f>IF(NOT(ISBLANK([1]BDD!I150)), ROUND(SUM(([1]BDD!G150*reduc1),FDP_FACT_KG), 2), "")</f>
        <v/>
      </c>
      <c r="AF160" s="225" t="str">
        <f>IF(NOT(ISBLANK([1]BDD!J150)), ROUND(SUM(([1]BDD!G150*reduc2),FDP_FACT_KG), 2), "")</f>
        <v/>
      </c>
      <c r="AG160" s="225" t="str">
        <f>IF(NOT(ISBLANK([1]BDD!K150)), ROUND(SUM(([1]BDD!G150*reduc3),FDP_FACT_KG), 2), "")</f>
        <v/>
      </c>
      <c r="AH160" s="289" t="str">
        <f>[1]BDD!C150</f>
        <v>Grenade</v>
      </c>
      <c r="AI160" s="290">
        <f t="shared" si="161"/>
        <v>0</v>
      </c>
      <c r="AJ160" s="216">
        <f t="shared" si="162"/>
        <v>54.27</v>
      </c>
      <c r="AK160" s="291">
        <f t="shared" si="163"/>
        <v>0</v>
      </c>
      <c r="AL160" s="429"/>
      <c r="AM160" s="292"/>
      <c r="AN160" s="216">
        <f t="shared" si="164"/>
        <v>54.27</v>
      </c>
      <c r="AO160" s="293">
        <f t="shared" si="165"/>
        <v>0</v>
      </c>
      <c r="AP160" s="294"/>
      <c r="AQ160" s="294"/>
      <c r="AR160" s="429"/>
      <c r="AS160" s="295">
        <f t="shared" si="166"/>
        <v>0</v>
      </c>
      <c r="AT160" s="216">
        <f t="shared" si="167"/>
        <v>54.27</v>
      </c>
      <c r="AU160" s="291">
        <f t="shared" si="139"/>
        <v>0</v>
      </c>
      <c r="AV160" s="296">
        <f>[1]COMMANDE!O158</f>
        <v>0</v>
      </c>
      <c r="AW160" s="297" t="str">
        <f t="shared" si="168"/>
        <v>0</v>
      </c>
      <c r="AX160" s="298">
        <f t="shared" si="169"/>
        <v>0</v>
      </c>
      <c r="AY160" s="299">
        <f>[1]COMMANDE!Q158</f>
        <v>0</v>
      </c>
      <c r="AZ160" s="297" t="str">
        <f t="shared" si="170"/>
        <v>0</v>
      </c>
      <c r="BA160" s="300">
        <f t="shared" si="171"/>
        <v>0</v>
      </c>
      <c r="BB160" s="301">
        <f>[1]COMMANDE!S158</f>
        <v>0</v>
      </c>
      <c r="BC160" s="297" t="str">
        <f t="shared" si="172"/>
        <v>0</v>
      </c>
      <c r="BD160" s="298">
        <f t="shared" si="173"/>
        <v>0</v>
      </c>
      <c r="BE160" s="299">
        <f>[1]COMMANDE!U158</f>
        <v>0</v>
      </c>
      <c r="BF160" s="297" t="str">
        <f t="shared" si="174"/>
        <v>0</v>
      </c>
      <c r="BG160" s="300">
        <f t="shared" si="175"/>
        <v>0</v>
      </c>
      <c r="BH160" s="301">
        <f>[1]COMMANDE!W158</f>
        <v>0</v>
      </c>
      <c r="BI160" s="297" t="str">
        <f t="shared" si="176"/>
        <v>0</v>
      </c>
      <c r="BJ160" s="298">
        <f t="shared" si="177"/>
        <v>0</v>
      </c>
      <c r="BK160" s="299">
        <f>[1]COMMANDE!Y158</f>
        <v>0</v>
      </c>
      <c r="BL160" s="297" t="str">
        <f t="shared" si="178"/>
        <v>0</v>
      </c>
      <c r="BM160" s="300">
        <f t="shared" si="179"/>
        <v>0</v>
      </c>
      <c r="BN160" s="301">
        <f>[1]COMMANDE!AA158</f>
        <v>0</v>
      </c>
      <c r="BO160" s="297" t="str">
        <f t="shared" si="180"/>
        <v>0</v>
      </c>
      <c r="BP160" s="298">
        <f t="shared" si="181"/>
        <v>0</v>
      </c>
      <c r="BQ160" s="299">
        <f>[1]COMMANDE!AC158</f>
        <v>0</v>
      </c>
      <c r="BR160" s="297" t="str">
        <f t="shared" si="182"/>
        <v>0</v>
      </c>
      <c r="BS160" s="300">
        <f t="shared" si="183"/>
        <v>0</v>
      </c>
      <c r="BT160" s="301">
        <f>[1]COMMANDE!AE158</f>
        <v>0</v>
      </c>
      <c r="BU160" s="297" t="str">
        <f t="shared" si="184"/>
        <v>0</v>
      </c>
      <c r="BV160" s="298">
        <f t="shared" si="185"/>
        <v>0</v>
      </c>
      <c r="BW160" s="299">
        <f>[1]COMMANDE!AG158</f>
        <v>0</v>
      </c>
      <c r="BX160" s="297" t="str">
        <f t="shared" si="186"/>
        <v>0</v>
      </c>
      <c r="BY160" s="300">
        <f t="shared" si="187"/>
        <v>0</v>
      </c>
      <c r="BZ160" s="301">
        <f>[1]COMMANDE!AI158</f>
        <v>0</v>
      </c>
      <c r="CA160" s="297" t="str">
        <f t="shared" si="188"/>
        <v>0</v>
      </c>
      <c r="CB160" s="298">
        <f t="shared" si="189"/>
        <v>0</v>
      </c>
      <c r="CC160" s="299">
        <f>[1]COMMANDE!AK158</f>
        <v>0</v>
      </c>
      <c r="CD160" s="297" t="str">
        <f t="shared" si="190"/>
        <v>0</v>
      </c>
      <c r="CE160" s="300">
        <f t="shared" si="191"/>
        <v>0</v>
      </c>
      <c r="CF160" s="301">
        <f>[1]COMMANDE!AM158</f>
        <v>0</v>
      </c>
      <c r="CG160" s="297" t="str">
        <f t="shared" si="192"/>
        <v>0</v>
      </c>
      <c r="CH160" s="298">
        <f t="shared" si="193"/>
        <v>0</v>
      </c>
      <c r="CI160" s="299">
        <f>[1]COMMANDE!AO158</f>
        <v>0</v>
      </c>
      <c r="CJ160" s="297" t="str">
        <f t="shared" si="194"/>
        <v>0</v>
      </c>
      <c r="CK160" s="300">
        <f t="shared" si="195"/>
        <v>0</v>
      </c>
      <c r="CL160" s="301">
        <f>[1]COMMANDE!AQ158</f>
        <v>0</v>
      </c>
      <c r="CM160" s="297" t="str">
        <f t="shared" si="196"/>
        <v>0</v>
      </c>
      <c r="CN160" s="298">
        <f t="shared" si="197"/>
        <v>0</v>
      </c>
      <c r="CO160" s="299">
        <f>[1]COMMANDE!AS158</f>
        <v>0</v>
      </c>
      <c r="CP160" s="297" t="str">
        <f t="shared" si="198"/>
        <v>0</v>
      </c>
      <c r="CQ160" s="300">
        <f t="shared" si="199"/>
        <v>0</v>
      </c>
      <c r="CR160" s="301">
        <f>[1]COMMANDE!AU158</f>
        <v>0</v>
      </c>
      <c r="CS160" s="297" t="str">
        <f t="shared" si="200"/>
        <v>0</v>
      </c>
      <c r="CT160" s="298">
        <f t="shared" si="201"/>
        <v>0</v>
      </c>
      <c r="CU160" s="299">
        <f>[1]COMMANDE!AW158</f>
        <v>0</v>
      </c>
      <c r="CV160" s="297" t="str">
        <f t="shared" si="202"/>
        <v>0</v>
      </c>
      <c r="CW160" s="300">
        <f t="shared" si="203"/>
        <v>0</v>
      </c>
      <c r="CX160" s="301">
        <f>[1]COMMANDE!AY158</f>
        <v>0</v>
      </c>
      <c r="CY160" s="297" t="str">
        <f t="shared" si="204"/>
        <v>0</v>
      </c>
      <c r="CZ160" s="298">
        <f t="shared" si="205"/>
        <v>0</v>
      </c>
      <c r="DA160" s="299">
        <f>[1]COMMANDE!BA158</f>
        <v>0</v>
      </c>
      <c r="DB160" s="297" t="str">
        <f t="shared" si="206"/>
        <v>0</v>
      </c>
      <c r="DC160" s="302">
        <f t="shared" si="207"/>
        <v>0</v>
      </c>
      <c r="DD160" s="303"/>
      <c r="DE160" s="305"/>
    </row>
    <row r="161" spans="1:109" ht="39.950000000000003" customHeight="1" x14ac:dyDescent="0.25">
      <c r="A161" s="284">
        <f t="shared" si="140"/>
        <v>0</v>
      </c>
      <c r="B161" s="284">
        <f t="shared" si="141"/>
        <v>0</v>
      </c>
      <c r="C161" s="284">
        <f t="shared" si="142"/>
        <v>0</v>
      </c>
      <c r="D161" s="284">
        <f t="shared" si="143"/>
        <v>0</v>
      </c>
      <c r="E161" s="284">
        <f t="shared" si="144"/>
        <v>0</v>
      </c>
      <c r="F161" s="284">
        <f t="shared" si="145"/>
        <v>0</v>
      </c>
      <c r="G161" s="284">
        <f t="shared" si="146"/>
        <v>0</v>
      </c>
      <c r="H161" s="284">
        <f t="shared" si="147"/>
        <v>0</v>
      </c>
      <c r="I161" s="284">
        <f t="shared" si="148"/>
        <v>0</v>
      </c>
      <c r="J161" s="284">
        <f t="shared" si="149"/>
        <v>0</v>
      </c>
      <c r="K161" s="284">
        <f t="shared" si="150"/>
        <v>0</v>
      </c>
      <c r="L161" s="284">
        <f t="shared" si="151"/>
        <v>0</v>
      </c>
      <c r="M161" s="284">
        <f t="shared" si="152"/>
        <v>0</v>
      </c>
      <c r="N161" s="284">
        <f t="shared" si="153"/>
        <v>0</v>
      </c>
      <c r="O161" s="284">
        <f t="shared" si="154"/>
        <v>0</v>
      </c>
      <c r="P161" s="284">
        <f t="shared" si="155"/>
        <v>0</v>
      </c>
      <c r="Q161" s="284">
        <f t="shared" si="156"/>
        <v>0</v>
      </c>
      <c r="R161" s="284">
        <f t="shared" si="157"/>
        <v>0</v>
      </c>
      <c r="S161" s="284">
        <f t="shared" si="158"/>
        <v>0</v>
      </c>
      <c r="T161" s="284">
        <f t="shared" si="159"/>
        <v>0</v>
      </c>
      <c r="U161" s="285">
        <f t="shared" si="160"/>
        <v>0</v>
      </c>
      <c r="V161" s="286">
        <f>[1]BDD!A151</f>
        <v>3255</v>
      </c>
      <c r="W161" s="287" t="str">
        <f>[1]BDD!B151</f>
        <v>Mangue Keitt</v>
      </c>
      <c r="X161" s="288" t="str">
        <f>IF([1]BDD!F151=0, "", [1]BDD!F151)</f>
        <v>❤️</v>
      </c>
      <c r="Y161" s="214">
        <f>ROUND([1]BDD!G151+FDP_CMD_KG, 2)</f>
        <v>5.0999999999999996</v>
      </c>
      <c r="Z161" s="214">
        <f>ROUND([1]BDD!G151+FDP_FACT_KG, 2)</f>
        <v>5.0999999999999996</v>
      </c>
      <c r="AA161" s="215" t="str">
        <f>[1]BDD!H151</f>
        <v>kg</v>
      </c>
      <c r="AB161" s="225">
        <f>IF(NOT(ISBLANK([1]BDD!I151)), ROUND(SUM(([1]BDD!G151*reduc1),FDP_CMD_KG), 2), "")</f>
        <v>4.68</v>
      </c>
      <c r="AC161" s="225">
        <f>IF(NOT(ISBLANK([1]BDD!J151)), ROUND(SUM(([1]BDD!G151*reduc2),FDP_CMD_KG), 2), "")</f>
        <v>4.26</v>
      </c>
      <c r="AD161" s="225">
        <f>IF(NOT(ISBLANK([1]BDD!K151)), ROUND(SUM(([1]BDD!G151*reduc3),FDP_CMD_KG), 2), "")</f>
        <v>3.83</v>
      </c>
      <c r="AE161" s="225">
        <f>IF(NOT(ISBLANK([1]BDD!I151)), ROUND(SUM(([1]BDD!G151*reduc1),FDP_FACT_KG), 2), "")</f>
        <v>4.67</v>
      </c>
      <c r="AF161" s="225">
        <f>IF(NOT(ISBLANK([1]BDD!J151)), ROUND(SUM(([1]BDD!G151*reduc2),FDP_FACT_KG), 2), "")</f>
        <v>4.25</v>
      </c>
      <c r="AG161" s="225">
        <f>IF(NOT(ISBLANK([1]BDD!K151)), ROUND(SUM(([1]BDD!G151*reduc3),FDP_FACT_KG), 2), "")</f>
        <v>3.83</v>
      </c>
      <c r="AH161" s="289" t="str">
        <f>[1]BDD!C151</f>
        <v>Grenade</v>
      </c>
      <c r="AI161" s="290">
        <f t="shared" si="161"/>
        <v>0</v>
      </c>
      <c r="AJ161" s="216">
        <f t="shared" si="162"/>
        <v>3.83</v>
      </c>
      <c r="AK161" s="291">
        <f t="shared" si="163"/>
        <v>0</v>
      </c>
      <c r="AL161" s="429"/>
      <c r="AM161" s="292"/>
      <c r="AN161" s="216">
        <f t="shared" si="164"/>
        <v>5.0999999999999996</v>
      </c>
      <c r="AO161" s="293">
        <f t="shared" si="165"/>
        <v>0</v>
      </c>
      <c r="AP161" s="294"/>
      <c r="AQ161" s="294"/>
      <c r="AR161" s="429"/>
      <c r="AS161" s="295">
        <f t="shared" si="166"/>
        <v>0</v>
      </c>
      <c r="AT161" s="216">
        <f t="shared" si="167"/>
        <v>5.0999999999999996</v>
      </c>
      <c r="AU161" s="291">
        <f t="shared" si="139"/>
        <v>0</v>
      </c>
      <c r="AV161" s="296">
        <f>[1]COMMANDE!O159</f>
        <v>0</v>
      </c>
      <c r="AW161" s="297" t="str">
        <f t="shared" si="168"/>
        <v>0</v>
      </c>
      <c r="AX161" s="298">
        <f t="shared" si="169"/>
        <v>0</v>
      </c>
      <c r="AY161" s="299">
        <f>[1]COMMANDE!Q159</f>
        <v>0</v>
      </c>
      <c r="AZ161" s="297" t="str">
        <f t="shared" si="170"/>
        <v>0</v>
      </c>
      <c r="BA161" s="300">
        <f t="shared" si="171"/>
        <v>0</v>
      </c>
      <c r="BB161" s="301">
        <f>[1]COMMANDE!S159</f>
        <v>0</v>
      </c>
      <c r="BC161" s="297" t="str">
        <f t="shared" si="172"/>
        <v>0</v>
      </c>
      <c r="BD161" s="298">
        <f t="shared" si="173"/>
        <v>0</v>
      </c>
      <c r="BE161" s="299">
        <f>[1]COMMANDE!U159</f>
        <v>0</v>
      </c>
      <c r="BF161" s="297" t="str">
        <f t="shared" si="174"/>
        <v>0</v>
      </c>
      <c r="BG161" s="300">
        <f t="shared" si="175"/>
        <v>0</v>
      </c>
      <c r="BH161" s="301">
        <f>[1]COMMANDE!W159</f>
        <v>0</v>
      </c>
      <c r="BI161" s="297" t="str">
        <f t="shared" si="176"/>
        <v>0</v>
      </c>
      <c r="BJ161" s="298">
        <f t="shared" si="177"/>
        <v>0</v>
      </c>
      <c r="BK161" s="299">
        <f>[1]COMMANDE!Y159</f>
        <v>0</v>
      </c>
      <c r="BL161" s="297" t="str">
        <f t="shared" si="178"/>
        <v>0</v>
      </c>
      <c r="BM161" s="300">
        <f t="shared" si="179"/>
        <v>0</v>
      </c>
      <c r="BN161" s="301">
        <f>[1]COMMANDE!AA159</f>
        <v>0</v>
      </c>
      <c r="BO161" s="297" t="str">
        <f t="shared" si="180"/>
        <v>0</v>
      </c>
      <c r="BP161" s="298">
        <f t="shared" si="181"/>
        <v>0</v>
      </c>
      <c r="BQ161" s="299">
        <f>[1]COMMANDE!AC159</f>
        <v>0</v>
      </c>
      <c r="BR161" s="297" t="str">
        <f t="shared" si="182"/>
        <v>0</v>
      </c>
      <c r="BS161" s="300">
        <f t="shared" si="183"/>
        <v>0</v>
      </c>
      <c r="BT161" s="301">
        <f>[1]COMMANDE!AE159</f>
        <v>0</v>
      </c>
      <c r="BU161" s="297" t="str">
        <f t="shared" si="184"/>
        <v>0</v>
      </c>
      <c r="BV161" s="298">
        <f t="shared" si="185"/>
        <v>0</v>
      </c>
      <c r="BW161" s="299">
        <f>[1]COMMANDE!AG159</f>
        <v>0</v>
      </c>
      <c r="BX161" s="297" t="str">
        <f t="shared" si="186"/>
        <v>0</v>
      </c>
      <c r="BY161" s="300">
        <f t="shared" si="187"/>
        <v>0</v>
      </c>
      <c r="BZ161" s="301">
        <f>[1]COMMANDE!AI159</f>
        <v>0</v>
      </c>
      <c r="CA161" s="297" t="str">
        <f t="shared" si="188"/>
        <v>0</v>
      </c>
      <c r="CB161" s="298">
        <f t="shared" si="189"/>
        <v>0</v>
      </c>
      <c r="CC161" s="299">
        <f>[1]COMMANDE!AK159</f>
        <v>0</v>
      </c>
      <c r="CD161" s="297" t="str">
        <f t="shared" si="190"/>
        <v>0</v>
      </c>
      <c r="CE161" s="300">
        <f t="shared" si="191"/>
        <v>0</v>
      </c>
      <c r="CF161" s="301">
        <f>[1]COMMANDE!AM159</f>
        <v>0</v>
      </c>
      <c r="CG161" s="297" t="str">
        <f t="shared" si="192"/>
        <v>0</v>
      </c>
      <c r="CH161" s="298">
        <f t="shared" si="193"/>
        <v>0</v>
      </c>
      <c r="CI161" s="299">
        <f>[1]COMMANDE!AO159</f>
        <v>0</v>
      </c>
      <c r="CJ161" s="297" t="str">
        <f t="shared" si="194"/>
        <v>0</v>
      </c>
      <c r="CK161" s="300">
        <f t="shared" si="195"/>
        <v>0</v>
      </c>
      <c r="CL161" s="301">
        <f>[1]COMMANDE!AQ159</f>
        <v>0</v>
      </c>
      <c r="CM161" s="297" t="str">
        <f t="shared" si="196"/>
        <v>0</v>
      </c>
      <c r="CN161" s="298">
        <f t="shared" si="197"/>
        <v>0</v>
      </c>
      <c r="CO161" s="299">
        <f>[1]COMMANDE!AS159</f>
        <v>0</v>
      </c>
      <c r="CP161" s="297" t="str">
        <f t="shared" si="198"/>
        <v>0</v>
      </c>
      <c r="CQ161" s="300">
        <f t="shared" si="199"/>
        <v>0</v>
      </c>
      <c r="CR161" s="301">
        <f>[1]COMMANDE!AU159</f>
        <v>0</v>
      </c>
      <c r="CS161" s="297" t="str">
        <f t="shared" si="200"/>
        <v>0</v>
      </c>
      <c r="CT161" s="298">
        <f t="shared" si="201"/>
        <v>0</v>
      </c>
      <c r="CU161" s="299">
        <f>[1]COMMANDE!AW159</f>
        <v>0</v>
      </c>
      <c r="CV161" s="297" t="str">
        <f t="shared" si="202"/>
        <v>0</v>
      </c>
      <c r="CW161" s="300">
        <f t="shared" si="203"/>
        <v>0</v>
      </c>
      <c r="CX161" s="301">
        <f>[1]COMMANDE!AY159</f>
        <v>0</v>
      </c>
      <c r="CY161" s="297" t="str">
        <f t="shared" si="204"/>
        <v>0</v>
      </c>
      <c r="CZ161" s="298">
        <f t="shared" si="205"/>
        <v>0</v>
      </c>
      <c r="DA161" s="299">
        <f>[1]COMMANDE!BA159</f>
        <v>0</v>
      </c>
      <c r="DB161" s="297" t="str">
        <f t="shared" si="206"/>
        <v>0</v>
      </c>
      <c r="DC161" s="302">
        <f t="shared" si="207"/>
        <v>0</v>
      </c>
      <c r="DD161" s="303"/>
      <c r="DE161" s="304"/>
    </row>
    <row r="162" spans="1:109" ht="39.950000000000003" customHeight="1" x14ac:dyDescent="0.25">
      <c r="A162" s="284">
        <f t="shared" si="140"/>
        <v>1</v>
      </c>
      <c r="B162" s="284">
        <f t="shared" si="141"/>
        <v>0</v>
      </c>
      <c r="C162" s="284">
        <f t="shared" si="142"/>
        <v>1</v>
      </c>
      <c r="D162" s="284">
        <f t="shared" si="143"/>
        <v>1</v>
      </c>
      <c r="E162" s="284">
        <f t="shared" si="144"/>
        <v>0</v>
      </c>
      <c r="F162" s="284">
        <f t="shared" si="145"/>
        <v>0</v>
      </c>
      <c r="G162" s="284">
        <f t="shared" si="146"/>
        <v>0</v>
      </c>
      <c r="H162" s="284">
        <f t="shared" si="147"/>
        <v>0</v>
      </c>
      <c r="I162" s="284">
        <f t="shared" si="148"/>
        <v>0</v>
      </c>
      <c r="J162" s="284">
        <f t="shared" si="149"/>
        <v>0</v>
      </c>
      <c r="K162" s="284">
        <f t="shared" si="150"/>
        <v>0</v>
      </c>
      <c r="L162" s="284">
        <f t="shared" si="151"/>
        <v>0</v>
      </c>
      <c r="M162" s="284">
        <f t="shared" si="152"/>
        <v>0</v>
      </c>
      <c r="N162" s="284">
        <f t="shared" si="153"/>
        <v>0</v>
      </c>
      <c r="O162" s="284">
        <f t="shared" si="154"/>
        <v>0</v>
      </c>
      <c r="P162" s="284">
        <f t="shared" si="155"/>
        <v>0</v>
      </c>
      <c r="Q162" s="284">
        <f t="shared" si="156"/>
        <v>0</v>
      </c>
      <c r="R162" s="284">
        <f t="shared" si="157"/>
        <v>0</v>
      </c>
      <c r="S162" s="284">
        <f t="shared" si="158"/>
        <v>0</v>
      </c>
      <c r="T162" s="284">
        <f t="shared" si="159"/>
        <v>0</v>
      </c>
      <c r="U162" s="285">
        <f t="shared" si="160"/>
        <v>1</v>
      </c>
      <c r="V162" s="286">
        <f>[1]BDD!A152</f>
        <v>1171</v>
      </c>
      <c r="W162" s="287" t="str">
        <f>[1]BDD!B152</f>
        <v>Mangue Keitt BIO</v>
      </c>
      <c r="X162" s="288" t="str">
        <f>IF([1]BDD!F152=0, "", [1]BDD!F152)</f>
        <v>❤️</v>
      </c>
      <c r="Y162" s="214">
        <f>ROUND([1]BDD!G152+FDP_CMD_KG, 2)</f>
        <v>6.06</v>
      </c>
      <c r="Z162" s="214">
        <f>ROUND([1]BDD!G152+FDP_FACT_KG, 2)</f>
        <v>6.06</v>
      </c>
      <c r="AA162" s="215" t="str">
        <f>[1]BDD!H152</f>
        <v>kg</v>
      </c>
      <c r="AB162" s="225">
        <f>IF(NOT(ISBLANK([1]BDD!I152)), ROUND(SUM(([1]BDD!G152*reduc1),FDP_CMD_KG), 2), "")</f>
        <v>5.54</v>
      </c>
      <c r="AC162" s="225">
        <f>IF(NOT(ISBLANK([1]BDD!J152)), ROUND(SUM(([1]BDD!G152*reduc2),FDP_CMD_KG), 2), "")</f>
        <v>5.03</v>
      </c>
      <c r="AD162" s="225">
        <f>IF(NOT(ISBLANK([1]BDD!K152)), ROUND(SUM(([1]BDD!G152*reduc3),FDP_CMD_KG), 2), "")</f>
        <v>4.51</v>
      </c>
      <c r="AE162" s="225">
        <f>IF(NOT(ISBLANK([1]BDD!I152)), ROUND(SUM(([1]BDD!G152*reduc1),FDP_FACT_KG), 2), "")</f>
        <v>5.54</v>
      </c>
      <c r="AF162" s="225">
        <f>IF(NOT(ISBLANK([1]BDD!J152)), ROUND(SUM(([1]BDD!G152*reduc2),FDP_FACT_KG), 2), "")</f>
        <v>5.0199999999999996</v>
      </c>
      <c r="AG162" s="225">
        <f>IF(NOT(ISBLANK([1]BDD!K152)), ROUND(SUM(([1]BDD!G152*reduc3),FDP_FACT_KG), 2), "")</f>
        <v>4.5</v>
      </c>
      <c r="AH162" s="289" t="str">
        <f>[1]BDD!C152</f>
        <v>Grenade</v>
      </c>
      <c r="AI162" s="290">
        <f t="shared" si="161"/>
        <v>0</v>
      </c>
      <c r="AJ162" s="216">
        <f t="shared" si="162"/>
        <v>4.51</v>
      </c>
      <c r="AK162" s="291">
        <f t="shared" si="163"/>
        <v>0</v>
      </c>
      <c r="AL162" s="429"/>
      <c r="AM162" s="292">
        <v>9.6999999999999993</v>
      </c>
      <c r="AN162" s="216">
        <f t="shared" si="164"/>
        <v>6.06</v>
      </c>
      <c r="AO162" s="293">
        <f t="shared" si="165"/>
        <v>58.781999999999989</v>
      </c>
      <c r="AP162" s="294"/>
      <c r="AQ162" s="294">
        <v>1</v>
      </c>
      <c r="AR162" s="429"/>
      <c r="AS162" s="295">
        <f t="shared" si="166"/>
        <v>9.6999999999999993</v>
      </c>
      <c r="AT162" s="216">
        <f t="shared" si="167"/>
        <v>6.06</v>
      </c>
      <c r="AU162" s="291">
        <f t="shared" si="139"/>
        <v>58.781999999999989</v>
      </c>
      <c r="AV162" s="296">
        <f>[1]COMMANDE!O160</f>
        <v>0</v>
      </c>
      <c r="AW162" s="297">
        <f t="shared" si="168"/>
        <v>6.4666666666666668</v>
      </c>
      <c r="AX162" s="298">
        <f t="shared" si="169"/>
        <v>39.187999999999995</v>
      </c>
      <c r="AY162" s="299">
        <f>[1]COMMANDE!Q160</f>
        <v>0</v>
      </c>
      <c r="AZ162" s="297" t="str">
        <f t="shared" si="170"/>
        <v>-</v>
      </c>
      <c r="BA162" s="300">
        <f t="shared" si="171"/>
        <v>0</v>
      </c>
      <c r="BB162" s="301">
        <f>[1]COMMANDE!S160</f>
        <v>0</v>
      </c>
      <c r="BC162" s="297">
        <f t="shared" si="172"/>
        <v>1.94</v>
      </c>
      <c r="BD162" s="298">
        <f t="shared" si="173"/>
        <v>11.756399999999999</v>
      </c>
      <c r="BE162" s="299">
        <f>[1]COMMANDE!U160</f>
        <v>0</v>
      </c>
      <c r="BF162" s="297">
        <f t="shared" si="174"/>
        <v>1.2933333333333332</v>
      </c>
      <c r="BG162" s="300">
        <f t="shared" si="175"/>
        <v>7.8375999999999992</v>
      </c>
      <c r="BH162" s="301">
        <f>[1]COMMANDE!W160</f>
        <v>0</v>
      </c>
      <c r="BI162" s="297" t="str">
        <f t="shared" si="176"/>
        <v>-</v>
      </c>
      <c r="BJ162" s="298">
        <f t="shared" si="177"/>
        <v>0</v>
      </c>
      <c r="BK162" s="299">
        <f>[1]COMMANDE!Y160</f>
        <v>0</v>
      </c>
      <c r="BL162" s="297" t="str">
        <f t="shared" si="178"/>
        <v>-</v>
      </c>
      <c r="BM162" s="300">
        <f t="shared" si="179"/>
        <v>0</v>
      </c>
      <c r="BN162" s="301">
        <f>[1]COMMANDE!AA160</f>
        <v>0</v>
      </c>
      <c r="BO162" s="297" t="str">
        <f t="shared" si="180"/>
        <v>-</v>
      </c>
      <c r="BP162" s="298">
        <f t="shared" si="181"/>
        <v>0</v>
      </c>
      <c r="BQ162" s="299">
        <f>[1]COMMANDE!AC160</f>
        <v>0</v>
      </c>
      <c r="BR162" s="297" t="str">
        <f t="shared" si="182"/>
        <v>-</v>
      </c>
      <c r="BS162" s="300">
        <f t="shared" si="183"/>
        <v>0</v>
      </c>
      <c r="BT162" s="301">
        <f>[1]COMMANDE!AE160</f>
        <v>0</v>
      </c>
      <c r="BU162" s="297" t="str">
        <f t="shared" si="184"/>
        <v>-</v>
      </c>
      <c r="BV162" s="298">
        <f t="shared" si="185"/>
        <v>0</v>
      </c>
      <c r="BW162" s="299">
        <f>[1]COMMANDE!AG160</f>
        <v>0</v>
      </c>
      <c r="BX162" s="297" t="str">
        <f t="shared" si="186"/>
        <v>-</v>
      </c>
      <c r="BY162" s="300">
        <f t="shared" si="187"/>
        <v>0</v>
      </c>
      <c r="BZ162" s="301">
        <f>[1]COMMANDE!AI160</f>
        <v>0</v>
      </c>
      <c r="CA162" s="297" t="str">
        <f t="shared" si="188"/>
        <v>-</v>
      </c>
      <c r="CB162" s="298">
        <f t="shared" si="189"/>
        <v>0</v>
      </c>
      <c r="CC162" s="299">
        <f>[1]COMMANDE!AK160</f>
        <v>0</v>
      </c>
      <c r="CD162" s="297" t="str">
        <f t="shared" si="190"/>
        <v>-</v>
      </c>
      <c r="CE162" s="300">
        <f t="shared" si="191"/>
        <v>0</v>
      </c>
      <c r="CF162" s="301">
        <f>[1]COMMANDE!AM160</f>
        <v>0</v>
      </c>
      <c r="CG162" s="297" t="str">
        <f t="shared" si="192"/>
        <v>-</v>
      </c>
      <c r="CH162" s="298">
        <f t="shared" si="193"/>
        <v>0</v>
      </c>
      <c r="CI162" s="299">
        <f>[1]COMMANDE!AO160</f>
        <v>0</v>
      </c>
      <c r="CJ162" s="297" t="str">
        <f t="shared" si="194"/>
        <v>-</v>
      </c>
      <c r="CK162" s="300">
        <f t="shared" si="195"/>
        <v>0</v>
      </c>
      <c r="CL162" s="301">
        <f>[1]COMMANDE!AQ160</f>
        <v>0</v>
      </c>
      <c r="CM162" s="297" t="str">
        <f t="shared" si="196"/>
        <v>-</v>
      </c>
      <c r="CN162" s="298">
        <f t="shared" si="197"/>
        <v>0</v>
      </c>
      <c r="CO162" s="299">
        <f>[1]COMMANDE!AS160</f>
        <v>0</v>
      </c>
      <c r="CP162" s="297" t="str">
        <f t="shared" si="198"/>
        <v>-</v>
      </c>
      <c r="CQ162" s="300">
        <f t="shared" si="199"/>
        <v>0</v>
      </c>
      <c r="CR162" s="301">
        <f>[1]COMMANDE!AU160</f>
        <v>0</v>
      </c>
      <c r="CS162" s="297" t="str">
        <f t="shared" si="200"/>
        <v>-</v>
      </c>
      <c r="CT162" s="298">
        <f t="shared" si="201"/>
        <v>0</v>
      </c>
      <c r="CU162" s="299">
        <f>[1]COMMANDE!AW160</f>
        <v>0</v>
      </c>
      <c r="CV162" s="297" t="str">
        <f t="shared" si="202"/>
        <v>-</v>
      </c>
      <c r="CW162" s="300">
        <f t="shared" si="203"/>
        <v>0</v>
      </c>
      <c r="CX162" s="301">
        <f>[1]COMMANDE!AY160</f>
        <v>0</v>
      </c>
      <c r="CY162" s="297" t="str">
        <f t="shared" si="204"/>
        <v>-</v>
      </c>
      <c r="CZ162" s="298">
        <f t="shared" si="205"/>
        <v>0</v>
      </c>
      <c r="DA162" s="299">
        <f>[1]COMMANDE!BA160</f>
        <v>0</v>
      </c>
      <c r="DB162" s="297" t="str">
        <f t="shared" si="206"/>
        <v>-</v>
      </c>
      <c r="DC162" s="302">
        <f t="shared" si="207"/>
        <v>0</v>
      </c>
      <c r="DD162" s="303"/>
      <c r="DE162" s="304"/>
    </row>
    <row r="163" spans="1:109" ht="39.950000000000003" customHeight="1" x14ac:dyDescent="0.25">
      <c r="A163" s="284">
        <f t="shared" si="140"/>
        <v>0</v>
      </c>
      <c r="B163" s="284">
        <f t="shared" si="141"/>
        <v>0</v>
      </c>
      <c r="C163" s="284">
        <f t="shared" si="142"/>
        <v>0</v>
      </c>
      <c r="D163" s="284">
        <f t="shared" si="143"/>
        <v>0</v>
      </c>
      <c r="E163" s="284">
        <f t="shared" si="144"/>
        <v>0</v>
      </c>
      <c r="F163" s="284">
        <f t="shared" si="145"/>
        <v>0</v>
      </c>
      <c r="G163" s="284">
        <f t="shared" si="146"/>
        <v>0</v>
      </c>
      <c r="H163" s="284">
        <f t="shared" si="147"/>
        <v>0</v>
      </c>
      <c r="I163" s="284">
        <f t="shared" si="148"/>
        <v>0</v>
      </c>
      <c r="J163" s="284">
        <f t="shared" si="149"/>
        <v>0</v>
      </c>
      <c r="K163" s="284">
        <f t="shared" si="150"/>
        <v>0</v>
      </c>
      <c r="L163" s="284">
        <f t="shared" si="151"/>
        <v>0</v>
      </c>
      <c r="M163" s="284">
        <f t="shared" si="152"/>
        <v>0</v>
      </c>
      <c r="N163" s="284">
        <f t="shared" si="153"/>
        <v>0</v>
      </c>
      <c r="O163" s="284">
        <f t="shared" si="154"/>
        <v>0</v>
      </c>
      <c r="P163" s="284">
        <f t="shared" si="155"/>
        <v>0</v>
      </c>
      <c r="Q163" s="284">
        <f t="shared" si="156"/>
        <v>0</v>
      </c>
      <c r="R163" s="284">
        <f t="shared" si="157"/>
        <v>0</v>
      </c>
      <c r="S163" s="284">
        <f t="shared" si="158"/>
        <v>0</v>
      </c>
      <c r="T163" s="284">
        <f t="shared" si="159"/>
        <v>0</v>
      </c>
      <c r="U163" s="285">
        <f t="shared" si="160"/>
        <v>0</v>
      </c>
      <c r="V163" s="286">
        <f>[1]BDD!A153</f>
        <v>1171</v>
      </c>
      <c r="W163" s="287" t="str">
        <f>[1]BDD!B153</f>
        <v>Mangue Keitt BIO (grande, BIO depuis 1985, BIO Suisse depuis 2009)</v>
      </c>
      <c r="X163" s="288" t="str">
        <f>IF([1]BDD!F153=0, "", [1]BDD!F153)</f>
        <v/>
      </c>
      <c r="Y163" s="214">
        <f>ROUND([1]BDD!G153+FDP_CMD_KG, 2)</f>
        <v>4.42</v>
      </c>
      <c r="Z163" s="214">
        <f>ROUND([1]BDD!G153+FDP_FACT_KG, 2)</f>
        <v>4.42</v>
      </c>
      <c r="AA163" s="215" t="str">
        <f>[1]BDD!H153</f>
        <v>kg</v>
      </c>
      <c r="AB163" s="225">
        <f>IF(NOT(ISBLANK([1]BDD!I153)), ROUND(SUM(([1]BDD!G153*reduc1),FDP_CMD_KG), 2), "")</f>
        <v>4.07</v>
      </c>
      <c r="AC163" s="225">
        <f>IF(NOT(ISBLANK([1]BDD!J153)), ROUND(SUM(([1]BDD!G153*reduc2),FDP_CMD_KG), 2), "")</f>
        <v>3.71</v>
      </c>
      <c r="AD163" s="225">
        <f>IF(NOT(ISBLANK([1]BDD!K153)), ROUND(SUM(([1]BDD!G153*reduc3),FDP_CMD_KG), 2), "")</f>
        <v>3.36</v>
      </c>
      <c r="AE163" s="225">
        <f>IF(NOT(ISBLANK([1]BDD!I153)), ROUND(SUM(([1]BDD!G153*reduc1),FDP_FACT_KG), 2), "")</f>
        <v>4.0599999999999996</v>
      </c>
      <c r="AF163" s="225">
        <f>IF(NOT(ISBLANK([1]BDD!J153)), ROUND(SUM(([1]BDD!G153*reduc2),FDP_FACT_KG), 2), "")</f>
        <v>3.71</v>
      </c>
      <c r="AG163" s="225">
        <f>IF(NOT(ISBLANK([1]BDD!K153)), ROUND(SUM(([1]BDD!G153*reduc3),FDP_FACT_KG), 2), "")</f>
        <v>3.35</v>
      </c>
      <c r="AH163" s="289" t="str">
        <f>[1]BDD!C153</f>
        <v>Malaga</v>
      </c>
      <c r="AI163" s="290">
        <f t="shared" si="161"/>
        <v>0</v>
      </c>
      <c r="AJ163" s="216">
        <f t="shared" si="162"/>
        <v>3.36</v>
      </c>
      <c r="AK163" s="291">
        <f t="shared" si="163"/>
        <v>0</v>
      </c>
      <c r="AL163" s="429"/>
      <c r="AM163" s="292"/>
      <c r="AN163" s="216">
        <f t="shared" si="164"/>
        <v>4.42</v>
      </c>
      <c r="AO163" s="293">
        <f t="shared" si="165"/>
        <v>0</v>
      </c>
      <c r="AP163" s="294"/>
      <c r="AQ163" s="294"/>
      <c r="AR163" s="429"/>
      <c r="AS163" s="295">
        <f t="shared" si="166"/>
        <v>0</v>
      </c>
      <c r="AT163" s="216">
        <f t="shared" si="167"/>
        <v>4.42</v>
      </c>
      <c r="AU163" s="291">
        <f t="shared" si="139"/>
        <v>0</v>
      </c>
      <c r="AV163" s="296">
        <f>[1]COMMANDE!O161</f>
        <v>0</v>
      </c>
      <c r="AW163" s="297" t="str">
        <f t="shared" si="168"/>
        <v>0</v>
      </c>
      <c r="AX163" s="298">
        <f t="shared" si="169"/>
        <v>0</v>
      </c>
      <c r="AY163" s="299">
        <f>[1]COMMANDE!Q161</f>
        <v>0</v>
      </c>
      <c r="AZ163" s="297" t="str">
        <f t="shared" si="170"/>
        <v>0</v>
      </c>
      <c r="BA163" s="300">
        <f t="shared" si="171"/>
        <v>0</v>
      </c>
      <c r="BB163" s="301">
        <f>[1]COMMANDE!S161</f>
        <v>0</v>
      </c>
      <c r="BC163" s="297" t="str">
        <f t="shared" si="172"/>
        <v>0</v>
      </c>
      <c r="BD163" s="298">
        <f t="shared" si="173"/>
        <v>0</v>
      </c>
      <c r="BE163" s="299">
        <f>[1]COMMANDE!U161</f>
        <v>0</v>
      </c>
      <c r="BF163" s="297" t="str">
        <f t="shared" si="174"/>
        <v>0</v>
      </c>
      <c r="BG163" s="300">
        <f t="shared" si="175"/>
        <v>0</v>
      </c>
      <c r="BH163" s="301">
        <f>[1]COMMANDE!W161</f>
        <v>0</v>
      </c>
      <c r="BI163" s="297" t="str">
        <f t="shared" si="176"/>
        <v>0</v>
      </c>
      <c r="BJ163" s="298">
        <f t="shared" si="177"/>
        <v>0</v>
      </c>
      <c r="BK163" s="299">
        <f>[1]COMMANDE!Y161</f>
        <v>0</v>
      </c>
      <c r="BL163" s="297" t="str">
        <f t="shared" si="178"/>
        <v>0</v>
      </c>
      <c r="BM163" s="300">
        <f t="shared" si="179"/>
        <v>0</v>
      </c>
      <c r="BN163" s="301">
        <f>[1]COMMANDE!AA161</f>
        <v>0</v>
      </c>
      <c r="BO163" s="297" t="str">
        <f t="shared" si="180"/>
        <v>0</v>
      </c>
      <c r="BP163" s="298">
        <f t="shared" si="181"/>
        <v>0</v>
      </c>
      <c r="BQ163" s="299">
        <f>[1]COMMANDE!AC161</f>
        <v>0</v>
      </c>
      <c r="BR163" s="297" t="str">
        <f t="shared" si="182"/>
        <v>0</v>
      </c>
      <c r="BS163" s="300">
        <f t="shared" si="183"/>
        <v>0</v>
      </c>
      <c r="BT163" s="301">
        <f>[1]COMMANDE!AE161</f>
        <v>0</v>
      </c>
      <c r="BU163" s="297" t="str">
        <f t="shared" si="184"/>
        <v>0</v>
      </c>
      <c r="BV163" s="298">
        <f t="shared" si="185"/>
        <v>0</v>
      </c>
      <c r="BW163" s="299">
        <f>[1]COMMANDE!AG161</f>
        <v>0</v>
      </c>
      <c r="BX163" s="297" t="str">
        <f t="shared" si="186"/>
        <v>0</v>
      </c>
      <c r="BY163" s="300">
        <f t="shared" si="187"/>
        <v>0</v>
      </c>
      <c r="BZ163" s="301">
        <f>[1]COMMANDE!AI161</f>
        <v>0</v>
      </c>
      <c r="CA163" s="297" t="str">
        <f t="shared" si="188"/>
        <v>0</v>
      </c>
      <c r="CB163" s="298">
        <f t="shared" si="189"/>
        <v>0</v>
      </c>
      <c r="CC163" s="299">
        <f>[1]COMMANDE!AK161</f>
        <v>0</v>
      </c>
      <c r="CD163" s="297" t="str">
        <f t="shared" si="190"/>
        <v>0</v>
      </c>
      <c r="CE163" s="300">
        <f t="shared" si="191"/>
        <v>0</v>
      </c>
      <c r="CF163" s="301">
        <f>[1]COMMANDE!AM161</f>
        <v>0</v>
      </c>
      <c r="CG163" s="297" t="str">
        <f t="shared" si="192"/>
        <v>0</v>
      </c>
      <c r="CH163" s="298">
        <f t="shared" si="193"/>
        <v>0</v>
      </c>
      <c r="CI163" s="299">
        <f>[1]COMMANDE!AO161</f>
        <v>0</v>
      </c>
      <c r="CJ163" s="297" t="str">
        <f t="shared" si="194"/>
        <v>0</v>
      </c>
      <c r="CK163" s="300">
        <f t="shared" si="195"/>
        <v>0</v>
      </c>
      <c r="CL163" s="301">
        <f>[1]COMMANDE!AQ161</f>
        <v>0</v>
      </c>
      <c r="CM163" s="297" t="str">
        <f t="shared" si="196"/>
        <v>0</v>
      </c>
      <c r="CN163" s="298">
        <f t="shared" si="197"/>
        <v>0</v>
      </c>
      <c r="CO163" s="299">
        <f>[1]COMMANDE!AS161</f>
        <v>0</v>
      </c>
      <c r="CP163" s="297" t="str">
        <f t="shared" si="198"/>
        <v>0</v>
      </c>
      <c r="CQ163" s="300">
        <f t="shared" si="199"/>
        <v>0</v>
      </c>
      <c r="CR163" s="301">
        <f>[1]COMMANDE!AU161</f>
        <v>0</v>
      </c>
      <c r="CS163" s="297" t="str">
        <f t="shared" si="200"/>
        <v>0</v>
      </c>
      <c r="CT163" s="298">
        <f t="shared" si="201"/>
        <v>0</v>
      </c>
      <c r="CU163" s="299">
        <f>[1]COMMANDE!AW161</f>
        <v>0</v>
      </c>
      <c r="CV163" s="297" t="str">
        <f t="shared" si="202"/>
        <v>0</v>
      </c>
      <c r="CW163" s="300">
        <f t="shared" si="203"/>
        <v>0</v>
      </c>
      <c r="CX163" s="301">
        <f>[1]COMMANDE!AY161</f>
        <v>0</v>
      </c>
      <c r="CY163" s="297" t="str">
        <f t="shared" si="204"/>
        <v>0</v>
      </c>
      <c r="CZ163" s="298">
        <f t="shared" si="205"/>
        <v>0</v>
      </c>
      <c r="DA163" s="299">
        <f>[1]COMMANDE!BA161</f>
        <v>0</v>
      </c>
      <c r="DB163" s="297" t="str">
        <f t="shared" si="206"/>
        <v>0</v>
      </c>
      <c r="DC163" s="302">
        <f t="shared" si="207"/>
        <v>0</v>
      </c>
      <c r="DD163" s="303"/>
      <c r="DE163" s="304"/>
    </row>
    <row r="164" spans="1:109" ht="39.950000000000003" customHeight="1" x14ac:dyDescent="0.25">
      <c r="A164" s="284">
        <f t="shared" si="140"/>
        <v>1</v>
      </c>
      <c r="B164" s="284">
        <f t="shared" si="141"/>
        <v>0</v>
      </c>
      <c r="C164" s="284">
        <f t="shared" si="142"/>
        <v>1</v>
      </c>
      <c r="D164" s="284">
        <f t="shared" si="143"/>
        <v>1</v>
      </c>
      <c r="E164" s="284">
        <f t="shared" si="144"/>
        <v>0</v>
      </c>
      <c r="F164" s="284">
        <f t="shared" si="145"/>
        <v>0</v>
      </c>
      <c r="G164" s="284">
        <f t="shared" si="146"/>
        <v>0</v>
      </c>
      <c r="H164" s="284">
        <f t="shared" si="147"/>
        <v>0</v>
      </c>
      <c r="I164" s="284">
        <f t="shared" si="148"/>
        <v>0</v>
      </c>
      <c r="J164" s="284">
        <f t="shared" si="149"/>
        <v>0</v>
      </c>
      <c r="K164" s="284">
        <f t="shared" si="150"/>
        <v>0</v>
      </c>
      <c r="L164" s="284">
        <f t="shared" si="151"/>
        <v>0</v>
      </c>
      <c r="M164" s="284">
        <f t="shared" si="152"/>
        <v>0</v>
      </c>
      <c r="N164" s="284">
        <f t="shared" si="153"/>
        <v>0</v>
      </c>
      <c r="O164" s="284">
        <f t="shared" si="154"/>
        <v>0</v>
      </c>
      <c r="P164" s="284">
        <f t="shared" si="155"/>
        <v>0</v>
      </c>
      <c r="Q164" s="284">
        <f t="shared" si="156"/>
        <v>0</v>
      </c>
      <c r="R164" s="284">
        <f t="shared" si="157"/>
        <v>0</v>
      </c>
      <c r="S164" s="284">
        <f t="shared" si="158"/>
        <v>0</v>
      </c>
      <c r="T164" s="284">
        <f t="shared" si="159"/>
        <v>0</v>
      </c>
      <c r="U164" s="285">
        <f t="shared" si="160"/>
        <v>1</v>
      </c>
      <c r="V164" s="286">
        <f>[1]BDD!A154</f>
        <v>6198</v>
      </c>
      <c r="W164" s="287" t="str">
        <f>[1]BDD!B154</f>
        <v>Mangue Keitt BIO (grandes brûlures sur la peau, chair intacte, BIO depuis 1985, BIO Suisse depuis 2009)</v>
      </c>
      <c r="X164" s="288" t="str">
        <f>IF([1]BDD!F154=0, "", [1]BDD!F154)</f>
        <v>OFFRE</v>
      </c>
      <c r="Y164" s="214">
        <f>ROUND([1]BDD!G154+FDP_CMD_KG, 2)</f>
        <v>2.66</v>
      </c>
      <c r="Z164" s="214">
        <f>ROUND([1]BDD!G154+FDP_FACT_KG, 2)</f>
        <v>2.66</v>
      </c>
      <c r="AA164" s="215" t="str">
        <f>[1]BDD!H154</f>
        <v>kg</v>
      </c>
      <c r="AB164" s="225">
        <f>IF(NOT(ISBLANK([1]BDD!I154)), ROUND(SUM(([1]BDD!G154*reduc1),FDP_CMD_KG), 2), "")</f>
        <v>2.48</v>
      </c>
      <c r="AC164" s="225">
        <f>IF(NOT(ISBLANK([1]BDD!J154)), ROUND(SUM(([1]BDD!G154*reduc2),FDP_CMD_KG), 2), "")</f>
        <v>2.31</v>
      </c>
      <c r="AD164" s="225">
        <f>IF(NOT(ISBLANK([1]BDD!K154)), ROUND(SUM(([1]BDD!G154*reduc3),FDP_CMD_KG), 2), "")</f>
        <v>2.13</v>
      </c>
      <c r="AE164" s="225">
        <f>IF(NOT(ISBLANK([1]BDD!I154)), ROUND(SUM(([1]BDD!G154*reduc1),FDP_FACT_KG), 2), "")</f>
        <v>2.48</v>
      </c>
      <c r="AF164" s="225">
        <f>IF(NOT(ISBLANK([1]BDD!J154)), ROUND(SUM(([1]BDD!G154*reduc2),FDP_FACT_KG), 2), "")</f>
        <v>2.2999999999999998</v>
      </c>
      <c r="AG164" s="225">
        <f>IF(NOT(ISBLANK([1]BDD!K154)), ROUND(SUM(([1]BDD!G154*reduc3),FDP_FACT_KG), 2), "")</f>
        <v>2.12</v>
      </c>
      <c r="AH164" s="289" t="str">
        <f>[1]BDD!C154</f>
        <v>Malaga</v>
      </c>
      <c r="AI164" s="290">
        <f t="shared" si="161"/>
        <v>15</v>
      </c>
      <c r="AJ164" s="216">
        <f t="shared" si="162"/>
        <v>2.13</v>
      </c>
      <c r="AK164" s="291">
        <f t="shared" si="163"/>
        <v>31.95</v>
      </c>
      <c r="AL164" s="429"/>
      <c r="AM164" s="292">
        <v>5.55</v>
      </c>
      <c r="AN164" s="216">
        <f t="shared" si="164"/>
        <v>2.66</v>
      </c>
      <c r="AO164" s="293">
        <f t="shared" si="165"/>
        <v>14.763</v>
      </c>
      <c r="AP164" s="294">
        <v>1</v>
      </c>
      <c r="AQ164" s="294"/>
      <c r="AR164" s="429"/>
      <c r="AS164" s="295">
        <f t="shared" si="166"/>
        <v>5.5500000000000007</v>
      </c>
      <c r="AT164" s="216">
        <f t="shared" si="167"/>
        <v>2.66</v>
      </c>
      <c r="AU164" s="291">
        <f t="shared" si="139"/>
        <v>14.763000000000003</v>
      </c>
      <c r="AV164" s="296">
        <f>[1]COMMANDE!O162</f>
        <v>10</v>
      </c>
      <c r="AW164" s="297">
        <f t="shared" si="168"/>
        <v>3.7</v>
      </c>
      <c r="AX164" s="298">
        <f t="shared" si="169"/>
        <v>9.8420000000000005</v>
      </c>
      <c r="AY164" s="299">
        <f>[1]COMMANDE!Q162</f>
        <v>0</v>
      </c>
      <c r="AZ164" s="297" t="str">
        <f t="shared" si="170"/>
        <v>0</v>
      </c>
      <c r="BA164" s="300">
        <f t="shared" si="171"/>
        <v>0</v>
      </c>
      <c r="BB164" s="301">
        <f>[1]COMMANDE!S162</f>
        <v>3</v>
      </c>
      <c r="BC164" s="297">
        <f t="shared" si="172"/>
        <v>1.1099999999999999</v>
      </c>
      <c r="BD164" s="298">
        <f t="shared" si="173"/>
        <v>2.9525999999999999</v>
      </c>
      <c r="BE164" s="299">
        <f>[1]COMMANDE!U162</f>
        <v>2</v>
      </c>
      <c r="BF164" s="297">
        <f t="shared" si="174"/>
        <v>0.74</v>
      </c>
      <c r="BG164" s="300">
        <f t="shared" si="175"/>
        <v>1.9684000000000001</v>
      </c>
      <c r="BH164" s="301">
        <f>[1]COMMANDE!W162</f>
        <v>0</v>
      </c>
      <c r="BI164" s="297" t="str">
        <f t="shared" si="176"/>
        <v>0</v>
      </c>
      <c r="BJ164" s="298">
        <f t="shared" si="177"/>
        <v>0</v>
      </c>
      <c r="BK164" s="299">
        <f>[1]COMMANDE!Y162</f>
        <v>0</v>
      </c>
      <c r="BL164" s="297" t="str">
        <f t="shared" si="178"/>
        <v>0</v>
      </c>
      <c r="BM164" s="300">
        <f t="shared" si="179"/>
        <v>0</v>
      </c>
      <c r="BN164" s="301">
        <f>[1]COMMANDE!AA162</f>
        <v>0</v>
      </c>
      <c r="BO164" s="297" t="str">
        <f t="shared" si="180"/>
        <v>0</v>
      </c>
      <c r="BP164" s="298">
        <f t="shared" si="181"/>
        <v>0</v>
      </c>
      <c r="BQ164" s="299">
        <f>[1]COMMANDE!AC162</f>
        <v>0</v>
      </c>
      <c r="BR164" s="297" t="str">
        <f t="shared" si="182"/>
        <v>0</v>
      </c>
      <c r="BS164" s="300">
        <f t="shared" si="183"/>
        <v>0</v>
      </c>
      <c r="BT164" s="301">
        <f>[1]COMMANDE!AE162</f>
        <v>0</v>
      </c>
      <c r="BU164" s="297" t="str">
        <f t="shared" si="184"/>
        <v>0</v>
      </c>
      <c r="BV164" s="298">
        <f t="shared" si="185"/>
        <v>0</v>
      </c>
      <c r="BW164" s="299">
        <f>[1]COMMANDE!AG162</f>
        <v>0</v>
      </c>
      <c r="BX164" s="297" t="str">
        <f t="shared" si="186"/>
        <v>0</v>
      </c>
      <c r="BY164" s="300">
        <f t="shared" si="187"/>
        <v>0</v>
      </c>
      <c r="BZ164" s="301">
        <f>[1]COMMANDE!AI162</f>
        <v>0</v>
      </c>
      <c r="CA164" s="297" t="str">
        <f t="shared" si="188"/>
        <v>0</v>
      </c>
      <c r="CB164" s="298">
        <f t="shared" si="189"/>
        <v>0</v>
      </c>
      <c r="CC164" s="299">
        <f>[1]COMMANDE!AK162</f>
        <v>0</v>
      </c>
      <c r="CD164" s="297" t="str">
        <f t="shared" si="190"/>
        <v>0</v>
      </c>
      <c r="CE164" s="300">
        <f t="shared" si="191"/>
        <v>0</v>
      </c>
      <c r="CF164" s="301">
        <f>[1]COMMANDE!AM162</f>
        <v>0</v>
      </c>
      <c r="CG164" s="297" t="str">
        <f t="shared" si="192"/>
        <v>0</v>
      </c>
      <c r="CH164" s="298">
        <f t="shared" si="193"/>
        <v>0</v>
      </c>
      <c r="CI164" s="299">
        <f>[1]COMMANDE!AO162</f>
        <v>0</v>
      </c>
      <c r="CJ164" s="297" t="str">
        <f t="shared" si="194"/>
        <v>0</v>
      </c>
      <c r="CK164" s="300">
        <f t="shared" si="195"/>
        <v>0</v>
      </c>
      <c r="CL164" s="301">
        <f>[1]COMMANDE!AQ162</f>
        <v>0</v>
      </c>
      <c r="CM164" s="297" t="str">
        <f t="shared" si="196"/>
        <v>0</v>
      </c>
      <c r="CN164" s="298">
        <f t="shared" si="197"/>
        <v>0</v>
      </c>
      <c r="CO164" s="299">
        <f>[1]COMMANDE!AS162</f>
        <v>0</v>
      </c>
      <c r="CP164" s="297" t="str">
        <f t="shared" si="198"/>
        <v>0</v>
      </c>
      <c r="CQ164" s="300">
        <f t="shared" si="199"/>
        <v>0</v>
      </c>
      <c r="CR164" s="301">
        <f>[1]COMMANDE!AU162</f>
        <v>0</v>
      </c>
      <c r="CS164" s="297" t="str">
        <f t="shared" si="200"/>
        <v>0</v>
      </c>
      <c r="CT164" s="298">
        <f t="shared" si="201"/>
        <v>0</v>
      </c>
      <c r="CU164" s="299">
        <f>[1]COMMANDE!AW162</f>
        <v>0</v>
      </c>
      <c r="CV164" s="297" t="str">
        <f t="shared" si="202"/>
        <v>0</v>
      </c>
      <c r="CW164" s="300">
        <f t="shared" si="203"/>
        <v>0</v>
      </c>
      <c r="CX164" s="301">
        <f>[1]COMMANDE!AY162</f>
        <v>0</v>
      </c>
      <c r="CY164" s="297" t="str">
        <f t="shared" si="204"/>
        <v>0</v>
      </c>
      <c r="CZ164" s="298">
        <f t="shared" si="205"/>
        <v>0</v>
      </c>
      <c r="DA164" s="299">
        <f>[1]COMMANDE!BA162</f>
        <v>0</v>
      </c>
      <c r="DB164" s="297" t="str">
        <f t="shared" si="206"/>
        <v>0</v>
      </c>
      <c r="DC164" s="302">
        <f t="shared" si="207"/>
        <v>0</v>
      </c>
      <c r="DD164" s="303"/>
      <c r="DE164" s="304"/>
    </row>
    <row r="165" spans="1:109" ht="39.950000000000003" customHeight="1" x14ac:dyDescent="0.25">
      <c r="A165" s="284">
        <f t="shared" si="140"/>
        <v>0</v>
      </c>
      <c r="B165" s="284">
        <f t="shared" si="141"/>
        <v>0</v>
      </c>
      <c r="C165" s="284">
        <f t="shared" si="142"/>
        <v>0</v>
      </c>
      <c r="D165" s="284">
        <f t="shared" si="143"/>
        <v>0</v>
      </c>
      <c r="E165" s="284">
        <f t="shared" si="144"/>
        <v>0</v>
      </c>
      <c r="F165" s="284">
        <f t="shared" si="145"/>
        <v>0</v>
      </c>
      <c r="G165" s="284">
        <f t="shared" si="146"/>
        <v>0</v>
      </c>
      <c r="H165" s="284">
        <f t="shared" si="147"/>
        <v>0</v>
      </c>
      <c r="I165" s="284">
        <f t="shared" si="148"/>
        <v>0</v>
      </c>
      <c r="J165" s="284">
        <f t="shared" si="149"/>
        <v>0</v>
      </c>
      <c r="K165" s="284">
        <f t="shared" si="150"/>
        <v>0</v>
      </c>
      <c r="L165" s="284">
        <f t="shared" si="151"/>
        <v>0</v>
      </c>
      <c r="M165" s="284">
        <f t="shared" si="152"/>
        <v>0</v>
      </c>
      <c r="N165" s="284">
        <f t="shared" si="153"/>
        <v>0</v>
      </c>
      <c r="O165" s="284">
        <f t="shared" si="154"/>
        <v>0</v>
      </c>
      <c r="P165" s="284">
        <f t="shared" si="155"/>
        <v>0</v>
      </c>
      <c r="Q165" s="284">
        <f t="shared" si="156"/>
        <v>0</v>
      </c>
      <c r="R165" s="284">
        <f t="shared" si="157"/>
        <v>0</v>
      </c>
      <c r="S165" s="284">
        <f t="shared" si="158"/>
        <v>0</v>
      </c>
      <c r="T165" s="284">
        <f t="shared" si="159"/>
        <v>0</v>
      </c>
      <c r="U165" s="285">
        <f t="shared" si="160"/>
        <v>0</v>
      </c>
      <c r="V165" s="286">
        <f>[1]BDD!A155</f>
        <v>6198</v>
      </c>
      <c r="W165" s="287" t="str">
        <f>[1]BDD!B155</f>
        <v>Mangue Keitt BIO (légères brûlures sur peau , chair intacte,  BIO depuis 1985, BIO Suisse depuis 2009)</v>
      </c>
      <c r="X165" s="288" t="str">
        <f>IF([1]BDD!F155=0, "", [1]BDD!F155)</f>
        <v>OFFRE</v>
      </c>
      <c r="Y165" s="214">
        <f>ROUND([1]BDD!G155+FDP_CMD_KG, 2)</f>
        <v>3.06</v>
      </c>
      <c r="Z165" s="214">
        <f>ROUND([1]BDD!G155+FDP_FACT_KG, 2)</f>
        <v>3.06</v>
      </c>
      <c r="AA165" s="215" t="str">
        <f>[1]BDD!H155</f>
        <v>kg</v>
      </c>
      <c r="AB165" s="225">
        <f>IF(NOT(ISBLANK([1]BDD!I155)), ROUND(SUM(([1]BDD!G155*reduc1),FDP_CMD_KG), 2), "")</f>
        <v>2.84</v>
      </c>
      <c r="AC165" s="225">
        <f>IF(NOT(ISBLANK([1]BDD!J155)), ROUND(SUM(([1]BDD!G155*reduc2),FDP_CMD_KG), 2), "")</f>
        <v>2.63</v>
      </c>
      <c r="AD165" s="225">
        <f>IF(NOT(ISBLANK([1]BDD!K155)), ROUND(SUM(([1]BDD!G155*reduc3),FDP_CMD_KG), 2), "")</f>
        <v>2.41</v>
      </c>
      <c r="AE165" s="225">
        <f>IF(NOT(ISBLANK([1]BDD!I155)), ROUND(SUM(([1]BDD!G155*reduc1),FDP_FACT_KG), 2), "")</f>
        <v>2.84</v>
      </c>
      <c r="AF165" s="225">
        <f>IF(NOT(ISBLANK([1]BDD!J155)), ROUND(SUM(([1]BDD!G155*reduc2),FDP_FACT_KG), 2), "")</f>
        <v>2.62</v>
      </c>
      <c r="AG165" s="225">
        <f>IF(NOT(ISBLANK([1]BDD!K155)), ROUND(SUM(([1]BDD!G155*reduc3),FDP_FACT_KG), 2), "")</f>
        <v>2.4</v>
      </c>
      <c r="AH165" s="289" t="str">
        <f>[1]BDD!C155</f>
        <v>Malaga</v>
      </c>
      <c r="AI165" s="290">
        <f t="shared" si="161"/>
        <v>0</v>
      </c>
      <c r="AJ165" s="216">
        <f t="shared" si="162"/>
        <v>2.41</v>
      </c>
      <c r="AK165" s="291">
        <f t="shared" si="163"/>
        <v>0</v>
      </c>
      <c r="AL165" s="429"/>
      <c r="AM165" s="292"/>
      <c r="AN165" s="216">
        <f t="shared" si="164"/>
        <v>3.06</v>
      </c>
      <c r="AO165" s="293">
        <f t="shared" si="165"/>
        <v>0</v>
      </c>
      <c r="AP165" s="294"/>
      <c r="AQ165" s="294"/>
      <c r="AR165" s="429"/>
      <c r="AS165" s="295">
        <f t="shared" si="166"/>
        <v>0</v>
      </c>
      <c r="AT165" s="216">
        <f t="shared" si="167"/>
        <v>3.06</v>
      </c>
      <c r="AU165" s="291">
        <f t="shared" si="139"/>
        <v>0</v>
      </c>
      <c r="AV165" s="296">
        <f>[1]COMMANDE!O163</f>
        <v>0</v>
      </c>
      <c r="AW165" s="297" t="str">
        <f t="shared" si="168"/>
        <v>0</v>
      </c>
      <c r="AX165" s="298">
        <f t="shared" si="169"/>
        <v>0</v>
      </c>
      <c r="AY165" s="299">
        <f>[1]COMMANDE!Q163</f>
        <v>0</v>
      </c>
      <c r="AZ165" s="297" t="str">
        <f t="shared" si="170"/>
        <v>0</v>
      </c>
      <c r="BA165" s="300">
        <f t="shared" si="171"/>
        <v>0</v>
      </c>
      <c r="BB165" s="301">
        <f>[1]COMMANDE!S163</f>
        <v>0</v>
      </c>
      <c r="BC165" s="297" t="str">
        <f t="shared" si="172"/>
        <v>0</v>
      </c>
      <c r="BD165" s="298">
        <f t="shared" si="173"/>
        <v>0</v>
      </c>
      <c r="BE165" s="299">
        <f>[1]COMMANDE!U163</f>
        <v>0</v>
      </c>
      <c r="BF165" s="297" t="str">
        <f t="shared" si="174"/>
        <v>0</v>
      </c>
      <c r="BG165" s="300">
        <f t="shared" si="175"/>
        <v>0</v>
      </c>
      <c r="BH165" s="301">
        <f>[1]COMMANDE!W163</f>
        <v>0</v>
      </c>
      <c r="BI165" s="297" t="str">
        <f t="shared" si="176"/>
        <v>0</v>
      </c>
      <c r="BJ165" s="298">
        <f t="shared" si="177"/>
        <v>0</v>
      </c>
      <c r="BK165" s="299">
        <f>[1]COMMANDE!Y163</f>
        <v>0</v>
      </c>
      <c r="BL165" s="297" t="str">
        <f t="shared" si="178"/>
        <v>0</v>
      </c>
      <c r="BM165" s="300">
        <f t="shared" si="179"/>
        <v>0</v>
      </c>
      <c r="BN165" s="301">
        <f>[1]COMMANDE!AA163</f>
        <v>0</v>
      </c>
      <c r="BO165" s="297" t="str">
        <f t="shared" si="180"/>
        <v>0</v>
      </c>
      <c r="BP165" s="298">
        <f t="shared" si="181"/>
        <v>0</v>
      </c>
      <c r="BQ165" s="299">
        <f>[1]COMMANDE!AC163</f>
        <v>0</v>
      </c>
      <c r="BR165" s="297" t="str">
        <f t="shared" si="182"/>
        <v>0</v>
      </c>
      <c r="BS165" s="300">
        <f t="shared" si="183"/>
        <v>0</v>
      </c>
      <c r="BT165" s="301">
        <f>[1]COMMANDE!AE163</f>
        <v>0</v>
      </c>
      <c r="BU165" s="297" t="str">
        <f t="shared" si="184"/>
        <v>0</v>
      </c>
      <c r="BV165" s="298">
        <f t="shared" si="185"/>
        <v>0</v>
      </c>
      <c r="BW165" s="299">
        <f>[1]COMMANDE!AG163</f>
        <v>0</v>
      </c>
      <c r="BX165" s="297" t="str">
        <f t="shared" si="186"/>
        <v>0</v>
      </c>
      <c r="BY165" s="300">
        <f t="shared" si="187"/>
        <v>0</v>
      </c>
      <c r="BZ165" s="301">
        <f>[1]COMMANDE!AI163</f>
        <v>0</v>
      </c>
      <c r="CA165" s="297" t="str">
        <f t="shared" si="188"/>
        <v>0</v>
      </c>
      <c r="CB165" s="298">
        <f t="shared" si="189"/>
        <v>0</v>
      </c>
      <c r="CC165" s="299">
        <f>[1]COMMANDE!AK163</f>
        <v>0</v>
      </c>
      <c r="CD165" s="297" t="str">
        <f t="shared" si="190"/>
        <v>0</v>
      </c>
      <c r="CE165" s="300">
        <f t="shared" si="191"/>
        <v>0</v>
      </c>
      <c r="CF165" s="301">
        <f>[1]COMMANDE!AM163</f>
        <v>0</v>
      </c>
      <c r="CG165" s="297" t="str">
        <f t="shared" si="192"/>
        <v>0</v>
      </c>
      <c r="CH165" s="298">
        <f t="shared" si="193"/>
        <v>0</v>
      </c>
      <c r="CI165" s="299">
        <f>[1]COMMANDE!AO163</f>
        <v>0</v>
      </c>
      <c r="CJ165" s="297" t="str">
        <f t="shared" si="194"/>
        <v>0</v>
      </c>
      <c r="CK165" s="300">
        <f t="shared" si="195"/>
        <v>0</v>
      </c>
      <c r="CL165" s="301">
        <f>[1]COMMANDE!AQ163</f>
        <v>0</v>
      </c>
      <c r="CM165" s="297" t="str">
        <f t="shared" si="196"/>
        <v>0</v>
      </c>
      <c r="CN165" s="298">
        <f t="shared" si="197"/>
        <v>0</v>
      </c>
      <c r="CO165" s="299">
        <f>[1]COMMANDE!AS163</f>
        <v>0</v>
      </c>
      <c r="CP165" s="297" t="str">
        <f t="shared" si="198"/>
        <v>0</v>
      </c>
      <c r="CQ165" s="300">
        <f t="shared" si="199"/>
        <v>0</v>
      </c>
      <c r="CR165" s="301">
        <f>[1]COMMANDE!AU163</f>
        <v>0</v>
      </c>
      <c r="CS165" s="297" t="str">
        <f t="shared" si="200"/>
        <v>0</v>
      </c>
      <c r="CT165" s="298">
        <f t="shared" si="201"/>
        <v>0</v>
      </c>
      <c r="CU165" s="299">
        <f>[1]COMMANDE!AW163</f>
        <v>0</v>
      </c>
      <c r="CV165" s="297" t="str">
        <f t="shared" si="202"/>
        <v>0</v>
      </c>
      <c r="CW165" s="300">
        <f t="shared" si="203"/>
        <v>0</v>
      </c>
      <c r="CX165" s="301">
        <f>[1]COMMANDE!AY163</f>
        <v>0</v>
      </c>
      <c r="CY165" s="297" t="str">
        <f t="shared" si="204"/>
        <v>0</v>
      </c>
      <c r="CZ165" s="298">
        <f t="shared" si="205"/>
        <v>0</v>
      </c>
      <c r="DA165" s="299">
        <f>[1]COMMANDE!BA163</f>
        <v>0</v>
      </c>
      <c r="DB165" s="297" t="str">
        <f t="shared" si="206"/>
        <v>0</v>
      </c>
      <c r="DC165" s="302">
        <f t="shared" si="207"/>
        <v>0</v>
      </c>
      <c r="DD165" s="303"/>
      <c r="DE165" s="304"/>
    </row>
    <row r="166" spans="1:109" ht="39.950000000000003" customHeight="1" x14ac:dyDescent="0.25">
      <c r="A166" s="284">
        <f t="shared" si="140"/>
        <v>0</v>
      </c>
      <c r="B166" s="284">
        <f t="shared" si="141"/>
        <v>0</v>
      </c>
      <c r="C166" s="284">
        <f t="shared" si="142"/>
        <v>0</v>
      </c>
      <c r="D166" s="284">
        <f t="shared" si="143"/>
        <v>0</v>
      </c>
      <c r="E166" s="284">
        <f t="shared" si="144"/>
        <v>0</v>
      </c>
      <c r="F166" s="284">
        <f t="shared" si="145"/>
        <v>0</v>
      </c>
      <c r="G166" s="284">
        <f t="shared" si="146"/>
        <v>0</v>
      </c>
      <c r="H166" s="284">
        <f t="shared" si="147"/>
        <v>0</v>
      </c>
      <c r="I166" s="284">
        <f t="shared" si="148"/>
        <v>0</v>
      </c>
      <c r="J166" s="284">
        <f t="shared" si="149"/>
        <v>0</v>
      </c>
      <c r="K166" s="284">
        <f t="shared" si="150"/>
        <v>0</v>
      </c>
      <c r="L166" s="284">
        <f t="shared" si="151"/>
        <v>0</v>
      </c>
      <c r="M166" s="284">
        <f t="shared" si="152"/>
        <v>0</v>
      </c>
      <c r="N166" s="284">
        <f t="shared" si="153"/>
        <v>0</v>
      </c>
      <c r="O166" s="284">
        <f t="shared" si="154"/>
        <v>0</v>
      </c>
      <c r="P166" s="284">
        <f t="shared" si="155"/>
        <v>0</v>
      </c>
      <c r="Q166" s="284">
        <f t="shared" si="156"/>
        <v>0</v>
      </c>
      <c r="R166" s="284">
        <f t="shared" si="157"/>
        <v>0</v>
      </c>
      <c r="S166" s="284">
        <f t="shared" si="158"/>
        <v>0</v>
      </c>
      <c r="T166" s="284">
        <f t="shared" si="159"/>
        <v>0</v>
      </c>
      <c r="U166" s="285">
        <f t="shared" si="160"/>
        <v>0</v>
      </c>
      <c r="V166" s="286">
        <f>[1]BDD!A156</f>
        <v>6127</v>
      </c>
      <c r="W166" s="287" t="str">
        <f>[1]BDD!B156</f>
        <v xml:space="preserve">Mangue Keitt gourmet BIO </v>
      </c>
      <c r="X166" s="288" t="str">
        <f>IF([1]BDD!F156=0, "", [1]BDD!F156)</f>
        <v>❤️</v>
      </c>
      <c r="Y166" s="214">
        <f>ROUND([1]BDD!G156+FDP_CMD_KG, 2)</f>
        <v>4.28</v>
      </c>
      <c r="Z166" s="214">
        <f>ROUND([1]BDD!G156+FDP_FACT_KG, 2)</f>
        <v>4.28</v>
      </c>
      <c r="AA166" s="215" t="str">
        <f>[1]BDD!H156</f>
        <v>kg</v>
      </c>
      <c r="AB166" s="225">
        <f>IF(NOT(ISBLANK([1]BDD!I156)), ROUND(SUM(([1]BDD!G156*reduc1),FDP_CMD_KG), 2), "")</f>
        <v>3.94</v>
      </c>
      <c r="AC166" s="225">
        <f>IF(NOT(ISBLANK([1]BDD!J156)), ROUND(SUM(([1]BDD!G156*reduc2),FDP_CMD_KG), 2), "")</f>
        <v>3.6</v>
      </c>
      <c r="AD166" s="225">
        <f>IF(NOT(ISBLANK([1]BDD!K156)), ROUND(SUM(([1]BDD!G156*reduc3),FDP_CMD_KG), 2), "")</f>
        <v>3.26</v>
      </c>
      <c r="AE166" s="225">
        <f>IF(NOT(ISBLANK([1]BDD!I156)), ROUND(SUM(([1]BDD!G156*reduc1),FDP_FACT_KG), 2), "")</f>
        <v>3.94</v>
      </c>
      <c r="AF166" s="225">
        <f>IF(NOT(ISBLANK([1]BDD!J156)), ROUND(SUM(([1]BDD!G156*reduc2),FDP_FACT_KG), 2), "")</f>
        <v>3.59</v>
      </c>
      <c r="AG166" s="225">
        <f>IF(NOT(ISBLANK([1]BDD!K156)), ROUND(SUM(([1]BDD!G156*reduc3),FDP_FACT_KG), 2), "")</f>
        <v>3.25</v>
      </c>
      <c r="AH166" s="289" t="str">
        <f>[1]BDD!C156</f>
        <v>Malaga</v>
      </c>
      <c r="AI166" s="290">
        <f t="shared" si="161"/>
        <v>0</v>
      </c>
      <c r="AJ166" s="216">
        <f t="shared" si="162"/>
        <v>3.26</v>
      </c>
      <c r="AK166" s="291">
        <f t="shared" si="163"/>
        <v>0</v>
      </c>
      <c r="AL166" s="429"/>
      <c r="AM166" s="292"/>
      <c r="AN166" s="216">
        <f t="shared" si="164"/>
        <v>4.28</v>
      </c>
      <c r="AO166" s="293">
        <f t="shared" si="165"/>
        <v>0</v>
      </c>
      <c r="AP166" s="294"/>
      <c r="AQ166" s="294"/>
      <c r="AR166" s="429"/>
      <c r="AS166" s="295">
        <f t="shared" si="166"/>
        <v>0</v>
      </c>
      <c r="AT166" s="216">
        <f t="shared" si="167"/>
        <v>4.28</v>
      </c>
      <c r="AU166" s="291">
        <f t="shared" si="139"/>
        <v>0</v>
      </c>
      <c r="AV166" s="296">
        <f>[1]COMMANDE!O164</f>
        <v>0</v>
      </c>
      <c r="AW166" s="297" t="str">
        <f t="shared" si="168"/>
        <v>0</v>
      </c>
      <c r="AX166" s="298">
        <f t="shared" si="169"/>
        <v>0</v>
      </c>
      <c r="AY166" s="299">
        <f>[1]COMMANDE!Q164</f>
        <v>0</v>
      </c>
      <c r="AZ166" s="297" t="str">
        <f t="shared" si="170"/>
        <v>0</v>
      </c>
      <c r="BA166" s="300">
        <f t="shared" si="171"/>
        <v>0</v>
      </c>
      <c r="BB166" s="301">
        <f>[1]COMMANDE!S164</f>
        <v>0</v>
      </c>
      <c r="BC166" s="297" t="str">
        <f t="shared" si="172"/>
        <v>0</v>
      </c>
      <c r="BD166" s="298">
        <f t="shared" si="173"/>
        <v>0</v>
      </c>
      <c r="BE166" s="299">
        <f>[1]COMMANDE!U164</f>
        <v>0</v>
      </c>
      <c r="BF166" s="297" t="str">
        <f t="shared" si="174"/>
        <v>0</v>
      </c>
      <c r="BG166" s="300">
        <f t="shared" si="175"/>
        <v>0</v>
      </c>
      <c r="BH166" s="301">
        <f>[1]COMMANDE!W164</f>
        <v>0</v>
      </c>
      <c r="BI166" s="297" t="str">
        <f t="shared" si="176"/>
        <v>0</v>
      </c>
      <c r="BJ166" s="298">
        <f t="shared" si="177"/>
        <v>0</v>
      </c>
      <c r="BK166" s="299">
        <f>[1]COMMANDE!Y164</f>
        <v>0</v>
      </c>
      <c r="BL166" s="297" t="str">
        <f t="shared" si="178"/>
        <v>0</v>
      </c>
      <c r="BM166" s="300">
        <f t="shared" si="179"/>
        <v>0</v>
      </c>
      <c r="BN166" s="301">
        <f>[1]COMMANDE!AA164</f>
        <v>0</v>
      </c>
      <c r="BO166" s="297" t="str">
        <f t="shared" si="180"/>
        <v>0</v>
      </c>
      <c r="BP166" s="298">
        <f t="shared" si="181"/>
        <v>0</v>
      </c>
      <c r="BQ166" s="299">
        <f>[1]COMMANDE!AC164</f>
        <v>0</v>
      </c>
      <c r="BR166" s="297" t="str">
        <f t="shared" si="182"/>
        <v>0</v>
      </c>
      <c r="BS166" s="300">
        <f t="shared" si="183"/>
        <v>0</v>
      </c>
      <c r="BT166" s="301">
        <f>[1]COMMANDE!AE164</f>
        <v>0</v>
      </c>
      <c r="BU166" s="297" t="str">
        <f t="shared" si="184"/>
        <v>0</v>
      </c>
      <c r="BV166" s="298">
        <f t="shared" si="185"/>
        <v>0</v>
      </c>
      <c r="BW166" s="299">
        <f>[1]COMMANDE!AG164</f>
        <v>0</v>
      </c>
      <c r="BX166" s="297" t="str">
        <f t="shared" si="186"/>
        <v>0</v>
      </c>
      <c r="BY166" s="300">
        <f t="shared" si="187"/>
        <v>0</v>
      </c>
      <c r="BZ166" s="301">
        <f>[1]COMMANDE!AI164</f>
        <v>0</v>
      </c>
      <c r="CA166" s="297" t="str">
        <f t="shared" si="188"/>
        <v>0</v>
      </c>
      <c r="CB166" s="298">
        <f t="shared" si="189"/>
        <v>0</v>
      </c>
      <c r="CC166" s="299">
        <f>[1]COMMANDE!AK164</f>
        <v>0</v>
      </c>
      <c r="CD166" s="297" t="str">
        <f t="shared" si="190"/>
        <v>0</v>
      </c>
      <c r="CE166" s="300">
        <f t="shared" si="191"/>
        <v>0</v>
      </c>
      <c r="CF166" s="301">
        <f>[1]COMMANDE!AM164</f>
        <v>0</v>
      </c>
      <c r="CG166" s="297" t="str">
        <f t="shared" si="192"/>
        <v>0</v>
      </c>
      <c r="CH166" s="298">
        <f t="shared" si="193"/>
        <v>0</v>
      </c>
      <c r="CI166" s="299">
        <f>[1]COMMANDE!AO164</f>
        <v>0</v>
      </c>
      <c r="CJ166" s="297" t="str">
        <f t="shared" si="194"/>
        <v>0</v>
      </c>
      <c r="CK166" s="300">
        <f t="shared" si="195"/>
        <v>0</v>
      </c>
      <c r="CL166" s="301">
        <f>[1]COMMANDE!AQ164</f>
        <v>0</v>
      </c>
      <c r="CM166" s="297" t="str">
        <f t="shared" si="196"/>
        <v>0</v>
      </c>
      <c r="CN166" s="298">
        <f t="shared" si="197"/>
        <v>0</v>
      </c>
      <c r="CO166" s="299">
        <f>[1]COMMANDE!AS164</f>
        <v>0</v>
      </c>
      <c r="CP166" s="297" t="str">
        <f t="shared" si="198"/>
        <v>0</v>
      </c>
      <c r="CQ166" s="300">
        <f t="shared" si="199"/>
        <v>0</v>
      </c>
      <c r="CR166" s="301">
        <f>[1]COMMANDE!AU164</f>
        <v>0</v>
      </c>
      <c r="CS166" s="297" t="str">
        <f t="shared" si="200"/>
        <v>0</v>
      </c>
      <c r="CT166" s="298">
        <f t="shared" si="201"/>
        <v>0</v>
      </c>
      <c r="CU166" s="299">
        <f>[1]COMMANDE!AW164</f>
        <v>0</v>
      </c>
      <c r="CV166" s="297" t="str">
        <f t="shared" si="202"/>
        <v>0</v>
      </c>
      <c r="CW166" s="300">
        <f t="shared" si="203"/>
        <v>0</v>
      </c>
      <c r="CX166" s="301">
        <f>[1]COMMANDE!AY164</f>
        <v>0</v>
      </c>
      <c r="CY166" s="297" t="str">
        <f t="shared" si="204"/>
        <v>0</v>
      </c>
      <c r="CZ166" s="298">
        <f t="shared" si="205"/>
        <v>0</v>
      </c>
      <c r="DA166" s="299">
        <f>[1]COMMANDE!BA164</f>
        <v>0</v>
      </c>
      <c r="DB166" s="297" t="str">
        <f t="shared" si="206"/>
        <v>0</v>
      </c>
      <c r="DC166" s="302">
        <f t="shared" si="207"/>
        <v>0</v>
      </c>
      <c r="DD166" s="303"/>
      <c r="DE166" s="304"/>
    </row>
    <row r="167" spans="1:109" ht="39.950000000000003" customHeight="1" x14ac:dyDescent="0.25">
      <c r="A167" s="284">
        <f t="shared" si="140"/>
        <v>1</v>
      </c>
      <c r="B167" s="284">
        <f t="shared" si="141"/>
        <v>1</v>
      </c>
      <c r="C167" s="284">
        <f t="shared" si="142"/>
        <v>0</v>
      </c>
      <c r="D167" s="284">
        <f t="shared" si="143"/>
        <v>0</v>
      </c>
      <c r="E167" s="284">
        <f t="shared" si="144"/>
        <v>0</v>
      </c>
      <c r="F167" s="284">
        <f t="shared" si="145"/>
        <v>0</v>
      </c>
      <c r="G167" s="284">
        <f t="shared" si="146"/>
        <v>0</v>
      </c>
      <c r="H167" s="284">
        <f t="shared" si="147"/>
        <v>0</v>
      </c>
      <c r="I167" s="284">
        <f t="shared" si="148"/>
        <v>0</v>
      </c>
      <c r="J167" s="284">
        <f t="shared" si="149"/>
        <v>0</v>
      </c>
      <c r="K167" s="284">
        <f t="shared" si="150"/>
        <v>0</v>
      </c>
      <c r="L167" s="284">
        <f t="shared" si="151"/>
        <v>0</v>
      </c>
      <c r="M167" s="284">
        <f t="shared" si="152"/>
        <v>0</v>
      </c>
      <c r="N167" s="284">
        <f t="shared" si="153"/>
        <v>0</v>
      </c>
      <c r="O167" s="284">
        <f t="shared" si="154"/>
        <v>0</v>
      </c>
      <c r="P167" s="284">
        <f t="shared" si="155"/>
        <v>0</v>
      </c>
      <c r="Q167" s="284">
        <f t="shared" si="156"/>
        <v>0</v>
      </c>
      <c r="R167" s="284">
        <f t="shared" si="157"/>
        <v>0</v>
      </c>
      <c r="S167" s="284">
        <f t="shared" si="158"/>
        <v>0</v>
      </c>
      <c r="T167" s="284">
        <f t="shared" si="159"/>
        <v>0</v>
      </c>
      <c r="U167" s="285">
        <f t="shared" si="160"/>
        <v>1</v>
      </c>
      <c r="V167" s="286">
        <f>[1]BDD!A157</f>
        <v>3225</v>
      </c>
      <c r="W167" s="287" t="str">
        <f>[1]BDD!B157</f>
        <v>Mangue Kent sélectionnée</v>
      </c>
      <c r="X167" s="288" t="str">
        <f>IF([1]BDD!F157=0, "", [1]BDD!F157)</f>
        <v/>
      </c>
      <c r="Y167" s="214">
        <f>ROUND([1]BDD!G157+FDP_CMD_KG, 2)</f>
        <v>6.32</v>
      </c>
      <c r="Z167" s="214">
        <f>ROUND([1]BDD!G157+FDP_FACT_KG, 2)</f>
        <v>6.32</v>
      </c>
      <c r="AA167" s="215" t="str">
        <f>[1]BDD!H157</f>
        <v>kg</v>
      </c>
      <c r="AB167" s="225">
        <f>IF(NOT(ISBLANK([1]BDD!I157)), ROUND(SUM(([1]BDD!G157*reduc1),FDP_CMD_KG), 2), "")</f>
        <v>5.78</v>
      </c>
      <c r="AC167" s="225">
        <f>IF(NOT(ISBLANK([1]BDD!J157)), ROUND(SUM(([1]BDD!G157*reduc2),FDP_CMD_KG), 2), "")</f>
        <v>5.23</v>
      </c>
      <c r="AD167" s="225">
        <f>IF(NOT(ISBLANK([1]BDD!K157)), ROUND(SUM(([1]BDD!G157*reduc3),FDP_CMD_KG), 2), "")</f>
        <v>4.6900000000000004</v>
      </c>
      <c r="AE167" s="225">
        <f>IF(NOT(ISBLANK([1]BDD!I157)), ROUND(SUM(([1]BDD!G157*reduc1),FDP_FACT_KG), 2), "")</f>
        <v>5.77</v>
      </c>
      <c r="AF167" s="225">
        <f>IF(NOT(ISBLANK([1]BDD!J157)), ROUND(SUM(([1]BDD!G157*reduc2),FDP_FACT_KG), 2), "")</f>
        <v>5.23</v>
      </c>
      <c r="AG167" s="225">
        <f>IF(NOT(ISBLANK([1]BDD!K157)), ROUND(SUM(([1]BDD!G157*reduc3),FDP_FACT_KG), 2), "")</f>
        <v>4.68</v>
      </c>
      <c r="AH167" s="289" t="str">
        <f>[1]BDD!C157</f>
        <v>Malaga</v>
      </c>
      <c r="AI167" s="290">
        <f t="shared" si="161"/>
        <v>0</v>
      </c>
      <c r="AJ167" s="216">
        <f t="shared" si="162"/>
        <v>4.6900000000000004</v>
      </c>
      <c r="AK167" s="291">
        <f t="shared" si="163"/>
        <v>0</v>
      </c>
      <c r="AL167" s="429"/>
      <c r="AM167" s="292">
        <v>3.17</v>
      </c>
      <c r="AN167" s="216">
        <f t="shared" si="164"/>
        <v>6.32</v>
      </c>
      <c r="AO167" s="293">
        <f t="shared" si="165"/>
        <v>20.034400000000002</v>
      </c>
      <c r="AP167" s="294"/>
      <c r="AQ167" s="294">
        <v>2</v>
      </c>
      <c r="AR167" s="429"/>
      <c r="AS167" s="295">
        <f t="shared" si="166"/>
        <v>3.17</v>
      </c>
      <c r="AT167" s="216">
        <f t="shared" si="167"/>
        <v>6.32</v>
      </c>
      <c r="AU167" s="291">
        <f t="shared" si="139"/>
        <v>20.034400000000002</v>
      </c>
      <c r="AV167" s="296">
        <f>[1]COMMANDE!O165</f>
        <v>0</v>
      </c>
      <c r="AW167" s="297">
        <f t="shared" si="168"/>
        <v>1.585</v>
      </c>
      <c r="AX167" s="298">
        <f t="shared" si="169"/>
        <v>10.017200000000001</v>
      </c>
      <c r="AY167" s="299">
        <f>[1]COMMANDE!Q165</f>
        <v>0</v>
      </c>
      <c r="AZ167" s="297">
        <f t="shared" si="170"/>
        <v>1.585</v>
      </c>
      <c r="BA167" s="300">
        <f t="shared" si="171"/>
        <v>10.017200000000001</v>
      </c>
      <c r="BB167" s="301">
        <f>[1]COMMANDE!S165</f>
        <v>0</v>
      </c>
      <c r="BC167" s="297" t="str">
        <f t="shared" si="172"/>
        <v>-</v>
      </c>
      <c r="BD167" s="298">
        <f t="shared" si="173"/>
        <v>0</v>
      </c>
      <c r="BE167" s="299">
        <f>[1]COMMANDE!U165</f>
        <v>0</v>
      </c>
      <c r="BF167" s="297" t="str">
        <f t="shared" si="174"/>
        <v>-</v>
      </c>
      <c r="BG167" s="300">
        <f t="shared" si="175"/>
        <v>0</v>
      </c>
      <c r="BH167" s="301">
        <f>[1]COMMANDE!W165</f>
        <v>0</v>
      </c>
      <c r="BI167" s="297" t="str">
        <f t="shared" si="176"/>
        <v>-</v>
      </c>
      <c r="BJ167" s="298">
        <f t="shared" si="177"/>
        <v>0</v>
      </c>
      <c r="BK167" s="299">
        <f>[1]COMMANDE!Y165</f>
        <v>0</v>
      </c>
      <c r="BL167" s="297" t="str">
        <f t="shared" si="178"/>
        <v>-</v>
      </c>
      <c r="BM167" s="300">
        <f t="shared" si="179"/>
        <v>0</v>
      </c>
      <c r="BN167" s="301">
        <f>[1]COMMANDE!AA165</f>
        <v>0</v>
      </c>
      <c r="BO167" s="297" t="str">
        <f t="shared" si="180"/>
        <v>-</v>
      </c>
      <c r="BP167" s="298">
        <f t="shared" si="181"/>
        <v>0</v>
      </c>
      <c r="BQ167" s="299">
        <f>[1]COMMANDE!AC165</f>
        <v>0</v>
      </c>
      <c r="BR167" s="297" t="str">
        <f t="shared" si="182"/>
        <v>-</v>
      </c>
      <c r="BS167" s="300">
        <f t="shared" si="183"/>
        <v>0</v>
      </c>
      <c r="BT167" s="301">
        <f>[1]COMMANDE!AE165</f>
        <v>0</v>
      </c>
      <c r="BU167" s="297" t="str">
        <f t="shared" si="184"/>
        <v>-</v>
      </c>
      <c r="BV167" s="298">
        <f t="shared" si="185"/>
        <v>0</v>
      </c>
      <c r="BW167" s="299">
        <f>[1]COMMANDE!AG165</f>
        <v>0</v>
      </c>
      <c r="BX167" s="297" t="str">
        <f t="shared" si="186"/>
        <v>-</v>
      </c>
      <c r="BY167" s="300">
        <f t="shared" si="187"/>
        <v>0</v>
      </c>
      <c r="BZ167" s="301">
        <f>[1]COMMANDE!AI165</f>
        <v>0</v>
      </c>
      <c r="CA167" s="297" t="str">
        <f t="shared" si="188"/>
        <v>-</v>
      </c>
      <c r="CB167" s="298">
        <f t="shared" si="189"/>
        <v>0</v>
      </c>
      <c r="CC167" s="299">
        <f>[1]COMMANDE!AK165</f>
        <v>0</v>
      </c>
      <c r="CD167" s="297" t="str">
        <f t="shared" si="190"/>
        <v>-</v>
      </c>
      <c r="CE167" s="300">
        <f t="shared" si="191"/>
        <v>0</v>
      </c>
      <c r="CF167" s="301">
        <f>[1]COMMANDE!AM165</f>
        <v>0</v>
      </c>
      <c r="CG167" s="297" t="str">
        <f t="shared" si="192"/>
        <v>-</v>
      </c>
      <c r="CH167" s="298">
        <f t="shared" si="193"/>
        <v>0</v>
      </c>
      <c r="CI167" s="299">
        <f>[1]COMMANDE!AO165</f>
        <v>0</v>
      </c>
      <c r="CJ167" s="297" t="str">
        <f t="shared" si="194"/>
        <v>-</v>
      </c>
      <c r="CK167" s="300">
        <f t="shared" si="195"/>
        <v>0</v>
      </c>
      <c r="CL167" s="301">
        <f>[1]COMMANDE!AQ165</f>
        <v>0</v>
      </c>
      <c r="CM167" s="297" t="str">
        <f t="shared" si="196"/>
        <v>-</v>
      </c>
      <c r="CN167" s="298">
        <f t="shared" si="197"/>
        <v>0</v>
      </c>
      <c r="CO167" s="299">
        <f>[1]COMMANDE!AS165</f>
        <v>0</v>
      </c>
      <c r="CP167" s="297" t="str">
        <f t="shared" si="198"/>
        <v>-</v>
      </c>
      <c r="CQ167" s="300">
        <f t="shared" si="199"/>
        <v>0</v>
      </c>
      <c r="CR167" s="301">
        <f>[1]COMMANDE!AU165</f>
        <v>0</v>
      </c>
      <c r="CS167" s="297" t="str">
        <f t="shared" si="200"/>
        <v>-</v>
      </c>
      <c r="CT167" s="298">
        <f t="shared" si="201"/>
        <v>0</v>
      </c>
      <c r="CU167" s="299">
        <f>[1]COMMANDE!AW165</f>
        <v>0</v>
      </c>
      <c r="CV167" s="297" t="str">
        <f t="shared" si="202"/>
        <v>-</v>
      </c>
      <c r="CW167" s="300">
        <f t="shared" si="203"/>
        <v>0</v>
      </c>
      <c r="CX167" s="301">
        <f>[1]COMMANDE!AY165</f>
        <v>0</v>
      </c>
      <c r="CY167" s="297" t="str">
        <f t="shared" si="204"/>
        <v>-</v>
      </c>
      <c r="CZ167" s="298">
        <f t="shared" si="205"/>
        <v>0</v>
      </c>
      <c r="DA167" s="299">
        <f>[1]COMMANDE!BA165</f>
        <v>0</v>
      </c>
      <c r="DB167" s="297" t="str">
        <f t="shared" si="206"/>
        <v>-</v>
      </c>
      <c r="DC167" s="302">
        <f t="shared" si="207"/>
        <v>0</v>
      </c>
      <c r="DD167" s="303"/>
      <c r="DE167" s="304"/>
    </row>
    <row r="168" spans="1:109" ht="39.950000000000003" customHeight="1" x14ac:dyDescent="0.25">
      <c r="A168" s="284">
        <f t="shared" si="140"/>
        <v>0</v>
      </c>
      <c r="B168" s="284">
        <f t="shared" si="141"/>
        <v>0</v>
      </c>
      <c r="C168" s="284">
        <f t="shared" si="142"/>
        <v>0</v>
      </c>
      <c r="D168" s="284">
        <f t="shared" si="143"/>
        <v>0</v>
      </c>
      <c r="E168" s="284">
        <f t="shared" si="144"/>
        <v>0</v>
      </c>
      <c r="F168" s="284">
        <f t="shared" si="145"/>
        <v>0</v>
      </c>
      <c r="G168" s="284">
        <f t="shared" si="146"/>
        <v>0</v>
      </c>
      <c r="H168" s="284">
        <f t="shared" si="147"/>
        <v>0</v>
      </c>
      <c r="I168" s="284">
        <f t="shared" si="148"/>
        <v>0</v>
      </c>
      <c r="J168" s="284">
        <f t="shared" si="149"/>
        <v>0</v>
      </c>
      <c r="K168" s="284">
        <f t="shared" si="150"/>
        <v>0</v>
      </c>
      <c r="L168" s="284">
        <f t="shared" si="151"/>
        <v>0</v>
      </c>
      <c r="M168" s="284">
        <f t="shared" si="152"/>
        <v>0</v>
      </c>
      <c r="N168" s="284">
        <f t="shared" si="153"/>
        <v>0</v>
      </c>
      <c r="O168" s="284">
        <f t="shared" si="154"/>
        <v>0</v>
      </c>
      <c r="P168" s="284">
        <f t="shared" si="155"/>
        <v>0</v>
      </c>
      <c r="Q168" s="284">
        <f t="shared" si="156"/>
        <v>0</v>
      </c>
      <c r="R168" s="284">
        <f t="shared" si="157"/>
        <v>0</v>
      </c>
      <c r="S168" s="284">
        <f t="shared" si="158"/>
        <v>0</v>
      </c>
      <c r="T168" s="284">
        <f t="shared" si="159"/>
        <v>0</v>
      </c>
      <c r="U168" s="285">
        <f t="shared" si="160"/>
        <v>0</v>
      </c>
      <c r="V168" s="286">
        <f>[1]BDD!A158</f>
        <v>3190</v>
      </c>
      <c r="W168" s="287" t="str">
        <f>[1]BDD!B158</f>
        <v>Mangue Osteen</v>
      </c>
      <c r="X168" s="288" t="str">
        <f>IF([1]BDD!F158=0, "", [1]BDD!F158)</f>
        <v>❤️</v>
      </c>
      <c r="Y168" s="214">
        <f>ROUND([1]BDD!G158+FDP_CMD_KG, 2)</f>
        <v>5.51</v>
      </c>
      <c r="Z168" s="214">
        <f>ROUND([1]BDD!G158+FDP_FACT_KG, 2)</f>
        <v>5.51</v>
      </c>
      <c r="AA168" s="215" t="str">
        <f>[1]BDD!H158</f>
        <v>kg</v>
      </c>
      <c r="AB168" s="225">
        <f>IF(NOT(ISBLANK([1]BDD!I158)), ROUND(SUM(([1]BDD!G158*reduc1),FDP_CMD_KG), 2), "")</f>
        <v>5.05</v>
      </c>
      <c r="AC168" s="225">
        <f>IF(NOT(ISBLANK([1]BDD!J158)), ROUND(SUM(([1]BDD!G158*reduc2),FDP_CMD_KG), 2), "")</f>
        <v>4.59</v>
      </c>
      <c r="AD168" s="225">
        <f>IF(NOT(ISBLANK([1]BDD!K158)), ROUND(SUM(([1]BDD!G158*reduc3),FDP_CMD_KG), 2), "")</f>
        <v>4.12</v>
      </c>
      <c r="AE168" s="225">
        <f>IF(NOT(ISBLANK([1]BDD!I158)), ROUND(SUM(([1]BDD!G158*reduc1),FDP_FACT_KG), 2), "")</f>
        <v>5.04</v>
      </c>
      <c r="AF168" s="225">
        <f>IF(NOT(ISBLANK([1]BDD!J158)), ROUND(SUM(([1]BDD!G158*reduc2),FDP_FACT_KG), 2), "")</f>
        <v>4.58</v>
      </c>
      <c r="AG168" s="225">
        <f>IF(NOT(ISBLANK([1]BDD!K158)), ROUND(SUM(([1]BDD!G158*reduc3),FDP_FACT_KG), 2), "")</f>
        <v>4.1100000000000003</v>
      </c>
      <c r="AH168" s="289" t="str">
        <f>[1]BDD!C158</f>
        <v>Grenade</v>
      </c>
      <c r="AI168" s="290">
        <f t="shared" si="161"/>
        <v>0</v>
      </c>
      <c r="AJ168" s="216">
        <f t="shared" si="162"/>
        <v>4.12</v>
      </c>
      <c r="AK168" s="291">
        <f t="shared" si="163"/>
        <v>0</v>
      </c>
      <c r="AL168" s="429"/>
      <c r="AM168" s="292"/>
      <c r="AN168" s="216">
        <f t="shared" si="164"/>
        <v>5.51</v>
      </c>
      <c r="AO168" s="293">
        <f t="shared" si="165"/>
        <v>0</v>
      </c>
      <c r="AP168" s="294"/>
      <c r="AQ168" s="294"/>
      <c r="AR168" s="429"/>
      <c r="AS168" s="295">
        <f t="shared" si="166"/>
        <v>0</v>
      </c>
      <c r="AT168" s="216">
        <f t="shared" si="167"/>
        <v>5.51</v>
      </c>
      <c r="AU168" s="291">
        <f t="shared" si="139"/>
        <v>0</v>
      </c>
      <c r="AV168" s="296">
        <f>[1]COMMANDE!O166</f>
        <v>0</v>
      </c>
      <c r="AW168" s="297" t="str">
        <f t="shared" si="168"/>
        <v>0</v>
      </c>
      <c r="AX168" s="298">
        <f t="shared" si="169"/>
        <v>0</v>
      </c>
      <c r="AY168" s="299">
        <f>[1]COMMANDE!Q166</f>
        <v>0</v>
      </c>
      <c r="AZ168" s="297" t="str">
        <f t="shared" si="170"/>
        <v>0</v>
      </c>
      <c r="BA168" s="300">
        <f t="shared" si="171"/>
        <v>0</v>
      </c>
      <c r="BB168" s="301">
        <f>[1]COMMANDE!S166</f>
        <v>0</v>
      </c>
      <c r="BC168" s="297" t="str">
        <f t="shared" si="172"/>
        <v>0</v>
      </c>
      <c r="BD168" s="298">
        <f t="shared" si="173"/>
        <v>0</v>
      </c>
      <c r="BE168" s="299">
        <f>[1]COMMANDE!U166</f>
        <v>0</v>
      </c>
      <c r="BF168" s="297" t="str">
        <f t="shared" si="174"/>
        <v>0</v>
      </c>
      <c r="BG168" s="300">
        <f t="shared" si="175"/>
        <v>0</v>
      </c>
      <c r="BH168" s="301">
        <f>[1]COMMANDE!W166</f>
        <v>0</v>
      </c>
      <c r="BI168" s="297" t="str">
        <f t="shared" si="176"/>
        <v>0</v>
      </c>
      <c r="BJ168" s="298">
        <f t="shared" si="177"/>
        <v>0</v>
      </c>
      <c r="BK168" s="299">
        <f>[1]COMMANDE!Y166</f>
        <v>0</v>
      </c>
      <c r="BL168" s="297" t="str">
        <f t="shared" si="178"/>
        <v>0</v>
      </c>
      <c r="BM168" s="300">
        <f t="shared" si="179"/>
        <v>0</v>
      </c>
      <c r="BN168" s="301">
        <f>[1]COMMANDE!AA166</f>
        <v>0</v>
      </c>
      <c r="BO168" s="297" t="str">
        <f t="shared" si="180"/>
        <v>0</v>
      </c>
      <c r="BP168" s="298">
        <f t="shared" si="181"/>
        <v>0</v>
      </c>
      <c r="BQ168" s="299">
        <f>[1]COMMANDE!AC166</f>
        <v>0</v>
      </c>
      <c r="BR168" s="297" t="str">
        <f t="shared" si="182"/>
        <v>0</v>
      </c>
      <c r="BS168" s="300">
        <f t="shared" si="183"/>
        <v>0</v>
      </c>
      <c r="BT168" s="301">
        <f>[1]COMMANDE!AE166</f>
        <v>0</v>
      </c>
      <c r="BU168" s="297" t="str">
        <f t="shared" si="184"/>
        <v>0</v>
      </c>
      <c r="BV168" s="298">
        <f t="shared" si="185"/>
        <v>0</v>
      </c>
      <c r="BW168" s="299">
        <f>[1]COMMANDE!AG166</f>
        <v>0</v>
      </c>
      <c r="BX168" s="297" t="str">
        <f t="shared" si="186"/>
        <v>0</v>
      </c>
      <c r="BY168" s="300">
        <f t="shared" si="187"/>
        <v>0</v>
      </c>
      <c r="BZ168" s="301">
        <f>[1]COMMANDE!AI166</f>
        <v>0</v>
      </c>
      <c r="CA168" s="297" t="str">
        <f t="shared" si="188"/>
        <v>0</v>
      </c>
      <c r="CB168" s="298">
        <f t="shared" si="189"/>
        <v>0</v>
      </c>
      <c r="CC168" s="299">
        <f>[1]COMMANDE!AK166</f>
        <v>0</v>
      </c>
      <c r="CD168" s="297" t="str">
        <f t="shared" si="190"/>
        <v>0</v>
      </c>
      <c r="CE168" s="300">
        <f t="shared" si="191"/>
        <v>0</v>
      </c>
      <c r="CF168" s="301">
        <f>[1]COMMANDE!AM166</f>
        <v>0</v>
      </c>
      <c r="CG168" s="297" t="str">
        <f t="shared" si="192"/>
        <v>0</v>
      </c>
      <c r="CH168" s="298">
        <f t="shared" si="193"/>
        <v>0</v>
      </c>
      <c r="CI168" s="299">
        <f>[1]COMMANDE!AO166</f>
        <v>0</v>
      </c>
      <c r="CJ168" s="297" t="str">
        <f t="shared" si="194"/>
        <v>0</v>
      </c>
      <c r="CK168" s="300">
        <f t="shared" si="195"/>
        <v>0</v>
      </c>
      <c r="CL168" s="301">
        <f>[1]COMMANDE!AQ166</f>
        <v>0</v>
      </c>
      <c r="CM168" s="297" t="str">
        <f t="shared" si="196"/>
        <v>0</v>
      </c>
      <c r="CN168" s="298">
        <f t="shared" si="197"/>
        <v>0</v>
      </c>
      <c r="CO168" s="299">
        <f>[1]COMMANDE!AS166</f>
        <v>0</v>
      </c>
      <c r="CP168" s="297" t="str">
        <f t="shared" si="198"/>
        <v>0</v>
      </c>
      <c r="CQ168" s="300">
        <f t="shared" si="199"/>
        <v>0</v>
      </c>
      <c r="CR168" s="301">
        <f>[1]COMMANDE!AU166</f>
        <v>0</v>
      </c>
      <c r="CS168" s="297" t="str">
        <f t="shared" si="200"/>
        <v>0</v>
      </c>
      <c r="CT168" s="298">
        <f t="shared" si="201"/>
        <v>0</v>
      </c>
      <c r="CU168" s="299">
        <f>[1]COMMANDE!AW166</f>
        <v>0</v>
      </c>
      <c r="CV168" s="297" t="str">
        <f t="shared" si="202"/>
        <v>0</v>
      </c>
      <c r="CW168" s="300">
        <f t="shared" si="203"/>
        <v>0</v>
      </c>
      <c r="CX168" s="301">
        <f>[1]COMMANDE!AY166</f>
        <v>0</v>
      </c>
      <c r="CY168" s="297" t="str">
        <f t="shared" si="204"/>
        <v>0</v>
      </c>
      <c r="CZ168" s="298">
        <f t="shared" si="205"/>
        <v>0</v>
      </c>
      <c r="DA168" s="299">
        <f>[1]COMMANDE!BA166</f>
        <v>0</v>
      </c>
      <c r="DB168" s="297" t="str">
        <f t="shared" si="206"/>
        <v>0</v>
      </c>
      <c r="DC168" s="302">
        <f t="shared" si="207"/>
        <v>0</v>
      </c>
      <c r="DD168" s="303"/>
      <c r="DE168" s="304"/>
    </row>
    <row r="169" spans="1:109" ht="39.950000000000003" customHeight="1" x14ac:dyDescent="0.25">
      <c r="A169" s="284">
        <f t="shared" si="140"/>
        <v>0</v>
      </c>
      <c r="B169" s="284">
        <f t="shared" si="141"/>
        <v>0</v>
      </c>
      <c r="C169" s="284">
        <f t="shared" si="142"/>
        <v>0</v>
      </c>
      <c r="D169" s="284">
        <f t="shared" si="143"/>
        <v>0</v>
      </c>
      <c r="E169" s="284">
        <f t="shared" si="144"/>
        <v>0</v>
      </c>
      <c r="F169" s="284">
        <f t="shared" si="145"/>
        <v>0</v>
      </c>
      <c r="G169" s="284">
        <f t="shared" si="146"/>
        <v>0</v>
      </c>
      <c r="H169" s="284">
        <f t="shared" si="147"/>
        <v>0</v>
      </c>
      <c r="I169" s="284">
        <f t="shared" si="148"/>
        <v>0</v>
      </c>
      <c r="J169" s="284">
        <f t="shared" si="149"/>
        <v>0</v>
      </c>
      <c r="K169" s="284">
        <f t="shared" si="150"/>
        <v>0</v>
      </c>
      <c r="L169" s="284">
        <f t="shared" si="151"/>
        <v>0</v>
      </c>
      <c r="M169" s="284">
        <f t="shared" si="152"/>
        <v>0</v>
      </c>
      <c r="N169" s="284">
        <f t="shared" si="153"/>
        <v>0</v>
      </c>
      <c r="O169" s="284">
        <f t="shared" si="154"/>
        <v>0</v>
      </c>
      <c r="P169" s="284">
        <f t="shared" si="155"/>
        <v>0</v>
      </c>
      <c r="Q169" s="284">
        <f t="shared" si="156"/>
        <v>0</v>
      </c>
      <c r="R169" s="284">
        <f t="shared" si="157"/>
        <v>0</v>
      </c>
      <c r="S169" s="284">
        <f t="shared" si="158"/>
        <v>0</v>
      </c>
      <c r="T169" s="284">
        <f t="shared" si="159"/>
        <v>0</v>
      </c>
      <c r="U169" s="285">
        <f t="shared" si="160"/>
        <v>0</v>
      </c>
      <c r="V169" s="286">
        <f>[1]BDD!A159</f>
        <v>1115</v>
      </c>
      <c r="W169" s="287" t="str">
        <f>[1]BDD!B159</f>
        <v>Mangue Osteen BIO (Qualité supérieure, mûrie sur plante)</v>
      </c>
      <c r="X169" s="288" t="str">
        <f>IF([1]BDD!F159=0, "", [1]BDD!F159)</f>
        <v>❤️</v>
      </c>
      <c r="Y169" s="214">
        <f>ROUND([1]BDD!G159+FDP_CMD_KG, 2)</f>
        <v>6.32</v>
      </c>
      <c r="Z169" s="214">
        <f>ROUND([1]BDD!G159+FDP_FACT_KG, 2)</f>
        <v>6.32</v>
      </c>
      <c r="AA169" s="215" t="str">
        <f>[1]BDD!H159</f>
        <v>kg</v>
      </c>
      <c r="AB169" s="225">
        <f>IF(NOT(ISBLANK([1]BDD!I159)), ROUND(SUM(([1]BDD!G159*reduc1),FDP_CMD_KG), 2), "")</f>
        <v>5.78</v>
      </c>
      <c r="AC169" s="225">
        <f>IF(NOT(ISBLANK([1]BDD!J159)), ROUND(SUM(([1]BDD!G159*reduc2),FDP_CMD_KG), 2), "")</f>
        <v>5.23</v>
      </c>
      <c r="AD169" s="225" t="str">
        <f>IF(NOT(ISBLANK([1]BDD!K159)), ROUND(SUM(([1]BDD!G159*reduc3),FDP_CMD_KG), 2), "")</f>
        <v/>
      </c>
      <c r="AE169" s="225">
        <f>IF(NOT(ISBLANK([1]BDD!I159)), ROUND(SUM(([1]BDD!G159*reduc1),FDP_FACT_KG), 2), "")</f>
        <v>5.77</v>
      </c>
      <c r="AF169" s="225">
        <f>IF(NOT(ISBLANK([1]BDD!J159)), ROUND(SUM(([1]BDD!G159*reduc2),FDP_FACT_KG), 2), "")</f>
        <v>5.23</v>
      </c>
      <c r="AG169" s="225" t="str">
        <f>IF(NOT(ISBLANK([1]BDD!K159)), ROUND(SUM(([1]BDD!G159*reduc3),FDP_FACT_KG), 2), "")</f>
        <v/>
      </c>
      <c r="AH169" s="289" t="str">
        <f>[1]BDD!C159</f>
        <v>Salobrena</v>
      </c>
      <c r="AI169" s="290">
        <f t="shared" si="161"/>
        <v>0</v>
      </c>
      <c r="AJ169" s="216">
        <f t="shared" si="162"/>
        <v>5.23</v>
      </c>
      <c r="AK169" s="291">
        <f t="shared" si="163"/>
        <v>0</v>
      </c>
      <c r="AL169" s="429"/>
      <c r="AM169" s="292"/>
      <c r="AN169" s="216">
        <f t="shared" si="164"/>
        <v>6.32</v>
      </c>
      <c r="AO169" s="293">
        <f t="shared" si="165"/>
        <v>0</v>
      </c>
      <c r="AP169" s="294"/>
      <c r="AQ169" s="294"/>
      <c r="AR169" s="429"/>
      <c r="AS169" s="295">
        <f t="shared" si="166"/>
        <v>0</v>
      </c>
      <c r="AT169" s="216">
        <f t="shared" si="167"/>
        <v>6.32</v>
      </c>
      <c r="AU169" s="291">
        <f t="shared" si="139"/>
        <v>0</v>
      </c>
      <c r="AV169" s="296">
        <f>[1]COMMANDE!O167</f>
        <v>0</v>
      </c>
      <c r="AW169" s="297" t="str">
        <f t="shared" si="168"/>
        <v>0</v>
      </c>
      <c r="AX169" s="298">
        <f t="shared" si="169"/>
        <v>0</v>
      </c>
      <c r="AY169" s="299">
        <f>[1]COMMANDE!Q167</f>
        <v>0</v>
      </c>
      <c r="AZ169" s="297" t="str">
        <f t="shared" si="170"/>
        <v>0</v>
      </c>
      <c r="BA169" s="300">
        <f t="shared" si="171"/>
        <v>0</v>
      </c>
      <c r="BB169" s="301">
        <f>[1]COMMANDE!S167</f>
        <v>0</v>
      </c>
      <c r="BC169" s="297" t="str">
        <f t="shared" si="172"/>
        <v>0</v>
      </c>
      <c r="BD169" s="298">
        <f t="shared" si="173"/>
        <v>0</v>
      </c>
      <c r="BE169" s="299">
        <f>[1]COMMANDE!U167</f>
        <v>0</v>
      </c>
      <c r="BF169" s="297" t="str">
        <f t="shared" si="174"/>
        <v>0</v>
      </c>
      <c r="BG169" s="300">
        <f t="shared" si="175"/>
        <v>0</v>
      </c>
      <c r="BH169" s="301">
        <f>[1]COMMANDE!W167</f>
        <v>0</v>
      </c>
      <c r="BI169" s="297" t="str">
        <f t="shared" si="176"/>
        <v>0</v>
      </c>
      <c r="BJ169" s="298">
        <f t="shared" si="177"/>
        <v>0</v>
      </c>
      <c r="BK169" s="299">
        <f>[1]COMMANDE!Y167</f>
        <v>0</v>
      </c>
      <c r="BL169" s="297" t="str">
        <f t="shared" si="178"/>
        <v>0</v>
      </c>
      <c r="BM169" s="300">
        <f t="shared" si="179"/>
        <v>0</v>
      </c>
      <c r="BN169" s="301">
        <f>[1]COMMANDE!AA167</f>
        <v>0</v>
      </c>
      <c r="BO169" s="297" t="str">
        <f t="shared" si="180"/>
        <v>0</v>
      </c>
      <c r="BP169" s="298">
        <f t="shared" si="181"/>
        <v>0</v>
      </c>
      <c r="BQ169" s="299">
        <f>[1]COMMANDE!AC167</f>
        <v>0</v>
      </c>
      <c r="BR169" s="297" t="str">
        <f t="shared" si="182"/>
        <v>0</v>
      </c>
      <c r="BS169" s="300">
        <f t="shared" si="183"/>
        <v>0</v>
      </c>
      <c r="BT169" s="301">
        <f>[1]COMMANDE!AE167</f>
        <v>0</v>
      </c>
      <c r="BU169" s="297" t="str">
        <f t="shared" si="184"/>
        <v>0</v>
      </c>
      <c r="BV169" s="298">
        <f t="shared" si="185"/>
        <v>0</v>
      </c>
      <c r="BW169" s="299">
        <f>[1]COMMANDE!AG167</f>
        <v>0</v>
      </c>
      <c r="BX169" s="297" t="str">
        <f t="shared" si="186"/>
        <v>0</v>
      </c>
      <c r="BY169" s="300">
        <f t="shared" si="187"/>
        <v>0</v>
      </c>
      <c r="BZ169" s="301">
        <f>[1]COMMANDE!AI167</f>
        <v>0</v>
      </c>
      <c r="CA169" s="297" t="str">
        <f t="shared" si="188"/>
        <v>0</v>
      </c>
      <c r="CB169" s="298">
        <f t="shared" si="189"/>
        <v>0</v>
      </c>
      <c r="CC169" s="299">
        <f>[1]COMMANDE!AK167</f>
        <v>0</v>
      </c>
      <c r="CD169" s="297" t="str">
        <f t="shared" si="190"/>
        <v>0</v>
      </c>
      <c r="CE169" s="300">
        <f t="shared" si="191"/>
        <v>0</v>
      </c>
      <c r="CF169" s="301">
        <f>[1]COMMANDE!AM167</f>
        <v>0</v>
      </c>
      <c r="CG169" s="297" t="str">
        <f t="shared" si="192"/>
        <v>0</v>
      </c>
      <c r="CH169" s="298">
        <f t="shared" si="193"/>
        <v>0</v>
      </c>
      <c r="CI169" s="299">
        <f>[1]COMMANDE!AO167</f>
        <v>0</v>
      </c>
      <c r="CJ169" s="297" t="str">
        <f t="shared" si="194"/>
        <v>0</v>
      </c>
      <c r="CK169" s="300">
        <f t="shared" si="195"/>
        <v>0</v>
      </c>
      <c r="CL169" s="301">
        <f>[1]COMMANDE!AQ167</f>
        <v>0</v>
      </c>
      <c r="CM169" s="297" t="str">
        <f t="shared" si="196"/>
        <v>0</v>
      </c>
      <c r="CN169" s="298">
        <f t="shared" si="197"/>
        <v>0</v>
      </c>
      <c r="CO169" s="299">
        <f>[1]COMMANDE!AS167</f>
        <v>0</v>
      </c>
      <c r="CP169" s="297" t="str">
        <f t="shared" si="198"/>
        <v>0</v>
      </c>
      <c r="CQ169" s="300">
        <f t="shared" si="199"/>
        <v>0</v>
      </c>
      <c r="CR169" s="301">
        <f>[1]COMMANDE!AU167</f>
        <v>0</v>
      </c>
      <c r="CS169" s="297" t="str">
        <f t="shared" si="200"/>
        <v>0</v>
      </c>
      <c r="CT169" s="298">
        <f t="shared" si="201"/>
        <v>0</v>
      </c>
      <c r="CU169" s="299">
        <f>[1]COMMANDE!AW167</f>
        <v>0</v>
      </c>
      <c r="CV169" s="297" t="str">
        <f t="shared" si="202"/>
        <v>0</v>
      </c>
      <c r="CW169" s="300">
        <f t="shared" si="203"/>
        <v>0</v>
      </c>
      <c r="CX169" s="301">
        <f>[1]COMMANDE!AY167</f>
        <v>0</v>
      </c>
      <c r="CY169" s="297" t="str">
        <f t="shared" si="204"/>
        <v>0</v>
      </c>
      <c r="CZ169" s="298">
        <f t="shared" si="205"/>
        <v>0</v>
      </c>
      <c r="DA169" s="299">
        <f>[1]COMMANDE!BA167</f>
        <v>0</v>
      </c>
      <c r="DB169" s="297" t="str">
        <f t="shared" si="206"/>
        <v>0</v>
      </c>
      <c r="DC169" s="302">
        <f t="shared" si="207"/>
        <v>0</v>
      </c>
      <c r="DD169" s="303"/>
      <c r="DE169" s="304"/>
    </row>
    <row r="170" spans="1:109" ht="39.950000000000003" customHeight="1" x14ac:dyDescent="0.25">
      <c r="A170" s="284">
        <f t="shared" si="140"/>
        <v>0</v>
      </c>
      <c r="B170" s="284">
        <f t="shared" si="141"/>
        <v>0</v>
      </c>
      <c r="C170" s="284">
        <f t="shared" si="142"/>
        <v>0</v>
      </c>
      <c r="D170" s="284">
        <f t="shared" si="143"/>
        <v>0</v>
      </c>
      <c r="E170" s="284">
        <f t="shared" si="144"/>
        <v>0</v>
      </c>
      <c r="F170" s="284">
        <f t="shared" si="145"/>
        <v>0</v>
      </c>
      <c r="G170" s="284">
        <f t="shared" si="146"/>
        <v>0</v>
      </c>
      <c r="H170" s="284">
        <f t="shared" si="147"/>
        <v>0</v>
      </c>
      <c r="I170" s="284">
        <f t="shared" si="148"/>
        <v>0</v>
      </c>
      <c r="J170" s="284">
        <f t="shared" si="149"/>
        <v>0</v>
      </c>
      <c r="K170" s="284">
        <f t="shared" si="150"/>
        <v>0</v>
      </c>
      <c r="L170" s="284">
        <f t="shared" si="151"/>
        <v>0</v>
      </c>
      <c r="M170" s="284">
        <f t="shared" si="152"/>
        <v>0</v>
      </c>
      <c r="N170" s="284">
        <f t="shared" si="153"/>
        <v>0</v>
      </c>
      <c r="O170" s="284">
        <f t="shared" si="154"/>
        <v>0</v>
      </c>
      <c r="P170" s="284">
        <f t="shared" si="155"/>
        <v>0</v>
      </c>
      <c r="Q170" s="284">
        <f t="shared" si="156"/>
        <v>0</v>
      </c>
      <c r="R170" s="284">
        <f t="shared" si="157"/>
        <v>0</v>
      </c>
      <c r="S170" s="284">
        <f t="shared" si="158"/>
        <v>0</v>
      </c>
      <c r="T170" s="284">
        <f t="shared" si="159"/>
        <v>0</v>
      </c>
      <c r="U170" s="285">
        <f t="shared" si="160"/>
        <v>0</v>
      </c>
      <c r="V170" s="286" t="str">
        <f>[1]BDD!A160</f>
        <v>3190. 658</v>
      </c>
      <c r="W170" s="287" t="str">
        <f>[1]BDD!B160</f>
        <v>Mangue Osteen sélectionnée (Ferme Eparadise, mûrie sur plante, récoltée quotidiennement)</v>
      </c>
      <c r="X170" s="288" t="str">
        <f>IF([1]BDD!F160=0, "", [1]BDD!F160)</f>
        <v>❤️</v>
      </c>
      <c r="Y170" s="214">
        <f>ROUND([1]BDD!G160+FDP_CMD_KG, 2)</f>
        <v>6.32</v>
      </c>
      <c r="Z170" s="214">
        <f>ROUND([1]BDD!G160+FDP_FACT_KG, 2)</f>
        <v>6.32</v>
      </c>
      <c r="AA170" s="215" t="str">
        <f>[1]BDD!H160</f>
        <v>kg</v>
      </c>
      <c r="AB170" s="225">
        <f>IF(NOT(ISBLANK([1]BDD!I160)), ROUND(SUM(([1]BDD!G160*reduc1),FDP_CMD_KG), 2), "")</f>
        <v>5.78</v>
      </c>
      <c r="AC170" s="225">
        <f>IF(NOT(ISBLANK([1]BDD!J160)), ROUND(SUM(([1]BDD!G160*reduc2),FDP_CMD_KG), 2), "")</f>
        <v>5.23</v>
      </c>
      <c r="AD170" s="225" t="str">
        <f>IF(NOT(ISBLANK([1]BDD!K160)), ROUND(SUM(([1]BDD!G160*reduc3),FDP_CMD_KG), 2), "")</f>
        <v/>
      </c>
      <c r="AE170" s="225">
        <f>IF(NOT(ISBLANK([1]BDD!I160)), ROUND(SUM(([1]BDD!G160*reduc1),FDP_FACT_KG), 2), "")</f>
        <v>5.77</v>
      </c>
      <c r="AF170" s="225">
        <f>IF(NOT(ISBLANK([1]BDD!J160)), ROUND(SUM(([1]BDD!G160*reduc2),FDP_FACT_KG), 2), "")</f>
        <v>5.23</v>
      </c>
      <c r="AG170" s="225" t="str">
        <f>IF(NOT(ISBLANK([1]BDD!K160)), ROUND(SUM(([1]BDD!G160*reduc3),FDP_FACT_KG), 2), "")</f>
        <v/>
      </c>
      <c r="AH170" s="289" t="str">
        <f>[1]BDD!C160</f>
        <v>Grenade</v>
      </c>
      <c r="AI170" s="290">
        <f t="shared" si="161"/>
        <v>0</v>
      </c>
      <c r="AJ170" s="216">
        <f t="shared" si="162"/>
        <v>5.23</v>
      </c>
      <c r="AK170" s="291">
        <f t="shared" si="163"/>
        <v>0</v>
      </c>
      <c r="AL170" s="429"/>
      <c r="AM170" s="292"/>
      <c r="AN170" s="216">
        <f t="shared" si="164"/>
        <v>6.32</v>
      </c>
      <c r="AO170" s="293">
        <f t="shared" si="165"/>
        <v>0</v>
      </c>
      <c r="AP170" s="294"/>
      <c r="AQ170" s="294"/>
      <c r="AR170" s="429"/>
      <c r="AS170" s="295">
        <f t="shared" si="166"/>
        <v>0</v>
      </c>
      <c r="AT170" s="216">
        <f t="shared" si="167"/>
        <v>6.32</v>
      </c>
      <c r="AU170" s="291">
        <f t="shared" si="139"/>
        <v>0</v>
      </c>
      <c r="AV170" s="296">
        <f>[1]COMMANDE!O168</f>
        <v>0</v>
      </c>
      <c r="AW170" s="297" t="str">
        <f t="shared" si="168"/>
        <v>0</v>
      </c>
      <c r="AX170" s="298">
        <f t="shared" si="169"/>
        <v>0</v>
      </c>
      <c r="AY170" s="299">
        <f>[1]COMMANDE!Q168</f>
        <v>0</v>
      </c>
      <c r="AZ170" s="297" t="str">
        <f t="shared" si="170"/>
        <v>0</v>
      </c>
      <c r="BA170" s="300">
        <f t="shared" si="171"/>
        <v>0</v>
      </c>
      <c r="BB170" s="301">
        <f>[1]COMMANDE!S168</f>
        <v>0</v>
      </c>
      <c r="BC170" s="297" t="str">
        <f t="shared" si="172"/>
        <v>0</v>
      </c>
      <c r="BD170" s="298">
        <f t="shared" si="173"/>
        <v>0</v>
      </c>
      <c r="BE170" s="299">
        <f>[1]COMMANDE!U168</f>
        <v>0</v>
      </c>
      <c r="BF170" s="297" t="str">
        <f t="shared" si="174"/>
        <v>0</v>
      </c>
      <c r="BG170" s="300">
        <f t="shared" si="175"/>
        <v>0</v>
      </c>
      <c r="BH170" s="301">
        <f>[1]COMMANDE!W168</f>
        <v>0</v>
      </c>
      <c r="BI170" s="297" t="str">
        <f t="shared" si="176"/>
        <v>0</v>
      </c>
      <c r="BJ170" s="298">
        <f t="shared" si="177"/>
        <v>0</v>
      </c>
      <c r="BK170" s="299">
        <f>[1]COMMANDE!Y168</f>
        <v>0</v>
      </c>
      <c r="BL170" s="297" t="str">
        <f t="shared" si="178"/>
        <v>0</v>
      </c>
      <c r="BM170" s="300">
        <f t="shared" si="179"/>
        <v>0</v>
      </c>
      <c r="BN170" s="301">
        <f>[1]COMMANDE!AA168</f>
        <v>0</v>
      </c>
      <c r="BO170" s="297" t="str">
        <f t="shared" si="180"/>
        <v>0</v>
      </c>
      <c r="BP170" s="298">
        <f t="shared" si="181"/>
        <v>0</v>
      </c>
      <c r="BQ170" s="299">
        <f>[1]COMMANDE!AC168</f>
        <v>0</v>
      </c>
      <c r="BR170" s="297" t="str">
        <f t="shared" si="182"/>
        <v>0</v>
      </c>
      <c r="BS170" s="300">
        <f t="shared" si="183"/>
        <v>0</v>
      </c>
      <c r="BT170" s="301">
        <f>[1]COMMANDE!AE168</f>
        <v>0</v>
      </c>
      <c r="BU170" s="297" t="str">
        <f t="shared" si="184"/>
        <v>0</v>
      </c>
      <c r="BV170" s="298">
        <f t="shared" si="185"/>
        <v>0</v>
      </c>
      <c r="BW170" s="299">
        <f>[1]COMMANDE!AG168</f>
        <v>0</v>
      </c>
      <c r="BX170" s="297" t="str">
        <f t="shared" si="186"/>
        <v>0</v>
      </c>
      <c r="BY170" s="300">
        <f t="shared" si="187"/>
        <v>0</v>
      </c>
      <c r="BZ170" s="301">
        <f>[1]COMMANDE!AI168</f>
        <v>0</v>
      </c>
      <c r="CA170" s="297" t="str">
        <f t="shared" si="188"/>
        <v>0</v>
      </c>
      <c r="CB170" s="298">
        <f t="shared" si="189"/>
        <v>0</v>
      </c>
      <c r="CC170" s="299">
        <f>[1]COMMANDE!AK168</f>
        <v>0</v>
      </c>
      <c r="CD170" s="297" t="str">
        <f t="shared" si="190"/>
        <v>0</v>
      </c>
      <c r="CE170" s="300">
        <f t="shared" si="191"/>
        <v>0</v>
      </c>
      <c r="CF170" s="301">
        <f>[1]COMMANDE!AM168</f>
        <v>0</v>
      </c>
      <c r="CG170" s="297" t="str">
        <f t="shared" si="192"/>
        <v>0</v>
      </c>
      <c r="CH170" s="298">
        <f t="shared" si="193"/>
        <v>0</v>
      </c>
      <c r="CI170" s="299">
        <f>[1]COMMANDE!AO168</f>
        <v>0</v>
      </c>
      <c r="CJ170" s="297" t="str">
        <f t="shared" si="194"/>
        <v>0</v>
      </c>
      <c r="CK170" s="300">
        <f t="shared" si="195"/>
        <v>0</v>
      </c>
      <c r="CL170" s="301">
        <f>[1]COMMANDE!AQ168</f>
        <v>0</v>
      </c>
      <c r="CM170" s="297" t="str">
        <f t="shared" si="196"/>
        <v>0</v>
      </c>
      <c r="CN170" s="298">
        <f t="shared" si="197"/>
        <v>0</v>
      </c>
      <c r="CO170" s="299">
        <f>[1]COMMANDE!AS168</f>
        <v>0</v>
      </c>
      <c r="CP170" s="297" t="str">
        <f t="shared" si="198"/>
        <v>0</v>
      </c>
      <c r="CQ170" s="300">
        <f t="shared" si="199"/>
        <v>0</v>
      </c>
      <c r="CR170" s="301">
        <f>[1]COMMANDE!AU168</f>
        <v>0</v>
      </c>
      <c r="CS170" s="297" t="str">
        <f t="shared" si="200"/>
        <v>0</v>
      </c>
      <c r="CT170" s="298">
        <f t="shared" si="201"/>
        <v>0</v>
      </c>
      <c r="CU170" s="299">
        <f>[1]COMMANDE!AW168</f>
        <v>0</v>
      </c>
      <c r="CV170" s="297" t="str">
        <f t="shared" si="202"/>
        <v>0</v>
      </c>
      <c r="CW170" s="300">
        <f t="shared" si="203"/>
        <v>0</v>
      </c>
      <c r="CX170" s="301">
        <f>[1]COMMANDE!AY168</f>
        <v>0</v>
      </c>
      <c r="CY170" s="297" t="str">
        <f t="shared" si="204"/>
        <v>0</v>
      </c>
      <c r="CZ170" s="298">
        <f t="shared" si="205"/>
        <v>0</v>
      </c>
      <c r="DA170" s="299">
        <f>[1]COMMANDE!BA168</f>
        <v>0</v>
      </c>
      <c r="DB170" s="297" t="str">
        <f t="shared" si="206"/>
        <v>0</v>
      </c>
      <c r="DC170" s="302">
        <f t="shared" si="207"/>
        <v>0</v>
      </c>
      <c r="DD170" s="303"/>
      <c r="DE170" s="304"/>
    </row>
    <row r="171" spans="1:109" ht="39.950000000000003" customHeight="1" x14ac:dyDescent="0.25">
      <c r="A171" s="284">
        <f t="shared" si="140"/>
        <v>0</v>
      </c>
      <c r="B171" s="284">
        <f t="shared" si="141"/>
        <v>0</v>
      </c>
      <c r="C171" s="284">
        <f t="shared" si="142"/>
        <v>0</v>
      </c>
      <c r="D171" s="284">
        <f t="shared" si="143"/>
        <v>0</v>
      </c>
      <c r="E171" s="284">
        <f t="shared" si="144"/>
        <v>0</v>
      </c>
      <c r="F171" s="284">
        <f t="shared" si="145"/>
        <v>0</v>
      </c>
      <c r="G171" s="284">
        <f t="shared" si="146"/>
        <v>0</v>
      </c>
      <c r="H171" s="284">
        <f t="shared" si="147"/>
        <v>0</v>
      </c>
      <c r="I171" s="284">
        <f t="shared" si="148"/>
        <v>0</v>
      </c>
      <c r="J171" s="284">
        <f t="shared" si="149"/>
        <v>0</v>
      </c>
      <c r="K171" s="284">
        <f t="shared" si="150"/>
        <v>0</v>
      </c>
      <c r="L171" s="284">
        <f t="shared" si="151"/>
        <v>0</v>
      </c>
      <c r="M171" s="284">
        <f t="shared" si="152"/>
        <v>0</v>
      </c>
      <c r="N171" s="284">
        <f t="shared" si="153"/>
        <v>0</v>
      </c>
      <c r="O171" s="284">
        <f t="shared" si="154"/>
        <v>0</v>
      </c>
      <c r="P171" s="284">
        <f t="shared" si="155"/>
        <v>0</v>
      </c>
      <c r="Q171" s="284">
        <f t="shared" si="156"/>
        <v>0</v>
      </c>
      <c r="R171" s="284">
        <f t="shared" si="157"/>
        <v>0</v>
      </c>
      <c r="S171" s="284">
        <f t="shared" si="158"/>
        <v>0</v>
      </c>
      <c r="T171" s="284">
        <f t="shared" si="159"/>
        <v>0</v>
      </c>
      <c r="U171" s="285">
        <f t="shared" si="160"/>
        <v>0</v>
      </c>
      <c r="V171" s="286">
        <f>[1]BDD!A161</f>
        <v>3868</v>
      </c>
      <c r="W171" s="287" t="str">
        <f>[1]BDD!B161</f>
        <v>Mangue Palmer Rojo déshydratée à basse température (40-45°) CRU (env. 500g)</v>
      </c>
      <c r="X171" s="288" t="str">
        <f>IF([1]BDD!F161=0, "", [1]BDD!F161)</f>
        <v/>
      </c>
      <c r="Y171" s="214">
        <f>ROUND([1]BDD!G161+FDP_CMD_KG, 2)</f>
        <v>12.5</v>
      </c>
      <c r="Z171" s="214">
        <f>ROUND([1]BDD!G161+FDP_FACT_KG, 2)</f>
        <v>12.5</v>
      </c>
      <c r="AA171" s="215" t="str">
        <f>[1]BDD!H161</f>
        <v>Pièce</v>
      </c>
      <c r="AB171" s="225" t="str">
        <f>IF(NOT(ISBLANK([1]BDD!I161)), ROUND(SUM(([1]BDD!G161*reduc1),FDP_CMD_KG), 2), "")</f>
        <v/>
      </c>
      <c r="AC171" s="225" t="str">
        <f>IF(NOT(ISBLANK([1]BDD!J161)), ROUND(SUM(([1]BDD!G161*reduc2),FDP_CMD_KG), 2), "")</f>
        <v/>
      </c>
      <c r="AD171" s="225" t="str">
        <f>IF(NOT(ISBLANK([1]BDD!K161)), ROUND(SUM(([1]BDD!G161*reduc3),FDP_CMD_KG), 2), "")</f>
        <v/>
      </c>
      <c r="AE171" s="225" t="str">
        <f>IF(NOT(ISBLANK([1]BDD!I161)), ROUND(SUM(([1]BDD!G161*reduc1),FDP_FACT_KG), 2), "")</f>
        <v/>
      </c>
      <c r="AF171" s="225" t="str">
        <f>IF(NOT(ISBLANK([1]BDD!J161)), ROUND(SUM(([1]BDD!G161*reduc2),FDP_FACT_KG), 2), "")</f>
        <v/>
      </c>
      <c r="AG171" s="225" t="str">
        <f>IF(NOT(ISBLANK([1]BDD!K161)), ROUND(SUM(([1]BDD!G161*reduc3),FDP_FACT_KG), 2), "")</f>
        <v/>
      </c>
      <c r="AH171" s="289" t="str">
        <f>[1]BDD!C161</f>
        <v>Grenade</v>
      </c>
      <c r="AI171" s="290">
        <f t="shared" si="161"/>
        <v>0</v>
      </c>
      <c r="AJ171" s="216">
        <f t="shared" si="162"/>
        <v>12.5</v>
      </c>
      <c r="AK171" s="291">
        <f t="shared" si="163"/>
        <v>0</v>
      </c>
      <c r="AL171" s="429"/>
      <c r="AM171" s="292"/>
      <c r="AN171" s="216">
        <f t="shared" si="164"/>
        <v>12.5</v>
      </c>
      <c r="AO171" s="293">
        <f t="shared" si="165"/>
        <v>0</v>
      </c>
      <c r="AP171" s="294"/>
      <c r="AQ171" s="294"/>
      <c r="AR171" s="429"/>
      <c r="AS171" s="295">
        <f t="shared" si="166"/>
        <v>0</v>
      </c>
      <c r="AT171" s="216">
        <f t="shared" si="167"/>
        <v>12.5</v>
      </c>
      <c r="AU171" s="291">
        <f t="shared" si="139"/>
        <v>0</v>
      </c>
      <c r="AV171" s="296">
        <f>[1]COMMANDE!O169</f>
        <v>0</v>
      </c>
      <c r="AW171" s="297" t="str">
        <f t="shared" si="168"/>
        <v>0</v>
      </c>
      <c r="AX171" s="298">
        <f t="shared" si="169"/>
        <v>0</v>
      </c>
      <c r="AY171" s="299">
        <f>[1]COMMANDE!Q169</f>
        <v>0</v>
      </c>
      <c r="AZ171" s="297" t="str">
        <f t="shared" si="170"/>
        <v>0</v>
      </c>
      <c r="BA171" s="300">
        <f t="shared" si="171"/>
        <v>0</v>
      </c>
      <c r="BB171" s="301">
        <f>[1]COMMANDE!S169</f>
        <v>0</v>
      </c>
      <c r="BC171" s="297" t="str">
        <f t="shared" si="172"/>
        <v>0</v>
      </c>
      <c r="BD171" s="298">
        <f t="shared" si="173"/>
        <v>0</v>
      </c>
      <c r="BE171" s="299">
        <f>[1]COMMANDE!U169</f>
        <v>0</v>
      </c>
      <c r="BF171" s="297" t="str">
        <f t="shared" si="174"/>
        <v>0</v>
      </c>
      <c r="BG171" s="300">
        <f t="shared" si="175"/>
        <v>0</v>
      </c>
      <c r="BH171" s="301">
        <f>[1]COMMANDE!W169</f>
        <v>0</v>
      </c>
      <c r="BI171" s="297" t="str">
        <f t="shared" si="176"/>
        <v>0</v>
      </c>
      <c r="BJ171" s="298">
        <f t="shared" si="177"/>
        <v>0</v>
      </c>
      <c r="BK171" s="299">
        <f>[1]COMMANDE!Y169</f>
        <v>0</v>
      </c>
      <c r="BL171" s="297" t="str">
        <f t="shared" si="178"/>
        <v>0</v>
      </c>
      <c r="BM171" s="300">
        <f t="shared" si="179"/>
        <v>0</v>
      </c>
      <c r="BN171" s="301">
        <f>[1]COMMANDE!AA169</f>
        <v>0</v>
      </c>
      <c r="BO171" s="297" t="str">
        <f t="shared" si="180"/>
        <v>0</v>
      </c>
      <c r="BP171" s="298">
        <f t="shared" si="181"/>
        <v>0</v>
      </c>
      <c r="BQ171" s="299">
        <f>[1]COMMANDE!AC169</f>
        <v>0</v>
      </c>
      <c r="BR171" s="297" t="str">
        <f t="shared" si="182"/>
        <v>0</v>
      </c>
      <c r="BS171" s="300">
        <f t="shared" si="183"/>
        <v>0</v>
      </c>
      <c r="BT171" s="301">
        <f>[1]COMMANDE!AE169</f>
        <v>0</v>
      </c>
      <c r="BU171" s="297" t="str">
        <f t="shared" si="184"/>
        <v>0</v>
      </c>
      <c r="BV171" s="298">
        <f t="shared" si="185"/>
        <v>0</v>
      </c>
      <c r="BW171" s="299">
        <f>[1]COMMANDE!AG169</f>
        <v>0</v>
      </c>
      <c r="BX171" s="297" t="str">
        <f t="shared" si="186"/>
        <v>0</v>
      </c>
      <c r="BY171" s="300">
        <f t="shared" si="187"/>
        <v>0</v>
      </c>
      <c r="BZ171" s="301">
        <f>[1]COMMANDE!AI169</f>
        <v>0</v>
      </c>
      <c r="CA171" s="297" t="str">
        <f t="shared" si="188"/>
        <v>0</v>
      </c>
      <c r="CB171" s="298">
        <f t="shared" si="189"/>
        <v>0</v>
      </c>
      <c r="CC171" s="299">
        <f>[1]COMMANDE!AK169</f>
        <v>0</v>
      </c>
      <c r="CD171" s="297" t="str">
        <f t="shared" si="190"/>
        <v>0</v>
      </c>
      <c r="CE171" s="300">
        <f t="shared" si="191"/>
        <v>0</v>
      </c>
      <c r="CF171" s="301">
        <f>[1]COMMANDE!AM169</f>
        <v>0</v>
      </c>
      <c r="CG171" s="297" t="str">
        <f t="shared" si="192"/>
        <v>0</v>
      </c>
      <c r="CH171" s="298">
        <f t="shared" si="193"/>
        <v>0</v>
      </c>
      <c r="CI171" s="299">
        <f>[1]COMMANDE!AO169</f>
        <v>0</v>
      </c>
      <c r="CJ171" s="297" t="str">
        <f t="shared" si="194"/>
        <v>0</v>
      </c>
      <c r="CK171" s="300">
        <f t="shared" si="195"/>
        <v>0</v>
      </c>
      <c r="CL171" s="301">
        <f>[1]COMMANDE!AQ169</f>
        <v>0</v>
      </c>
      <c r="CM171" s="297" t="str">
        <f t="shared" si="196"/>
        <v>0</v>
      </c>
      <c r="CN171" s="298">
        <f t="shared" si="197"/>
        <v>0</v>
      </c>
      <c r="CO171" s="299">
        <f>[1]COMMANDE!AS169</f>
        <v>0</v>
      </c>
      <c r="CP171" s="297" t="str">
        <f t="shared" si="198"/>
        <v>0</v>
      </c>
      <c r="CQ171" s="300">
        <f t="shared" si="199"/>
        <v>0</v>
      </c>
      <c r="CR171" s="301">
        <f>[1]COMMANDE!AU169</f>
        <v>0</v>
      </c>
      <c r="CS171" s="297" t="str">
        <f t="shared" si="200"/>
        <v>0</v>
      </c>
      <c r="CT171" s="298">
        <f t="shared" si="201"/>
        <v>0</v>
      </c>
      <c r="CU171" s="299">
        <f>[1]COMMANDE!AW169</f>
        <v>0</v>
      </c>
      <c r="CV171" s="297" t="str">
        <f t="shared" si="202"/>
        <v>0</v>
      </c>
      <c r="CW171" s="300">
        <f t="shared" si="203"/>
        <v>0</v>
      </c>
      <c r="CX171" s="301">
        <f>[1]COMMANDE!AY169</f>
        <v>0</v>
      </c>
      <c r="CY171" s="297" t="str">
        <f t="shared" si="204"/>
        <v>0</v>
      </c>
      <c r="CZ171" s="298">
        <f t="shared" si="205"/>
        <v>0</v>
      </c>
      <c r="DA171" s="299">
        <f>[1]COMMANDE!BA169</f>
        <v>0</v>
      </c>
      <c r="DB171" s="297" t="str">
        <f t="shared" si="206"/>
        <v>0</v>
      </c>
      <c r="DC171" s="302">
        <f t="shared" si="207"/>
        <v>0</v>
      </c>
      <c r="DD171" s="303"/>
      <c r="DE171" s="304"/>
    </row>
    <row r="172" spans="1:109" ht="39.950000000000003" customHeight="1" x14ac:dyDescent="0.25">
      <c r="A172" s="284">
        <f t="shared" si="140"/>
        <v>0</v>
      </c>
      <c r="B172" s="284">
        <f t="shared" si="141"/>
        <v>0</v>
      </c>
      <c r="C172" s="284">
        <f t="shared" si="142"/>
        <v>0</v>
      </c>
      <c r="D172" s="284">
        <f t="shared" si="143"/>
        <v>0</v>
      </c>
      <c r="E172" s="284">
        <f t="shared" si="144"/>
        <v>0</v>
      </c>
      <c r="F172" s="284">
        <f t="shared" si="145"/>
        <v>0</v>
      </c>
      <c r="G172" s="284">
        <f t="shared" si="146"/>
        <v>0</v>
      </c>
      <c r="H172" s="284">
        <f t="shared" si="147"/>
        <v>0</v>
      </c>
      <c r="I172" s="284">
        <f t="shared" si="148"/>
        <v>0</v>
      </c>
      <c r="J172" s="284">
        <f t="shared" si="149"/>
        <v>0</v>
      </c>
      <c r="K172" s="284">
        <f t="shared" si="150"/>
        <v>0</v>
      </c>
      <c r="L172" s="284">
        <f t="shared" si="151"/>
        <v>0</v>
      </c>
      <c r="M172" s="284">
        <f t="shared" si="152"/>
        <v>0</v>
      </c>
      <c r="N172" s="284">
        <f t="shared" si="153"/>
        <v>0</v>
      </c>
      <c r="O172" s="284">
        <f t="shared" si="154"/>
        <v>0</v>
      </c>
      <c r="P172" s="284">
        <f t="shared" si="155"/>
        <v>0</v>
      </c>
      <c r="Q172" s="284">
        <f t="shared" si="156"/>
        <v>0</v>
      </c>
      <c r="R172" s="284">
        <f t="shared" si="157"/>
        <v>0</v>
      </c>
      <c r="S172" s="284">
        <f t="shared" si="158"/>
        <v>0</v>
      </c>
      <c r="T172" s="284">
        <f t="shared" si="159"/>
        <v>0</v>
      </c>
      <c r="U172" s="285">
        <f t="shared" si="160"/>
        <v>0</v>
      </c>
      <c r="V172" s="286">
        <f>[1]BDD!A162</f>
        <v>1843</v>
      </c>
      <c r="W172" s="287" t="str">
        <f>[1]BDD!B162</f>
        <v>Mangue Palmer Rouge BIO (Grand)</v>
      </c>
      <c r="X172" s="288" t="str">
        <f>IF([1]BDD!F162=0, "", [1]BDD!F162)</f>
        <v/>
      </c>
      <c r="Y172" s="214">
        <f>ROUND([1]BDD!G162+FDP_CMD_KG, 2)</f>
        <v>6.06</v>
      </c>
      <c r="Z172" s="214">
        <f>ROUND([1]BDD!G162+FDP_FACT_KG, 2)</f>
        <v>6.06</v>
      </c>
      <c r="AA172" s="215" t="str">
        <f>[1]BDD!H162</f>
        <v>kg</v>
      </c>
      <c r="AB172" s="225">
        <f>IF(NOT(ISBLANK([1]BDD!I162)), ROUND(SUM(([1]BDD!G162*reduc1),FDP_CMD_KG), 2), "")</f>
        <v>5.54</v>
      </c>
      <c r="AC172" s="225">
        <f>IF(NOT(ISBLANK([1]BDD!J162)), ROUND(SUM(([1]BDD!G162*reduc2),FDP_CMD_KG), 2), "")</f>
        <v>5.03</v>
      </c>
      <c r="AD172" s="225" t="str">
        <f>IF(NOT(ISBLANK([1]BDD!K162)), ROUND(SUM(([1]BDD!G162*reduc3),FDP_CMD_KG), 2), "")</f>
        <v/>
      </c>
      <c r="AE172" s="225">
        <f>IF(NOT(ISBLANK([1]BDD!I162)), ROUND(SUM(([1]BDD!G162*reduc1),FDP_FACT_KG), 2), "")</f>
        <v>5.54</v>
      </c>
      <c r="AF172" s="225">
        <f>IF(NOT(ISBLANK([1]BDD!J162)), ROUND(SUM(([1]BDD!G162*reduc2),FDP_FACT_KG), 2), "")</f>
        <v>5.0199999999999996</v>
      </c>
      <c r="AG172" s="225" t="str">
        <f>IF(NOT(ISBLANK([1]BDD!K162)), ROUND(SUM(([1]BDD!G162*reduc3),FDP_FACT_KG), 2), "")</f>
        <v/>
      </c>
      <c r="AH172" s="289" t="str">
        <f>[1]BDD!C162</f>
        <v>Grenade</v>
      </c>
      <c r="AI172" s="290">
        <f t="shared" si="161"/>
        <v>0</v>
      </c>
      <c r="AJ172" s="216">
        <f t="shared" si="162"/>
        <v>5.03</v>
      </c>
      <c r="AK172" s="291">
        <f t="shared" si="163"/>
        <v>0</v>
      </c>
      <c r="AL172" s="429"/>
      <c r="AM172" s="292"/>
      <c r="AN172" s="216">
        <f t="shared" si="164"/>
        <v>6.06</v>
      </c>
      <c r="AO172" s="293">
        <f t="shared" si="165"/>
        <v>0</v>
      </c>
      <c r="AP172" s="294"/>
      <c r="AQ172" s="294"/>
      <c r="AR172" s="429"/>
      <c r="AS172" s="295">
        <f t="shared" si="166"/>
        <v>0</v>
      </c>
      <c r="AT172" s="216">
        <f t="shared" si="167"/>
        <v>6.06</v>
      </c>
      <c r="AU172" s="291">
        <f t="shared" si="139"/>
        <v>0</v>
      </c>
      <c r="AV172" s="296">
        <f>[1]COMMANDE!O170</f>
        <v>0</v>
      </c>
      <c r="AW172" s="297" t="str">
        <f t="shared" si="168"/>
        <v>0</v>
      </c>
      <c r="AX172" s="298">
        <f t="shared" si="169"/>
        <v>0</v>
      </c>
      <c r="AY172" s="299">
        <f>[1]COMMANDE!Q170</f>
        <v>0</v>
      </c>
      <c r="AZ172" s="297" t="str">
        <f t="shared" si="170"/>
        <v>0</v>
      </c>
      <c r="BA172" s="300">
        <f t="shared" si="171"/>
        <v>0</v>
      </c>
      <c r="BB172" s="301">
        <f>[1]COMMANDE!S170</f>
        <v>0</v>
      </c>
      <c r="BC172" s="297" t="str">
        <f t="shared" si="172"/>
        <v>0</v>
      </c>
      <c r="BD172" s="298">
        <f t="shared" si="173"/>
        <v>0</v>
      </c>
      <c r="BE172" s="299">
        <f>[1]COMMANDE!U170</f>
        <v>0</v>
      </c>
      <c r="BF172" s="297" t="str">
        <f t="shared" si="174"/>
        <v>0</v>
      </c>
      <c r="BG172" s="300">
        <f t="shared" si="175"/>
        <v>0</v>
      </c>
      <c r="BH172" s="301">
        <f>[1]COMMANDE!W170</f>
        <v>0</v>
      </c>
      <c r="BI172" s="297" t="str">
        <f t="shared" si="176"/>
        <v>0</v>
      </c>
      <c r="BJ172" s="298">
        <f t="shared" si="177"/>
        <v>0</v>
      </c>
      <c r="BK172" s="299">
        <f>[1]COMMANDE!Y170</f>
        <v>0</v>
      </c>
      <c r="BL172" s="297" t="str">
        <f t="shared" si="178"/>
        <v>0</v>
      </c>
      <c r="BM172" s="300">
        <f t="shared" si="179"/>
        <v>0</v>
      </c>
      <c r="BN172" s="301">
        <f>[1]COMMANDE!AA170</f>
        <v>0</v>
      </c>
      <c r="BO172" s="297" t="str">
        <f t="shared" si="180"/>
        <v>0</v>
      </c>
      <c r="BP172" s="298">
        <f t="shared" si="181"/>
        <v>0</v>
      </c>
      <c r="BQ172" s="299">
        <f>[1]COMMANDE!AC170</f>
        <v>0</v>
      </c>
      <c r="BR172" s="297" t="str">
        <f t="shared" si="182"/>
        <v>0</v>
      </c>
      <c r="BS172" s="300">
        <f t="shared" si="183"/>
        <v>0</v>
      </c>
      <c r="BT172" s="301">
        <f>[1]COMMANDE!AE170</f>
        <v>0</v>
      </c>
      <c r="BU172" s="297" t="str">
        <f t="shared" si="184"/>
        <v>0</v>
      </c>
      <c r="BV172" s="298">
        <f t="shared" si="185"/>
        <v>0</v>
      </c>
      <c r="BW172" s="299">
        <f>[1]COMMANDE!AG170</f>
        <v>0</v>
      </c>
      <c r="BX172" s="297" t="str">
        <f t="shared" si="186"/>
        <v>0</v>
      </c>
      <c r="BY172" s="300">
        <f t="shared" si="187"/>
        <v>0</v>
      </c>
      <c r="BZ172" s="301">
        <f>[1]COMMANDE!AI170</f>
        <v>0</v>
      </c>
      <c r="CA172" s="297" t="str">
        <f t="shared" si="188"/>
        <v>0</v>
      </c>
      <c r="CB172" s="298">
        <f t="shared" si="189"/>
        <v>0</v>
      </c>
      <c r="CC172" s="299">
        <f>[1]COMMANDE!AK170</f>
        <v>0</v>
      </c>
      <c r="CD172" s="297" t="str">
        <f t="shared" si="190"/>
        <v>0</v>
      </c>
      <c r="CE172" s="300">
        <f t="shared" si="191"/>
        <v>0</v>
      </c>
      <c r="CF172" s="301">
        <f>[1]COMMANDE!AM170</f>
        <v>0</v>
      </c>
      <c r="CG172" s="297" t="str">
        <f t="shared" si="192"/>
        <v>0</v>
      </c>
      <c r="CH172" s="298">
        <f t="shared" si="193"/>
        <v>0</v>
      </c>
      <c r="CI172" s="299">
        <f>[1]COMMANDE!AO170</f>
        <v>0</v>
      </c>
      <c r="CJ172" s="297" t="str">
        <f t="shared" si="194"/>
        <v>0</v>
      </c>
      <c r="CK172" s="300">
        <f t="shared" si="195"/>
        <v>0</v>
      </c>
      <c r="CL172" s="301">
        <f>[1]COMMANDE!AQ170</f>
        <v>0</v>
      </c>
      <c r="CM172" s="297" t="str">
        <f t="shared" si="196"/>
        <v>0</v>
      </c>
      <c r="CN172" s="298">
        <f t="shared" si="197"/>
        <v>0</v>
      </c>
      <c r="CO172" s="299">
        <f>[1]COMMANDE!AS170</f>
        <v>0</v>
      </c>
      <c r="CP172" s="297" t="str">
        <f t="shared" si="198"/>
        <v>0</v>
      </c>
      <c r="CQ172" s="300">
        <f t="shared" si="199"/>
        <v>0</v>
      </c>
      <c r="CR172" s="301">
        <f>[1]COMMANDE!AU170</f>
        <v>0</v>
      </c>
      <c r="CS172" s="297" t="str">
        <f t="shared" si="200"/>
        <v>0</v>
      </c>
      <c r="CT172" s="298">
        <f t="shared" si="201"/>
        <v>0</v>
      </c>
      <c r="CU172" s="299">
        <f>[1]COMMANDE!AW170</f>
        <v>0</v>
      </c>
      <c r="CV172" s="297" t="str">
        <f t="shared" si="202"/>
        <v>0</v>
      </c>
      <c r="CW172" s="300">
        <f t="shared" si="203"/>
        <v>0</v>
      </c>
      <c r="CX172" s="301">
        <f>[1]COMMANDE!AY170</f>
        <v>0</v>
      </c>
      <c r="CY172" s="297" t="str">
        <f t="shared" si="204"/>
        <v>0</v>
      </c>
      <c r="CZ172" s="298">
        <f t="shared" si="205"/>
        <v>0</v>
      </c>
      <c r="DA172" s="299">
        <f>[1]COMMANDE!BA170</f>
        <v>0</v>
      </c>
      <c r="DB172" s="297" t="str">
        <f t="shared" si="206"/>
        <v>0</v>
      </c>
      <c r="DC172" s="302">
        <f t="shared" si="207"/>
        <v>0</v>
      </c>
      <c r="DD172" s="303"/>
      <c r="DE172" s="304"/>
    </row>
    <row r="173" spans="1:109" ht="39.950000000000003" customHeight="1" x14ac:dyDescent="0.25">
      <c r="A173" s="284">
        <f t="shared" si="140"/>
        <v>0</v>
      </c>
      <c r="B173" s="284">
        <f t="shared" si="141"/>
        <v>0</v>
      </c>
      <c r="C173" s="284">
        <f t="shared" si="142"/>
        <v>0</v>
      </c>
      <c r="D173" s="284">
        <f t="shared" si="143"/>
        <v>0</v>
      </c>
      <c r="E173" s="284">
        <f t="shared" si="144"/>
        <v>0</v>
      </c>
      <c r="F173" s="284">
        <f t="shared" si="145"/>
        <v>0</v>
      </c>
      <c r="G173" s="284">
        <f t="shared" si="146"/>
        <v>0</v>
      </c>
      <c r="H173" s="284">
        <f t="shared" si="147"/>
        <v>0</v>
      </c>
      <c r="I173" s="284">
        <f t="shared" si="148"/>
        <v>0</v>
      </c>
      <c r="J173" s="284">
        <f t="shared" si="149"/>
        <v>0</v>
      </c>
      <c r="K173" s="284">
        <f t="shared" si="150"/>
        <v>0</v>
      </c>
      <c r="L173" s="284">
        <f t="shared" si="151"/>
        <v>0</v>
      </c>
      <c r="M173" s="284">
        <f t="shared" si="152"/>
        <v>0</v>
      </c>
      <c r="N173" s="284">
        <f t="shared" si="153"/>
        <v>0</v>
      </c>
      <c r="O173" s="284">
        <f t="shared" si="154"/>
        <v>0</v>
      </c>
      <c r="P173" s="284">
        <f t="shared" si="155"/>
        <v>0</v>
      </c>
      <c r="Q173" s="284">
        <f t="shared" si="156"/>
        <v>0</v>
      </c>
      <c r="R173" s="284">
        <f t="shared" si="157"/>
        <v>0</v>
      </c>
      <c r="S173" s="284">
        <f t="shared" si="158"/>
        <v>0</v>
      </c>
      <c r="T173" s="284">
        <f t="shared" si="159"/>
        <v>0</v>
      </c>
      <c r="U173" s="285">
        <f t="shared" si="160"/>
        <v>0</v>
      </c>
      <c r="V173" s="286">
        <f>[1]BDD!A163</f>
        <v>1104</v>
      </c>
      <c r="W173" s="287" t="str">
        <f>[1]BDD!B163</f>
        <v>Mangue Tommy Atkins BIO</v>
      </c>
      <c r="X173" s="288" t="str">
        <f>IF([1]BDD!F163=0, "", [1]BDD!F163)</f>
        <v/>
      </c>
      <c r="Y173" s="214">
        <f>ROUND([1]BDD!G163+FDP_CMD_KG, 2)</f>
        <v>4.95</v>
      </c>
      <c r="Z173" s="214">
        <f>ROUND([1]BDD!G163+FDP_FACT_KG, 2)</f>
        <v>4.95</v>
      </c>
      <c r="AA173" s="215" t="str">
        <f>[1]BDD!H163</f>
        <v>kg</v>
      </c>
      <c r="AB173" s="225">
        <f>IF(NOT(ISBLANK([1]BDD!I163)), ROUND(SUM(([1]BDD!G163*reduc1),FDP_CMD_KG), 2), "")</f>
        <v>4.55</v>
      </c>
      <c r="AC173" s="225">
        <f>IF(NOT(ISBLANK([1]BDD!J163)), ROUND(SUM(([1]BDD!G163*reduc2),FDP_CMD_KG), 2), "")</f>
        <v>4.1399999999999997</v>
      </c>
      <c r="AD173" s="225" t="str">
        <f>IF(NOT(ISBLANK([1]BDD!K163)), ROUND(SUM(([1]BDD!G163*reduc3),FDP_CMD_KG), 2), "")</f>
        <v/>
      </c>
      <c r="AE173" s="225">
        <f>IF(NOT(ISBLANK([1]BDD!I163)), ROUND(SUM(([1]BDD!G163*reduc1),FDP_FACT_KG), 2), "")</f>
        <v>4.54</v>
      </c>
      <c r="AF173" s="225">
        <f>IF(NOT(ISBLANK([1]BDD!J163)), ROUND(SUM(([1]BDD!G163*reduc2),FDP_FACT_KG), 2), "")</f>
        <v>4.13</v>
      </c>
      <c r="AG173" s="225" t="str">
        <f>IF(NOT(ISBLANK([1]BDD!K163)), ROUND(SUM(([1]BDD!G163*reduc3),FDP_FACT_KG), 2), "")</f>
        <v/>
      </c>
      <c r="AH173" s="289" t="str">
        <f>[1]BDD!C163</f>
        <v>Grenade</v>
      </c>
      <c r="AI173" s="290">
        <f t="shared" si="161"/>
        <v>0</v>
      </c>
      <c r="AJ173" s="216">
        <f t="shared" si="162"/>
        <v>4.1399999999999997</v>
      </c>
      <c r="AK173" s="291">
        <f t="shared" si="163"/>
        <v>0</v>
      </c>
      <c r="AL173" s="429"/>
      <c r="AM173" s="292"/>
      <c r="AN173" s="216">
        <f t="shared" si="164"/>
        <v>4.95</v>
      </c>
      <c r="AO173" s="293">
        <f t="shared" si="165"/>
        <v>0</v>
      </c>
      <c r="AP173" s="294"/>
      <c r="AQ173" s="294"/>
      <c r="AR173" s="429"/>
      <c r="AS173" s="295">
        <f t="shared" si="166"/>
        <v>0</v>
      </c>
      <c r="AT173" s="216">
        <f t="shared" si="167"/>
        <v>4.95</v>
      </c>
      <c r="AU173" s="291">
        <f t="shared" si="139"/>
        <v>0</v>
      </c>
      <c r="AV173" s="296">
        <f>[1]COMMANDE!O171</f>
        <v>0</v>
      </c>
      <c r="AW173" s="297" t="str">
        <f t="shared" si="168"/>
        <v>0</v>
      </c>
      <c r="AX173" s="298">
        <f t="shared" si="169"/>
        <v>0</v>
      </c>
      <c r="AY173" s="299">
        <f>[1]COMMANDE!Q171</f>
        <v>0</v>
      </c>
      <c r="AZ173" s="297" t="str">
        <f t="shared" si="170"/>
        <v>0</v>
      </c>
      <c r="BA173" s="300">
        <f t="shared" si="171"/>
        <v>0</v>
      </c>
      <c r="BB173" s="301">
        <f>[1]COMMANDE!S171</f>
        <v>0</v>
      </c>
      <c r="BC173" s="297" t="str">
        <f t="shared" si="172"/>
        <v>0</v>
      </c>
      <c r="BD173" s="298">
        <f t="shared" si="173"/>
        <v>0</v>
      </c>
      <c r="BE173" s="299">
        <f>[1]COMMANDE!U171</f>
        <v>0</v>
      </c>
      <c r="BF173" s="297" t="str">
        <f t="shared" si="174"/>
        <v>0</v>
      </c>
      <c r="BG173" s="300">
        <f t="shared" si="175"/>
        <v>0</v>
      </c>
      <c r="BH173" s="301">
        <f>[1]COMMANDE!W171</f>
        <v>0</v>
      </c>
      <c r="BI173" s="297" t="str">
        <f t="shared" si="176"/>
        <v>0</v>
      </c>
      <c r="BJ173" s="298">
        <f t="shared" si="177"/>
        <v>0</v>
      </c>
      <c r="BK173" s="299">
        <f>[1]COMMANDE!Y171</f>
        <v>0</v>
      </c>
      <c r="BL173" s="297" t="str">
        <f t="shared" si="178"/>
        <v>0</v>
      </c>
      <c r="BM173" s="300">
        <f t="shared" si="179"/>
        <v>0</v>
      </c>
      <c r="BN173" s="301">
        <f>[1]COMMANDE!AA171</f>
        <v>0</v>
      </c>
      <c r="BO173" s="297" t="str">
        <f t="shared" si="180"/>
        <v>0</v>
      </c>
      <c r="BP173" s="298">
        <f t="shared" si="181"/>
        <v>0</v>
      </c>
      <c r="BQ173" s="299">
        <f>[1]COMMANDE!AC171</f>
        <v>0</v>
      </c>
      <c r="BR173" s="297" t="str">
        <f t="shared" si="182"/>
        <v>0</v>
      </c>
      <c r="BS173" s="300">
        <f t="shared" si="183"/>
        <v>0</v>
      </c>
      <c r="BT173" s="301">
        <f>[1]COMMANDE!AE171</f>
        <v>0</v>
      </c>
      <c r="BU173" s="297" t="str">
        <f t="shared" si="184"/>
        <v>0</v>
      </c>
      <c r="BV173" s="298">
        <f t="shared" si="185"/>
        <v>0</v>
      </c>
      <c r="BW173" s="299">
        <f>[1]COMMANDE!AG171</f>
        <v>0</v>
      </c>
      <c r="BX173" s="297" t="str">
        <f t="shared" si="186"/>
        <v>0</v>
      </c>
      <c r="BY173" s="300">
        <f t="shared" si="187"/>
        <v>0</v>
      </c>
      <c r="BZ173" s="301">
        <f>[1]COMMANDE!AI171</f>
        <v>0</v>
      </c>
      <c r="CA173" s="297" t="str">
        <f t="shared" si="188"/>
        <v>0</v>
      </c>
      <c r="CB173" s="298">
        <f t="shared" si="189"/>
        <v>0</v>
      </c>
      <c r="CC173" s="299">
        <f>[1]COMMANDE!AK171</f>
        <v>0</v>
      </c>
      <c r="CD173" s="297" t="str">
        <f t="shared" si="190"/>
        <v>0</v>
      </c>
      <c r="CE173" s="300">
        <f t="shared" si="191"/>
        <v>0</v>
      </c>
      <c r="CF173" s="301">
        <f>[1]COMMANDE!AM171</f>
        <v>0</v>
      </c>
      <c r="CG173" s="297" t="str">
        <f t="shared" si="192"/>
        <v>0</v>
      </c>
      <c r="CH173" s="298">
        <f t="shared" si="193"/>
        <v>0</v>
      </c>
      <c r="CI173" s="299">
        <f>[1]COMMANDE!AO171</f>
        <v>0</v>
      </c>
      <c r="CJ173" s="297" t="str">
        <f t="shared" si="194"/>
        <v>0</v>
      </c>
      <c r="CK173" s="300">
        <f t="shared" si="195"/>
        <v>0</v>
      </c>
      <c r="CL173" s="301">
        <f>[1]COMMANDE!AQ171</f>
        <v>0</v>
      </c>
      <c r="CM173" s="297" t="str">
        <f t="shared" si="196"/>
        <v>0</v>
      </c>
      <c r="CN173" s="298">
        <f t="shared" si="197"/>
        <v>0</v>
      </c>
      <c r="CO173" s="299">
        <f>[1]COMMANDE!AS171</f>
        <v>0</v>
      </c>
      <c r="CP173" s="297" t="str">
        <f t="shared" si="198"/>
        <v>0</v>
      </c>
      <c r="CQ173" s="300">
        <f t="shared" si="199"/>
        <v>0</v>
      </c>
      <c r="CR173" s="301">
        <f>[1]COMMANDE!AU171</f>
        <v>0</v>
      </c>
      <c r="CS173" s="297" t="str">
        <f t="shared" si="200"/>
        <v>0</v>
      </c>
      <c r="CT173" s="298">
        <f t="shared" si="201"/>
        <v>0</v>
      </c>
      <c r="CU173" s="299">
        <f>[1]COMMANDE!AW171</f>
        <v>0</v>
      </c>
      <c r="CV173" s="297" t="str">
        <f t="shared" si="202"/>
        <v>0</v>
      </c>
      <c r="CW173" s="300">
        <f t="shared" si="203"/>
        <v>0</v>
      </c>
      <c r="CX173" s="301">
        <f>[1]COMMANDE!AY171</f>
        <v>0</v>
      </c>
      <c r="CY173" s="297" t="str">
        <f t="shared" si="204"/>
        <v>0</v>
      </c>
      <c r="CZ173" s="298">
        <f t="shared" si="205"/>
        <v>0</v>
      </c>
      <c r="DA173" s="299">
        <f>[1]COMMANDE!BA171</f>
        <v>0</v>
      </c>
      <c r="DB173" s="297" t="str">
        <f t="shared" si="206"/>
        <v>0</v>
      </c>
      <c r="DC173" s="302">
        <f t="shared" si="207"/>
        <v>0</v>
      </c>
      <c r="DD173" s="303"/>
      <c r="DE173" s="304"/>
    </row>
    <row r="174" spans="1:109" ht="39.950000000000003" customHeight="1" x14ac:dyDescent="0.25">
      <c r="A174" s="284">
        <f t="shared" si="140"/>
        <v>1</v>
      </c>
      <c r="B174" s="284">
        <f t="shared" si="141"/>
        <v>1</v>
      </c>
      <c r="C174" s="284">
        <f t="shared" si="142"/>
        <v>0</v>
      </c>
      <c r="D174" s="284">
        <f t="shared" si="143"/>
        <v>0</v>
      </c>
      <c r="E174" s="284">
        <f t="shared" si="144"/>
        <v>0</v>
      </c>
      <c r="F174" s="284">
        <f t="shared" si="145"/>
        <v>0</v>
      </c>
      <c r="G174" s="284">
        <f t="shared" si="146"/>
        <v>0</v>
      </c>
      <c r="H174" s="284">
        <f t="shared" si="147"/>
        <v>0</v>
      </c>
      <c r="I174" s="284">
        <f t="shared" si="148"/>
        <v>0</v>
      </c>
      <c r="J174" s="284">
        <f t="shared" si="149"/>
        <v>0</v>
      </c>
      <c r="K174" s="284">
        <f t="shared" si="150"/>
        <v>0</v>
      </c>
      <c r="L174" s="284">
        <f t="shared" si="151"/>
        <v>0</v>
      </c>
      <c r="M174" s="284">
        <f t="shared" si="152"/>
        <v>0</v>
      </c>
      <c r="N174" s="284">
        <f t="shared" si="153"/>
        <v>0</v>
      </c>
      <c r="O174" s="284">
        <f t="shared" si="154"/>
        <v>0</v>
      </c>
      <c r="P174" s="284">
        <f t="shared" si="155"/>
        <v>0</v>
      </c>
      <c r="Q174" s="284">
        <f t="shared" si="156"/>
        <v>0</v>
      </c>
      <c r="R174" s="284">
        <f t="shared" si="157"/>
        <v>0</v>
      </c>
      <c r="S174" s="284">
        <f t="shared" si="158"/>
        <v>0</v>
      </c>
      <c r="T174" s="284">
        <f t="shared" si="159"/>
        <v>0</v>
      </c>
      <c r="U174" s="285">
        <f t="shared" si="160"/>
        <v>1</v>
      </c>
      <c r="V174" s="286" t="str">
        <f>[1]BDD!A164</f>
        <v>3214-3248-3174-3194-3190-3175-3230</v>
      </c>
      <c r="W174" s="287" t="str">
        <f>[1]BDD!B164</f>
        <v>Mangues déjà assez mûres en mélange variétés 
    - (Haden, Irwin, Lipens, Osteen, Tommy Atkins)</v>
      </c>
      <c r="X174" s="288" t="str">
        <f>IF([1]BDD!F164=0, "", [1]BDD!F164)</f>
        <v>❤️</v>
      </c>
      <c r="Y174" s="214">
        <f>ROUND([1]BDD!G164+FDP_CMD_KG, 2)</f>
        <v>3.58</v>
      </c>
      <c r="Z174" s="214">
        <f>ROUND([1]BDD!G164+FDP_FACT_KG, 2)</f>
        <v>3.58</v>
      </c>
      <c r="AA174" s="215" t="str">
        <f>[1]BDD!H164</f>
        <v>kg</v>
      </c>
      <c r="AB174" s="225" t="str">
        <f>IF(NOT(ISBLANK([1]BDD!I164)), ROUND(SUM(([1]BDD!G164*reduc1),FDP_CMD_KG), 2), "")</f>
        <v/>
      </c>
      <c r="AC174" s="225" t="str">
        <f>IF(NOT(ISBLANK([1]BDD!J164)), ROUND(SUM(([1]BDD!G164*reduc2),FDP_CMD_KG), 2), "")</f>
        <v/>
      </c>
      <c r="AD174" s="225" t="str">
        <f>IF(NOT(ISBLANK([1]BDD!K164)), ROUND(SUM(([1]BDD!G164*reduc3),FDP_CMD_KG), 2), "")</f>
        <v/>
      </c>
      <c r="AE174" s="225" t="str">
        <f>IF(NOT(ISBLANK([1]BDD!I164)), ROUND(SUM(([1]BDD!G164*reduc1),FDP_FACT_KG), 2), "")</f>
        <v/>
      </c>
      <c r="AF174" s="225" t="str">
        <f>IF(NOT(ISBLANK([1]BDD!J164)), ROUND(SUM(([1]BDD!G164*reduc2),FDP_FACT_KG), 2), "")</f>
        <v/>
      </c>
      <c r="AG174" s="225" t="str">
        <f>IF(NOT(ISBLANK([1]BDD!K164)), ROUND(SUM(([1]BDD!G164*reduc3),FDP_FACT_KG), 2), "")</f>
        <v/>
      </c>
      <c r="AH174" s="289" t="str">
        <f>[1]BDD!C164</f>
        <v>Grenade</v>
      </c>
      <c r="AI174" s="290">
        <f t="shared" si="161"/>
        <v>10</v>
      </c>
      <c r="AJ174" s="216">
        <f t="shared" si="162"/>
        <v>3.58</v>
      </c>
      <c r="AK174" s="291">
        <f t="shared" si="163"/>
        <v>35.799999999999997</v>
      </c>
      <c r="AL174" s="429"/>
      <c r="AM174" s="292">
        <v>6.35</v>
      </c>
      <c r="AN174" s="216">
        <f t="shared" si="164"/>
        <v>3.58</v>
      </c>
      <c r="AO174" s="293">
        <f t="shared" si="165"/>
        <v>22.733000000000001</v>
      </c>
      <c r="AP174" s="294">
        <v>2</v>
      </c>
      <c r="AQ174" s="294"/>
      <c r="AR174" s="429"/>
      <c r="AS174" s="295">
        <f t="shared" si="166"/>
        <v>6.35</v>
      </c>
      <c r="AT174" s="216">
        <f t="shared" si="167"/>
        <v>3.58</v>
      </c>
      <c r="AU174" s="291">
        <f t="shared" si="139"/>
        <v>22.733000000000001</v>
      </c>
      <c r="AV174" s="296">
        <f>[1]COMMANDE!O172</f>
        <v>5</v>
      </c>
      <c r="AW174" s="297">
        <f t="shared" si="168"/>
        <v>3.1749999999999998</v>
      </c>
      <c r="AX174" s="298">
        <f t="shared" si="169"/>
        <v>11.3665</v>
      </c>
      <c r="AY174" s="299">
        <f>[1]COMMANDE!Q172</f>
        <v>5</v>
      </c>
      <c r="AZ174" s="297">
        <f t="shared" si="170"/>
        <v>3.1749999999999998</v>
      </c>
      <c r="BA174" s="300">
        <f t="shared" si="171"/>
        <v>11.3665</v>
      </c>
      <c r="BB174" s="301">
        <f>[1]COMMANDE!S172</f>
        <v>0</v>
      </c>
      <c r="BC174" s="297" t="str">
        <f t="shared" si="172"/>
        <v>0</v>
      </c>
      <c r="BD174" s="298">
        <f t="shared" si="173"/>
        <v>0</v>
      </c>
      <c r="BE174" s="299">
        <f>[1]COMMANDE!U172</f>
        <v>0</v>
      </c>
      <c r="BF174" s="297" t="str">
        <f t="shared" si="174"/>
        <v>0</v>
      </c>
      <c r="BG174" s="300">
        <f t="shared" si="175"/>
        <v>0</v>
      </c>
      <c r="BH174" s="301">
        <f>[1]COMMANDE!W172</f>
        <v>0</v>
      </c>
      <c r="BI174" s="297" t="str">
        <f t="shared" si="176"/>
        <v>0</v>
      </c>
      <c r="BJ174" s="298">
        <f t="shared" si="177"/>
        <v>0</v>
      </c>
      <c r="BK174" s="299">
        <f>[1]COMMANDE!Y172</f>
        <v>0</v>
      </c>
      <c r="BL174" s="297" t="str">
        <f t="shared" si="178"/>
        <v>0</v>
      </c>
      <c r="BM174" s="300">
        <f t="shared" si="179"/>
        <v>0</v>
      </c>
      <c r="BN174" s="301">
        <f>[1]COMMANDE!AA172</f>
        <v>0</v>
      </c>
      <c r="BO174" s="297" t="str">
        <f t="shared" si="180"/>
        <v>0</v>
      </c>
      <c r="BP174" s="298">
        <f t="shared" si="181"/>
        <v>0</v>
      </c>
      <c r="BQ174" s="299">
        <f>[1]COMMANDE!AC172</f>
        <v>0</v>
      </c>
      <c r="BR174" s="297" t="str">
        <f t="shared" si="182"/>
        <v>0</v>
      </c>
      <c r="BS174" s="300">
        <f t="shared" si="183"/>
        <v>0</v>
      </c>
      <c r="BT174" s="301">
        <f>[1]COMMANDE!AE172</f>
        <v>0</v>
      </c>
      <c r="BU174" s="297" t="str">
        <f t="shared" si="184"/>
        <v>0</v>
      </c>
      <c r="BV174" s="298">
        <f t="shared" si="185"/>
        <v>0</v>
      </c>
      <c r="BW174" s="299">
        <f>[1]COMMANDE!AG172</f>
        <v>0</v>
      </c>
      <c r="BX174" s="297" t="str">
        <f t="shared" si="186"/>
        <v>0</v>
      </c>
      <c r="BY174" s="300">
        <f t="shared" si="187"/>
        <v>0</v>
      </c>
      <c r="BZ174" s="301">
        <f>[1]COMMANDE!AI172</f>
        <v>0</v>
      </c>
      <c r="CA174" s="297" t="str">
        <f t="shared" si="188"/>
        <v>0</v>
      </c>
      <c r="CB174" s="298">
        <f t="shared" si="189"/>
        <v>0</v>
      </c>
      <c r="CC174" s="299">
        <f>[1]COMMANDE!AK172</f>
        <v>0</v>
      </c>
      <c r="CD174" s="297" t="str">
        <f t="shared" si="190"/>
        <v>0</v>
      </c>
      <c r="CE174" s="300">
        <f t="shared" si="191"/>
        <v>0</v>
      </c>
      <c r="CF174" s="301">
        <f>[1]COMMANDE!AM172</f>
        <v>0</v>
      </c>
      <c r="CG174" s="297" t="str">
        <f t="shared" si="192"/>
        <v>0</v>
      </c>
      <c r="CH174" s="298">
        <f t="shared" si="193"/>
        <v>0</v>
      </c>
      <c r="CI174" s="299">
        <f>[1]COMMANDE!AO172</f>
        <v>0</v>
      </c>
      <c r="CJ174" s="297" t="str">
        <f t="shared" si="194"/>
        <v>0</v>
      </c>
      <c r="CK174" s="300">
        <f t="shared" si="195"/>
        <v>0</v>
      </c>
      <c r="CL174" s="301">
        <f>[1]COMMANDE!AQ172</f>
        <v>0</v>
      </c>
      <c r="CM174" s="297" t="str">
        <f t="shared" si="196"/>
        <v>0</v>
      </c>
      <c r="CN174" s="298">
        <f t="shared" si="197"/>
        <v>0</v>
      </c>
      <c r="CO174" s="299">
        <f>[1]COMMANDE!AS172</f>
        <v>0</v>
      </c>
      <c r="CP174" s="297" t="str">
        <f t="shared" si="198"/>
        <v>0</v>
      </c>
      <c r="CQ174" s="300">
        <f t="shared" si="199"/>
        <v>0</v>
      </c>
      <c r="CR174" s="301">
        <f>[1]COMMANDE!AU172</f>
        <v>0</v>
      </c>
      <c r="CS174" s="297" t="str">
        <f t="shared" si="200"/>
        <v>0</v>
      </c>
      <c r="CT174" s="298">
        <f t="shared" si="201"/>
        <v>0</v>
      </c>
      <c r="CU174" s="299">
        <f>[1]COMMANDE!AW172</f>
        <v>0</v>
      </c>
      <c r="CV174" s="297" t="str">
        <f t="shared" si="202"/>
        <v>0</v>
      </c>
      <c r="CW174" s="300">
        <f t="shared" si="203"/>
        <v>0</v>
      </c>
      <c r="CX174" s="301">
        <f>[1]COMMANDE!AY172</f>
        <v>0</v>
      </c>
      <c r="CY174" s="297" t="str">
        <f t="shared" si="204"/>
        <v>0</v>
      </c>
      <c r="CZ174" s="298">
        <f t="shared" si="205"/>
        <v>0</v>
      </c>
      <c r="DA174" s="299">
        <f>[1]COMMANDE!BA172</f>
        <v>0</v>
      </c>
      <c r="DB174" s="297" t="str">
        <f t="shared" si="206"/>
        <v>0</v>
      </c>
      <c r="DC174" s="302">
        <f t="shared" si="207"/>
        <v>0</v>
      </c>
      <c r="DD174" s="303"/>
      <c r="DE174" s="304"/>
    </row>
    <row r="175" spans="1:109" ht="39.950000000000003" customHeight="1" x14ac:dyDescent="0.25">
      <c r="A175" s="284">
        <f t="shared" si="140"/>
        <v>0</v>
      </c>
      <c r="B175" s="284">
        <f t="shared" si="141"/>
        <v>0</v>
      </c>
      <c r="C175" s="284">
        <f t="shared" si="142"/>
        <v>0</v>
      </c>
      <c r="D175" s="284">
        <f t="shared" si="143"/>
        <v>0</v>
      </c>
      <c r="E175" s="284">
        <f t="shared" si="144"/>
        <v>0</v>
      </c>
      <c r="F175" s="284">
        <f t="shared" si="145"/>
        <v>0</v>
      </c>
      <c r="G175" s="284">
        <f t="shared" si="146"/>
        <v>0</v>
      </c>
      <c r="H175" s="284">
        <f t="shared" si="147"/>
        <v>0</v>
      </c>
      <c r="I175" s="284">
        <f t="shared" si="148"/>
        <v>0</v>
      </c>
      <c r="J175" s="284">
        <f t="shared" si="149"/>
        <v>0</v>
      </c>
      <c r="K175" s="284">
        <f t="shared" si="150"/>
        <v>0</v>
      </c>
      <c r="L175" s="284">
        <f t="shared" si="151"/>
        <v>0</v>
      </c>
      <c r="M175" s="284">
        <f t="shared" si="152"/>
        <v>0</v>
      </c>
      <c r="N175" s="284">
        <f t="shared" si="153"/>
        <v>0</v>
      </c>
      <c r="O175" s="284">
        <f t="shared" si="154"/>
        <v>0</v>
      </c>
      <c r="P175" s="284">
        <f t="shared" si="155"/>
        <v>0</v>
      </c>
      <c r="Q175" s="284">
        <f t="shared" si="156"/>
        <v>0</v>
      </c>
      <c r="R175" s="284">
        <f t="shared" si="157"/>
        <v>0</v>
      </c>
      <c r="S175" s="284">
        <f t="shared" si="158"/>
        <v>0</v>
      </c>
      <c r="T175" s="284">
        <f t="shared" si="159"/>
        <v>0</v>
      </c>
      <c r="U175" s="285">
        <f t="shared" si="160"/>
        <v>0</v>
      </c>
      <c r="V175" s="286">
        <f>[1]BDD!A165</f>
        <v>3636</v>
      </c>
      <c r="W175" s="287" t="str">
        <f>[1]BDD!B165</f>
        <v>Mélange de fruits secs (noisette, noix de cajou, noix du brésil, noix de macadamia, amande, cerneau de noix)</v>
      </c>
      <c r="X175" s="288" t="str">
        <f>IF([1]BDD!F165=0, "", [1]BDD!F165)</f>
        <v/>
      </c>
      <c r="Y175" s="214">
        <f>ROUND([1]BDD!G165+FDP_CMD_KG, 2)</f>
        <v>22.09</v>
      </c>
      <c r="Z175" s="214">
        <f>ROUND([1]BDD!G165+FDP_FACT_KG, 2)</f>
        <v>22.09</v>
      </c>
      <c r="AA175" s="215" t="str">
        <f>[1]BDD!H165</f>
        <v>kg</v>
      </c>
      <c r="AB175" s="225" t="str">
        <f>IF(NOT(ISBLANK([1]BDD!I165)), ROUND(SUM(([1]BDD!G165*reduc1),FDP_CMD_KG), 2), "")</f>
        <v/>
      </c>
      <c r="AC175" s="225" t="str">
        <f>IF(NOT(ISBLANK([1]BDD!J165)), ROUND(SUM(([1]BDD!G165*reduc2),FDP_CMD_KG), 2), "")</f>
        <v/>
      </c>
      <c r="AD175" s="225" t="str">
        <f>IF(NOT(ISBLANK([1]BDD!K165)), ROUND(SUM(([1]BDD!G165*reduc3),FDP_CMD_KG), 2), "")</f>
        <v/>
      </c>
      <c r="AE175" s="225" t="str">
        <f>IF(NOT(ISBLANK([1]BDD!I165)), ROUND(SUM(([1]BDD!G165*reduc1),FDP_FACT_KG), 2), "")</f>
        <v/>
      </c>
      <c r="AF175" s="225" t="str">
        <f>IF(NOT(ISBLANK([1]BDD!J165)), ROUND(SUM(([1]BDD!G165*reduc2),FDP_FACT_KG), 2), "")</f>
        <v/>
      </c>
      <c r="AG175" s="225" t="str">
        <f>IF(NOT(ISBLANK([1]BDD!K165)), ROUND(SUM(([1]BDD!G165*reduc3),FDP_FACT_KG), 2), "")</f>
        <v/>
      </c>
      <c r="AH175" s="289" t="str">
        <f>[1]BDD!C165</f>
        <v>National</v>
      </c>
      <c r="AI175" s="290">
        <f t="shared" si="161"/>
        <v>0</v>
      </c>
      <c r="AJ175" s="216">
        <f t="shared" si="162"/>
        <v>22.09</v>
      </c>
      <c r="AK175" s="291">
        <f t="shared" si="163"/>
        <v>0</v>
      </c>
      <c r="AL175" s="429"/>
      <c r="AM175" s="292"/>
      <c r="AN175" s="216">
        <f t="shared" si="164"/>
        <v>22.09</v>
      </c>
      <c r="AO175" s="293">
        <f t="shared" si="165"/>
        <v>0</v>
      </c>
      <c r="AP175" s="294"/>
      <c r="AQ175" s="294"/>
      <c r="AR175" s="429"/>
      <c r="AS175" s="295">
        <f t="shared" si="166"/>
        <v>0</v>
      </c>
      <c r="AT175" s="216">
        <f t="shared" si="167"/>
        <v>22.09</v>
      </c>
      <c r="AU175" s="291">
        <f t="shared" si="139"/>
        <v>0</v>
      </c>
      <c r="AV175" s="296">
        <f>[1]COMMANDE!O173</f>
        <v>0</v>
      </c>
      <c r="AW175" s="297" t="str">
        <f t="shared" si="168"/>
        <v>0</v>
      </c>
      <c r="AX175" s="298">
        <f t="shared" si="169"/>
        <v>0</v>
      </c>
      <c r="AY175" s="299">
        <f>[1]COMMANDE!Q173</f>
        <v>0</v>
      </c>
      <c r="AZ175" s="297" t="str">
        <f t="shared" si="170"/>
        <v>0</v>
      </c>
      <c r="BA175" s="300">
        <f t="shared" si="171"/>
        <v>0</v>
      </c>
      <c r="BB175" s="301">
        <f>[1]COMMANDE!S173</f>
        <v>0</v>
      </c>
      <c r="BC175" s="297" t="str">
        <f t="shared" si="172"/>
        <v>0</v>
      </c>
      <c r="BD175" s="298">
        <f t="shared" si="173"/>
        <v>0</v>
      </c>
      <c r="BE175" s="299">
        <f>[1]COMMANDE!U173</f>
        <v>0</v>
      </c>
      <c r="BF175" s="297" t="str">
        <f t="shared" si="174"/>
        <v>0</v>
      </c>
      <c r="BG175" s="300">
        <f t="shared" si="175"/>
        <v>0</v>
      </c>
      <c r="BH175" s="301">
        <f>[1]COMMANDE!W173</f>
        <v>0</v>
      </c>
      <c r="BI175" s="297" t="str">
        <f t="shared" si="176"/>
        <v>0</v>
      </c>
      <c r="BJ175" s="298">
        <f t="shared" si="177"/>
        <v>0</v>
      </c>
      <c r="BK175" s="299">
        <f>[1]COMMANDE!Y173</f>
        <v>0</v>
      </c>
      <c r="BL175" s="297" t="str">
        <f t="shared" si="178"/>
        <v>0</v>
      </c>
      <c r="BM175" s="300">
        <f t="shared" si="179"/>
        <v>0</v>
      </c>
      <c r="BN175" s="301">
        <f>[1]COMMANDE!AA173</f>
        <v>0</v>
      </c>
      <c r="BO175" s="297" t="str">
        <f t="shared" si="180"/>
        <v>0</v>
      </c>
      <c r="BP175" s="298">
        <f t="shared" si="181"/>
        <v>0</v>
      </c>
      <c r="BQ175" s="299">
        <f>[1]COMMANDE!AC173</f>
        <v>0</v>
      </c>
      <c r="BR175" s="297" t="str">
        <f t="shared" si="182"/>
        <v>0</v>
      </c>
      <c r="BS175" s="300">
        <f t="shared" si="183"/>
        <v>0</v>
      </c>
      <c r="BT175" s="301">
        <f>[1]COMMANDE!AE173</f>
        <v>0</v>
      </c>
      <c r="BU175" s="297" t="str">
        <f t="shared" si="184"/>
        <v>0</v>
      </c>
      <c r="BV175" s="298">
        <f t="shared" si="185"/>
        <v>0</v>
      </c>
      <c r="BW175" s="299">
        <f>[1]COMMANDE!AG173</f>
        <v>0</v>
      </c>
      <c r="BX175" s="297" t="str">
        <f t="shared" si="186"/>
        <v>0</v>
      </c>
      <c r="BY175" s="300">
        <f t="shared" si="187"/>
        <v>0</v>
      </c>
      <c r="BZ175" s="301">
        <f>[1]COMMANDE!AI173</f>
        <v>0</v>
      </c>
      <c r="CA175" s="297" t="str">
        <f t="shared" si="188"/>
        <v>0</v>
      </c>
      <c r="CB175" s="298">
        <f t="shared" si="189"/>
        <v>0</v>
      </c>
      <c r="CC175" s="299">
        <f>[1]COMMANDE!AK173</f>
        <v>0</v>
      </c>
      <c r="CD175" s="297" t="str">
        <f t="shared" si="190"/>
        <v>0</v>
      </c>
      <c r="CE175" s="300">
        <f t="shared" si="191"/>
        <v>0</v>
      </c>
      <c r="CF175" s="301">
        <f>[1]COMMANDE!AM173</f>
        <v>0</v>
      </c>
      <c r="CG175" s="297" t="str">
        <f t="shared" si="192"/>
        <v>0</v>
      </c>
      <c r="CH175" s="298">
        <f t="shared" si="193"/>
        <v>0</v>
      </c>
      <c r="CI175" s="299">
        <f>[1]COMMANDE!AO173</f>
        <v>0</v>
      </c>
      <c r="CJ175" s="297" t="str">
        <f t="shared" si="194"/>
        <v>0</v>
      </c>
      <c r="CK175" s="300">
        <f t="shared" si="195"/>
        <v>0</v>
      </c>
      <c r="CL175" s="301">
        <f>[1]COMMANDE!AQ173</f>
        <v>0</v>
      </c>
      <c r="CM175" s="297" t="str">
        <f t="shared" si="196"/>
        <v>0</v>
      </c>
      <c r="CN175" s="298">
        <f t="shared" si="197"/>
        <v>0</v>
      </c>
      <c r="CO175" s="299">
        <f>[1]COMMANDE!AS173</f>
        <v>0</v>
      </c>
      <c r="CP175" s="297" t="str">
        <f t="shared" si="198"/>
        <v>0</v>
      </c>
      <c r="CQ175" s="300">
        <f t="shared" si="199"/>
        <v>0</v>
      </c>
      <c r="CR175" s="301">
        <f>[1]COMMANDE!AU173</f>
        <v>0</v>
      </c>
      <c r="CS175" s="297" t="str">
        <f t="shared" si="200"/>
        <v>0</v>
      </c>
      <c r="CT175" s="298">
        <f t="shared" si="201"/>
        <v>0</v>
      </c>
      <c r="CU175" s="299">
        <f>[1]COMMANDE!AW173</f>
        <v>0</v>
      </c>
      <c r="CV175" s="297" t="str">
        <f t="shared" si="202"/>
        <v>0</v>
      </c>
      <c r="CW175" s="300">
        <f t="shared" si="203"/>
        <v>0</v>
      </c>
      <c r="CX175" s="301">
        <f>[1]COMMANDE!AY173</f>
        <v>0</v>
      </c>
      <c r="CY175" s="297" t="str">
        <f t="shared" si="204"/>
        <v>0</v>
      </c>
      <c r="CZ175" s="298">
        <f t="shared" si="205"/>
        <v>0</v>
      </c>
      <c r="DA175" s="299">
        <f>[1]COMMANDE!BA173</f>
        <v>0</v>
      </c>
      <c r="DB175" s="297" t="str">
        <f t="shared" si="206"/>
        <v>0</v>
      </c>
      <c r="DC175" s="302">
        <f t="shared" si="207"/>
        <v>0</v>
      </c>
      <c r="DD175" s="303"/>
      <c r="DE175" s="304"/>
    </row>
    <row r="176" spans="1:109" ht="39.950000000000003" customHeight="1" x14ac:dyDescent="0.25">
      <c r="A176" s="284">
        <f t="shared" si="140"/>
        <v>0</v>
      </c>
      <c r="B176" s="284">
        <f t="shared" si="141"/>
        <v>0</v>
      </c>
      <c r="C176" s="284">
        <f t="shared" si="142"/>
        <v>0</v>
      </c>
      <c r="D176" s="284">
        <f t="shared" si="143"/>
        <v>0</v>
      </c>
      <c r="E176" s="284">
        <f t="shared" si="144"/>
        <v>0</v>
      </c>
      <c r="F176" s="284">
        <f t="shared" si="145"/>
        <v>0</v>
      </c>
      <c r="G176" s="284">
        <f t="shared" si="146"/>
        <v>0</v>
      </c>
      <c r="H176" s="284">
        <f t="shared" si="147"/>
        <v>0</v>
      </c>
      <c r="I176" s="284">
        <f t="shared" si="148"/>
        <v>0</v>
      </c>
      <c r="J176" s="284">
        <f t="shared" si="149"/>
        <v>0</v>
      </c>
      <c r="K176" s="284">
        <f t="shared" si="150"/>
        <v>0</v>
      </c>
      <c r="L176" s="284">
        <f t="shared" si="151"/>
        <v>0</v>
      </c>
      <c r="M176" s="284">
        <f t="shared" si="152"/>
        <v>0</v>
      </c>
      <c r="N176" s="284">
        <f t="shared" si="153"/>
        <v>0</v>
      </c>
      <c r="O176" s="284">
        <f t="shared" si="154"/>
        <v>0</v>
      </c>
      <c r="P176" s="284">
        <f t="shared" si="155"/>
        <v>0</v>
      </c>
      <c r="Q176" s="284">
        <f t="shared" si="156"/>
        <v>0</v>
      </c>
      <c r="R176" s="284">
        <f t="shared" si="157"/>
        <v>0</v>
      </c>
      <c r="S176" s="284">
        <f t="shared" si="158"/>
        <v>0</v>
      </c>
      <c r="T176" s="284">
        <f t="shared" si="159"/>
        <v>0</v>
      </c>
      <c r="U176" s="285">
        <f t="shared" si="160"/>
        <v>0</v>
      </c>
      <c r="V176" s="286">
        <f>[1]BDD!A166</f>
        <v>3112</v>
      </c>
      <c r="W176" s="287" t="str">
        <f>[1]BDD!B166</f>
        <v>Melon peau de crapaud</v>
      </c>
      <c r="X176" s="288" t="str">
        <f>IF([1]BDD!F166=0, "", [1]BDD!F166)</f>
        <v>❤️</v>
      </c>
      <c r="Y176" s="214">
        <f>ROUND([1]BDD!G166+FDP_CMD_KG, 2)</f>
        <v>3.05</v>
      </c>
      <c r="Z176" s="214">
        <f>ROUND([1]BDD!G166+FDP_FACT_KG, 2)</f>
        <v>3.05</v>
      </c>
      <c r="AA176" s="215" t="str">
        <f>[1]BDD!H166</f>
        <v>kg</v>
      </c>
      <c r="AB176" s="225">
        <f>IF(NOT(ISBLANK([1]BDD!I166)), ROUND(SUM(([1]BDD!G166*reduc1),FDP_CMD_KG), 2), "")</f>
        <v>2.84</v>
      </c>
      <c r="AC176" s="225">
        <f>IF(NOT(ISBLANK([1]BDD!J166)), ROUND(SUM(([1]BDD!G166*reduc2),FDP_CMD_KG), 2), "")</f>
        <v>2.62</v>
      </c>
      <c r="AD176" s="225">
        <f>IF(NOT(ISBLANK([1]BDD!K166)), ROUND(SUM(([1]BDD!G166*reduc3),FDP_CMD_KG), 2), "")</f>
        <v>2.4</v>
      </c>
      <c r="AE176" s="225">
        <f>IF(NOT(ISBLANK([1]BDD!I166)), ROUND(SUM(([1]BDD!G166*reduc1),FDP_FACT_KG), 2), "")</f>
        <v>2.83</v>
      </c>
      <c r="AF176" s="225">
        <f>IF(NOT(ISBLANK([1]BDD!J166)), ROUND(SUM(([1]BDD!G166*reduc2),FDP_FACT_KG), 2), "")</f>
        <v>2.61</v>
      </c>
      <c r="AG176" s="225">
        <f>IF(NOT(ISBLANK([1]BDD!K166)), ROUND(SUM(([1]BDD!G166*reduc3),FDP_FACT_KG), 2), "")</f>
        <v>2.39</v>
      </c>
      <c r="AH176" s="289" t="str">
        <f>[1]BDD!C166</f>
        <v>Cordova</v>
      </c>
      <c r="AI176" s="290">
        <f t="shared" si="161"/>
        <v>0</v>
      </c>
      <c r="AJ176" s="216">
        <f t="shared" si="162"/>
        <v>2.4</v>
      </c>
      <c r="AK176" s="291">
        <f t="shared" si="163"/>
        <v>0</v>
      </c>
      <c r="AL176" s="429"/>
      <c r="AM176" s="292"/>
      <c r="AN176" s="216">
        <f t="shared" si="164"/>
        <v>3.05</v>
      </c>
      <c r="AO176" s="293">
        <f t="shared" si="165"/>
        <v>0</v>
      </c>
      <c r="AP176" s="294"/>
      <c r="AQ176" s="294"/>
      <c r="AR176" s="429"/>
      <c r="AS176" s="295">
        <f t="shared" si="166"/>
        <v>0</v>
      </c>
      <c r="AT176" s="216">
        <f t="shared" si="167"/>
        <v>3.05</v>
      </c>
      <c r="AU176" s="291">
        <f t="shared" si="139"/>
        <v>0</v>
      </c>
      <c r="AV176" s="296">
        <f>[1]COMMANDE!O174</f>
        <v>0</v>
      </c>
      <c r="AW176" s="297" t="str">
        <f t="shared" si="168"/>
        <v>0</v>
      </c>
      <c r="AX176" s="298">
        <f t="shared" si="169"/>
        <v>0</v>
      </c>
      <c r="AY176" s="299">
        <f>[1]COMMANDE!Q174</f>
        <v>0</v>
      </c>
      <c r="AZ176" s="297" t="str">
        <f t="shared" si="170"/>
        <v>0</v>
      </c>
      <c r="BA176" s="300">
        <f t="shared" si="171"/>
        <v>0</v>
      </c>
      <c r="BB176" s="301">
        <f>[1]COMMANDE!S174</f>
        <v>0</v>
      </c>
      <c r="BC176" s="297" t="str">
        <f t="shared" si="172"/>
        <v>0</v>
      </c>
      <c r="BD176" s="298">
        <f t="shared" si="173"/>
        <v>0</v>
      </c>
      <c r="BE176" s="299">
        <f>[1]COMMANDE!U174</f>
        <v>0</v>
      </c>
      <c r="BF176" s="297" t="str">
        <f t="shared" si="174"/>
        <v>0</v>
      </c>
      <c r="BG176" s="300">
        <f t="shared" si="175"/>
        <v>0</v>
      </c>
      <c r="BH176" s="301">
        <f>[1]COMMANDE!W174</f>
        <v>0</v>
      </c>
      <c r="BI176" s="297" t="str">
        <f t="shared" si="176"/>
        <v>0</v>
      </c>
      <c r="BJ176" s="298">
        <f t="shared" si="177"/>
        <v>0</v>
      </c>
      <c r="BK176" s="299">
        <f>[1]COMMANDE!Y174</f>
        <v>0</v>
      </c>
      <c r="BL176" s="297" t="str">
        <f t="shared" si="178"/>
        <v>0</v>
      </c>
      <c r="BM176" s="300">
        <f t="shared" si="179"/>
        <v>0</v>
      </c>
      <c r="BN176" s="301">
        <f>[1]COMMANDE!AA174</f>
        <v>0</v>
      </c>
      <c r="BO176" s="297" t="str">
        <f t="shared" si="180"/>
        <v>0</v>
      </c>
      <c r="BP176" s="298">
        <f t="shared" si="181"/>
        <v>0</v>
      </c>
      <c r="BQ176" s="299">
        <f>[1]COMMANDE!AC174</f>
        <v>0</v>
      </c>
      <c r="BR176" s="297" t="str">
        <f t="shared" si="182"/>
        <v>0</v>
      </c>
      <c r="BS176" s="300">
        <f t="shared" si="183"/>
        <v>0</v>
      </c>
      <c r="BT176" s="301">
        <f>[1]COMMANDE!AE174</f>
        <v>0</v>
      </c>
      <c r="BU176" s="297" t="str">
        <f t="shared" si="184"/>
        <v>0</v>
      </c>
      <c r="BV176" s="298">
        <f t="shared" si="185"/>
        <v>0</v>
      </c>
      <c r="BW176" s="299">
        <f>[1]COMMANDE!AG174</f>
        <v>0</v>
      </c>
      <c r="BX176" s="297" t="str">
        <f t="shared" si="186"/>
        <v>0</v>
      </c>
      <c r="BY176" s="300">
        <f t="shared" si="187"/>
        <v>0</v>
      </c>
      <c r="BZ176" s="301">
        <f>[1]COMMANDE!AI174</f>
        <v>0</v>
      </c>
      <c r="CA176" s="297" t="str">
        <f t="shared" si="188"/>
        <v>0</v>
      </c>
      <c r="CB176" s="298">
        <f t="shared" si="189"/>
        <v>0</v>
      </c>
      <c r="CC176" s="299">
        <f>[1]COMMANDE!AK174</f>
        <v>0</v>
      </c>
      <c r="CD176" s="297" t="str">
        <f t="shared" si="190"/>
        <v>0</v>
      </c>
      <c r="CE176" s="300">
        <f t="shared" si="191"/>
        <v>0</v>
      </c>
      <c r="CF176" s="301">
        <f>[1]COMMANDE!AM174</f>
        <v>0</v>
      </c>
      <c r="CG176" s="297" t="str">
        <f t="shared" si="192"/>
        <v>0</v>
      </c>
      <c r="CH176" s="298">
        <f t="shared" si="193"/>
        <v>0</v>
      </c>
      <c r="CI176" s="299">
        <f>[1]COMMANDE!AO174</f>
        <v>0</v>
      </c>
      <c r="CJ176" s="297" t="str">
        <f t="shared" si="194"/>
        <v>0</v>
      </c>
      <c r="CK176" s="300">
        <f t="shared" si="195"/>
        <v>0</v>
      </c>
      <c r="CL176" s="301">
        <f>[1]COMMANDE!AQ174</f>
        <v>0</v>
      </c>
      <c r="CM176" s="297" t="str">
        <f t="shared" si="196"/>
        <v>0</v>
      </c>
      <c r="CN176" s="298">
        <f t="shared" si="197"/>
        <v>0</v>
      </c>
      <c r="CO176" s="299">
        <f>[1]COMMANDE!AS174</f>
        <v>0</v>
      </c>
      <c r="CP176" s="297" t="str">
        <f t="shared" si="198"/>
        <v>0</v>
      </c>
      <c r="CQ176" s="300">
        <f t="shared" si="199"/>
        <v>0</v>
      </c>
      <c r="CR176" s="301">
        <f>[1]COMMANDE!AU174</f>
        <v>0</v>
      </c>
      <c r="CS176" s="297" t="str">
        <f t="shared" si="200"/>
        <v>0</v>
      </c>
      <c r="CT176" s="298">
        <f t="shared" si="201"/>
        <v>0</v>
      </c>
      <c r="CU176" s="299">
        <f>[1]COMMANDE!AW174</f>
        <v>0</v>
      </c>
      <c r="CV176" s="297" t="str">
        <f t="shared" si="202"/>
        <v>0</v>
      </c>
      <c r="CW176" s="300">
        <f t="shared" si="203"/>
        <v>0</v>
      </c>
      <c r="CX176" s="301">
        <f>[1]COMMANDE!AY174</f>
        <v>0</v>
      </c>
      <c r="CY176" s="297" t="str">
        <f t="shared" si="204"/>
        <v>0</v>
      </c>
      <c r="CZ176" s="298">
        <f t="shared" si="205"/>
        <v>0</v>
      </c>
      <c r="DA176" s="299">
        <f>[1]COMMANDE!BA174</f>
        <v>0</v>
      </c>
      <c r="DB176" s="297" t="str">
        <f t="shared" si="206"/>
        <v>0</v>
      </c>
      <c r="DC176" s="302">
        <f t="shared" si="207"/>
        <v>0</v>
      </c>
      <c r="DD176" s="303"/>
      <c r="DE176" s="304"/>
    </row>
    <row r="177" spans="1:109" ht="39.950000000000003" customHeight="1" x14ac:dyDescent="0.25">
      <c r="A177" s="284">
        <f t="shared" si="140"/>
        <v>0</v>
      </c>
      <c r="B177" s="284">
        <f t="shared" si="141"/>
        <v>0</v>
      </c>
      <c r="C177" s="284">
        <f t="shared" si="142"/>
        <v>0</v>
      </c>
      <c r="D177" s="284">
        <f t="shared" si="143"/>
        <v>0</v>
      </c>
      <c r="E177" s="284">
        <f t="shared" si="144"/>
        <v>0</v>
      </c>
      <c r="F177" s="284">
        <f t="shared" si="145"/>
        <v>0</v>
      </c>
      <c r="G177" s="284">
        <f t="shared" si="146"/>
        <v>0</v>
      </c>
      <c r="H177" s="284">
        <f t="shared" si="147"/>
        <v>0</v>
      </c>
      <c r="I177" s="284">
        <f t="shared" si="148"/>
        <v>0</v>
      </c>
      <c r="J177" s="284">
        <f t="shared" si="149"/>
        <v>0</v>
      </c>
      <c r="K177" s="284">
        <f t="shared" si="150"/>
        <v>0</v>
      </c>
      <c r="L177" s="284">
        <f t="shared" si="151"/>
        <v>0</v>
      </c>
      <c r="M177" s="284">
        <f t="shared" si="152"/>
        <v>0</v>
      </c>
      <c r="N177" s="284">
        <f t="shared" si="153"/>
        <v>0</v>
      </c>
      <c r="O177" s="284">
        <f t="shared" si="154"/>
        <v>0</v>
      </c>
      <c r="P177" s="284">
        <f t="shared" si="155"/>
        <v>0</v>
      </c>
      <c r="Q177" s="284">
        <f t="shared" si="156"/>
        <v>0</v>
      </c>
      <c r="R177" s="284">
        <f t="shared" si="157"/>
        <v>0</v>
      </c>
      <c r="S177" s="284">
        <f t="shared" si="158"/>
        <v>0</v>
      </c>
      <c r="T177" s="284">
        <f t="shared" si="159"/>
        <v>0</v>
      </c>
      <c r="U177" s="285">
        <f t="shared" si="160"/>
        <v>0</v>
      </c>
      <c r="V177" s="286">
        <f>[1]BDD!A167</f>
        <v>1052</v>
      </c>
      <c r="W177" s="287" t="str">
        <f>[1]BDD!B167</f>
        <v>Melon peau de crapaud BIO</v>
      </c>
      <c r="X177" s="288" t="str">
        <f>IF([1]BDD!F167=0, "", [1]BDD!F167)</f>
        <v/>
      </c>
      <c r="Y177" s="214">
        <f>ROUND([1]BDD!G167+FDP_CMD_KG, 2)</f>
        <v>3.73</v>
      </c>
      <c r="Z177" s="214">
        <f>ROUND([1]BDD!G167+FDP_FACT_KG, 2)</f>
        <v>3.73</v>
      </c>
      <c r="AA177" s="215" t="str">
        <f>[1]BDD!H167</f>
        <v>kg</v>
      </c>
      <c r="AB177" s="225">
        <f>IF(NOT(ISBLANK([1]BDD!I167)), ROUND(SUM(([1]BDD!G167*reduc1),FDP_CMD_KG), 2), "")</f>
        <v>3.45</v>
      </c>
      <c r="AC177" s="225">
        <f>IF(NOT(ISBLANK([1]BDD!J167)), ROUND(SUM(([1]BDD!G167*reduc2),FDP_CMD_KG), 2), "")</f>
        <v>3.16</v>
      </c>
      <c r="AD177" s="225" t="str">
        <f>IF(NOT(ISBLANK([1]BDD!K167)), ROUND(SUM(([1]BDD!G167*reduc3),FDP_CMD_KG), 2), "")</f>
        <v/>
      </c>
      <c r="AE177" s="225">
        <f>IF(NOT(ISBLANK([1]BDD!I167)), ROUND(SUM(([1]BDD!G167*reduc1),FDP_FACT_KG), 2), "")</f>
        <v>3.44</v>
      </c>
      <c r="AF177" s="225">
        <f>IF(NOT(ISBLANK([1]BDD!J167)), ROUND(SUM(([1]BDD!G167*reduc2),FDP_FACT_KG), 2), "")</f>
        <v>3.15</v>
      </c>
      <c r="AG177" s="225" t="str">
        <f>IF(NOT(ISBLANK([1]BDD!K167)), ROUND(SUM(([1]BDD!G167*reduc3),FDP_FACT_KG), 2), "")</f>
        <v/>
      </c>
      <c r="AH177" s="289" t="str">
        <f>[1]BDD!C167</f>
        <v>Andalousie</v>
      </c>
      <c r="AI177" s="290">
        <f t="shared" si="161"/>
        <v>0</v>
      </c>
      <c r="AJ177" s="216">
        <f t="shared" si="162"/>
        <v>3.16</v>
      </c>
      <c r="AK177" s="291">
        <f t="shared" si="163"/>
        <v>0</v>
      </c>
      <c r="AL177" s="429"/>
      <c r="AM177" s="292"/>
      <c r="AN177" s="216">
        <f t="shared" si="164"/>
        <v>3.73</v>
      </c>
      <c r="AO177" s="293">
        <f t="shared" si="165"/>
        <v>0</v>
      </c>
      <c r="AP177" s="294"/>
      <c r="AQ177" s="294"/>
      <c r="AR177" s="429"/>
      <c r="AS177" s="295">
        <f t="shared" si="166"/>
        <v>0</v>
      </c>
      <c r="AT177" s="216">
        <f t="shared" si="167"/>
        <v>3.73</v>
      </c>
      <c r="AU177" s="291">
        <f t="shared" si="139"/>
        <v>0</v>
      </c>
      <c r="AV177" s="296">
        <f>[1]COMMANDE!O175</f>
        <v>0</v>
      </c>
      <c r="AW177" s="297" t="str">
        <f t="shared" si="168"/>
        <v>0</v>
      </c>
      <c r="AX177" s="298">
        <f t="shared" si="169"/>
        <v>0</v>
      </c>
      <c r="AY177" s="299">
        <f>[1]COMMANDE!Q175</f>
        <v>0</v>
      </c>
      <c r="AZ177" s="297" t="str">
        <f t="shared" si="170"/>
        <v>0</v>
      </c>
      <c r="BA177" s="300">
        <f t="shared" si="171"/>
        <v>0</v>
      </c>
      <c r="BB177" s="301">
        <f>[1]COMMANDE!S175</f>
        <v>0</v>
      </c>
      <c r="BC177" s="297" t="str">
        <f t="shared" si="172"/>
        <v>0</v>
      </c>
      <c r="BD177" s="298">
        <f t="shared" si="173"/>
        <v>0</v>
      </c>
      <c r="BE177" s="299">
        <f>[1]COMMANDE!U175</f>
        <v>0</v>
      </c>
      <c r="BF177" s="297" t="str">
        <f t="shared" si="174"/>
        <v>0</v>
      </c>
      <c r="BG177" s="300">
        <f t="shared" si="175"/>
        <v>0</v>
      </c>
      <c r="BH177" s="301">
        <f>[1]COMMANDE!W175</f>
        <v>0</v>
      </c>
      <c r="BI177" s="297" t="str">
        <f t="shared" si="176"/>
        <v>0</v>
      </c>
      <c r="BJ177" s="298">
        <f t="shared" si="177"/>
        <v>0</v>
      </c>
      <c r="BK177" s="299">
        <f>[1]COMMANDE!Y175</f>
        <v>0</v>
      </c>
      <c r="BL177" s="297" t="str">
        <f t="shared" si="178"/>
        <v>0</v>
      </c>
      <c r="BM177" s="300">
        <f t="shared" si="179"/>
        <v>0</v>
      </c>
      <c r="BN177" s="301">
        <f>[1]COMMANDE!AA175</f>
        <v>0</v>
      </c>
      <c r="BO177" s="297" t="str">
        <f t="shared" si="180"/>
        <v>0</v>
      </c>
      <c r="BP177" s="298">
        <f t="shared" si="181"/>
        <v>0</v>
      </c>
      <c r="BQ177" s="299">
        <f>[1]COMMANDE!AC175</f>
        <v>0</v>
      </c>
      <c r="BR177" s="297" t="str">
        <f t="shared" si="182"/>
        <v>0</v>
      </c>
      <c r="BS177" s="300">
        <f t="shared" si="183"/>
        <v>0</v>
      </c>
      <c r="BT177" s="301">
        <f>[1]COMMANDE!AE175</f>
        <v>0</v>
      </c>
      <c r="BU177" s="297" t="str">
        <f t="shared" si="184"/>
        <v>0</v>
      </c>
      <c r="BV177" s="298">
        <f t="shared" si="185"/>
        <v>0</v>
      </c>
      <c r="BW177" s="299">
        <f>[1]COMMANDE!AG175</f>
        <v>0</v>
      </c>
      <c r="BX177" s="297" t="str">
        <f t="shared" si="186"/>
        <v>0</v>
      </c>
      <c r="BY177" s="300">
        <f t="shared" si="187"/>
        <v>0</v>
      </c>
      <c r="BZ177" s="301">
        <f>[1]COMMANDE!AI175</f>
        <v>0</v>
      </c>
      <c r="CA177" s="297" t="str">
        <f t="shared" si="188"/>
        <v>0</v>
      </c>
      <c r="CB177" s="298">
        <f t="shared" si="189"/>
        <v>0</v>
      </c>
      <c r="CC177" s="299">
        <f>[1]COMMANDE!AK175</f>
        <v>0</v>
      </c>
      <c r="CD177" s="297" t="str">
        <f t="shared" si="190"/>
        <v>0</v>
      </c>
      <c r="CE177" s="300">
        <f t="shared" si="191"/>
        <v>0</v>
      </c>
      <c r="CF177" s="301">
        <f>[1]COMMANDE!AM175</f>
        <v>0</v>
      </c>
      <c r="CG177" s="297" t="str">
        <f t="shared" si="192"/>
        <v>0</v>
      </c>
      <c r="CH177" s="298">
        <f t="shared" si="193"/>
        <v>0</v>
      </c>
      <c r="CI177" s="299">
        <f>[1]COMMANDE!AO175</f>
        <v>0</v>
      </c>
      <c r="CJ177" s="297" t="str">
        <f t="shared" si="194"/>
        <v>0</v>
      </c>
      <c r="CK177" s="300">
        <f t="shared" si="195"/>
        <v>0</v>
      </c>
      <c r="CL177" s="301">
        <f>[1]COMMANDE!AQ175</f>
        <v>0</v>
      </c>
      <c r="CM177" s="297" t="str">
        <f t="shared" si="196"/>
        <v>0</v>
      </c>
      <c r="CN177" s="298">
        <f t="shared" si="197"/>
        <v>0</v>
      </c>
      <c r="CO177" s="299">
        <f>[1]COMMANDE!AS175</f>
        <v>0</v>
      </c>
      <c r="CP177" s="297" t="str">
        <f t="shared" si="198"/>
        <v>0</v>
      </c>
      <c r="CQ177" s="300">
        <f t="shared" si="199"/>
        <v>0</v>
      </c>
      <c r="CR177" s="301">
        <f>[1]COMMANDE!AU175</f>
        <v>0</v>
      </c>
      <c r="CS177" s="297" t="str">
        <f t="shared" si="200"/>
        <v>0</v>
      </c>
      <c r="CT177" s="298">
        <f t="shared" si="201"/>
        <v>0</v>
      </c>
      <c r="CU177" s="299">
        <f>[1]COMMANDE!AW175</f>
        <v>0</v>
      </c>
      <c r="CV177" s="297" t="str">
        <f t="shared" si="202"/>
        <v>0</v>
      </c>
      <c r="CW177" s="300">
        <f t="shared" si="203"/>
        <v>0</v>
      </c>
      <c r="CX177" s="301">
        <f>[1]COMMANDE!AY175</f>
        <v>0</v>
      </c>
      <c r="CY177" s="297" t="str">
        <f t="shared" si="204"/>
        <v>0</v>
      </c>
      <c r="CZ177" s="298">
        <f t="shared" si="205"/>
        <v>0</v>
      </c>
      <c r="DA177" s="299">
        <f>[1]COMMANDE!BA175</f>
        <v>0</v>
      </c>
      <c r="DB177" s="297" t="str">
        <f t="shared" si="206"/>
        <v>0</v>
      </c>
      <c r="DC177" s="302">
        <f t="shared" si="207"/>
        <v>0</v>
      </c>
      <c r="DD177" s="303"/>
      <c r="DE177" s="304"/>
    </row>
    <row r="178" spans="1:109" ht="39.950000000000003" customHeight="1" x14ac:dyDescent="0.25">
      <c r="A178" s="284">
        <f t="shared" si="140"/>
        <v>0</v>
      </c>
      <c r="B178" s="284">
        <f t="shared" si="141"/>
        <v>0</v>
      </c>
      <c r="C178" s="284">
        <f t="shared" si="142"/>
        <v>0</v>
      </c>
      <c r="D178" s="284">
        <f t="shared" si="143"/>
        <v>0</v>
      </c>
      <c r="E178" s="284">
        <f t="shared" si="144"/>
        <v>0</v>
      </c>
      <c r="F178" s="284">
        <f t="shared" si="145"/>
        <v>0</v>
      </c>
      <c r="G178" s="284">
        <f t="shared" si="146"/>
        <v>0</v>
      </c>
      <c r="H178" s="284">
        <f t="shared" si="147"/>
        <v>0</v>
      </c>
      <c r="I178" s="284">
        <f t="shared" si="148"/>
        <v>0</v>
      </c>
      <c r="J178" s="284">
        <f t="shared" si="149"/>
        <v>0</v>
      </c>
      <c r="K178" s="284">
        <f t="shared" si="150"/>
        <v>0</v>
      </c>
      <c r="L178" s="284">
        <f t="shared" si="151"/>
        <v>0</v>
      </c>
      <c r="M178" s="284">
        <f t="shared" si="152"/>
        <v>0</v>
      </c>
      <c r="N178" s="284">
        <f t="shared" si="153"/>
        <v>0</v>
      </c>
      <c r="O178" s="284">
        <f t="shared" si="154"/>
        <v>0</v>
      </c>
      <c r="P178" s="284">
        <f t="shared" si="155"/>
        <v>0</v>
      </c>
      <c r="Q178" s="284">
        <f t="shared" si="156"/>
        <v>0</v>
      </c>
      <c r="R178" s="284">
        <f t="shared" si="157"/>
        <v>0</v>
      </c>
      <c r="S178" s="284">
        <f t="shared" si="158"/>
        <v>0</v>
      </c>
      <c r="T178" s="284">
        <f t="shared" si="159"/>
        <v>0</v>
      </c>
      <c r="U178" s="285">
        <f t="shared" si="160"/>
        <v>0</v>
      </c>
      <c r="V178" s="286">
        <f>[1]BDD!A168</f>
        <v>3925</v>
      </c>
      <c r="W178" s="287" t="str">
        <f>[1]BDD!B168</f>
        <v>Miel d'avocat (Bocal en verre env. 1kg)</v>
      </c>
      <c r="X178" s="288" t="str">
        <f>IF([1]BDD!F168=0, "", [1]BDD!F168)</f>
        <v>❤️</v>
      </c>
      <c r="Y178" s="214">
        <f>ROUND([1]BDD!G168+FDP_CMD_KG, 2)</f>
        <v>13.6</v>
      </c>
      <c r="Z178" s="214">
        <f>ROUND([1]BDD!G168+FDP_FACT_KG, 2)</f>
        <v>13.6</v>
      </c>
      <c r="AA178" s="215" t="str">
        <f>[1]BDD!H168</f>
        <v>Pièce</v>
      </c>
      <c r="AB178" s="225">
        <f>IF(NOT(ISBLANK([1]BDD!I168)), ROUND(SUM(([1]BDD!G168*reduc1),FDP_CMD_KG), 2), "")</f>
        <v>12.33</v>
      </c>
      <c r="AC178" s="225" t="str">
        <f>IF(NOT(ISBLANK([1]BDD!J168)), ROUND(SUM(([1]BDD!G168*reduc2),FDP_CMD_KG), 2), "")</f>
        <v/>
      </c>
      <c r="AD178" s="225" t="str">
        <f>IF(NOT(ISBLANK([1]BDD!K168)), ROUND(SUM(([1]BDD!G168*reduc3),FDP_CMD_KG), 2), "")</f>
        <v/>
      </c>
      <c r="AE178" s="225">
        <f>IF(NOT(ISBLANK([1]BDD!I168)), ROUND(SUM(([1]BDD!G168*reduc1),FDP_FACT_KG), 2), "")</f>
        <v>12.32</v>
      </c>
      <c r="AF178" s="225" t="str">
        <f>IF(NOT(ISBLANK([1]BDD!J168)), ROUND(SUM(([1]BDD!G168*reduc2),FDP_FACT_KG), 2), "")</f>
        <v/>
      </c>
      <c r="AG178" s="225" t="str">
        <f>IF(NOT(ISBLANK([1]BDD!K168)), ROUND(SUM(([1]BDD!G168*reduc3),FDP_FACT_KG), 2), "")</f>
        <v/>
      </c>
      <c r="AH178" s="289" t="str">
        <f>[1]BDD!C168</f>
        <v>Grenade</v>
      </c>
      <c r="AI178" s="290">
        <f t="shared" si="161"/>
        <v>0</v>
      </c>
      <c r="AJ178" s="216">
        <f t="shared" si="162"/>
        <v>12.33</v>
      </c>
      <c r="AK178" s="291">
        <f t="shared" si="163"/>
        <v>0</v>
      </c>
      <c r="AL178" s="429"/>
      <c r="AM178" s="292"/>
      <c r="AN178" s="216">
        <f t="shared" si="164"/>
        <v>13.6</v>
      </c>
      <c r="AO178" s="293">
        <f t="shared" si="165"/>
        <v>0</v>
      </c>
      <c r="AP178" s="294"/>
      <c r="AQ178" s="294"/>
      <c r="AR178" s="429"/>
      <c r="AS178" s="295">
        <f t="shared" si="166"/>
        <v>0</v>
      </c>
      <c r="AT178" s="216">
        <f t="shared" si="167"/>
        <v>13.6</v>
      </c>
      <c r="AU178" s="291">
        <f t="shared" si="139"/>
        <v>0</v>
      </c>
      <c r="AV178" s="296">
        <f>[1]COMMANDE!O176</f>
        <v>0</v>
      </c>
      <c r="AW178" s="297" t="str">
        <f t="shared" si="168"/>
        <v>0</v>
      </c>
      <c r="AX178" s="298">
        <f t="shared" si="169"/>
        <v>0</v>
      </c>
      <c r="AY178" s="299">
        <f>[1]COMMANDE!Q176</f>
        <v>0</v>
      </c>
      <c r="AZ178" s="297" t="str">
        <f t="shared" si="170"/>
        <v>0</v>
      </c>
      <c r="BA178" s="300">
        <f t="shared" si="171"/>
        <v>0</v>
      </c>
      <c r="BB178" s="301">
        <f>[1]COMMANDE!S176</f>
        <v>0</v>
      </c>
      <c r="BC178" s="297" t="str">
        <f t="shared" si="172"/>
        <v>0</v>
      </c>
      <c r="BD178" s="298">
        <f t="shared" si="173"/>
        <v>0</v>
      </c>
      <c r="BE178" s="299">
        <f>[1]COMMANDE!U176</f>
        <v>0</v>
      </c>
      <c r="BF178" s="297" t="str">
        <f t="shared" si="174"/>
        <v>0</v>
      </c>
      <c r="BG178" s="300">
        <f t="shared" si="175"/>
        <v>0</v>
      </c>
      <c r="BH178" s="301">
        <f>[1]COMMANDE!W176</f>
        <v>0</v>
      </c>
      <c r="BI178" s="297" t="str">
        <f t="shared" si="176"/>
        <v>0</v>
      </c>
      <c r="BJ178" s="298">
        <f t="shared" si="177"/>
        <v>0</v>
      </c>
      <c r="BK178" s="299">
        <f>[1]COMMANDE!Y176</f>
        <v>0</v>
      </c>
      <c r="BL178" s="297" t="str">
        <f t="shared" si="178"/>
        <v>0</v>
      </c>
      <c r="BM178" s="300">
        <f t="shared" si="179"/>
        <v>0</v>
      </c>
      <c r="BN178" s="301">
        <f>[1]COMMANDE!AA176</f>
        <v>0</v>
      </c>
      <c r="BO178" s="297" t="str">
        <f t="shared" si="180"/>
        <v>0</v>
      </c>
      <c r="BP178" s="298">
        <f t="shared" si="181"/>
        <v>0</v>
      </c>
      <c r="BQ178" s="299">
        <f>[1]COMMANDE!AC176</f>
        <v>0</v>
      </c>
      <c r="BR178" s="297" t="str">
        <f t="shared" si="182"/>
        <v>0</v>
      </c>
      <c r="BS178" s="300">
        <f t="shared" si="183"/>
        <v>0</v>
      </c>
      <c r="BT178" s="301">
        <f>[1]COMMANDE!AE176</f>
        <v>0</v>
      </c>
      <c r="BU178" s="297" t="str">
        <f t="shared" si="184"/>
        <v>0</v>
      </c>
      <c r="BV178" s="298">
        <f t="shared" si="185"/>
        <v>0</v>
      </c>
      <c r="BW178" s="299">
        <f>[1]COMMANDE!AG176</f>
        <v>0</v>
      </c>
      <c r="BX178" s="297" t="str">
        <f t="shared" si="186"/>
        <v>0</v>
      </c>
      <c r="BY178" s="300">
        <f t="shared" si="187"/>
        <v>0</v>
      </c>
      <c r="BZ178" s="301">
        <f>[1]COMMANDE!AI176</f>
        <v>0</v>
      </c>
      <c r="CA178" s="297" t="str">
        <f t="shared" si="188"/>
        <v>0</v>
      </c>
      <c r="CB178" s="298">
        <f t="shared" si="189"/>
        <v>0</v>
      </c>
      <c r="CC178" s="299">
        <f>[1]COMMANDE!AK176</f>
        <v>0</v>
      </c>
      <c r="CD178" s="297" t="str">
        <f t="shared" si="190"/>
        <v>0</v>
      </c>
      <c r="CE178" s="300">
        <f t="shared" si="191"/>
        <v>0</v>
      </c>
      <c r="CF178" s="301">
        <f>[1]COMMANDE!AM176</f>
        <v>0</v>
      </c>
      <c r="CG178" s="297" t="str">
        <f t="shared" si="192"/>
        <v>0</v>
      </c>
      <c r="CH178" s="298">
        <f t="shared" si="193"/>
        <v>0</v>
      </c>
      <c r="CI178" s="299">
        <f>[1]COMMANDE!AO176</f>
        <v>0</v>
      </c>
      <c r="CJ178" s="297" t="str">
        <f t="shared" si="194"/>
        <v>0</v>
      </c>
      <c r="CK178" s="300">
        <f t="shared" si="195"/>
        <v>0</v>
      </c>
      <c r="CL178" s="301">
        <f>[1]COMMANDE!AQ176</f>
        <v>0</v>
      </c>
      <c r="CM178" s="297" t="str">
        <f t="shared" si="196"/>
        <v>0</v>
      </c>
      <c r="CN178" s="298">
        <f t="shared" si="197"/>
        <v>0</v>
      </c>
      <c r="CO178" s="299">
        <f>[1]COMMANDE!AS176</f>
        <v>0</v>
      </c>
      <c r="CP178" s="297" t="str">
        <f t="shared" si="198"/>
        <v>0</v>
      </c>
      <c r="CQ178" s="300">
        <f t="shared" si="199"/>
        <v>0</v>
      </c>
      <c r="CR178" s="301">
        <f>[1]COMMANDE!AU176</f>
        <v>0</v>
      </c>
      <c r="CS178" s="297" t="str">
        <f t="shared" si="200"/>
        <v>0</v>
      </c>
      <c r="CT178" s="298">
        <f t="shared" si="201"/>
        <v>0</v>
      </c>
      <c r="CU178" s="299">
        <f>[1]COMMANDE!AW176</f>
        <v>0</v>
      </c>
      <c r="CV178" s="297" t="str">
        <f t="shared" si="202"/>
        <v>0</v>
      </c>
      <c r="CW178" s="300">
        <f t="shared" si="203"/>
        <v>0</v>
      </c>
      <c r="CX178" s="301">
        <f>[1]COMMANDE!AY176</f>
        <v>0</v>
      </c>
      <c r="CY178" s="297" t="str">
        <f t="shared" si="204"/>
        <v>0</v>
      </c>
      <c r="CZ178" s="298">
        <f t="shared" si="205"/>
        <v>0</v>
      </c>
      <c r="DA178" s="299">
        <f>[1]COMMANDE!BA176</f>
        <v>0</v>
      </c>
      <c r="DB178" s="297" t="str">
        <f t="shared" si="206"/>
        <v>0</v>
      </c>
      <c r="DC178" s="302">
        <f t="shared" si="207"/>
        <v>0</v>
      </c>
      <c r="DD178" s="303"/>
      <c r="DE178" s="304"/>
    </row>
    <row r="179" spans="1:109" ht="39.950000000000003" customHeight="1" x14ac:dyDescent="0.25">
      <c r="A179" s="284">
        <f t="shared" si="140"/>
        <v>0</v>
      </c>
      <c r="B179" s="284">
        <f t="shared" si="141"/>
        <v>0</v>
      </c>
      <c r="C179" s="284">
        <f t="shared" si="142"/>
        <v>0</v>
      </c>
      <c r="D179" s="284">
        <f t="shared" si="143"/>
        <v>0</v>
      </c>
      <c r="E179" s="284">
        <f t="shared" si="144"/>
        <v>0</v>
      </c>
      <c r="F179" s="284">
        <f t="shared" si="145"/>
        <v>0</v>
      </c>
      <c r="G179" s="284">
        <f t="shared" si="146"/>
        <v>0</v>
      </c>
      <c r="H179" s="284">
        <f t="shared" si="147"/>
        <v>0</v>
      </c>
      <c r="I179" s="284">
        <f t="shared" si="148"/>
        <v>0</v>
      </c>
      <c r="J179" s="284">
        <f t="shared" si="149"/>
        <v>0</v>
      </c>
      <c r="K179" s="284">
        <f t="shared" si="150"/>
        <v>0</v>
      </c>
      <c r="L179" s="284">
        <f t="shared" si="151"/>
        <v>0</v>
      </c>
      <c r="M179" s="284">
        <f t="shared" si="152"/>
        <v>0</v>
      </c>
      <c r="N179" s="284">
        <f t="shared" si="153"/>
        <v>0</v>
      </c>
      <c r="O179" s="284">
        <f t="shared" si="154"/>
        <v>0</v>
      </c>
      <c r="P179" s="284">
        <f t="shared" si="155"/>
        <v>0</v>
      </c>
      <c r="Q179" s="284">
        <f t="shared" si="156"/>
        <v>0</v>
      </c>
      <c r="R179" s="284">
        <f t="shared" si="157"/>
        <v>0</v>
      </c>
      <c r="S179" s="284">
        <f t="shared" si="158"/>
        <v>0</v>
      </c>
      <c r="T179" s="284">
        <f t="shared" si="159"/>
        <v>0</v>
      </c>
      <c r="U179" s="285">
        <f t="shared" si="160"/>
        <v>0</v>
      </c>
      <c r="V179" s="286">
        <f>[1]BDD!A169</f>
        <v>1324</v>
      </c>
      <c r="W179" s="287" t="str">
        <f>[1]BDD!B169</f>
        <v>Miel d'eucalyptus BIO (Bocal en verre env. 1kg)</v>
      </c>
      <c r="X179" s="288" t="str">
        <f>IF([1]BDD!F169=0, "", [1]BDD!F169)</f>
        <v>❤️</v>
      </c>
      <c r="Y179" s="214">
        <f>ROUND([1]BDD!G169+FDP_CMD_KG, 2)</f>
        <v>20.72</v>
      </c>
      <c r="Z179" s="214">
        <f>ROUND([1]BDD!G169+FDP_FACT_KG, 2)</f>
        <v>20.72</v>
      </c>
      <c r="AA179" s="215" t="str">
        <f>[1]BDD!H169</f>
        <v>Pièce</v>
      </c>
      <c r="AB179" s="225">
        <f>IF(NOT(ISBLANK([1]BDD!I169)), ROUND(SUM(([1]BDD!G169*reduc1),FDP_CMD_KG), 2), "")</f>
        <v>18.739999999999998</v>
      </c>
      <c r="AC179" s="225" t="str">
        <f>IF(NOT(ISBLANK([1]BDD!J169)), ROUND(SUM(([1]BDD!G169*reduc2),FDP_CMD_KG), 2), "")</f>
        <v/>
      </c>
      <c r="AD179" s="225" t="str">
        <f>IF(NOT(ISBLANK([1]BDD!K169)), ROUND(SUM(([1]BDD!G169*reduc3),FDP_CMD_KG), 2), "")</f>
        <v/>
      </c>
      <c r="AE179" s="225">
        <f>IF(NOT(ISBLANK([1]BDD!I169)), ROUND(SUM(([1]BDD!G169*reduc1),FDP_FACT_KG), 2), "")</f>
        <v>18.73</v>
      </c>
      <c r="AF179" s="225" t="str">
        <f>IF(NOT(ISBLANK([1]BDD!J169)), ROUND(SUM(([1]BDD!G169*reduc2),FDP_FACT_KG), 2), "")</f>
        <v/>
      </c>
      <c r="AG179" s="225" t="str">
        <f>IF(NOT(ISBLANK([1]BDD!K169)), ROUND(SUM(([1]BDD!G169*reduc3),FDP_FACT_KG), 2), "")</f>
        <v/>
      </c>
      <c r="AH179" s="289" t="str">
        <f>[1]BDD!C169</f>
        <v>Huelva</v>
      </c>
      <c r="AI179" s="290">
        <f t="shared" si="161"/>
        <v>0</v>
      </c>
      <c r="AJ179" s="216">
        <f t="shared" si="162"/>
        <v>18.739999999999998</v>
      </c>
      <c r="AK179" s="291">
        <f t="shared" si="163"/>
        <v>0</v>
      </c>
      <c r="AL179" s="429"/>
      <c r="AM179" s="292"/>
      <c r="AN179" s="216">
        <f t="shared" si="164"/>
        <v>20.72</v>
      </c>
      <c r="AO179" s="293">
        <f t="shared" si="165"/>
        <v>0</v>
      </c>
      <c r="AP179" s="294"/>
      <c r="AQ179" s="294"/>
      <c r="AR179" s="429"/>
      <c r="AS179" s="295">
        <f t="shared" si="166"/>
        <v>0</v>
      </c>
      <c r="AT179" s="216">
        <f t="shared" si="167"/>
        <v>20.72</v>
      </c>
      <c r="AU179" s="291">
        <f t="shared" si="139"/>
        <v>0</v>
      </c>
      <c r="AV179" s="296">
        <f>[1]COMMANDE!O177</f>
        <v>0</v>
      </c>
      <c r="AW179" s="297" t="str">
        <f t="shared" si="168"/>
        <v>0</v>
      </c>
      <c r="AX179" s="298">
        <f t="shared" si="169"/>
        <v>0</v>
      </c>
      <c r="AY179" s="299">
        <f>[1]COMMANDE!Q177</f>
        <v>0</v>
      </c>
      <c r="AZ179" s="297" t="str">
        <f t="shared" si="170"/>
        <v>0</v>
      </c>
      <c r="BA179" s="300">
        <f t="shared" si="171"/>
        <v>0</v>
      </c>
      <c r="BB179" s="301">
        <f>[1]COMMANDE!S177</f>
        <v>0</v>
      </c>
      <c r="BC179" s="297" t="str">
        <f t="shared" si="172"/>
        <v>0</v>
      </c>
      <c r="BD179" s="298">
        <f t="shared" si="173"/>
        <v>0</v>
      </c>
      <c r="BE179" s="299">
        <f>[1]COMMANDE!U177</f>
        <v>0</v>
      </c>
      <c r="BF179" s="297" t="str">
        <f t="shared" si="174"/>
        <v>0</v>
      </c>
      <c r="BG179" s="300">
        <f t="shared" si="175"/>
        <v>0</v>
      </c>
      <c r="BH179" s="301">
        <f>[1]COMMANDE!W177</f>
        <v>0</v>
      </c>
      <c r="BI179" s="297" t="str">
        <f t="shared" si="176"/>
        <v>0</v>
      </c>
      <c r="BJ179" s="298">
        <f t="shared" si="177"/>
        <v>0</v>
      </c>
      <c r="BK179" s="299">
        <f>[1]COMMANDE!Y177</f>
        <v>0</v>
      </c>
      <c r="BL179" s="297" t="str">
        <f t="shared" si="178"/>
        <v>0</v>
      </c>
      <c r="BM179" s="300">
        <f t="shared" si="179"/>
        <v>0</v>
      </c>
      <c r="BN179" s="301">
        <f>[1]COMMANDE!AA177</f>
        <v>0</v>
      </c>
      <c r="BO179" s="297" t="str">
        <f t="shared" si="180"/>
        <v>0</v>
      </c>
      <c r="BP179" s="298">
        <f t="shared" si="181"/>
        <v>0</v>
      </c>
      <c r="BQ179" s="299">
        <f>[1]COMMANDE!AC177</f>
        <v>0</v>
      </c>
      <c r="BR179" s="297" t="str">
        <f t="shared" si="182"/>
        <v>0</v>
      </c>
      <c r="BS179" s="300">
        <f t="shared" si="183"/>
        <v>0</v>
      </c>
      <c r="BT179" s="301">
        <f>[1]COMMANDE!AE177</f>
        <v>0</v>
      </c>
      <c r="BU179" s="297" t="str">
        <f t="shared" si="184"/>
        <v>0</v>
      </c>
      <c r="BV179" s="298">
        <f t="shared" si="185"/>
        <v>0</v>
      </c>
      <c r="BW179" s="299">
        <f>[1]COMMANDE!AG177</f>
        <v>0</v>
      </c>
      <c r="BX179" s="297" t="str">
        <f t="shared" si="186"/>
        <v>0</v>
      </c>
      <c r="BY179" s="300">
        <f t="shared" si="187"/>
        <v>0</v>
      </c>
      <c r="BZ179" s="301">
        <f>[1]COMMANDE!AI177</f>
        <v>0</v>
      </c>
      <c r="CA179" s="297" t="str">
        <f t="shared" si="188"/>
        <v>0</v>
      </c>
      <c r="CB179" s="298">
        <f t="shared" si="189"/>
        <v>0</v>
      </c>
      <c r="CC179" s="299">
        <f>[1]COMMANDE!AK177</f>
        <v>0</v>
      </c>
      <c r="CD179" s="297" t="str">
        <f t="shared" si="190"/>
        <v>0</v>
      </c>
      <c r="CE179" s="300">
        <f t="shared" si="191"/>
        <v>0</v>
      </c>
      <c r="CF179" s="301">
        <f>[1]COMMANDE!AM177</f>
        <v>0</v>
      </c>
      <c r="CG179" s="297" t="str">
        <f t="shared" si="192"/>
        <v>0</v>
      </c>
      <c r="CH179" s="298">
        <f t="shared" si="193"/>
        <v>0</v>
      </c>
      <c r="CI179" s="299">
        <f>[1]COMMANDE!AO177</f>
        <v>0</v>
      </c>
      <c r="CJ179" s="297" t="str">
        <f t="shared" si="194"/>
        <v>0</v>
      </c>
      <c r="CK179" s="300">
        <f t="shared" si="195"/>
        <v>0</v>
      </c>
      <c r="CL179" s="301">
        <f>[1]COMMANDE!AQ177</f>
        <v>0</v>
      </c>
      <c r="CM179" s="297" t="str">
        <f t="shared" si="196"/>
        <v>0</v>
      </c>
      <c r="CN179" s="298">
        <f t="shared" si="197"/>
        <v>0</v>
      </c>
      <c r="CO179" s="299">
        <f>[1]COMMANDE!AS177</f>
        <v>0</v>
      </c>
      <c r="CP179" s="297" t="str">
        <f t="shared" si="198"/>
        <v>0</v>
      </c>
      <c r="CQ179" s="300">
        <f t="shared" si="199"/>
        <v>0</v>
      </c>
      <c r="CR179" s="301">
        <f>[1]COMMANDE!AU177</f>
        <v>0</v>
      </c>
      <c r="CS179" s="297" t="str">
        <f t="shared" si="200"/>
        <v>0</v>
      </c>
      <c r="CT179" s="298">
        <f t="shared" si="201"/>
        <v>0</v>
      </c>
      <c r="CU179" s="299">
        <f>[1]COMMANDE!AW177</f>
        <v>0</v>
      </c>
      <c r="CV179" s="297" t="str">
        <f t="shared" si="202"/>
        <v>0</v>
      </c>
      <c r="CW179" s="300">
        <f t="shared" si="203"/>
        <v>0</v>
      </c>
      <c r="CX179" s="301">
        <f>[1]COMMANDE!AY177</f>
        <v>0</v>
      </c>
      <c r="CY179" s="297" t="str">
        <f t="shared" si="204"/>
        <v>0</v>
      </c>
      <c r="CZ179" s="298">
        <f t="shared" si="205"/>
        <v>0</v>
      </c>
      <c r="DA179" s="299">
        <f>[1]COMMANDE!BA177</f>
        <v>0</v>
      </c>
      <c r="DB179" s="297" t="str">
        <f t="shared" si="206"/>
        <v>0</v>
      </c>
      <c r="DC179" s="302">
        <f t="shared" si="207"/>
        <v>0</v>
      </c>
      <c r="DD179" s="303"/>
      <c r="DE179" s="304"/>
    </row>
    <row r="180" spans="1:109" ht="39.950000000000003" customHeight="1" x14ac:dyDescent="0.25">
      <c r="A180" s="284">
        <f t="shared" si="140"/>
        <v>0</v>
      </c>
      <c r="B180" s="284">
        <f t="shared" si="141"/>
        <v>0</v>
      </c>
      <c r="C180" s="284">
        <f t="shared" si="142"/>
        <v>0</v>
      </c>
      <c r="D180" s="284">
        <f t="shared" si="143"/>
        <v>0</v>
      </c>
      <c r="E180" s="284">
        <f t="shared" si="144"/>
        <v>0</v>
      </c>
      <c r="F180" s="284">
        <f t="shared" si="145"/>
        <v>0</v>
      </c>
      <c r="G180" s="284">
        <f t="shared" si="146"/>
        <v>0</v>
      </c>
      <c r="H180" s="284">
        <f t="shared" si="147"/>
        <v>0</v>
      </c>
      <c r="I180" s="284">
        <f t="shared" si="148"/>
        <v>0</v>
      </c>
      <c r="J180" s="284">
        <f t="shared" si="149"/>
        <v>0</v>
      </c>
      <c r="K180" s="284">
        <f t="shared" si="150"/>
        <v>0</v>
      </c>
      <c r="L180" s="284">
        <f t="shared" si="151"/>
        <v>0</v>
      </c>
      <c r="M180" s="284">
        <f t="shared" si="152"/>
        <v>0</v>
      </c>
      <c r="N180" s="284">
        <f t="shared" si="153"/>
        <v>0</v>
      </c>
      <c r="O180" s="284">
        <f t="shared" si="154"/>
        <v>0</v>
      </c>
      <c r="P180" s="284">
        <f t="shared" si="155"/>
        <v>0</v>
      </c>
      <c r="Q180" s="284">
        <f t="shared" si="156"/>
        <v>0</v>
      </c>
      <c r="R180" s="284">
        <f t="shared" si="157"/>
        <v>0</v>
      </c>
      <c r="S180" s="284">
        <f t="shared" si="158"/>
        <v>0</v>
      </c>
      <c r="T180" s="284">
        <f t="shared" si="159"/>
        <v>0</v>
      </c>
      <c r="U180" s="285">
        <f t="shared" si="160"/>
        <v>0</v>
      </c>
      <c r="V180" s="286">
        <f>[1]BDD!A170</f>
        <v>5113</v>
      </c>
      <c r="W180" s="287" t="str">
        <f>[1]BDD!B170</f>
        <v>Miel de Fleur d'oranger (Bocal en verre env. 1kg)</v>
      </c>
      <c r="X180" s="288" t="str">
        <f>IF([1]BDD!F170=0, "", [1]BDD!F170)</f>
        <v>❤️</v>
      </c>
      <c r="Y180" s="214">
        <f>ROUND([1]BDD!G170+FDP_CMD_KG, 2)</f>
        <v>13.6</v>
      </c>
      <c r="Z180" s="214">
        <f>ROUND([1]BDD!G170+FDP_FACT_KG, 2)</f>
        <v>13.6</v>
      </c>
      <c r="AA180" s="215" t="str">
        <f>[1]BDD!H170</f>
        <v>Pièce</v>
      </c>
      <c r="AB180" s="225">
        <f>IF(NOT(ISBLANK([1]BDD!I170)), ROUND(SUM(([1]BDD!G170*reduc1),FDP_CMD_KG), 2), "")</f>
        <v>12.33</v>
      </c>
      <c r="AC180" s="225" t="str">
        <f>IF(NOT(ISBLANK([1]BDD!J170)), ROUND(SUM(([1]BDD!G170*reduc2),FDP_CMD_KG), 2), "")</f>
        <v/>
      </c>
      <c r="AD180" s="225" t="str">
        <f>IF(NOT(ISBLANK([1]BDD!K170)), ROUND(SUM(([1]BDD!G170*reduc3),FDP_CMD_KG), 2), "")</f>
        <v/>
      </c>
      <c r="AE180" s="225">
        <f>IF(NOT(ISBLANK([1]BDD!I170)), ROUND(SUM(([1]BDD!G170*reduc1),FDP_FACT_KG), 2), "")</f>
        <v>12.32</v>
      </c>
      <c r="AF180" s="225" t="str">
        <f>IF(NOT(ISBLANK([1]BDD!J170)), ROUND(SUM(([1]BDD!G170*reduc2),FDP_FACT_KG), 2), "")</f>
        <v/>
      </c>
      <c r="AG180" s="225" t="str">
        <f>IF(NOT(ISBLANK([1]BDD!K170)), ROUND(SUM(([1]BDD!G170*reduc3),FDP_FACT_KG), 2), "")</f>
        <v/>
      </c>
      <c r="AH180" s="289" t="str">
        <f>[1]BDD!C170</f>
        <v>Grenade</v>
      </c>
      <c r="AI180" s="290">
        <f t="shared" si="161"/>
        <v>0</v>
      </c>
      <c r="AJ180" s="216">
        <f t="shared" si="162"/>
        <v>12.33</v>
      </c>
      <c r="AK180" s="291">
        <f t="shared" si="163"/>
        <v>0</v>
      </c>
      <c r="AL180" s="429"/>
      <c r="AM180" s="292"/>
      <c r="AN180" s="216">
        <f t="shared" si="164"/>
        <v>13.6</v>
      </c>
      <c r="AO180" s="293">
        <f t="shared" si="165"/>
        <v>0</v>
      </c>
      <c r="AP180" s="294"/>
      <c r="AQ180" s="294"/>
      <c r="AR180" s="429"/>
      <c r="AS180" s="295">
        <f t="shared" si="166"/>
        <v>0</v>
      </c>
      <c r="AT180" s="216">
        <f t="shared" si="167"/>
        <v>13.6</v>
      </c>
      <c r="AU180" s="291">
        <f t="shared" si="139"/>
        <v>0</v>
      </c>
      <c r="AV180" s="296">
        <f>[1]COMMANDE!O178</f>
        <v>0</v>
      </c>
      <c r="AW180" s="297" t="str">
        <f t="shared" si="168"/>
        <v>0</v>
      </c>
      <c r="AX180" s="298">
        <f t="shared" si="169"/>
        <v>0</v>
      </c>
      <c r="AY180" s="299">
        <f>[1]COMMANDE!Q178</f>
        <v>0</v>
      </c>
      <c r="AZ180" s="297" t="str">
        <f t="shared" si="170"/>
        <v>0</v>
      </c>
      <c r="BA180" s="300">
        <f t="shared" si="171"/>
        <v>0</v>
      </c>
      <c r="BB180" s="301">
        <f>[1]COMMANDE!S178</f>
        <v>0</v>
      </c>
      <c r="BC180" s="297" t="str">
        <f t="shared" si="172"/>
        <v>0</v>
      </c>
      <c r="BD180" s="298">
        <f t="shared" si="173"/>
        <v>0</v>
      </c>
      <c r="BE180" s="299">
        <f>[1]COMMANDE!U178</f>
        <v>0</v>
      </c>
      <c r="BF180" s="297" t="str">
        <f t="shared" si="174"/>
        <v>0</v>
      </c>
      <c r="BG180" s="300">
        <f t="shared" si="175"/>
        <v>0</v>
      </c>
      <c r="BH180" s="301">
        <f>[1]COMMANDE!W178</f>
        <v>0</v>
      </c>
      <c r="BI180" s="297" t="str">
        <f t="shared" si="176"/>
        <v>0</v>
      </c>
      <c r="BJ180" s="298">
        <f t="shared" si="177"/>
        <v>0</v>
      </c>
      <c r="BK180" s="299">
        <f>[1]COMMANDE!Y178</f>
        <v>0</v>
      </c>
      <c r="BL180" s="297" t="str">
        <f t="shared" si="178"/>
        <v>0</v>
      </c>
      <c r="BM180" s="300">
        <f t="shared" si="179"/>
        <v>0</v>
      </c>
      <c r="BN180" s="301">
        <f>[1]COMMANDE!AA178</f>
        <v>0</v>
      </c>
      <c r="BO180" s="297" t="str">
        <f t="shared" si="180"/>
        <v>0</v>
      </c>
      <c r="BP180" s="298">
        <f t="shared" si="181"/>
        <v>0</v>
      </c>
      <c r="BQ180" s="299">
        <f>[1]COMMANDE!AC178</f>
        <v>0</v>
      </c>
      <c r="BR180" s="297" t="str">
        <f t="shared" si="182"/>
        <v>0</v>
      </c>
      <c r="BS180" s="300">
        <f t="shared" si="183"/>
        <v>0</v>
      </c>
      <c r="BT180" s="301">
        <f>[1]COMMANDE!AE178</f>
        <v>0</v>
      </c>
      <c r="BU180" s="297" t="str">
        <f t="shared" si="184"/>
        <v>0</v>
      </c>
      <c r="BV180" s="298">
        <f t="shared" si="185"/>
        <v>0</v>
      </c>
      <c r="BW180" s="299">
        <f>[1]COMMANDE!AG178</f>
        <v>0</v>
      </c>
      <c r="BX180" s="297" t="str">
        <f t="shared" si="186"/>
        <v>0</v>
      </c>
      <c r="BY180" s="300">
        <f t="shared" si="187"/>
        <v>0</v>
      </c>
      <c r="BZ180" s="301">
        <f>[1]COMMANDE!AI178</f>
        <v>0</v>
      </c>
      <c r="CA180" s="297" t="str">
        <f t="shared" si="188"/>
        <v>0</v>
      </c>
      <c r="CB180" s="298">
        <f t="shared" si="189"/>
        <v>0</v>
      </c>
      <c r="CC180" s="299">
        <f>[1]COMMANDE!AK178</f>
        <v>0</v>
      </c>
      <c r="CD180" s="297" t="str">
        <f t="shared" si="190"/>
        <v>0</v>
      </c>
      <c r="CE180" s="300">
        <f t="shared" si="191"/>
        <v>0</v>
      </c>
      <c r="CF180" s="301">
        <f>[1]COMMANDE!AM178</f>
        <v>0</v>
      </c>
      <c r="CG180" s="297" t="str">
        <f t="shared" si="192"/>
        <v>0</v>
      </c>
      <c r="CH180" s="298">
        <f t="shared" si="193"/>
        <v>0</v>
      </c>
      <c r="CI180" s="299">
        <f>[1]COMMANDE!AO178</f>
        <v>0</v>
      </c>
      <c r="CJ180" s="297" t="str">
        <f t="shared" si="194"/>
        <v>0</v>
      </c>
      <c r="CK180" s="300">
        <f t="shared" si="195"/>
        <v>0</v>
      </c>
      <c r="CL180" s="301">
        <f>[1]COMMANDE!AQ178</f>
        <v>0</v>
      </c>
      <c r="CM180" s="297" t="str">
        <f t="shared" si="196"/>
        <v>0</v>
      </c>
      <c r="CN180" s="298">
        <f t="shared" si="197"/>
        <v>0</v>
      </c>
      <c r="CO180" s="299">
        <f>[1]COMMANDE!AS178</f>
        <v>0</v>
      </c>
      <c r="CP180" s="297" t="str">
        <f t="shared" si="198"/>
        <v>0</v>
      </c>
      <c r="CQ180" s="300">
        <f t="shared" si="199"/>
        <v>0</v>
      </c>
      <c r="CR180" s="301">
        <f>[1]COMMANDE!AU178</f>
        <v>0</v>
      </c>
      <c r="CS180" s="297" t="str">
        <f t="shared" si="200"/>
        <v>0</v>
      </c>
      <c r="CT180" s="298">
        <f t="shared" si="201"/>
        <v>0</v>
      </c>
      <c r="CU180" s="299">
        <f>[1]COMMANDE!AW178</f>
        <v>0</v>
      </c>
      <c r="CV180" s="297" t="str">
        <f t="shared" si="202"/>
        <v>0</v>
      </c>
      <c r="CW180" s="300">
        <f t="shared" si="203"/>
        <v>0</v>
      </c>
      <c r="CX180" s="301">
        <f>[1]COMMANDE!AY178</f>
        <v>0</v>
      </c>
      <c r="CY180" s="297" t="str">
        <f t="shared" si="204"/>
        <v>0</v>
      </c>
      <c r="CZ180" s="298">
        <f t="shared" si="205"/>
        <v>0</v>
      </c>
      <c r="DA180" s="299">
        <f>[1]COMMANDE!BA178</f>
        <v>0</v>
      </c>
      <c r="DB180" s="297" t="str">
        <f t="shared" si="206"/>
        <v>0</v>
      </c>
      <c r="DC180" s="302">
        <f t="shared" si="207"/>
        <v>0</v>
      </c>
      <c r="DD180" s="303"/>
      <c r="DE180" s="304"/>
    </row>
    <row r="181" spans="1:109" ht="39.950000000000003" customHeight="1" x14ac:dyDescent="0.25">
      <c r="A181" s="284">
        <f t="shared" si="140"/>
        <v>0</v>
      </c>
      <c r="B181" s="284">
        <f t="shared" si="141"/>
        <v>0</v>
      </c>
      <c r="C181" s="284">
        <f t="shared" si="142"/>
        <v>0</v>
      </c>
      <c r="D181" s="284">
        <f t="shared" si="143"/>
        <v>0</v>
      </c>
      <c r="E181" s="284">
        <f t="shared" si="144"/>
        <v>0</v>
      </c>
      <c r="F181" s="284">
        <f t="shared" si="145"/>
        <v>0</v>
      </c>
      <c r="G181" s="284">
        <f t="shared" si="146"/>
        <v>0</v>
      </c>
      <c r="H181" s="284">
        <f t="shared" si="147"/>
        <v>0</v>
      </c>
      <c r="I181" s="284">
        <f t="shared" si="148"/>
        <v>0</v>
      </c>
      <c r="J181" s="284">
        <f t="shared" si="149"/>
        <v>0</v>
      </c>
      <c r="K181" s="284">
        <f t="shared" si="150"/>
        <v>0</v>
      </c>
      <c r="L181" s="284">
        <f t="shared" si="151"/>
        <v>0</v>
      </c>
      <c r="M181" s="284">
        <f t="shared" si="152"/>
        <v>0</v>
      </c>
      <c r="N181" s="284">
        <f t="shared" si="153"/>
        <v>0</v>
      </c>
      <c r="O181" s="284">
        <f t="shared" si="154"/>
        <v>0</v>
      </c>
      <c r="P181" s="284">
        <f t="shared" si="155"/>
        <v>0</v>
      </c>
      <c r="Q181" s="284">
        <f t="shared" si="156"/>
        <v>0</v>
      </c>
      <c r="R181" s="284">
        <f t="shared" si="157"/>
        <v>0</v>
      </c>
      <c r="S181" s="284">
        <f t="shared" si="158"/>
        <v>0</v>
      </c>
      <c r="T181" s="284">
        <f t="shared" si="159"/>
        <v>0</v>
      </c>
      <c r="U181" s="285">
        <f t="shared" si="160"/>
        <v>0</v>
      </c>
      <c r="V181" s="286">
        <f>[1]BDD!A171</f>
        <v>1444</v>
      </c>
      <c r="W181" s="287" t="str">
        <f>[1]BDD!B171</f>
        <v>Miel de Huelva multifleurs sans filtration CRU BIO  
    - (Bocal en verre env. 1kg)</v>
      </c>
      <c r="X181" s="288" t="str">
        <f>IF([1]BDD!F171=0, "", [1]BDD!F171)</f>
        <v>❤️</v>
      </c>
      <c r="Y181" s="214">
        <f>ROUND([1]BDD!G171+FDP_CMD_KG, 2)</f>
        <v>15.91</v>
      </c>
      <c r="Z181" s="214">
        <f>ROUND([1]BDD!G171+FDP_FACT_KG, 2)</f>
        <v>15.91</v>
      </c>
      <c r="AA181" s="215" t="str">
        <f>[1]BDD!H171</f>
        <v>Pièce</v>
      </c>
      <c r="AB181" s="225">
        <f>IF(NOT(ISBLANK([1]BDD!I171)), ROUND(SUM(([1]BDD!G171*reduc1),FDP_CMD_KG), 2), "")</f>
        <v>14.41</v>
      </c>
      <c r="AC181" s="225" t="str">
        <f>IF(NOT(ISBLANK([1]BDD!J171)), ROUND(SUM(([1]BDD!G171*reduc2),FDP_CMD_KG), 2), "")</f>
        <v/>
      </c>
      <c r="AD181" s="225" t="str">
        <f>IF(NOT(ISBLANK([1]BDD!K171)), ROUND(SUM(([1]BDD!G171*reduc3),FDP_CMD_KG), 2), "")</f>
        <v/>
      </c>
      <c r="AE181" s="225">
        <f>IF(NOT(ISBLANK([1]BDD!I171)), ROUND(SUM(([1]BDD!G171*reduc1),FDP_FACT_KG), 2), "")</f>
        <v>14.4</v>
      </c>
      <c r="AF181" s="225" t="str">
        <f>IF(NOT(ISBLANK([1]BDD!J171)), ROUND(SUM(([1]BDD!G171*reduc2),FDP_FACT_KG), 2), "")</f>
        <v/>
      </c>
      <c r="AG181" s="225" t="str">
        <f>IF(NOT(ISBLANK([1]BDD!K171)), ROUND(SUM(([1]BDD!G171*reduc3),FDP_FACT_KG), 2), "")</f>
        <v/>
      </c>
      <c r="AH181" s="289" t="str">
        <f>[1]BDD!C171</f>
        <v>Huelva</v>
      </c>
      <c r="AI181" s="290">
        <f t="shared" si="161"/>
        <v>0</v>
      </c>
      <c r="AJ181" s="216">
        <f t="shared" si="162"/>
        <v>14.41</v>
      </c>
      <c r="AK181" s="291">
        <f t="shared" si="163"/>
        <v>0</v>
      </c>
      <c r="AL181" s="429"/>
      <c r="AM181" s="292"/>
      <c r="AN181" s="216">
        <f t="shared" si="164"/>
        <v>15.91</v>
      </c>
      <c r="AO181" s="293">
        <f t="shared" si="165"/>
        <v>0</v>
      </c>
      <c r="AP181" s="294"/>
      <c r="AQ181" s="294"/>
      <c r="AR181" s="429"/>
      <c r="AS181" s="295">
        <f t="shared" si="166"/>
        <v>0</v>
      </c>
      <c r="AT181" s="216">
        <f t="shared" si="167"/>
        <v>15.91</v>
      </c>
      <c r="AU181" s="291">
        <f t="shared" si="139"/>
        <v>0</v>
      </c>
      <c r="AV181" s="296">
        <f>[1]COMMANDE!O179</f>
        <v>0</v>
      </c>
      <c r="AW181" s="297" t="str">
        <f t="shared" si="168"/>
        <v>0</v>
      </c>
      <c r="AX181" s="298">
        <f t="shared" si="169"/>
        <v>0</v>
      </c>
      <c r="AY181" s="299">
        <f>[1]COMMANDE!Q179</f>
        <v>0</v>
      </c>
      <c r="AZ181" s="297" t="str">
        <f t="shared" si="170"/>
        <v>0</v>
      </c>
      <c r="BA181" s="300">
        <f t="shared" si="171"/>
        <v>0</v>
      </c>
      <c r="BB181" s="301">
        <f>[1]COMMANDE!S179</f>
        <v>0</v>
      </c>
      <c r="BC181" s="297" t="str">
        <f t="shared" si="172"/>
        <v>0</v>
      </c>
      <c r="BD181" s="298">
        <f t="shared" si="173"/>
        <v>0</v>
      </c>
      <c r="BE181" s="299">
        <f>[1]COMMANDE!U179</f>
        <v>0</v>
      </c>
      <c r="BF181" s="297" t="str">
        <f t="shared" si="174"/>
        <v>0</v>
      </c>
      <c r="BG181" s="300">
        <f t="shared" si="175"/>
        <v>0</v>
      </c>
      <c r="BH181" s="301">
        <f>[1]COMMANDE!W179</f>
        <v>0</v>
      </c>
      <c r="BI181" s="297" t="str">
        <f t="shared" si="176"/>
        <v>0</v>
      </c>
      <c r="BJ181" s="298">
        <f t="shared" si="177"/>
        <v>0</v>
      </c>
      <c r="BK181" s="299">
        <f>[1]COMMANDE!Y179</f>
        <v>0</v>
      </c>
      <c r="BL181" s="297" t="str">
        <f t="shared" si="178"/>
        <v>0</v>
      </c>
      <c r="BM181" s="300">
        <f t="shared" si="179"/>
        <v>0</v>
      </c>
      <c r="BN181" s="301">
        <f>[1]COMMANDE!AA179</f>
        <v>0</v>
      </c>
      <c r="BO181" s="297" t="str">
        <f t="shared" si="180"/>
        <v>0</v>
      </c>
      <c r="BP181" s="298">
        <f t="shared" si="181"/>
        <v>0</v>
      </c>
      <c r="BQ181" s="299">
        <f>[1]COMMANDE!AC179</f>
        <v>0</v>
      </c>
      <c r="BR181" s="297" t="str">
        <f t="shared" si="182"/>
        <v>0</v>
      </c>
      <c r="BS181" s="300">
        <f t="shared" si="183"/>
        <v>0</v>
      </c>
      <c r="BT181" s="301">
        <f>[1]COMMANDE!AE179</f>
        <v>0</v>
      </c>
      <c r="BU181" s="297" t="str">
        <f t="shared" si="184"/>
        <v>0</v>
      </c>
      <c r="BV181" s="298">
        <f t="shared" si="185"/>
        <v>0</v>
      </c>
      <c r="BW181" s="299">
        <f>[1]COMMANDE!AG179</f>
        <v>0</v>
      </c>
      <c r="BX181" s="297" t="str">
        <f t="shared" si="186"/>
        <v>0</v>
      </c>
      <c r="BY181" s="300">
        <f t="shared" si="187"/>
        <v>0</v>
      </c>
      <c r="BZ181" s="301">
        <f>[1]COMMANDE!AI179</f>
        <v>0</v>
      </c>
      <c r="CA181" s="297" t="str">
        <f t="shared" si="188"/>
        <v>0</v>
      </c>
      <c r="CB181" s="298">
        <f t="shared" si="189"/>
        <v>0</v>
      </c>
      <c r="CC181" s="299">
        <f>[1]COMMANDE!AK179</f>
        <v>0</v>
      </c>
      <c r="CD181" s="297" t="str">
        <f t="shared" si="190"/>
        <v>0</v>
      </c>
      <c r="CE181" s="300">
        <f t="shared" si="191"/>
        <v>0</v>
      </c>
      <c r="CF181" s="301">
        <f>[1]COMMANDE!AM179</f>
        <v>0</v>
      </c>
      <c r="CG181" s="297" t="str">
        <f t="shared" si="192"/>
        <v>0</v>
      </c>
      <c r="CH181" s="298">
        <f t="shared" si="193"/>
        <v>0</v>
      </c>
      <c r="CI181" s="299">
        <f>[1]COMMANDE!AO179</f>
        <v>0</v>
      </c>
      <c r="CJ181" s="297" t="str">
        <f t="shared" si="194"/>
        <v>0</v>
      </c>
      <c r="CK181" s="300">
        <f t="shared" si="195"/>
        <v>0</v>
      </c>
      <c r="CL181" s="301">
        <f>[1]COMMANDE!AQ179</f>
        <v>0</v>
      </c>
      <c r="CM181" s="297" t="str">
        <f t="shared" si="196"/>
        <v>0</v>
      </c>
      <c r="CN181" s="298">
        <f t="shared" si="197"/>
        <v>0</v>
      </c>
      <c r="CO181" s="299">
        <f>[1]COMMANDE!AS179</f>
        <v>0</v>
      </c>
      <c r="CP181" s="297" t="str">
        <f t="shared" si="198"/>
        <v>0</v>
      </c>
      <c r="CQ181" s="300">
        <f t="shared" si="199"/>
        <v>0</v>
      </c>
      <c r="CR181" s="301">
        <f>[1]COMMANDE!AU179</f>
        <v>0</v>
      </c>
      <c r="CS181" s="297" t="str">
        <f t="shared" si="200"/>
        <v>0</v>
      </c>
      <c r="CT181" s="298">
        <f t="shared" si="201"/>
        <v>0</v>
      </c>
      <c r="CU181" s="299">
        <f>[1]COMMANDE!AW179</f>
        <v>0</v>
      </c>
      <c r="CV181" s="297" t="str">
        <f t="shared" si="202"/>
        <v>0</v>
      </c>
      <c r="CW181" s="300">
        <f t="shared" si="203"/>
        <v>0</v>
      </c>
      <c r="CX181" s="301">
        <f>[1]COMMANDE!AY179</f>
        <v>0</v>
      </c>
      <c r="CY181" s="297" t="str">
        <f t="shared" si="204"/>
        <v>0</v>
      </c>
      <c r="CZ181" s="298">
        <f t="shared" si="205"/>
        <v>0</v>
      </c>
      <c r="DA181" s="299">
        <f>[1]COMMANDE!BA179</f>
        <v>0</v>
      </c>
      <c r="DB181" s="297" t="str">
        <f t="shared" si="206"/>
        <v>0</v>
      </c>
      <c r="DC181" s="302">
        <f t="shared" si="207"/>
        <v>0</v>
      </c>
      <c r="DD181" s="303"/>
      <c r="DE181" s="304"/>
    </row>
    <row r="182" spans="1:109" ht="39.950000000000003" customHeight="1" x14ac:dyDescent="0.25">
      <c r="A182" s="284">
        <f t="shared" si="140"/>
        <v>0</v>
      </c>
      <c r="B182" s="284">
        <f t="shared" si="141"/>
        <v>0</v>
      </c>
      <c r="C182" s="284">
        <f t="shared" si="142"/>
        <v>0</v>
      </c>
      <c r="D182" s="284">
        <f t="shared" si="143"/>
        <v>0</v>
      </c>
      <c r="E182" s="284">
        <f t="shared" si="144"/>
        <v>0</v>
      </c>
      <c r="F182" s="284">
        <f t="shared" si="145"/>
        <v>0</v>
      </c>
      <c r="G182" s="284">
        <f t="shared" si="146"/>
        <v>0</v>
      </c>
      <c r="H182" s="284">
        <f t="shared" si="147"/>
        <v>0</v>
      </c>
      <c r="I182" s="284">
        <f t="shared" si="148"/>
        <v>0</v>
      </c>
      <c r="J182" s="284">
        <f t="shared" si="149"/>
        <v>0</v>
      </c>
      <c r="K182" s="284">
        <f t="shared" si="150"/>
        <v>0</v>
      </c>
      <c r="L182" s="284">
        <f t="shared" si="151"/>
        <v>0</v>
      </c>
      <c r="M182" s="284">
        <f t="shared" si="152"/>
        <v>0</v>
      </c>
      <c r="N182" s="284">
        <f t="shared" si="153"/>
        <v>0</v>
      </c>
      <c r="O182" s="284">
        <f t="shared" si="154"/>
        <v>0</v>
      </c>
      <c r="P182" s="284">
        <f t="shared" si="155"/>
        <v>0</v>
      </c>
      <c r="Q182" s="284">
        <f t="shared" si="156"/>
        <v>0</v>
      </c>
      <c r="R182" s="284">
        <f t="shared" si="157"/>
        <v>0</v>
      </c>
      <c r="S182" s="284">
        <f t="shared" si="158"/>
        <v>0</v>
      </c>
      <c r="T182" s="284">
        <f t="shared" si="159"/>
        <v>0</v>
      </c>
      <c r="U182" s="285">
        <f t="shared" si="160"/>
        <v>0</v>
      </c>
      <c r="V182" s="286">
        <f>[1]BDD!A172</f>
        <v>5107</v>
      </c>
      <c r="W182" s="287" t="str">
        <f>[1]BDD!B172</f>
        <v>Miel de montagne (Bocal en verre env. 1kg)</v>
      </c>
      <c r="X182" s="288" t="str">
        <f>IF([1]BDD!F172=0, "", [1]BDD!F172)</f>
        <v>❤️</v>
      </c>
      <c r="Y182" s="214">
        <f>ROUND([1]BDD!G172+FDP_CMD_KG, 2)</f>
        <v>13.6</v>
      </c>
      <c r="Z182" s="214">
        <f>ROUND([1]BDD!G172+FDP_FACT_KG, 2)</f>
        <v>13.6</v>
      </c>
      <c r="AA182" s="215" t="str">
        <f>[1]BDD!H172</f>
        <v>Pièce</v>
      </c>
      <c r="AB182" s="225">
        <f>IF(NOT(ISBLANK([1]BDD!I172)), ROUND(SUM(([1]BDD!G172*reduc1),FDP_CMD_KG), 2), "")</f>
        <v>12.33</v>
      </c>
      <c r="AC182" s="225" t="str">
        <f>IF(NOT(ISBLANK([1]BDD!J172)), ROUND(SUM(([1]BDD!G172*reduc2),FDP_CMD_KG), 2), "")</f>
        <v/>
      </c>
      <c r="AD182" s="225" t="str">
        <f>IF(NOT(ISBLANK([1]BDD!K172)), ROUND(SUM(([1]BDD!G172*reduc3),FDP_CMD_KG), 2), "")</f>
        <v/>
      </c>
      <c r="AE182" s="225">
        <f>IF(NOT(ISBLANK([1]BDD!I172)), ROUND(SUM(([1]BDD!G172*reduc1),FDP_FACT_KG), 2), "")</f>
        <v>12.32</v>
      </c>
      <c r="AF182" s="225" t="str">
        <f>IF(NOT(ISBLANK([1]BDD!J172)), ROUND(SUM(([1]BDD!G172*reduc2),FDP_FACT_KG), 2), "")</f>
        <v/>
      </c>
      <c r="AG182" s="225" t="str">
        <f>IF(NOT(ISBLANK([1]BDD!K172)), ROUND(SUM(([1]BDD!G172*reduc3),FDP_FACT_KG), 2), "")</f>
        <v/>
      </c>
      <c r="AH182" s="289" t="str">
        <f>[1]BDD!C172</f>
        <v>Grenade</v>
      </c>
      <c r="AI182" s="290">
        <f t="shared" si="161"/>
        <v>0</v>
      </c>
      <c r="AJ182" s="216">
        <f t="shared" si="162"/>
        <v>12.33</v>
      </c>
      <c r="AK182" s="291">
        <f t="shared" si="163"/>
        <v>0</v>
      </c>
      <c r="AL182" s="429"/>
      <c r="AM182" s="292"/>
      <c r="AN182" s="216">
        <f t="shared" si="164"/>
        <v>13.6</v>
      </c>
      <c r="AO182" s="293">
        <f t="shared" si="165"/>
        <v>0</v>
      </c>
      <c r="AP182" s="294"/>
      <c r="AQ182" s="294"/>
      <c r="AR182" s="429"/>
      <c r="AS182" s="295">
        <f t="shared" si="166"/>
        <v>0</v>
      </c>
      <c r="AT182" s="216">
        <f t="shared" si="167"/>
        <v>13.6</v>
      </c>
      <c r="AU182" s="291">
        <f t="shared" si="139"/>
        <v>0</v>
      </c>
      <c r="AV182" s="296">
        <f>[1]COMMANDE!O180</f>
        <v>0</v>
      </c>
      <c r="AW182" s="297" t="str">
        <f t="shared" si="168"/>
        <v>0</v>
      </c>
      <c r="AX182" s="298">
        <f t="shared" si="169"/>
        <v>0</v>
      </c>
      <c r="AY182" s="299">
        <f>[1]COMMANDE!Q180</f>
        <v>0</v>
      </c>
      <c r="AZ182" s="297" t="str">
        <f t="shared" si="170"/>
        <v>0</v>
      </c>
      <c r="BA182" s="300">
        <f t="shared" si="171"/>
        <v>0</v>
      </c>
      <c r="BB182" s="301">
        <f>[1]COMMANDE!S180</f>
        <v>0</v>
      </c>
      <c r="BC182" s="297" t="str">
        <f t="shared" si="172"/>
        <v>0</v>
      </c>
      <c r="BD182" s="298">
        <f t="shared" si="173"/>
        <v>0</v>
      </c>
      <c r="BE182" s="299">
        <f>[1]COMMANDE!U180</f>
        <v>0</v>
      </c>
      <c r="BF182" s="297" t="str">
        <f t="shared" si="174"/>
        <v>0</v>
      </c>
      <c r="BG182" s="300">
        <f t="shared" si="175"/>
        <v>0</v>
      </c>
      <c r="BH182" s="301">
        <f>[1]COMMANDE!W180</f>
        <v>0</v>
      </c>
      <c r="BI182" s="297" t="str">
        <f t="shared" si="176"/>
        <v>0</v>
      </c>
      <c r="BJ182" s="298">
        <f t="shared" si="177"/>
        <v>0</v>
      </c>
      <c r="BK182" s="299">
        <f>[1]COMMANDE!Y180</f>
        <v>0</v>
      </c>
      <c r="BL182" s="297" t="str">
        <f t="shared" si="178"/>
        <v>0</v>
      </c>
      <c r="BM182" s="300">
        <f t="shared" si="179"/>
        <v>0</v>
      </c>
      <c r="BN182" s="301">
        <f>[1]COMMANDE!AA180</f>
        <v>0</v>
      </c>
      <c r="BO182" s="297" t="str">
        <f t="shared" si="180"/>
        <v>0</v>
      </c>
      <c r="BP182" s="298">
        <f t="shared" si="181"/>
        <v>0</v>
      </c>
      <c r="BQ182" s="299">
        <f>[1]COMMANDE!AC180</f>
        <v>0</v>
      </c>
      <c r="BR182" s="297" t="str">
        <f t="shared" si="182"/>
        <v>0</v>
      </c>
      <c r="BS182" s="300">
        <f t="shared" si="183"/>
        <v>0</v>
      </c>
      <c r="BT182" s="301">
        <f>[1]COMMANDE!AE180</f>
        <v>0</v>
      </c>
      <c r="BU182" s="297" t="str">
        <f t="shared" si="184"/>
        <v>0</v>
      </c>
      <c r="BV182" s="298">
        <f t="shared" si="185"/>
        <v>0</v>
      </c>
      <c r="BW182" s="299">
        <f>[1]COMMANDE!AG180</f>
        <v>0</v>
      </c>
      <c r="BX182" s="297" t="str">
        <f t="shared" si="186"/>
        <v>0</v>
      </c>
      <c r="BY182" s="300">
        <f t="shared" si="187"/>
        <v>0</v>
      </c>
      <c r="BZ182" s="301">
        <f>[1]COMMANDE!AI180</f>
        <v>0</v>
      </c>
      <c r="CA182" s="297" t="str">
        <f t="shared" si="188"/>
        <v>0</v>
      </c>
      <c r="CB182" s="298">
        <f t="shared" si="189"/>
        <v>0</v>
      </c>
      <c r="CC182" s="299">
        <f>[1]COMMANDE!AK180</f>
        <v>0</v>
      </c>
      <c r="CD182" s="297" t="str">
        <f t="shared" si="190"/>
        <v>0</v>
      </c>
      <c r="CE182" s="300">
        <f t="shared" si="191"/>
        <v>0</v>
      </c>
      <c r="CF182" s="301">
        <f>[1]COMMANDE!AM180</f>
        <v>0</v>
      </c>
      <c r="CG182" s="297" t="str">
        <f t="shared" si="192"/>
        <v>0</v>
      </c>
      <c r="CH182" s="298">
        <f t="shared" si="193"/>
        <v>0</v>
      </c>
      <c r="CI182" s="299">
        <f>[1]COMMANDE!AO180</f>
        <v>0</v>
      </c>
      <c r="CJ182" s="297" t="str">
        <f t="shared" si="194"/>
        <v>0</v>
      </c>
      <c r="CK182" s="300">
        <f t="shared" si="195"/>
        <v>0</v>
      </c>
      <c r="CL182" s="301">
        <f>[1]COMMANDE!AQ180</f>
        <v>0</v>
      </c>
      <c r="CM182" s="297" t="str">
        <f t="shared" si="196"/>
        <v>0</v>
      </c>
      <c r="CN182" s="298">
        <f t="shared" si="197"/>
        <v>0</v>
      </c>
      <c r="CO182" s="299">
        <f>[1]COMMANDE!AS180</f>
        <v>0</v>
      </c>
      <c r="CP182" s="297" t="str">
        <f t="shared" si="198"/>
        <v>0</v>
      </c>
      <c r="CQ182" s="300">
        <f t="shared" si="199"/>
        <v>0</v>
      </c>
      <c r="CR182" s="301">
        <f>[1]COMMANDE!AU180</f>
        <v>0</v>
      </c>
      <c r="CS182" s="297" t="str">
        <f t="shared" si="200"/>
        <v>0</v>
      </c>
      <c r="CT182" s="298">
        <f t="shared" si="201"/>
        <v>0</v>
      </c>
      <c r="CU182" s="299">
        <f>[1]COMMANDE!AW180</f>
        <v>0</v>
      </c>
      <c r="CV182" s="297" t="str">
        <f t="shared" si="202"/>
        <v>0</v>
      </c>
      <c r="CW182" s="300">
        <f t="shared" si="203"/>
        <v>0</v>
      </c>
      <c r="CX182" s="301">
        <f>[1]COMMANDE!AY180</f>
        <v>0</v>
      </c>
      <c r="CY182" s="297" t="str">
        <f t="shared" si="204"/>
        <v>0</v>
      </c>
      <c r="CZ182" s="298">
        <f t="shared" si="205"/>
        <v>0</v>
      </c>
      <c r="DA182" s="299">
        <f>[1]COMMANDE!BA180</f>
        <v>0</v>
      </c>
      <c r="DB182" s="297" t="str">
        <f t="shared" si="206"/>
        <v>0</v>
      </c>
      <c r="DC182" s="302">
        <f t="shared" si="207"/>
        <v>0</v>
      </c>
      <c r="DD182" s="303"/>
      <c r="DE182" s="304"/>
    </row>
    <row r="183" spans="1:109" ht="39.950000000000003" customHeight="1" x14ac:dyDescent="0.25">
      <c r="A183" s="284">
        <f t="shared" si="140"/>
        <v>0</v>
      </c>
      <c r="B183" s="284">
        <f t="shared" si="141"/>
        <v>0</v>
      </c>
      <c r="C183" s="284">
        <f t="shared" si="142"/>
        <v>0</v>
      </c>
      <c r="D183" s="284">
        <f t="shared" si="143"/>
        <v>0</v>
      </c>
      <c r="E183" s="284">
        <f t="shared" si="144"/>
        <v>0</v>
      </c>
      <c r="F183" s="284">
        <f t="shared" si="145"/>
        <v>0</v>
      </c>
      <c r="G183" s="284">
        <f t="shared" si="146"/>
        <v>0</v>
      </c>
      <c r="H183" s="284">
        <f t="shared" si="147"/>
        <v>0</v>
      </c>
      <c r="I183" s="284">
        <f t="shared" si="148"/>
        <v>0</v>
      </c>
      <c r="J183" s="284">
        <f t="shared" si="149"/>
        <v>0</v>
      </c>
      <c r="K183" s="284">
        <f t="shared" si="150"/>
        <v>0</v>
      </c>
      <c r="L183" s="284">
        <f t="shared" si="151"/>
        <v>0</v>
      </c>
      <c r="M183" s="284">
        <f t="shared" si="152"/>
        <v>0</v>
      </c>
      <c r="N183" s="284">
        <f t="shared" si="153"/>
        <v>0</v>
      </c>
      <c r="O183" s="284">
        <f t="shared" si="154"/>
        <v>0</v>
      </c>
      <c r="P183" s="284">
        <f t="shared" si="155"/>
        <v>0</v>
      </c>
      <c r="Q183" s="284">
        <f t="shared" si="156"/>
        <v>0</v>
      </c>
      <c r="R183" s="284">
        <f t="shared" si="157"/>
        <v>0</v>
      </c>
      <c r="S183" s="284">
        <f t="shared" si="158"/>
        <v>0</v>
      </c>
      <c r="T183" s="284">
        <f t="shared" si="159"/>
        <v>0</v>
      </c>
      <c r="U183" s="285">
        <f t="shared" si="160"/>
        <v>0</v>
      </c>
      <c r="V183" s="286">
        <f>[1]BDD!A173</f>
        <v>3585</v>
      </c>
      <c r="W183" s="287" t="str">
        <f>[1]BDD!B173</f>
        <v>Miel de Romarin (Bocal en verre env. 1kg)</v>
      </c>
      <c r="X183" s="288" t="str">
        <f>IF([1]BDD!F173=0, "", [1]BDD!F173)</f>
        <v>❤️</v>
      </c>
      <c r="Y183" s="214">
        <f>ROUND([1]BDD!G173+FDP_CMD_KG, 2)</f>
        <v>13.6</v>
      </c>
      <c r="Z183" s="214">
        <f>ROUND([1]BDD!G173+FDP_FACT_KG, 2)</f>
        <v>13.6</v>
      </c>
      <c r="AA183" s="215" t="str">
        <f>[1]BDD!H173</f>
        <v>Pièce</v>
      </c>
      <c r="AB183" s="225">
        <f>IF(NOT(ISBLANK([1]BDD!I173)), ROUND(SUM(([1]BDD!G173*reduc1),FDP_CMD_KG), 2), "")</f>
        <v>12.33</v>
      </c>
      <c r="AC183" s="225" t="str">
        <f>IF(NOT(ISBLANK([1]BDD!J173)), ROUND(SUM(([1]BDD!G173*reduc2),FDP_CMD_KG), 2), "")</f>
        <v/>
      </c>
      <c r="AD183" s="225" t="str">
        <f>IF(NOT(ISBLANK([1]BDD!K173)), ROUND(SUM(([1]BDD!G173*reduc3),FDP_CMD_KG), 2), "")</f>
        <v/>
      </c>
      <c r="AE183" s="225">
        <f>IF(NOT(ISBLANK([1]BDD!I173)), ROUND(SUM(([1]BDD!G173*reduc1),FDP_FACT_KG), 2), "")</f>
        <v>12.32</v>
      </c>
      <c r="AF183" s="225" t="str">
        <f>IF(NOT(ISBLANK([1]BDD!J173)), ROUND(SUM(([1]BDD!G173*reduc2),FDP_FACT_KG), 2), "")</f>
        <v/>
      </c>
      <c r="AG183" s="225" t="str">
        <f>IF(NOT(ISBLANK([1]BDD!K173)), ROUND(SUM(([1]BDD!G173*reduc3),FDP_FACT_KG), 2), "")</f>
        <v/>
      </c>
      <c r="AH183" s="289" t="str">
        <f>[1]BDD!C173</f>
        <v>Grenade</v>
      </c>
      <c r="AI183" s="290">
        <f t="shared" si="161"/>
        <v>0</v>
      </c>
      <c r="AJ183" s="216">
        <f t="shared" si="162"/>
        <v>12.33</v>
      </c>
      <c r="AK183" s="291">
        <f t="shared" si="163"/>
        <v>0</v>
      </c>
      <c r="AL183" s="429"/>
      <c r="AM183" s="292"/>
      <c r="AN183" s="216">
        <f t="shared" si="164"/>
        <v>13.6</v>
      </c>
      <c r="AO183" s="293">
        <f t="shared" si="165"/>
        <v>0</v>
      </c>
      <c r="AP183" s="294"/>
      <c r="AQ183" s="294"/>
      <c r="AR183" s="429"/>
      <c r="AS183" s="295">
        <f t="shared" si="166"/>
        <v>0</v>
      </c>
      <c r="AT183" s="216">
        <f t="shared" si="167"/>
        <v>13.6</v>
      </c>
      <c r="AU183" s="291">
        <f t="shared" si="139"/>
        <v>0</v>
      </c>
      <c r="AV183" s="296">
        <f>[1]COMMANDE!O181</f>
        <v>0</v>
      </c>
      <c r="AW183" s="297" t="str">
        <f t="shared" si="168"/>
        <v>0</v>
      </c>
      <c r="AX183" s="298">
        <f t="shared" si="169"/>
        <v>0</v>
      </c>
      <c r="AY183" s="299">
        <f>[1]COMMANDE!Q181</f>
        <v>0</v>
      </c>
      <c r="AZ183" s="297" t="str">
        <f t="shared" si="170"/>
        <v>0</v>
      </c>
      <c r="BA183" s="300">
        <f t="shared" si="171"/>
        <v>0</v>
      </c>
      <c r="BB183" s="301">
        <f>[1]COMMANDE!S181</f>
        <v>0</v>
      </c>
      <c r="BC183" s="297" t="str">
        <f t="shared" si="172"/>
        <v>0</v>
      </c>
      <c r="BD183" s="298">
        <f t="shared" si="173"/>
        <v>0</v>
      </c>
      <c r="BE183" s="299">
        <f>[1]COMMANDE!U181</f>
        <v>0</v>
      </c>
      <c r="BF183" s="297" t="str">
        <f t="shared" si="174"/>
        <v>0</v>
      </c>
      <c r="BG183" s="300">
        <f t="shared" si="175"/>
        <v>0</v>
      </c>
      <c r="BH183" s="301">
        <f>[1]COMMANDE!W181</f>
        <v>0</v>
      </c>
      <c r="BI183" s="297" t="str">
        <f t="shared" si="176"/>
        <v>0</v>
      </c>
      <c r="BJ183" s="298">
        <f t="shared" si="177"/>
        <v>0</v>
      </c>
      <c r="BK183" s="299">
        <f>[1]COMMANDE!Y181</f>
        <v>0</v>
      </c>
      <c r="BL183" s="297" t="str">
        <f t="shared" si="178"/>
        <v>0</v>
      </c>
      <c r="BM183" s="300">
        <f t="shared" si="179"/>
        <v>0</v>
      </c>
      <c r="BN183" s="301">
        <f>[1]COMMANDE!AA181</f>
        <v>0</v>
      </c>
      <c r="BO183" s="297" t="str">
        <f t="shared" si="180"/>
        <v>0</v>
      </c>
      <c r="BP183" s="298">
        <f t="shared" si="181"/>
        <v>0</v>
      </c>
      <c r="BQ183" s="299">
        <f>[1]COMMANDE!AC181</f>
        <v>0</v>
      </c>
      <c r="BR183" s="297" t="str">
        <f t="shared" si="182"/>
        <v>0</v>
      </c>
      <c r="BS183" s="300">
        <f t="shared" si="183"/>
        <v>0</v>
      </c>
      <c r="BT183" s="301">
        <f>[1]COMMANDE!AE181</f>
        <v>0</v>
      </c>
      <c r="BU183" s="297" t="str">
        <f t="shared" si="184"/>
        <v>0</v>
      </c>
      <c r="BV183" s="298">
        <f t="shared" si="185"/>
        <v>0</v>
      </c>
      <c r="BW183" s="299">
        <f>[1]COMMANDE!AG181</f>
        <v>0</v>
      </c>
      <c r="BX183" s="297" t="str">
        <f t="shared" si="186"/>
        <v>0</v>
      </c>
      <c r="BY183" s="300">
        <f t="shared" si="187"/>
        <v>0</v>
      </c>
      <c r="BZ183" s="301">
        <f>[1]COMMANDE!AI181</f>
        <v>0</v>
      </c>
      <c r="CA183" s="297" t="str">
        <f t="shared" si="188"/>
        <v>0</v>
      </c>
      <c r="CB183" s="298">
        <f t="shared" si="189"/>
        <v>0</v>
      </c>
      <c r="CC183" s="299">
        <f>[1]COMMANDE!AK181</f>
        <v>0</v>
      </c>
      <c r="CD183" s="297" t="str">
        <f t="shared" si="190"/>
        <v>0</v>
      </c>
      <c r="CE183" s="300">
        <f t="shared" si="191"/>
        <v>0</v>
      </c>
      <c r="CF183" s="301">
        <f>[1]COMMANDE!AM181</f>
        <v>0</v>
      </c>
      <c r="CG183" s="297" t="str">
        <f t="shared" si="192"/>
        <v>0</v>
      </c>
      <c r="CH183" s="298">
        <f t="shared" si="193"/>
        <v>0</v>
      </c>
      <c r="CI183" s="299">
        <f>[1]COMMANDE!AO181</f>
        <v>0</v>
      </c>
      <c r="CJ183" s="297" t="str">
        <f t="shared" si="194"/>
        <v>0</v>
      </c>
      <c r="CK183" s="300">
        <f t="shared" si="195"/>
        <v>0</v>
      </c>
      <c r="CL183" s="301">
        <f>[1]COMMANDE!AQ181</f>
        <v>0</v>
      </c>
      <c r="CM183" s="297" t="str">
        <f t="shared" si="196"/>
        <v>0</v>
      </c>
      <c r="CN183" s="298">
        <f t="shared" si="197"/>
        <v>0</v>
      </c>
      <c r="CO183" s="299">
        <f>[1]COMMANDE!AS181</f>
        <v>0</v>
      </c>
      <c r="CP183" s="297" t="str">
        <f t="shared" si="198"/>
        <v>0</v>
      </c>
      <c r="CQ183" s="300">
        <f t="shared" si="199"/>
        <v>0</v>
      </c>
      <c r="CR183" s="301">
        <f>[1]COMMANDE!AU181</f>
        <v>0</v>
      </c>
      <c r="CS183" s="297" t="str">
        <f t="shared" si="200"/>
        <v>0</v>
      </c>
      <c r="CT183" s="298">
        <f t="shared" si="201"/>
        <v>0</v>
      </c>
      <c r="CU183" s="299">
        <f>[1]COMMANDE!AW181</f>
        <v>0</v>
      </c>
      <c r="CV183" s="297" t="str">
        <f t="shared" si="202"/>
        <v>0</v>
      </c>
      <c r="CW183" s="300">
        <f t="shared" si="203"/>
        <v>0</v>
      </c>
      <c r="CX183" s="301">
        <f>[1]COMMANDE!AY181</f>
        <v>0</v>
      </c>
      <c r="CY183" s="297" t="str">
        <f t="shared" si="204"/>
        <v>0</v>
      </c>
      <c r="CZ183" s="298">
        <f t="shared" si="205"/>
        <v>0</v>
      </c>
      <c r="DA183" s="299">
        <f>[1]COMMANDE!BA181</f>
        <v>0</v>
      </c>
      <c r="DB183" s="297" t="str">
        <f t="shared" si="206"/>
        <v>0</v>
      </c>
      <c r="DC183" s="302">
        <f t="shared" si="207"/>
        <v>0</v>
      </c>
      <c r="DD183" s="303"/>
      <c r="DE183" s="304"/>
    </row>
    <row r="184" spans="1:109" ht="39.950000000000003" customHeight="1" x14ac:dyDescent="0.25">
      <c r="A184" s="284">
        <f t="shared" si="140"/>
        <v>0</v>
      </c>
      <c r="B184" s="284">
        <f t="shared" si="141"/>
        <v>0</v>
      </c>
      <c r="C184" s="284">
        <f t="shared" si="142"/>
        <v>0</v>
      </c>
      <c r="D184" s="284">
        <f t="shared" si="143"/>
        <v>0</v>
      </c>
      <c r="E184" s="284">
        <f t="shared" si="144"/>
        <v>0</v>
      </c>
      <c r="F184" s="284">
        <f t="shared" si="145"/>
        <v>0</v>
      </c>
      <c r="G184" s="284">
        <f t="shared" si="146"/>
        <v>0</v>
      </c>
      <c r="H184" s="284">
        <f t="shared" si="147"/>
        <v>0</v>
      </c>
      <c r="I184" s="284">
        <f t="shared" si="148"/>
        <v>0</v>
      </c>
      <c r="J184" s="284">
        <f t="shared" si="149"/>
        <v>0</v>
      </c>
      <c r="K184" s="284">
        <f t="shared" si="150"/>
        <v>0</v>
      </c>
      <c r="L184" s="284">
        <f t="shared" si="151"/>
        <v>0</v>
      </c>
      <c r="M184" s="284">
        <f t="shared" si="152"/>
        <v>0</v>
      </c>
      <c r="N184" s="284">
        <f t="shared" si="153"/>
        <v>0</v>
      </c>
      <c r="O184" s="284">
        <f t="shared" si="154"/>
        <v>0</v>
      </c>
      <c r="P184" s="284">
        <f t="shared" si="155"/>
        <v>0</v>
      </c>
      <c r="Q184" s="284">
        <f t="shared" si="156"/>
        <v>0</v>
      </c>
      <c r="R184" s="284">
        <f t="shared" si="157"/>
        <v>0</v>
      </c>
      <c r="S184" s="284">
        <f t="shared" si="158"/>
        <v>0</v>
      </c>
      <c r="T184" s="284">
        <f t="shared" si="159"/>
        <v>0</v>
      </c>
      <c r="U184" s="285">
        <f t="shared" si="160"/>
        <v>0</v>
      </c>
      <c r="V184" s="286">
        <f>[1]BDD!A174</f>
        <v>5114</v>
      </c>
      <c r="W184" s="287" t="str">
        <f>[1]BDD!B174</f>
        <v>Miel multi-fleurs (Bocal en verre env. 1kg)</v>
      </c>
      <c r="X184" s="288" t="str">
        <f>IF([1]BDD!F174=0, "", [1]BDD!F174)</f>
        <v>❤️</v>
      </c>
      <c r="Y184" s="214">
        <f>ROUND([1]BDD!G174+FDP_CMD_KG, 2)</f>
        <v>11.54</v>
      </c>
      <c r="Z184" s="214">
        <f>ROUND([1]BDD!G174+FDP_FACT_KG, 2)</f>
        <v>11.54</v>
      </c>
      <c r="AA184" s="215" t="str">
        <f>[1]BDD!H174</f>
        <v>Pièce</v>
      </c>
      <c r="AB184" s="225">
        <f>IF(NOT(ISBLANK([1]BDD!I174)), ROUND(SUM(([1]BDD!G174*reduc1),FDP_CMD_KG), 2), "")</f>
        <v>10.48</v>
      </c>
      <c r="AC184" s="225" t="str">
        <f>IF(NOT(ISBLANK([1]BDD!J174)), ROUND(SUM(([1]BDD!G174*reduc2),FDP_CMD_KG), 2), "")</f>
        <v/>
      </c>
      <c r="AD184" s="225" t="str">
        <f>IF(NOT(ISBLANK([1]BDD!K174)), ROUND(SUM(([1]BDD!G174*reduc3),FDP_CMD_KG), 2), "")</f>
        <v/>
      </c>
      <c r="AE184" s="225">
        <f>IF(NOT(ISBLANK([1]BDD!I174)), ROUND(SUM(([1]BDD!G174*reduc1),FDP_FACT_KG), 2), "")</f>
        <v>10.47</v>
      </c>
      <c r="AF184" s="225" t="str">
        <f>IF(NOT(ISBLANK([1]BDD!J174)), ROUND(SUM(([1]BDD!G174*reduc2),FDP_FACT_KG), 2), "")</f>
        <v/>
      </c>
      <c r="AG184" s="225" t="str">
        <f>IF(NOT(ISBLANK([1]BDD!K174)), ROUND(SUM(([1]BDD!G174*reduc3),FDP_FACT_KG), 2), "")</f>
        <v/>
      </c>
      <c r="AH184" s="289" t="str">
        <f>[1]BDD!C174</f>
        <v>Grenade</v>
      </c>
      <c r="AI184" s="290">
        <f t="shared" si="161"/>
        <v>0</v>
      </c>
      <c r="AJ184" s="216">
        <f t="shared" si="162"/>
        <v>10.48</v>
      </c>
      <c r="AK184" s="291">
        <f t="shared" si="163"/>
        <v>0</v>
      </c>
      <c r="AL184" s="429"/>
      <c r="AM184" s="292"/>
      <c r="AN184" s="216">
        <f t="shared" si="164"/>
        <v>11.54</v>
      </c>
      <c r="AO184" s="293">
        <f t="shared" si="165"/>
        <v>0</v>
      </c>
      <c r="AP184" s="294"/>
      <c r="AQ184" s="294"/>
      <c r="AR184" s="429"/>
      <c r="AS184" s="295">
        <f t="shared" si="166"/>
        <v>0</v>
      </c>
      <c r="AT184" s="216">
        <f t="shared" si="167"/>
        <v>11.54</v>
      </c>
      <c r="AU184" s="291">
        <f t="shared" si="139"/>
        <v>0</v>
      </c>
      <c r="AV184" s="296">
        <f>[1]COMMANDE!O182</f>
        <v>0</v>
      </c>
      <c r="AW184" s="297" t="str">
        <f t="shared" si="168"/>
        <v>0</v>
      </c>
      <c r="AX184" s="298">
        <f t="shared" si="169"/>
        <v>0</v>
      </c>
      <c r="AY184" s="299">
        <f>[1]COMMANDE!Q182</f>
        <v>0</v>
      </c>
      <c r="AZ184" s="297" t="str">
        <f t="shared" si="170"/>
        <v>0</v>
      </c>
      <c r="BA184" s="300">
        <f t="shared" si="171"/>
        <v>0</v>
      </c>
      <c r="BB184" s="301">
        <f>[1]COMMANDE!S182</f>
        <v>0</v>
      </c>
      <c r="BC184" s="297" t="str">
        <f t="shared" si="172"/>
        <v>0</v>
      </c>
      <c r="BD184" s="298">
        <f t="shared" si="173"/>
        <v>0</v>
      </c>
      <c r="BE184" s="299">
        <f>[1]COMMANDE!U182</f>
        <v>0</v>
      </c>
      <c r="BF184" s="297" t="str">
        <f t="shared" si="174"/>
        <v>0</v>
      </c>
      <c r="BG184" s="300">
        <f t="shared" si="175"/>
        <v>0</v>
      </c>
      <c r="BH184" s="301">
        <f>[1]COMMANDE!W182</f>
        <v>0</v>
      </c>
      <c r="BI184" s="297" t="str">
        <f t="shared" si="176"/>
        <v>0</v>
      </c>
      <c r="BJ184" s="298">
        <f t="shared" si="177"/>
        <v>0</v>
      </c>
      <c r="BK184" s="299">
        <f>[1]COMMANDE!Y182</f>
        <v>0</v>
      </c>
      <c r="BL184" s="297" t="str">
        <f t="shared" si="178"/>
        <v>0</v>
      </c>
      <c r="BM184" s="300">
        <f t="shared" si="179"/>
        <v>0</v>
      </c>
      <c r="BN184" s="301">
        <f>[1]COMMANDE!AA182</f>
        <v>0</v>
      </c>
      <c r="BO184" s="297" t="str">
        <f t="shared" si="180"/>
        <v>0</v>
      </c>
      <c r="BP184" s="298">
        <f t="shared" si="181"/>
        <v>0</v>
      </c>
      <c r="BQ184" s="299">
        <f>[1]COMMANDE!AC182</f>
        <v>0</v>
      </c>
      <c r="BR184" s="297" t="str">
        <f t="shared" si="182"/>
        <v>0</v>
      </c>
      <c r="BS184" s="300">
        <f t="shared" si="183"/>
        <v>0</v>
      </c>
      <c r="BT184" s="301">
        <f>[1]COMMANDE!AE182</f>
        <v>0</v>
      </c>
      <c r="BU184" s="297" t="str">
        <f t="shared" si="184"/>
        <v>0</v>
      </c>
      <c r="BV184" s="298">
        <f t="shared" si="185"/>
        <v>0</v>
      </c>
      <c r="BW184" s="299">
        <f>[1]COMMANDE!AG182</f>
        <v>0</v>
      </c>
      <c r="BX184" s="297" t="str">
        <f t="shared" si="186"/>
        <v>0</v>
      </c>
      <c r="BY184" s="300">
        <f t="shared" si="187"/>
        <v>0</v>
      </c>
      <c r="BZ184" s="301">
        <f>[1]COMMANDE!AI182</f>
        <v>0</v>
      </c>
      <c r="CA184" s="297" t="str">
        <f t="shared" si="188"/>
        <v>0</v>
      </c>
      <c r="CB184" s="298">
        <f t="shared" si="189"/>
        <v>0</v>
      </c>
      <c r="CC184" s="299">
        <f>[1]COMMANDE!AK182</f>
        <v>0</v>
      </c>
      <c r="CD184" s="297" t="str">
        <f t="shared" si="190"/>
        <v>0</v>
      </c>
      <c r="CE184" s="300">
        <f t="shared" si="191"/>
        <v>0</v>
      </c>
      <c r="CF184" s="301">
        <f>[1]COMMANDE!AM182</f>
        <v>0</v>
      </c>
      <c r="CG184" s="297" t="str">
        <f t="shared" si="192"/>
        <v>0</v>
      </c>
      <c r="CH184" s="298">
        <f t="shared" si="193"/>
        <v>0</v>
      </c>
      <c r="CI184" s="299">
        <f>[1]COMMANDE!AO182</f>
        <v>0</v>
      </c>
      <c r="CJ184" s="297" t="str">
        <f t="shared" si="194"/>
        <v>0</v>
      </c>
      <c r="CK184" s="300">
        <f t="shared" si="195"/>
        <v>0</v>
      </c>
      <c r="CL184" s="301">
        <f>[1]COMMANDE!AQ182</f>
        <v>0</v>
      </c>
      <c r="CM184" s="297" t="str">
        <f t="shared" si="196"/>
        <v>0</v>
      </c>
      <c r="CN184" s="298">
        <f t="shared" si="197"/>
        <v>0</v>
      </c>
      <c r="CO184" s="299">
        <f>[1]COMMANDE!AS182</f>
        <v>0</v>
      </c>
      <c r="CP184" s="297" t="str">
        <f t="shared" si="198"/>
        <v>0</v>
      </c>
      <c r="CQ184" s="300">
        <f t="shared" si="199"/>
        <v>0</v>
      </c>
      <c r="CR184" s="301">
        <f>[1]COMMANDE!AU182</f>
        <v>0</v>
      </c>
      <c r="CS184" s="297" t="str">
        <f t="shared" si="200"/>
        <v>0</v>
      </c>
      <c r="CT184" s="298">
        <f t="shared" si="201"/>
        <v>0</v>
      </c>
      <c r="CU184" s="299">
        <f>[1]COMMANDE!AW182</f>
        <v>0</v>
      </c>
      <c r="CV184" s="297" t="str">
        <f t="shared" si="202"/>
        <v>0</v>
      </c>
      <c r="CW184" s="300">
        <f t="shared" si="203"/>
        <v>0</v>
      </c>
      <c r="CX184" s="301">
        <f>[1]COMMANDE!AY182</f>
        <v>0</v>
      </c>
      <c r="CY184" s="297" t="str">
        <f t="shared" si="204"/>
        <v>0</v>
      </c>
      <c r="CZ184" s="298">
        <f t="shared" si="205"/>
        <v>0</v>
      </c>
      <c r="DA184" s="299">
        <f>[1]COMMANDE!BA182</f>
        <v>0</v>
      </c>
      <c r="DB184" s="297" t="str">
        <f t="shared" si="206"/>
        <v>0</v>
      </c>
      <c r="DC184" s="302">
        <f t="shared" si="207"/>
        <v>0</v>
      </c>
      <c r="DD184" s="303"/>
      <c r="DE184" s="304"/>
    </row>
    <row r="185" spans="1:109" ht="39.950000000000003" customHeight="1" x14ac:dyDescent="0.25">
      <c r="A185" s="284">
        <f t="shared" si="140"/>
        <v>0</v>
      </c>
      <c r="B185" s="284">
        <f t="shared" si="141"/>
        <v>0</v>
      </c>
      <c r="C185" s="284">
        <f t="shared" si="142"/>
        <v>0</v>
      </c>
      <c r="D185" s="284">
        <f t="shared" si="143"/>
        <v>0</v>
      </c>
      <c r="E185" s="284">
        <f t="shared" si="144"/>
        <v>0</v>
      </c>
      <c r="F185" s="284">
        <f t="shared" si="145"/>
        <v>0</v>
      </c>
      <c r="G185" s="284">
        <f t="shared" si="146"/>
        <v>0</v>
      </c>
      <c r="H185" s="284">
        <f t="shared" si="147"/>
        <v>0</v>
      </c>
      <c r="I185" s="284">
        <f t="shared" si="148"/>
        <v>0</v>
      </c>
      <c r="J185" s="284">
        <f t="shared" si="149"/>
        <v>0</v>
      </c>
      <c r="K185" s="284">
        <f t="shared" si="150"/>
        <v>0</v>
      </c>
      <c r="L185" s="284">
        <f t="shared" si="151"/>
        <v>0</v>
      </c>
      <c r="M185" s="284">
        <f t="shared" si="152"/>
        <v>0</v>
      </c>
      <c r="N185" s="284">
        <f t="shared" si="153"/>
        <v>0</v>
      </c>
      <c r="O185" s="284">
        <f t="shared" si="154"/>
        <v>0</v>
      </c>
      <c r="P185" s="284">
        <f t="shared" si="155"/>
        <v>0</v>
      </c>
      <c r="Q185" s="284">
        <f t="shared" si="156"/>
        <v>0</v>
      </c>
      <c r="R185" s="284">
        <f t="shared" si="157"/>
        <v>0</v>
      </c>
      <c r="S185" s="284">
        <f t="shared" si="158"/>
        <v>0</v>
      </c>
      <c r="T185" s="284">
        <f t="shared" si="159"/>
        <v>0</v>
      </c>
      <c r="U185" s="285">
        <f t="shared" si="160"/>
        <v>0</v>
      </c>
      <c r="V185" s="286">
        <f>[1]BDD!A175</f>
        <v>1707</v>
      </c>
      <c r="W185" s="287" t="str">
        <f>[1]BDD!B175</f>
        <v>Moringa en poudre BIO (capsules végétales) (env. 100 pcs.)</v>
      </c>
      <c r="X185" s="288" t="str">
        <f>IF([1]BDD!F175=0, "", [1]BDD!F175)</f>
        <v/>
      </c>
      <c r="Y185" s="214">
        <f>ROUND([1]BDD!G175+FDP_CMD_KG, 2)</f>
        <v>6.32</v>
      </c>
      <c r="Z185" s="214">
        <f>ROUND([1]BDD!G175+FDP_FACT_KG, 2)</f>
        <v>6.32</v>
      </c>
      <c r="AA185" s="215" t="str">
        <f>[1]BDD!H175</f>
        <v>Pièce</v>
      </c>
      <c r="AB185" s="225" t="str">
        <f>IF(NOT(ISBLANK([1]BDD!I175)), ROUND(SUM(([1]BDD!G175*reduc1),FDP_CMD_KG), 2), "")</f>
        <v/>
      </c>
      <c r="AC185" s="225" t="str">
        <f>IF(NOT(ISBLANK([1]BDD!J175)), ROUND(SUM(([1]BDD!G175*reduc2),FDP_CMD_KG), 2), "")</f>
        <v/>
      </c>
      <c r="AD185" s="225" t="str">
        <f>IF(NOT(ISBLANK([1]BDD!K175)), ROUND(SUM(([1]BDD!G175*reduc3),FDP_CMD_KG), 2), "")</f>
        <v/>
      </c>
      <c r="AE185" s="225" t="str">
        <f>IF(NOT(ISBLANK([1]BDD!I175)), ROUND(SUM(([1]BDD!G175*reduc1),FDP_FACT_KG), 2), "")</f>
        <v/>
      </c>
      <c r="AF185" s="225" t="str">
        <f>IF(NOT(ISBLANK([1]BDD!J175)), ROUND(SUM(([1]BDD!G175*reduc2),FDP_FACT_KG), 2), "")</f>
        <v/>
      </c>
      <c r="AG185" s="225" t="str">
        <f>IF(NOT(ISBLANK([1]BDD!K175)), ROUND(SUM(([1]BDD!G175*reduc3),FDP_FACT_KG), 2), "")</f>
        <v/>
      </c>
      <c r="AH185" s="289" t="str">
        <f>[1]BDD!C175</f>
        <v>Andalousie</v>
      </c>
      <c r="AI185" s="290">
        <f t="shared" si="161"/>
        <v>0</v>
      </c>
      <c r="AJ185" s="216">
        <f t="shared" si="162"/>
        <v>6.32</v>
      </c>
      <c r="AK185" s="291">
        <f t="shared" si="163"/>
        <v>0</v>
      </c>
      <c r="AL185" s="429"/>
      <c r="AM185" s="292"/>
      <c r="AN185" s="216">
        <f t="shared" si="164"/>
        <v>6.32</v>
      </c>
      <c r="AO185" s="293">
        <f t="shared" si="165"/>
        <v>0</v>
      </c>
      <c r="AP185" s="294"/>
      <c r="AQ185" s="294"/>
      <c r="AR185" s="429"/>
      <c r="AS185" s="295">
        <f t="shared" si="166"/>
        <v>0</v>
      </c>
      <c r="AT185" s="216">
        <f t="shared" si="167"/>
        <v>6.32</v>
      </c>
      <c r="AU185" s="291">
        <f t="shared" si="139"/>
        <v>0</v>
      </c>
      <c r="AV185" s="296">
        <f>[1]COMMANDE!O183</f>
        <v>0</v>
      </c>
      <c r="AW185" s="297" t="str">
        <f t="shared" si="168"/>
        <v>0</v>
      </c>
      <c r="AX185" s="298">
        <f t="shared" si="169"/>
        <v>0</v>
      </c>
      <c r="AY185" s="299">
        <f>[1]COMMANDE!Q183</f>
        <v>0</v>
      </c>
      <c r="AZ185" s="297" t="str">
        <f t="shared" si="170"/>
        <v>0</v>
      </c>
      <c r="BA185" s="300">
        <f t="shared" si="171"/>
        <v>0</v>
      </c>
      <c r="BB185" s="301">
        <f>[1]COMMANDE!S183</f>
        <v>0</v>
      </c>
      <c r="BC185" s="297" t="str">
        <f t="shared" si="172"/>
        <v>0</v>
      </c>
      <c r="BD185" s="298">
        <f t="shared" si="173"/>
        <v>0</v>
      </c>
      <c r="BE185" s="299">
        <f>[1]COMMANDE!U183</f>
        <v>0</v>
      </c>
      <c r="BF185" s="297" t="str">
        <f t="shared" si="174"/>
        <v>0</v>
      </c>
      <c r="BG185" s="300">
        <f t="shared" si="175"/>
        <v>0</v>
      </c>
      <c r="BH185" s="301">
        <f>[1]COMMANDE!W183</f>
        <v>0</v>
      </c>
      <c r="BI185" s="297" t="str">
        <f t="shared" si="176"/>
        <v>0</v>
      </c>
      <c r="BJ185" s="298">
        <f t="shared" si="177"/>
        <v>0</v>
      </c>
      <c r="BK185" s="299">
        <f>[1]COMMANDE!Y183</f>
        <v>0</v>
      </c>
      <c r="BL185" s="297" t="str">
        <f t="shared" si="178"/>
        <v>0</v>
      </c>
      <c r="BM185" s="300">
        <f t="shared" si="179"/>
        <v>0</v>
      </c>
      <c r="BN185" s="301">
        <f>[1]COMMANDE!AA183</f>
        <v>0</v>
      </c>
      <c r="BO185" s="297" t="str">
        <f t="shared" si="180"/>
        <v>0</v>
      </c>
      <c r="BP185" s="298">
        <f t="shared" si="181"/>
        <v>0</v>
      </c>
      <c r="BQ185" s="299">
        <f>[1]COMMANDE!AC183</f>
        <v>0</v>
      </c>
      <c r="BR185" s="297" t="str">
        <f t="shared" si="182"/>
        <v>0</v>
      </c>
      <c r="BS185" s="300">
        <f t="shared" si="183"/>
        <v>0</v>
      </c>
      <c r="BT185" s="301">
        <f>[1]COMMANDE!AE183</f>
        <v>0</v>
      </c>
      <c r="BU185" s="297" t="str">
        <f t="shared" si="184"/>
        <v>0</v>
      </c>
      <c r="BV185" s="298">
        <f t="shared" si="185"/>
        <v>0</v>
      </c>
      <c r="BW185" s="299">
        <f>[1]COMMANDE!AG183</f>
        <v>0</v>
      </c>
      <c r="BX185" s="297" t="str">
        <f t="shared" si="186"/>
        <v>0</v>
      </c>
      <c r="BY185" s="300">
        <f t="shared" si="187"/>
        <v>0</v>
      </c>
      <c r="BZ185" s="301">
        <f>[1]COMMANDE!AI183</f>
        <v>0</v>
      </c>
      <c r="CA185" s="297" t="str">
        <f t="shared" si="188"/>
        <v>0</v>
      </c>
      <c r="CB185" s="298">
        <f t="shared" si="189"/>
        <v>0</v>
      </c>
      <c r="CC185" s="299">
        <f>[1]COMMANDE!AK183</f>
        <v>0</v>
      </c>
      <c r="CD185" s="297" t="str">
        <f t="shared" si="190"/>
        <v>0</v>
      </c>
      <c r="CE185" s="300">
        <f t="shared" si="191"/>
        <v>0</v>
      </c>
      <c r="CF185" s="301">
        <f>[1]COMMANDE!AM183</f>
        <v>0</v>
      </c>
      <c r="CG185" s="297" t="str">
        <f t="shared" si="192"/>
        <v>0</v>
      </c>
      <c r="CH185" s="298">
        <f t="shared" si="193"/>
        <v>0</v>
      </c>
      <c r="CI185" s="299">
        <f>[1]COMMANDE!AO183</f>
        <v>0</v>
      </c>
      <c r="CJ185" s="297" t="str">
        <f t="shared" si="194"/>
        <v>0</v>
      </c>
      <c r="CK185" s="300">
        <f t="shared" si="195"/>
        <v>0</v>
      </c>
      <c r="CL185" s="301">
        <f>[1]COMMANDE!AQ183</f>
        <v>0</v>
      </c>
      <c r="CM185" s="297" t="str">
        <f t="shared" si="196"/>
        <v>0</v>
      </c>
      <c r="CN185" s="298">
        <f t="shared" si="197"/>
        <v>0</v>
      </c>
      <c r="CO185" s="299">
        <f>[1]COMMANDE!AS183</f>
        <v>0</v>
      </c>
      <c r="CP185" s="297" t="str">
        <f t="shared" si="198"/>
        <v>0</v>
      </c>
      <c r="CQ185" s="300">
        <f t="shared" si="199"/>
        <v>0</v>
      </c>
      <c r="CR185" s="301">
        <f>[1]COMMANDE!AU183</f>
        <v>0</v>
      </c>
      <c r="CS185" s="297" t="str">
        <f t="shared" si="200"/>
        <v>0</v>
      </c>
      <c r="CT185" s="298">
        <f t="shared" si="201"/>
        <v>0</v>
      </c>
      <c r="CU185" s="299">
        <f>[1]COMMANDE!AW183</f>
        <v>0</v>
      </c>
      <c r="CV185" s="297" t="str">
        <f t="shared" si="202"/>
        <v>0</v>
      </c>
      <c r="CW185" s="300">
        <f t="shared" si="203"/>
        <v>0</v>
      </c>
      <c r="CX185" s="301">
        <f>[1]COMMANDE!AY183</f>
        <v>0</v>
      </c>
      <c r="CY185" s="297" t="str">
        <f t="shared" si="204"/>
        <v>0</v>
      </c>
      <c r="CZ185" s="298">
        <f t="shared" si="205"/>
        <v>0</v>
      </c>
      <c r="DA185" s="299">
        <f>[1]COMMANDE!BA183</f>
        <v>0</v>
      </c>
      <c r="DB185" s="297" t="str">
        <f t="shared" si="206"/>
        <v>0</v>
      </c>
      <c r="DC185" s="302">
        <f t="shared" si="207"/>
        <v>0</v>
      </c>
      <c r="DD185" s="303"/>
      <c r="DE185" s="304"/>
    </row>
    <row r="186" spans="1:109" ht="39.950000000000003" customHeight="1" x14ac:dyDescent="0.25">
      <c r="A186" s="284">
        <f t="shared" si="140"/>
        <v>0</v>
      </c>
      <c r="B186" s="284">
        <f t="shared" si="141"/>
        <v>0</v>
      </c>
      <c r="C186" s="284">
        <f t="shared" si="142"/>
        <v>0</v>
      </c>
      <c r="D186" s="284">
        <f t="shared" si="143"/>
        <v>0</v>
      </c>
      <c r="E186" s="284">
        <f t="shared" si="144"/>
        <v>0</v>
      </c>
      <c r="F186" s="284">
        <f t="shared" si="145"/>
        <v>0</v>
      </c>
      <c r="G186" s="284">
        <f t="shared" si="146"/>
        <v>0</v>
      </c>
      <c r="H186" s="284">
        <f t="shared" si="147"/>
        <v>0</v>
      </c>
      <c r="I186" s="284">
        <f t="shared" si="148"/>
        <v>0</v>
      </c>
      <c r="J186" s="284">
        <f t="shared" si="149"/>
        <v>0</v>
      </c>
      <c r="K186" s="284">
        <f t="shared" si="150"/>
        <v>0</v>
      </c>
      <c r="L186" s="284">
        <f t="shared" si="151"/>
        <v>0</v>
      </c>
      <c r="M186" s="284">
        <f t="shared" si="152"/>
        <v>0</v>
      </c>
      <c r="N186" s="284">
        <f t="shared" si="153"/>
        <v>0</v>
      </c>
      <c r="O186" s="284">
        <f t="shared" si="154"/>
        <v>0</v>
      </c>
      <c r="P186" s="284">
        <f t="shared" si="155"/>
        <v>0</v>
      </c>
      <c r="Q186" s="284">
        <f t="shared" si="156"/>
        <v>0</v>
      </c>
      <c r="R186" s="284">
        <f t="shared" si="157"/>
        <v>0</v>
      </c>
      <c r="S186" s="284">
        <f t="shared" si="158"/>
        <v>0</v>
      </c>
      <c r="T186" s="284">
        <f t="shared" si="159"/>
        <v>0</v>
      </c>
      <c r="U186" s="285">
        <f t="shared" si="160"/>
        <v>0</v>
      </c>
      <c r="V186" s="286">
        <f>[1]BDD!A176</f>
        <v>1730</v>
      </c>
      <c r="W186" s="287" t="str">
        <f>[1]BDD!B176</f>
        <v>Moringa en poudre BIO (env. 500g)</v>
      </c>
      <c r="X186" s="288" t="str">
        <f>IF([1]BDD!F176=0, "", [1]BDD!F176)</f>
        <v/>
      </c>
      <c r="Y186" s="214">
        <f>ROUND([1]BDD!G176+FDP_CMD_KG, 2)</f>
        <v>17.28</v>
      </c>
      <c r="Z186" s="214">
        <f>ROUND([1]BDD!G176+FDP_FACT_KG, 2)</f>
        <v>17.28</v>
      </c>
      <c r="AA186" s="215" t="str">
        <f>[1]BDD!H176</f>
        <v>Pièce</v>
      </c>
      <c r="AB186" s="225" t="str">
        <f>IF(NOT(ISBLANK([1]BDD!I176)), ROUND(SUM(([1]BDD!G176*reduc1),FDP_CMD_KG), 2), "")</f>
        <v/>
      </c>
      <c r="AC186" s="225" t="str">
        <f>IF(NOT(ISBLANK([1]BDD!J176)), ROUND(SUM(([1]BDD!G176*reduc2),FDP_CMD_KG), 2), "")</f>
        <v/>
      </c>
      <c r="AD186" s="225" t="str">
        <f>IF(NOT(ISBLANK([1]BDD!K176)), ROUND(SUM(([1]BDD!G176*reduc3),FDP_CMD_KG), 2), "")</f>
        <v/>
      </c>
      <c r="AE186" s="225" t="str">
        <f>IF(NOT(ISBLANK([1]BDD!I176)), ROUND(SUM(([1]BDD!G176*reduc1),FDP_FACT_KG), 2), "")</f>
        <v/>
      </c>
      <c r="AF186" s="225" t="str">
        <f>IF(NOT(ISBLANK([1]BDD!J176)), ROUND(SUM(([1]BDD!G176*reduc2),FDP_FACT_KG), 2), "")</f>
        <v/>
      </c>
      <c r="AG186" s="225" t="str">
        <f>IF(NOT(ISBLANK([1]BDD!K176)), ROUND(SUM(([1]BDD!G176*reduc3),FDP_FACT_KG), 2), "")</f>
        <v/>
      </c>
      <c r="AH186" s="289" t="str">
        <f>[1]BDD!C176</f>
        <v>Andalousie</v>
      </c>
      <c r="AI186" s="290">
        <f t="shared" si="161"/>
        <v>0</v>
      </c>
      <c r="AJ186" s="216">
        <f t="shared" si="162"/>
        <v>17.28</v>
      </c>
      <c r="AK186" s="291">
        <f t="shared" si="163"/>
        <v>0</v>
      </c>
      <c r="AL186" s="429"/>
      <c r="AM186" s="292"/>
      <c r="AN186" s="216">
        <f t="shared" si="164"/>
        <v>17.28</v>
      </c>
      <c r="AO186" s="293">
        <f t="shared" si="165"/>
        <v>0</v>
      </c>
      <c r="AP186" s="294"/>
      <c r="AQ186" s="294"/>
      <c r="AR186" s="429"/>
      <c r="AS186" s="295">
        <f t="shared" si="166"/>
        <v>0</v>
      </c>
      <c r="AT186" s="216">
        <f t="shared" si="167"/>
        <v>17.28</v>
      </c>
      <c r="AU186" s="291">
        <f t="shared" si="139"/>
        <v>0</v>
      </c>
      <c r="AV186" s="296">
        <f>[1]COMMANDE!O184</f>
        <v>0</v>
      </c>
      <c r="AW186" s="297" t="str">
        <f t="shared" si="168"/>
        <v>0</v>
      </c>
      <c r="AX186" s="298">
        <f t="shared" si="169"/>
        <v>0</v>
      </c>
      <c r="AY186" s="299">
        <f>[1]COMMANDE!Q184</f>
        <v>0</v>
      </c>
      <c r="AZ186" s="297" t="str">
        <f t="shared" si="170"/>
        <v>0</v>
      </c>
      <c r="BA186" s="300">
        <f t="shared" si="171"/>
        <v>0</v>
      </c>
      <c r="BB186" s="301">
        <f>[1]COMMANDE!S184</f>
        <v>0</v>
      </c>
      <c r="BC186" s="297" t="str">
        <f t="shared" si="172"/>
        <v>0</v>
      </c>
      <c r="BD186" s="298">
        <f t="shared" si="173"/>
        <v>0</v>
      </c>
      <c r="BE186" s="299">
        <f>[1]COMMANDE!U184</f>
        <v>0</v>
      </c>
      <c r="BF186" s="297" t="str">
        <f t="shared" si="174"/>
        <v>0</v>
      </c>
      <c r="BG186" s="300">
        <f t="shared" si="175"/>
        <v>0</v>
      </c>
      <c r="BH186" s="301">
        <f>[1]COMMANDE!W184</f>
        <v>0</v>
      </c>
      <c r="BI186" s="297" t="str">
        <f t="shared" si="176"/>
        <v>0</v>
      </c>
      <c r="BJ186" s="298">
        <f t="shared" si="177"/>
        <v>0</v>
      </c>
      <c r="BK186" s="299">
        <f>[1]COMMANDE!Y184</f>
        <v>0</v>
      </c>
      <c r="BL186" s="297" t="str">
        <f t="shared" si="178"/>
        <v>0</v>
      </c>
      <c r="BM186" s="300">
        <f t="shared" si="179"/>
        <v>0</v>
      </c>
      <c r="BN186" s="301">
        <f>[1]COMMANDE!AA184</f>
        <v>0</v>
      </c>
      <c r="BO186" s="297" t="str">
        <f t="shared" si="180"/>
        <v>0</v>
      </c>
      <c r="BP186" s="298">
        <f t="shared" si="181"/>
        <v>0</v>
      </c>
      <c r="BQ186" s="299">
        <f>[1]COMMANDE!AC184</f>
        <v>0</v>
      </c>
      <c r="BR186" s="297" t="str">
        <f t="shared" si="182"/>
        <v>0</v>
      </c>
      <c r="BS186" s="300">
        <f t="shared" si="183"/>
        <v>0</v>
      </c>
      <c r="BT186" s="301">
        <f>[1]COMMANDE!AE184</f>
        <v>0</v>
      </c>
      <c r="BU186" s="297" t="str">
        <f t="shared" si="184"/>
        <v>0</v>
      </c>
      <c r="BV186" s="298">
        <f t="shared" si="185"/>
        <v>0</v>
      </c>
      <c r="BW186" s="299">
        <f>[1]COMMANDE!AG184</f>
        <v>0</v>
      </c>
      <c r="BX186" s="297" t="str">
        <f t="shared" si="186"/>
        <v>0</v>
      </c>
      <c r="BY186" s="300">
        <f t="shared" si="187"/>
        <v>0</v>
      </c>
      <c r="BZ186" s="301">
        <f>[1]COMMANDE!AI184</f>
        <v>0</v>
      </c>
      <c r="CA186" s="297" t="str">
        <f t="shared" si="188"/>
        <v>0</v>
      </c>
      <c r="CB186" s="298">
        <f t="shared" si="189"/>
        <v>0</v>
      </c>
      <c r="CC186" s="299">
        <f>[1]COMMANDE!AK184</f>
        <v>0</v>
      </c>
      <c r="CD186" s="297" t="str">
        <f t="shared" si="190"/>
        <v>0</v>
      </c>
      <c r="CE186" s="300">
        <f t="shared" si="191"/>
        <v>0</v>
      </c>
      <c r="CF186" s="301">
        <f>[1]COMMANDE!AM184</f>
        <v>0</v>
      </c>
      <c r="CG186" s="297" t="str">
        <f t="shared" si="192"/>
        <v>0</v>
      </c>
      <c r="CH186" s="298">
        <f t="shared" si="193"/>
        <v>0</v>
      </c>
      <c r="CI186" s="299">
        <f>[1]COMMANDE!AO184</f>
        <v>0</v>
      </c>
      <c r="CJ186" s="297" t="str">
        <f t="shared" si="194"/>
        <v>0</v>
      </c>
      <c r="CK186" s="300">
        <f t="shared" si="195"/>
        <v>0</v>
      </c>
      <c r="CL186" s="301">
        <f>[1]COMMANDE!AQ184</f>
        <v>0</v>
      </c>
      <c r="CM186" s="297" t="str">
        <f t="shared" si="196"/>
        <v>0</v>
      </c>
      <c r="CN186" s="298">
        <f t="shared" si="197"/>
        <v>0</v>
      </c>
      <c r="CO186" s="299">
        <f>[1]COMMANDE!AS184</f>
        <v>0</v>
      </c>
      <c r="CP186" s="297" t="str">
        <f t="shared" si="198"/>
        <v>0</v>
      </c>
      <c r="CQ186" s="300">
        <f t="shared" si="199"/>
        <v>0</v>
      </c>
      <c r="CR186" s="301">
        <f>[1]COMMANDE!AU184</f>
        <v>0</v>
      </c>
      <c r="CS186" s="297" t="str">
        <f t="shared" si="200"/>
        <v>0</v>
      </c>
      <c r="CT186" s="298">
        <f t="shared" si="201"/>
        <v>0</v>
      </c>
      <c r="CU186" s="299">
        <f>[1]COMMANDE!AW184</f>
        <v>0</v>
      </c>
      <c r="CV186" s="297" t="str">
        <f t="shared" si="202"/>
        <v>0</v>
      </c>
      <c r="CW186" s="300">
        <f t="shared" si="203"/>
        <v>0</v>
      </c>
      <c r="CX186" s="301">
        <f>[1]COMMANDE!AY184</f>
        <v>0</v>
      </c>
      <c r="CY186" s="297" t="str">
        <f t="shared" si="204"/>
        <v>0</v>
      </c>
      <c r="CZ186" s="298">
        <f t="shared" si="205"/>
        <v>0</v>
      </c>
      <c r="DA186" s="299">
        <f>[1]COMMANDE!BA184</f>
        <v>0</v>
      </c>
      <c r="DB186" s="297" t="str">
        <f t="shared" si="206"/>
        <v>0</v>
      </c>
      <c r="DC186" s="302">
        <f t="shared" si="207"/>
        <v>0</v>
      </c>
      <c r="DD186" s="303"/>
      <c r="DE186" s="304"/>
    </row>
    <row r="187" spans="1:109" ht="39.950000000000003" customHeight="1" x14ac:dyDescent="0.25">
      <c r="A187" s="284">
        <f t="shared" si="140"/>
        <v>0</v>
      </c>
      <c r="B187" s="284">
        <f t="shared" si="141"/>
        <v>0</v>
      </c>
      <c r="C187" s="284">
        <f t="shared" si="142"/>
        <v>0</v>
      </c>
      <c r="D187" s="284">
        <f t="shared" si="143"/>
        <v>0</v>
      </c>
      <c r="E187" s="284">
        <f t="shared" si="144"/>
        <v>0</v>
      </c>
      <c r="F187" s="284">
        <f t="shared" si="145"/>
        <v>0</v>
      </c>
      <c r="G187" s="284">
        <f t="shared" si="146"/>
        <v>0</v>
      </c>
      <c r="H187" s="284">
        <f t="shared" si="147"/>
        <v>0</v>
      </c>
      <c r="I187" s="284">
        <f t="shared" si="148"/>
        <v>0</v>
      </c>
      <c r="J187" s="284">
        <f t="shared" si="149"/>
        <v>0</v>
      </c>
      <c r="K187" s="284">
        <f t="shared" si="150"/>
        <v>0</v>
      </c>
      <c r="L187" s="284">
        <f t="shared" si="151"/>
        <v>0</v>
      </c>
      <c r="M187" s="284">
        <f t="shared" si="152"/>
        <v>0</v>
      </c>
      <c r="N187" s="284">
        <f t="shared" si="153"/>
        <v>0</v>
      </c>
      <c r="O187" s="284">
        <f t="shared" si="154"/>
        <v>0</v>
      </c>
      <c r="P187" s="284">
        <f t="shared" si="155"/>
        <v>0</v>
      </c>
      <c r="Q187" s="284">
        <f t="shared" si="156"/>
        <v>0</v>
      </c>
      <c r="R187" s="284">
        <f t="shared" si="157"/>
        <v>0</v>
      </c>
      <c r="S187" s="284">
        <f t="shared" si="158"/>
        <v>0</v>
      </c>
      <c r="T187" s="284">
        <f t="shared" si="159"/>
        <v>0</v>
      </c>
      <c r="U187" s="285">
        <f t="shared" si="160"/>
        <v>0</v>
      </c>
      <c r="V187" s="286">
        <f>[1]BDD!A177</f>
        <v>1729</v>
      </c>
      <c r="W187" s="287" t="str">
        <f>[1]BDD!B177</f>
        <v>Moringa feuille sèche BIO (env. 500g)</v>
      </c>
      <c r="X187" s="288" t="str">
        <f>IF([1]BDD!F177=0, "", [1]BDD!F177)</f>
        <v/>
      </c>
      <c r="Y187" s="214">
        <f>ROUND([1]BDD!G177+FDP_CMD_KG, 2)</f>
        <v>18.260000000000002</v>
      </c>
      <c r="Z187" s="214">
        <f>ROUND([1]BDD!G177+FDP_FACT_KG, 2)</f>
        <v>18.260000000000002</v>
      </c>
      <c r="AA187" s="215" t="str">
        <f>[1]BDD!H177</f>
        <v>Pièce</v>
      </c>
      <c r="AB187" s="225" t="str">
        <f>IF(NOT(ISBLANK([1]BDD!I177)), ROUND(SUM(([1]BDD!G177*reduc1),FDP_CMD_KG), 2), "")</f>
        <v/>
      </c>
      <c r="AC187" s="225" t="str">
        <f>IF(NOT(ISBLANK([1]BDD!J177)), ROUND(SUM(([1]BDD!G177*reduc2),FDP_CMD_KG), 2), "")</f>
        <v/>
      </c>
      <c r="AD187" s="225" t="str">
        <f>IF(NOT(ISBLANK([1]BDD!K177)), ROUND(SUM(([1]BDD!G177*reduc3),FDP_CMD_KG), 2), "")</f>
        <v/>
      </c>
      <c r="AE187" s="225" t="str">
        <f>IF(NOT(ISBLANK([1]BDD!I177)), ROUND(SUM(([1]BDD!G177*reduc1),FDP_FACT_KG), 2), "")</f>
        <v/>
      </c>
      <c r="AF187" s="225" t="str">
        <f>IF(NOT(ISBLANK([1]BDD!J177)), ROUND(SUM(([1]BDD!G177*reduc2),FDP_FACT_KG), 2), "")</f>
        <v/>
      </c>
      <c r="AG187" s="225" t="str">
        <f>IF(NOT(ISBLANK([1]BDD!K177)), ROUND(SUM(([1]BDD!G177*reduc3),FDP_FACT_KG), 2), "")</f>
        <v/>
      </c>
      <c r="AH187" s="289" t="str">
        <f>[1]BDD!C177</f>
        <v>Andalousie</v>
      </c>
      <c r="AI187" s="290">
        <f t="shared" si="161"/>
        <v>0</v>
      </c>
      <c r="AJ187" s="216">
        <f t="shared" si="162"/>
        <v>18.260000000000002</v>
      </c>
      <c r="AK187" s="291">
        <f t="shared" si="163"/>
        <v>0</v>
      </c>
      <c r="AL187" s="429"/>
      <c r="AM187" s="292"/>
      <c r="AN187" s="216">
        <f t="shared" si="164"/>
        <v>18.260000000000002</v>
      </c>
      <c r="AO187" s="293">
        <f t="shared" si="165"/>
        <v>0</v>
      </c>
      <c r="AP187" s="294"/>
      <c r="AQ187" s="294"/>
      <c r="AR187" s="429"/>
      <c r="AS187" s="295">
        <f t="shared" si="166"/>
        <v>0</v>
      </c>
      <c r="AT187" s="216">
        <f t="shared" si="167"/>
        <v>18.260000000000002</v>
      </c>
      <c r="AU187" s="291">
        <f t="shared" si="139"/>
        <v>0</v>
      </c>
      <c r="AV187" s="296">
        <f>[1]COMMANDE!O185</f>
        <v>0</v>
      </c>
      <c r="AW187" s="297" t="str">
        <f t="shared" si="168"/>
        <v>0</v>
      </c>
      <c r="AX187" s="298">
        <f t="shared" si="169"/>
        <v>0</v>
      </c>
      <c r="AY187" s="299">
        <f>[1]COMMANDE!Q185</f>
        <v>0</v>
      </c>
      <c r="AZ187" s="297" t="str">
        <f t="shared" si="170"/>
        <v>0</v>
      </c>
      <c r="BA187" s="300">
        <f t="shared" si="171"/>
        <v>0</v>
      </c>
      <c r="BB187" s="301">
        <f>[1]COMMANDE!S185</f>
        <v>0</v>
      </c>
      <c r="BC187" s="297" t="str">
        <f t="shared" si="172"/>
        <v>0</v>
      </c>
      <c r="BD187" s="298">
        <f t="shared" si="173"/>
        <v>0</v>
      </c>
      <c r="BE187" s="299">
        <f>[1]COMMANDE!U185</f>
        <v>0</v>
      </c>
      <c r="BF187" s="297" t="str">
        <f t="shared" si="174"/>
        <v>0</v>
      </c>
      <c r="BG187" s="300">
        <f t="shared" si="175"/>
        <v>0</v>
      </c>
      <c r="BH187" s="301">
        <f>[1]COMMANDE!W185</f>
        <v>0</v>
      </c>
      <c r="BI187" s="297" t="str">
        <f t="shared" si="176"/>
        <v>0</v>
      </c>
      <c r="BJ187" s="298">
        <f t="shared" si="177"/>
        <v>0</v>
      </c>
      <c r="BK187" s="299">
        <f>[1]COMMANDE!Y185</f>
        <v>0</v>
      </c>
      <c r="BL187" s="297" t="str">
        <f t="shared" si="178"/>
        <v>0</v>
      </c>
      <c r="BM187" s="300">
        <f t="shared" si="179"/>
        <v>0</v>
      </c>
      <c r="BN187" s="301">
        <f>[1]COMMANDE!AA185</f>
        <v>0</v>
      </c>
      <c r="BO187" s="297" t="str">
        <f t="shared" si="180"/>
        <v>0</v>
      </c>
      <c r="BP187" s="298">
        <f t="shared" si="181"/>
        <v>0</v>
      </c>
      <c r="BQ187" s="299">
        <f>[1]COMMANDE!AC185</f>
        <v>0</v>
      </c>
      <c r="BR187" s="297" t="str">
        <f t="shared" si="182"/>
        <v>0</v>
      </c>
      <c r="BS187" s="300">
        <f t="shared" si="183"/>
        <v>0</v>
      </c>
      <c r="BT187" s="301">
        <f>[1]COMMANDE!AE185</f>
        <v>0</v>
      </c>
      <c r="BU187" s="297" t="str">
        <f t="shared" si="184"/>
        <v>0</v>
      </c>
      <c r="BV187" s="298">
        <f t="shared" si="185"/>
        <v>0</v>
      </c>
      <c r="BW187" s="299">
        <f>[1]COMMANDE!AG185</f>
        <v>0</v>
      </c>
      <c r="BX187" s="297" t="str">
        <f t="shared" si="186"/>
        <v>0</v>
      </c>
      <c r="BY187" s="300">
        <f t="shared" si="187"/>
        <v>0</v>
      </c>
      <c r="BZ187" s="301">
        <f>[1]COMMANDE!AI185</f>
        <v>0</v>
      </c>
      <c r="CA187" s="297" t="str">
        <f t="shared" si="188"/>
        <v>0</v>
      </c>
      <c r="CB187" s="298">
        <f t="shared" si="189"/>
        <v>0</v>
      </c>
      <c r="CC187" s="299">
        <f>[1]COMMANDE!AK185</f>
        <v>0</v>
      </c>
      <c r="CD187" s="297" t="str">
        <f t="shared" si="190"/>
        <v>0</v>
      </c>
      <c r="CE187" s="300">
        <f t="shared" si="191"/>
        <v>0</v>
      </c>
      <c r="CF187" s="301">
        <f>[1]COMMANDE!AM185</f>
        <v>0</v>
      </c>
      <c r="CG187" s="297" t="str">
        <f t="shared" si="192"/>
        <v>0</v>
      </c>
      <c r="CH187" s="298">
        <f t="shared" si="193"/>
        <v>0</v>
      </c>
      <c r="CI187" s="299">
        <f>[1]COMMANDE!AO185</f>
        <v>0</v>
      </c>
      <c r="CJ187" s="297" t="str">
        <f t="shared" si="194"/>
        <v>0</v>
      </c>
      <c r="CK187" s="300">
        <f t="shared" si="195"/>
        <v>0</v>
      </c>
      <c r="CL187" s="301">
        <f>[1]COMMANDE!AQ185</f>
        <v>0</v>
      </c>
      <c r="CM187" s="297" t="str">
        <f t="shared" si="196"/>
        <v>0</v>
      </c>
      <c r="CN187" s="298">
        <f t="shared" si="197"/>
        <v>0</v>
      </c>
      <c r="CO187" s="299">
        <f>[1]COMMANDE!AS185</f>
        <v>0</v>
      </c>
      <c r="CP187" s="297" t="str">
        <f t="shared" si="198"/>
        <v>0</v>
      </c>
      <c r="CQ187" s="300">
        <f t="shared" si="199"/>
        <v>0</v>
      </c>
      <c r="CR187" s="301">
        <f>[1]COMMANDE!AU185</f>
        <v>0</v>
      </c>
      <c r="CS187" s="297" t="str">
        <f t="shared" si="200"/>
        <v>0</v>
      </c>
      <c r="CT187" s="298">
        <f t="shared" si="201"/>
        <v>0</v>
      </c>
      <c r="CU187" s="299">
        <f>[1]COMMANDE!AW185</f>
        <v>0</v>
      </c>
      <c r="CV187" s="297" t="str">
        <f t="shared" si="202"/>
        <v>0</v>
      </c>
      <c r="CW187" s="300">
        <f t="shared" si="203"/>
        <v>0</v>
      </c>
      <c r="CX187" s="301">
        <f>[1]COMMANDE!AY185</f>
        <v>0</v>
      </c>
      <c r="CY187" s="297" t="str">
        <f t="shared" si="204"/>
        <v>0</v>
      </c>
      <c r="CZ187" s="298">
        <f t="shared" si="205"/>
        <v>0</v>
      </c>
      <c r="DA187" s="299">
        <f>[1]COMMANDE!BA185</f>
        <v>0</v>
      </c>
      <c r="DB187" s="297" t="str">
        <f t="shared" si="206"/>
        <v>0</v>
      </c>
      <c r="DC187" s="302">
        <f t="shared" si="207"/>
        <v>0</v>
      </c>
      <c r="DD187" s="303"/>
      <c r="DE187" s="304"/>
    </row>
    <row r="188" spans="1:109" ht="39.950000000000003" customHeight="1" x14ac:dyDescent="0.25">
      <c r="A188" s="284">
        <f t="shared" si="140"/>
        <v>0</v>
      </c>
      <c r="B188" s="284">
        <f t="shared" si="141"/>
        <v>0</v>
      </c>
      <c r="C188" s="284">
        <f t="shared" si="142"/>
        <v>0</v>
      </c>
      <c r="D188" s="284">
        <f t="shared" si="143"/>
        <v>0</v>
      </c>
      <c r="E188" s="284">
        <f t="shared" si="144"/>
        <v>0</v>
      </c>
      <c r="F188" s="284">
        <f t="shared" si="145"/>
        <v>0</v>
      </c>
      <c r="G188" s="284">
        <f t="shared" si="146"/>
        <v>0</v>
      </c>
      <c r="H188" s="284">
        <f t="shared" si="147"/>
        <v>0</v>
      </c>
      <c r="I188" s="284">
        <f t="shared" si="148"/>
        <v>0</v>
      </c>
      <c r="J188" s="284">
        <f t="shared" si="149"/>
        <v>0</v>
      </c>
      <c r="K188" s="284">
        <f t="shared" si="150"/>
        <v>0</v>
      </c>
      <c r="L188" s="284">
        <f t="shared" si="151"/>
        <v>0</v>
      </c>
      <c r="M188" s="284">
        <f t="shared" si="152"/>
        <v>0</v>
      </c>
      <c r="N188" s="284">
        <f t="shared" si="153"/>
        <v>0</v>
      </c>
      <c r="O188" s="284">
        <f t="shared" si="154"/>
        <v>0</v>
      </c>
      <c r="P188" s="284">
        <f t="shared" si="155"/>
        <v>0</v>
      </c>
      <c r="Q188" s="284">
        <f t="shared" si="156"/>
        <v>0</v>
      </c>
      <c r="R188" s="284">
        <f t="shared" si="157"/>
        <v>0</v>
      </c>
      <c r="S188" s="284">
        <f t="shared" si="158"/>
        <v>0</v>
      </c>
      <c r="T188" s="284">
        <f t="shared" si="159"/>
        <v>0</v>
      </c>
      <c r="U188" s="285">
        <f t="shared" si="160"/>
        <v>0</v>
      </c>
      <c r="V188" s="286">
        <f>[1]BDD!A178</f>
        <v>6180</v>
      </c>
      <c r="W188" s="287" t="str">
        <f>[1]BDD!B178</f>
        <v>Noisette sans coque CRU BIO (env. 1kg)</v>
      </c>
      <c r="X188" s="288" t="str">
        <f>IF([1]BDD!F178=0, "", [1]BDD!F178)</f>
        <v>❤️</v>
      </c>
      <c r="Y188" s="214">
        <f>ROUND([1]BDD!G178+FDP_CMD_KG, 2)</f>
        <v>20.72</v>
      </c>
      <c r="Z188" s="214">
        <f>ROUND([1]BDD!G178+FDP_FACT_KG, 2)</f>
        <v>20.72</v>
      </c>
      <c r="AA188" s="215" t="str">
        <f>[1]BDD!H178</f>
        <v>Pièce</v>
      </c>
      <c r="AB188" s="225">
        <f>IF(NOT(ISBLANK([1]BDD!I178)), ROUND(SUM(([1]BDD!G178*reduc1),FDP_CMD_KG), 2), "")</f>
        <v>18.739999999999998</v>
      </c>
      <c r="AC188" s="225" t="str">
        <f>IF(NOT(ISBLANK([1]BDD!J178)), ROUND(SUM(([1]BDD!G178*reduc2),FDP_CMD_KG), 2), "")</f>
        <v/>
      </c>
      <c r="AD188" s="225" t="str">
        <f>IF(NOT(ISBLANK([1]BDD!K178)), ROUND(SUM(([1]BDD!G178*reduc3),FDP_CMD_KG), 2), "")</f>
        <v/>
      </c>
      <c r="AE188" s="225">
        <f>IF(NOT(ISBLANK([1]BDD!I178)), ROUND(SUM(([1]BDD!G178*reduc1),FDP_FACT_KG), 2), "")</f>
        <v>18.73</v>
      </c>
      <c r="AF188" s="225" t="str">
        <f>IF(NOT(ISBLANK([1]BDD!J178)), ROUND(SUM(([1]BDD!G178*reduc2),FDP_FACT_KG), 2), "")</f>
        <v/>
      </c>
      <c r="AG188" s="225" t="str">
        <f>IF(NOT(ISBLANK([1]BDD!K178)), ROUND(SUM(([1]BDD!G178*reduc3),FDP_FACT_KG), 2), "")</f>
        <v/>
      </c>
      <c r="AH188" s="289" t="str">
        <f>[1]BDD!C178</f>
        <v>National</v>
      </c>
      <c r="AI188" s="290">
        <f t="shared" si="161"/>
        <v>0</v>
      </c>
      <c r="AJ188" s="216">
        <f t="shared" si="162"/>
        <v>18.739999999999998</v>
      </c>
      <c r="AK188" s="291">
        <f t="shared" si="163"/>
        <v>0</v>
      </c>
      <c r="AL188" s="429"/>
      <c r="AM188" s="292"/>
      <c r="AN188" s="216">
        <f t="shared" si="164"/>
        <v>20.72</v>
      </c>
      <c r="AO188" s="293">
        <f t="shared" si="165"/>
        <v>0</v>
      </c>
      <c r="AP188" s="294"/>
      <c r="AQ188" s="294"/>
      <c r="AR188" s="429"/>
      <c r="AS188" s="295">
        <f t="shared" si="166"/>
        <v>0</v>
      </c>
      <c r="AT188" s="216">
        <f t="shared" si="167"/>
        <v>20.72</v>
      </c>
      <c r="AU188" s="291">
        <f t="shared" si="139"/>
        <v>0</v>
      </c>
      <c r="AV188" s="296">
        <f>[1]COMMANDE!O186</f>
        <v>0</v>
      </c>
      <c r="AW188" s="297" t="str">
        <f t="shared" si="168"/>
        <v>0</v>
      </c>
      <c r="AX188" s="298">
        <f t="shared" si="169"/>
        <v>0</v>
      </c>
      <c r="AY188" s="299">
        <f>[1]COMMANDE!Q186</f>
        <v>0</v>
      </c>
      <c r="AZ188" s="297" t="str">
        <f t="shared" si="170"/>
        <v>0</v>
      </c>
      <c r="BA188" s="300">
        <f t="shared" si="171"/>
        <v>0</v>
      </c>
      <c r="BB188" s="301">
        <f>[1]COMMANDE!S186</f>
        <v>0</v>
      </c>
      <c r="BC188" s="297" t="str">
        <f t="shared" si="172"/>
        <v>0</v>
      </c>
      <c r="BD188" s="298">
        <f t="shared" si="173"/>
        <v>0</v>
      </c>
      <c r="BE188" s="299">
        <f>[1]COMMANDE!U186</f>
        <v>0</v>
      </c>
      <c r="BF188" s="297" t="str">
        <f t="shared" si="174"/>
        <v>0</v>
      </c>
      <c r="BG188" s="300">
        <f t="shared" si="175"/>
        <v>0</v>
      </c>
      <c r="BH188" s="301">
        <f>[1]COMMANDE!W186</f>
        <v>0</v>
      </c>
      <c r="BI188" s="297" t="str">
        <f t="shared" si="176"/>
        <v>0</v>
      </c>
      <c r="BJ188" s="298">
        <f t="shared" si="177"/>
        <v>0</v>
      </c>
      <c r="BK188" s="299">
        <f>[1]COMMANDE!Y186</f>
        <v>0</v>
      </c>
      <c r="BL188" s="297" t="str">
        <f t="shared" si="178"/>
        <v>0</v>
      </c>
      <c r="BM188" s="300">
        <f t="shared" si="179"/>
        <v>0</v>
      </c>
      <c r="BN188" s="301">
        <f>[1]COMMANDE!AA186</f>
        <v>0</v>
      </c>
      <c r="BO188" s="297" t="str">
        <f t="shared" si="180"/>
        <v>0</v>
      </c>
      <c r="BP188" s="298">
        <f t="shared" si="181"/>
        <v>0</v>
      </c>
      <c r="BQ188" s="299">
        <f>[1]COMMANDE!AC186</f>
        <v>0</v>
      </c>
      <c r="BR188" s="297" t="str">
        <f t="shared" si="182"/>
        <v>0</v>
      </c>
      <c r="BS188" s="300">
        <f t="shared" si="183"/>
        <v>0</v>
      </c>
      <c r="BT188" s="301">
        <f>[1]COMMANDE!AE186</f>
        <v>0</v>
      </c>
      <c r="BU188" s="297" t="str">
        <f t="shared" si="184"/>
        <v>0</v>
      </c>
      <c r="BV188" s="298">
        <f t="shared" si="185"/>
        <v>0</v>
      </c>
      <c r="BW188" s="299">
        <f>[1]COMMANDE!AG186</f>
        <v>0</v>
      </c>
      <c r="BX188" s="297" t="str">
        <f t="shared" si="186"/>
        <v>0</v>
      </c>
      <c r="BY188" s="300">
        <f t="shared" si="187"/>
        <v>0</v>
      </c>
      <c r="BZ188" s="301">
        <f>[1]COMMANDE!AI186</f>
        <v>0</v>
      </c>
      <c r="CA188" s="297" t="str">
        <f t="shared" si="188"/>
        <v>0</v>
      </c>
      <c r="CB188" s="298">
        <f t="shared" si="189"/>
        <v>0</v>
      </c>
      <c r="CC188" s="299">
        <f>[1]COMMANDE!AK186</f>
        <v>0</v>
      </c>
      <c r="CD188" s="297" t="str">
        <f t="shared" si="190"/>
        <v>0</v>
      </c>
      <c r="CE188" s="300">
        <f t="shared" si="191"/>
        <v>0</v>
      </c>
      <c r="CF188" s="301">
        <f>[1]COMMANDE!AM186</f>
        <v>0</v>
      </c>
      <c r="CG188" s="297" t="str">
        <f t="shared" si="192"/>
        <v>0</v>
      </c>
      <c r="CH188" s="298">
        <f t="shared" si="193"/>
        <v>0</v>
      </c>
      <c r="CI188" s="299">
        <f>[1]COMMANDE!AO186</f>
        <v>0</v>
      </c>
      <c r="CJ188" s="297" t="str">
        <f t="shared" si="194"/>
        <v>0</v>
      </c>
      <c r="CK188" s="300">
        <f t="shared" si="195"/>
        <v>0</v>
      </c>
      <c r="CL188" s="301">
        <f>[1]COMMANDE!AQ186</f>
        <v>0</v>
      </c>
      <c r="CM188" s="297" t="str">
        <f t="shared" si="196"/>
        <v>0</v>
      </c>
      <c r="CN188" s="298">
        <f t="shared" si="197"/>
        <v>0</v>
      </c>
      <c r="CO188" s="299">
        <f>[1]COMMANDE!AS186</f>
        <v>0</v>
      </c>
      <c r="CP188" s="297" t="str">
        <f t="shared" si="198"/>
        <v>0</v>
      </c>
      <c r="CQ188" s="300">
        <f t="shared" si="199"/>
        <v>0</v>
      </c>
      <c r="CR188" s="301">
        <f>[1]COMMANDE!AU186</f>
        <v>0</v>
      </c>
      <c r="CS188" s="297" t="str">
        <f t="shared" si="200"/>
        <v>0</v>
      </c>
      <c r="CT188" s="298">
        <f t="shared" si="201"/>
        <v>0</v>
      </c>
      <c r="CU188" s="299">
        <f>[1]COMMANDE!AW186</f>
        <v>0</v>
      </c>
      <c r="CV188" s="297" t="str">
        <f t="shared" si="202"/>
        <v>0</v>
      </c>
      <c r="CW188" s="300">
        <f t="shared" si="203"/>
        <v>0</v>
      </c>
      <c r="CX188" s="301">
        <f>[1]COMMANDE!AY186</f>
        <v>0</v>
      </c>
      <c r="CY188" s="297" t="str">
        <f t="shared" si="204"/>
        <v>0</v>
      </c>
      <c r="CZ188" s="298">
        <f t="shared" si="205"/>
        <v>0</v>
      </c>
      <c r="DA188" s="299">
        <f>[1]COMMANDE!BA186</f>
        <v>0</v>
      </c>
      <c r="DB188" s="297" t="str">
        <f t="shared" si="206"/>
        <v>0</v>
      </c>
      <c r="DC188" s="302">
        <f t="shared" si="207"/>
        <v>0</v>
      </c>
      <c r="DD188" s="303"/>
      <c r="DE188" s="304"/>
    </row>
    <row r="189" spans="1:109" ht="39.950000000000003" customHeight="1" x14ac:dyDescent="0.25">
      <c r="A189" s="284">
        <f t="shared" si="140"/>
        <v>0</v>
      </c>
      <c r="B189" s="284">
        <f t="shared" si="141"/>
        <v>0</v>
      </c>
      <c r="C189" s="284">
        <f t="shared" si="142"/>
        <v>0</v>
      </c>
      <c r="D189" s="284">
        <f t="shared" si="143"/>
        <v>0</v>
      </c>
      <c r="E189" s="284">
        <f t="shared" si="144"/>
        <v>0</v>
      </c>
      <c r="F189" s="284">
        <f t="shared" si="145"/>
        <v>0</v>
      </c>
      <c r="G189" s="284">
        <f t="shared" si="146"/>
        <v>0</v>
      </c>
      <c r="H189" s="284">
        <f t="shared" si="147"/>
        <v>0</v>
      </c>
      <c r="I189" s="284">
        <f t="shared" si="148"/>
        <v>0</v>
      </c>
      <c r="J189" s="284">
        <f t="shared" si="149"/>
        <v>0</v>
      </c>
      <c r="K189" s="284">
        <f t="shared" si="150"/>
        <v>0</v>
      </c>
      <c r="L189" s="284">
        <f t="shared" si="151"/>
        <v>0</v>
      </c>
      <c r="M189" s="284">
        <f t="shared" si="152"/>
        <v>0</v>
      </c>
      <c r="N189" s="284">
        <f t="shared" si="153"/>
        <v>0</v>
      </c>
      <c r="O189" s="284">
        <f t="shared" si="154"/>
        <v>0</v>
      </c>
      <c r="P189" s="284">
        <f t="shared" si="155"/>
        <v>0</v>
      </c>
      <c r="Q189" s="284">
        <f t="shared" si="156"/>
        <v>0</v>
      </c>
      <c r="R189" s="284">
        <f t="shared" si="157"/>
        <v>0</v>
      </c>
      <c r="S189" s="284">
        <f t="shared" si="158"/>
        <v>0</v>
      </c>
      <c r="T189" s="284">
        <f t="shared" si="159"/>
        <v>0</v>
      </c>
      <c r="U189" s="285">
        <f t="shared" si="160"/>
        <v>0</v>
      </c>
      <c r="V189" s="286">
        <f>[1]BDD!A179</f>
        <v>1027</v>
      </c>
      <c r="W189" s="287" t="str">
        <f>[1]BDD!B179</f>
        <v>Noix de cajou BIO (env. 1kg)</v>
      </c>
      <c r="X189" s="288" t="str">
        <f>IF([1]BDD!F179=0, "", [1]BDD!F179)</f>
        <v>❤️</v>
      </c>
      <c r="Y189" s="214">
        <f>ROUND([1]BDD!G179+FDP_CMD_KG, 2)</f>
        <v>21.39</v>
      </c>
      <c r="Z189" s="214">
        <f>ROUND([1]BDD!G179+FDP_FACT_KG, 2)</f>
        <v>21.39</v>
      </c>
      <c r="AA189" s="215" t="str">
        <f>[1]BDD!H179</f>
        <v>Pièce</v>
      </c>
      <c r="AB189" s="225">
        <f>IF(NOT(ISBLANK([1]BDD!I179)), ROUND(SUM(([1]BDD!G179*reduc1),FDP_CMD_KG), 2), "")</f>
        <v>19.34</v>
      </c>
      <c r="AC189" s="225">
        <f>IF(NOT(ISBLANK([1]BDD!J179)), ROUND(SUM(([1]BDD!G179*reduc2),FDP_CMD_KG), 2), "")</f>
        <v>17.29</v>
      </c>
      <c r="AD189" s="225" t="str">
        <f>IF(NOT(ISBLANK([1]BDD!K179)), ROUND(SUM(([1]BDD!G179*reduc3),FDP_CMD_KG), 2), "")</f>
        <v/>
      </c>
      <c r="AE189" s="225">
        <f>IF(NOT(ISBLANK([1]BDD!I179)), ROUND(SUM(([1]BDD!G179*reduc1),FDP_FACT_KG), 2), "")</f>
        <v>19.329999999999998</v>
      </c>
      <c r="AF189" s="225">
        <f>IF(NOT(ISBLANK([1]BDD!J179)), ROUND(SUM(([1]BDD!G179*reduc2),FDP_FACT_KG), 2), "")</f>
        <v>17.28</v>
      </c>
      <c r="AG189" s="225" t="str">
        <f>IF(NOT(ISBLANK([1]BDD!K179)), ROUND(SUM(([1]BDD!G179*reduc3),FDP_FACT_KG), 2), "")</f>
        <v/>
      </c>
      <c r="AH189" s="289" t="str">
        <f>[1]BDD!C179</f>
        <v>Indes</v>
      </c>
      <c r="AI189" s="290">
        <f t="shared" si="161"/>
        <v>0</v>
      </c>
      <c r="AJ189" s="216">
        <f t="shared" si="162"/>
        <v>17.29</v>
      </c>
      <c r="AK189" s="291">
        <f t="shared" si="163"/>
        <v>0</v>
      </c>
      <c r="AL189" s="429"/>
      <c r="AM189" s="292"/>
      <c r="AN189" s="216">
        <f t="shared" si="164"/>
        <v>21.39</v>
      </c>
      <c r="AO189" s="293">
        <f t="shared" si="165"/>
        <v>0</v>
      </c>
      <c r="AP189" s="294"/>
      <c r="AQ189" s="294"/>
      <c r="AR189" s="429"/>
      <c r="AS189" s="295">
        <f t="shared" si="166"/>
        <v>0</v>
      </c>
      <c r="AT189" s="216">
        <f t="shared" si="167"/>
        <v>21.39</v>
      </c>
      <c r="AU189" s="291">
        <f t="shared" si="139"/>
        <v>0</v>
      </c>
      <c r="AV189" s="296">
        <f>[1]COMMANDE!O187</f>
        <v>0</v>
      </c>
      <c r="AW189" s="297" t="str">
        <f t="shared" si="168"/>
        <v>0</v>
      </c>
      <c r="AX189" s="298">
        <f t="shared" si="169"/>
        <v>0</v>
      </c>
      <c r="AY189" s="299">
        <f>[1]COMMANDE!Q187</f>
        <v>0</v>
      </c>
      <c r="AZ189" s="297" t="str">
        <f t="shared" si="170"/>
        <v>0</v>
      </c>
      <c r="BA189" s="300">
        <f t="shared" si="171"/>
        <v>0</v>
      </c>
      <c r="BB189" s="301">
        <f>[1]COMMANDE!S187</f>
        <v>0</v>
      </c>
      <c r="BC189" s="297" t="str">
        <f t="shared" si="172"/>
        <v>0</v>
      </c>
      <c r="BD189" s="298">
        <f t="shared" si="173"/>
        <v>0</v>
      </c>
      <c r="BE189" s="299">
        <f>[1]COMMANDE!U187</f>
        <v>0</v>
      </c>
      <c r="BF189" s="297" t="str">
        <f t="shared" si="174"/>
        <v>0</v>
      </c>
      <c r="BG189" s="300">
        <f t="shared" si="175"/>
        <v>0</v>
      </c>
      <c r="BH189" s="301">
        <f>[1]COMMANDE!W187</f>
        <v>0</v>
      </c>
      <c r="BI189" s="297" t="str">
        <f t="shared" si="176"/>
        <v>0</v>
      </c>
      <c r="BJ189" s="298">
        <f t="shared" si="177"/>
        <v>0</v>
      </c>
      <c r="BK189" s="299">
        <f>[1]COMMANDE!Y187</f>
        <v>0</v>
      </c>
      <c r="BL189" s="297" t="str">
        <f t="shared" si="178"/>
        <v>0</v>
      </c>
      <c r="BM189" s="300">
        <f t="shared" si="179"/>
        <v>0</v>
      </c>
      <c r="BN189" s="301">
        <f>[1]COMMANDE!AA187</f>
        <v>0</v>
      </c>
      <c r="BO189" s="297" t="str">
        <f t="shared" si="180"/>
        <v>0</v>
      </c>
      <c r="BP189" s="298">
        <f t="shared" si="181"/>
        <v>0</v>
      </c>
      <c r="BQ189" s="299">
        <f>[1]COMMANDE!AC187</f>
        <v>0</v>
      </c>
      <c r="BR189" s="297" t="str">
        <f t="shared" si="182"/>
        <v>0</v>
      </c>
      <c r="BS189" s="300">
        <f t="shared" si="183"/>
        <v>0</v>
      </c>
      <c r="BT189" s="301">
        <f>[1]COMMANDE!AE187</f>
        <v>0</v>
      </c>
      <c r="BU189" s="297" t="str">
        <f t="shared" si="184"/>
        <v>0</v>
      </c>
      <c r="BV189" s="298">
        <f t="shared" si="185"/>
        <v>0</v>
      </c>
      <c r="BW189" s="299">
        <f>[1]COMMANDE!AG187</f>
        <v>0</v>
      </c>
      <c r="BX189" s="297" t="str">
        <f t="shared" si="186"/>
        <v>0</v>
      </c>
      <c r="BY189" s="300">
        <f t="shared" si="187"/>
        <v>0</v>
      </c>
      <c r="BZ189" s="301">
        <f>[1]COMMANDE!AI187</f>
        <v>0</v>
      </c>
      <c r="CA189" s="297" t="str">
        <f t="shared" si="188"/>
        <v>0</v>
      </c>
      <c r="CB189" s="298">
        <f t="shared" si="189"/>
        <v>0</v>
      </c>
      <c r="CC189" s="299">
        <f>[1]COMMANDE!AK187</f>
        <v>0</v>
      </c>
      <c r="CD189" s="297" t="str">
        <f t="shared" si="190"/>
        <v>0</v>
      </c>
      <c r="CE189" s="300">
        <f t="shared" si="191"/>
        <v>0</v>
      </c>
      <c r="CF189" s="301">
        <f>[1]COMMANDE!AM187</f>
        <v>0</v>
      </c>
      <c r="CG189" s="297" t="str">
        <f t="shared" si="192"/>
        <v>0</v>
      </c>
      <c r="CH189" s="298">
        <f t="shared" si="193"/>
        <v>0</v>
      </c>
      <c r="CI189" s="299">
        <f>[1]COMMANDE!AO187</f>
        <v>0</v>
      </c>
      <c r="CJ189" s="297" t="str">
        <f t="shared" si="194"/>
        <v>0</v>
      </c>
      <c r="CK189" s="300">
        <f t="shared" si="195"/>
        <v>0</v>
      </c>
      <c r="CL189" s="301">
        <f>[1]COMMANDE!AQ187</f>
        <v>0</v>
      </c>
      <c r="CM189" s="297" t="str">
        <f t="shared" si="196"/>
        <v>0</v>
      </c>
      <c r="CN189" s="298">
        <f t="shared" si="197"/>
        <v>0</v>
      </c>
      <c r="CO189" s="299">
        <f>[1]COMMANDE!AS187</f>
        <v>0</v>
      </c>
      <c r="CP189" s="297" t="str">
        <f t="shared" si="198"/>
        <v>0</v>
      </c>
      <c r="CQ189" s="300">
        <f t="shared" si="199"/>
        <v>0</v>
      </c>
      <c r="CR189" s="301">
        <f>[1]COMMANDE!AU187</f>
        <v>0</v>
      </c>
      <c r="CS189" s="297" t="str">
        <f t="shared" si="200"/>
        <v>0</v>
      </c>
      <c r="CT189" s="298">
        <f t="shared" si="201"/>
        <v>0</v>
      </c>
      <c r="CU189" s="299">
        <f>[1]COMMANDE!AW187</f>
        <v>0</v>
      </c>
      <c r="CV189" s="297" t="str">
        <f t="shared" si="202"/>
        <v>0</v>
      </c>
      <c r="CW189" s="300">
        <f t="shared" si="203"/>
        <v>0</v>
      </c>
      <c r="CX189" s="301">
        <f>[1]COMMANDE!AY187</f>
        <v>0</v>
      </c>
      <c r="CY189" s="297" t="str">
        <f t="shared" si="204"/>
        <v>0</v>
      </c>
      <c r="CZ189" s="298">
        <f t="shared" si="205"/>
        <v>0</v>
      </c>
      <c r="DA189" s="299">
        <f>[1]COMMANDE!BA187</f>
        <v>0</v>
      </c>
      <c r="DB189" s="297" t="str">
        <f t="shared" si="206"/>
        <v>0</v>
      </c>
      <c r="DC189" s="302">
        <f t="shared" si="207"/>
        <v>0</v>
      </c>
      <c r="DD189" s="303"/>
      <c r="DE189" s="304"/>
    </row>
    <row r="190" spans="1:109" ht="39.950000000000003" customHeight="1" x14ac:dyDescent="0.25">
      <c r="A190" s="284">
        <f t="shared" si="140"/>
        <v>0</v>
      </c>
      <c r="B190" s="284">
        <f t="shared" si="141"/>
        <v>0</v>
      </c>
      <c r="C190" s="284">
        <f t="shared" si="142"/>
        <v>0</v>
      </c>
      <c r="D190" s="284">
        <f t="shared" si="143"/>
        <v>0</v>
      </c>
      <c r="E190" s="284">
        <f t="shared" si="144"/>
        <v>0</v>
      </c>
      <c r="F190" s="284">
        <f t="shared" si="145"/>
        <v>0</v>
      </c>
      <c r="G190" s="284">
        <f t="shared" si="146"/>
        <v>0</v>
      </c>
      <c r="H190" s="284">
        <f t="shared" si="147"/>
        <v>0</v>
      </c>
      <c r="I190" s="284">
        <f t="shared" si="148"/>
        <v>0</v>
      </c>
      <c r="J190" s="284">
        <f t="shared" si="149"/>
        <v>0</v>
      </c>
      <c r="K190" s="284">
        <f t="shared" si="150"/>
        <v>0</v>
      </c>
      <c r="L190" s="284">
        <f t="shared" si="151"/>
        <v>0</v>
      </c>
      <c r="M190" s="284">
        <f t="shared" si="152"/>
        <v>0</v>
      </c>
      <c r="N190" s="284">
        <f t="shared" si="153"/>
        <v>0</v>
      </c>
      <c r="O190" s="284">
        <f t="shared" si="154"/>
        <v>0</v>
      </c>
      <c r="P190" s="284">
        <f t="shared" si="155"/>
        <v>0</v>
      </c>
      <c r="Q190" s="284">
        <f t="shared" si="156"/>
        <v>0</v>
      </c>
      <c r="R190" s="284">
        <f t="shared" si="157"/>
        <v>0</v>
      </c>
      <c r="S190" s="284">
        <f t="shared" si="158"/>
        <v>0</v>
      </c>
      <c r="T190" s="284">
        <f t="shared" si="159"/>
        <v>0</v>
      </c>
      <c r="U190" s="285">
        <f t="shared" si="160"/>
        <v>0</v>
      </c>
      <c r="V190" s="286" t="str">
        <f>[1]BDD!A180</f>
        <v>1816</v>
      </c>
      <c r="W190" s="287" t="str">
        <f>[1]BDD!B180</f>
        <v>Noix de Macadamia sans coque BIO
    - (env. 1kg)</v>
      </c>
      <c r="X190" s="288" t="str">
        <f>IF([1]BDD!F180=0, "", [1]BDD!F180)</f>
        <v>❤️</v>
      </c>
      <c r="Y190" s="214">
        <f>ROUND([1]BDD!G180+FDP_CMD_KG, 2)</f>
        <v>44.68</v>
      </c>
      <c r="Z190" s="214">
        <f>ROUND([1]BDD!G180+FDP_FACT_KG, 2)</f>
        <v>44.68</v>
      </c>
      <c r="AA190" s="215" t="str">
        <f>[1]BDD!H180</f>
        <v>Pièce</v>
      </c>
      <c r="AB190" s="225" t="str">
        <f>IF(NOT(ISBLANK([1]BDD!I180)), ROUND(SUM(([1]BDD!G180*reduc1),FDP_CMD_KG), 2), "")</f>
        <v/>
      </c>
      <c r="AC190" s="225" t="str">
        <f>IF(NOT(ISBLANK([1]BDD!J180)), ROUND(SUM(([1]BDD!G180*reduc2),FDP_CMD_KG), 2), "")</f>
        <v/>
      </c>
      <c r="AD190" s="225" t="str">
        <f>IF(NOT(ISBLANK([1]BDD!K180)), ROUND(SUM(([1]BDD!G180*reduc3),FDP_CMD_KG), 2), "")</f>
        <v/>
      </c>
      <c r="AE190" s="225" t="str">
        <f>IF(NOT(ISBLANK([1]BDD!I180)), ROUND(SUM(([1]BDD!G180*reduc1),FDP_FACT_KG), 2), "")</f>
        <v/>
      </c>
      <c r="AF190" s="225" t="str">
        <f>IF(NOT(ISBLANK([1]BDD!J180)), ROUND(SUM(([1]BDD!G180*reduc2),FDP_FACT_KG), 2), "")</f>
        <v/>
      </c>
      <c r="AG190" s="225" t="str">
        <f>IF(NOT(ISBLANK([1]BDD!K180)), ROUND(SUM(([1]BDD!G180*reduc3),FDP_FACT_KG), 2), "")</f>
        <v/>
      </c>
      <c r="AH190" s="289" t="str">
        <f>[1]BDD!C180</f>
        <v>Kenya</v>
      </c>
      <c r="AI190" s="290">
        <f t="shared" si="161"/>
        <v>0</v>
      </c>
      <c r="AJ190" s="216">
        <f t="shared" si="162"/>
        <v>44.68</v>
      </c>
      <c r="AK190" s="291">
        <f t="shared" si="163"/>
        <v>0</v>
      </c>
      <c r="AL190" s="429"/>
      <c r="AM190" s="292"/>
      <c r="AN190" s="216">
        <f t="shared" si="164"/>
        <v>44.68</v>
      </c>
      <c r="AO190" s="293">
        <f t="shared" si="165"/>
        <v>0</v>
      </c>
      <c r="AP190" s="294"/>
      <c r="AQ190" s="294"/>
      <c r="AR190" s="429"/>
      <c r="AS190" s="295">
        <f t="shared" si="166"/>
        <v>0</v>
      </c>
      <c r="AT190" s="216">
        <f t="shared" si="167"/>
        <v>44.68</v>
      </c>
      <c r="AU190" s="291">
        <f t="shared" si="139"/>
        <v>0</v>
      </c>
      <c r="AV190" s="296">
        <f>[1]COMMANDE!O188</f>
        <v>0</v>
      </c>
      <c r="AW190" s="297" t="str">
        <f t="shared" si="168"/>
        <v>0</v>
      </c>
      <c r="AX190" s="298">
        <f t="shared" si="169"/>
        <v>0</v>
      </c>
      <c r="AY190" s="299">
        <f>[1]COMMANDE!Q188</f>
        <v>0</v>
      </c>
      <c r="AZ190" s="297" t="str">
        <f t="shared" si="170"/>
        <v>0</v>
      </c>
      <c r="BA190" s="300">
        <f t="shared" si="171"/>
        <v>0</v>
      </c>
      <c r="BB190" s="301">
        <f>[1]COMMANDE!S188</f>
        <v>0</v>
      </c>
      <c r="BC190" s="297" t="str">
        <f t="shared" si="172"/>
        <v>0</v>
      </c>
      <c r="BD190" s="298">
        <f t="shared" si="173"/>
        <v>0</v>
      </c>
      <c r="BE190" s="299">
        <f>[1]COMMANDE!U188</f>
        <v>0</v>
      </c>
      <c r="BF190" s="297" t="str">
        <f t="shared" si="174"/>
        <v>0</v>
      </c>
      <c r="BG190" s="300">
        <f t="shared" si="175"/>
        <v>0</v>
      </c>
      <c r="BH190" s="301">
        <f>[1]COMMANDE!W188</f>
        <v>0</v>
      </c>
      <c r="BI190" s="297" t="str">
        <f t="shared" si="176"/>
        <v>0</v>
      </c>
      <c r="BJ190" s="298">
        <f t="shared" si="177"/>
        <v>0</v>
      </c>
      <c r="BK190" s="299">
        <f>[1]COMMANDE!Y188</f>
        <v>0</v>
      </c>
      <c r="BL190" s="297" t="str">
        <f t="shared" si="178"/>
        <v>0</v>
      </c>
      <c r="BM190" s="300">
        <f t="shared" si="179"/>
        <v>0</v>
      </c>
      <c r="BN190" s="301">
        <f>[1]COMMANDE!AA188</f>
        <v>0</v>
      </c>
      <c r="BO190" s="297" t="str">
        <f t="shared" si="180"/>
        <v>0</v>
      </c>
      <c r="BP190" s="298">
        <f t="shared" si="181"/>
        <v>0</v>
      </c>
      <c r="BQ190" s="299">
        <f>[1]COMMANDE!AC188</f>
        <v>0</v>
      </c>
      <c r="BR190" s="297" t="str">
        <f t="shared" si="182"/>
        <v>0</v>
      </c>
      <c r="BS190" s="300">
        <f t="shared" si="183"/>
        <v>0</v>
      </c>
      <c r="BT190" s="301">
        <f>[1]COMMANDE!AE188</f>
        <v>0</v>
      </c>
      <c r="BU190" s="297" t="str">
        <f t="shared" si="184"/>
        <v>0</v>
      </c>
      <c r="BV190" s="298">
        <f t="shared" si="185"/>
        <v>0</v>
      </c>
      <c r="BW190" s="299">
        <f>[1]COMMANDE!AG188</f>
        <v>0</v>
      </c>
      <c r="BX190" s="297" t="str">
        <f t="shared" si="186"/>
        <v>0</v>
      </c>
      <c r="BY190" s="300">
        <f t="shared" si="187"/>
        <v>0</v>
      </c>
      <c r="BZ190" s="301">
        <f>[1]COMMANDE!AI188</f>
        <v>0</v>
      </c>
      <c r="CA190" s="297" t="str">
        <f t="shared" si="188"/>
        <v>0</v>
      </c>
      <c r="CB190" s="298">
        <f t="shared" si="189"/>
        <v>0</v>
      </c>
      <c r="CC190" s="299">
        <f>[1]COMMANDE!AK188</f>
        <v>0</v>
      </c>
      <c r="CD190" s="297" t="str">
        <f t="shared" si="190"/>
        <v>0</v>
      </c>
      <c r="CE190" s="300">
        <f t="shared" si="191"/>
        <v>0</v>
      </c>
      <c r="CF190" s="301">
        <f>[1]COMMANDE!AM188</f>
        <v>0</v>
      </c>
      <c r="CG190" s="297" t="str">
        <f t="shared" si="192"/>
        <v>0</v>
      </c>
      <c r="CH190" s="298">
        <f t="shared" si="193"/>
        <v>0</v>
      </c>
      <c r="CI190" s="299">
        <f>[1]COMMANDE!AO188</f>
        <v>0</v>
      </c>
      <c r="CJ190" s="297" t="str">
        <f t="shared" si="194"/>
        <v>0</v>
      </c>
      <c r="CK190" s="300">
        <f t="shared" si="195"/>
        <v>0</v>
      </c>
      <c r="CL190" s="301">
        <f>[1]COMMANDE!AQ188</f>
        <v>0</v>
      </c>
      <c r="CM190" s="297" t="str">
        <f t="shared" si="196"/>
        <v>0</v>
      </c>
      <c r="CN190" s="298">
        <f t="shared" si="197"/>
        <v>0</v>
      </c>
      <c r="CO190" s="299">
        <f>[1]COMMANDE!AS188</f>
        <v>0</v>
      </c>
      <c r="CP190" s="297" t="str">
        <f t="shared" si="198"/>
        <v>0</v>
      </c>
      <c r="CQ190" s="300">
        <f t="shared" si="199"/>
        <v>0</v>
      </c>
      <c r="CR190" s="301">
        <f>[1]COMMANDE!AU188</f>
        <v>0</v>
      </c>
      <c r="CS190" s="297" t="str">
        <f t="shared" si="200"/>
        <v>0</v>
      </c>
      <c r="CT190" s="298">
        <f t="shared" si="201"/>
        <v>0</v>
      </c>
      <c r="CU190" s="299">
        <f>[1]COMMANDE!AW188</f>
        <v>0</v>
      </c>
      <c r="CV190" s="297" t="str">
        <f t="shared" si="202"/>
        <v>0</v>
      </c>
      <c r="CW190" s="300">
        <f t="shared" si="203"/>
        <v>0</v>
      </c>
      <c r="CX190" s="301">
        <f>[1]COMMANDE!AY188</f>
        <v>0</v>
      </c>
      <c r="CY190" s="297" t="str">
        <f t="shared" si="204"/>
        <v>0</v>
      </c>
      <c r="CZ190" s="298">
        <f t="shared" si="205"/>
        <v>0</v>
      </c>
      <c r="DA190" s="299">
        <f>[1]COMMANDE!BA188</f>
        <v>0</v>
      </c>
      <c r="DB190" s="297" t="str">
        <f t="shared" si="206"/>
        <v>0</v>
      </c>
      <c r="DC190" s="302">
        <f t="shared" si="207"/>
        <v>0</v>
      </c>
      <c r="DD190" s="303"/>
      <c r="DE190" s="304"/>
    </row>
    <row r="191" spans="1:109" ht="39.950000000000003" customHeight="1" x14ac:dyDescent="0.25">
      <c r="A191" s="284">
        <f t="shared" si="140"/>
        <v>0</v>
      </c>
      <c r="B191" s="284">
        <f t="shared" si="141"/>
        <v>0</v>
      </c>
      <c r="C191" s="284">
        <f t="shared" si="142"/>
        <v>0</v>
      </c>
      <c r="D191" s="284">
        <f t="shared" si="143"/>
        <v>0</v>
      </c>
      <c r="E191" s="284">
        <f t="shared" si="144"/>
        <v>0</v>
      </c>
      <c r="F191" s="284">
        <f t="shared" si="145"/>
        <v>0</v>
      </c>
      <c r="G191" s="284">
        <f t="shared" si="146"/>
        <v>0</v>
      </c>
      <c r="H191" s="284">
        <f t="shared" si="147"/>
        <v>0</v>
      </c>
      <c r="I191" s="284">
        <f t="shared" si="148"/>
        <v>0</v>
      </c>
      <c r="J191" s="284">
        <f t="shared" si="149"/>
        <v>0</v>
      </c>
      <c r="K191" s="284">
        <f t="shared" si="150"/>
        <v>0</v>
      </c>
      <c r="L191" s="284">
        <f t="shared" si="151"/>
        <v>0</v>
      </c>
      <c r="M191" s="284">
        <f t="shared" si="152"/>
        <v>0</v>
      </c>
      <c r="N191" s="284">
        <f t="shared" si="153"/>
        <v>0</v>
      </c>
      <c r="O191" s="284">
        <f t="shared" si="154"/>
        <v>0</v>
      </c>
      <c r="P191" s="284">
        <f t="shared" si="155"/>
        <v>0</v>
      </c>
      <c r="Q191" s="284">
        <f t="shared" si="156"/>
        <v>0</v>
      </c>
      <c r="R191" s="284">
        <f t="shared" si="157"/>
        <v>0</v>
      </c>
      <c r="S191" s="284">
        <f t="shared" si="158"/>
        <v>0</v>
      </c>
      <c r="T191" s="284">
        <f t="shared" si="159"/>
        <v>0</v>
      </c>
      <c r="U191" s="285">
        <f t="shared" si="160"/>
        <v>0</v>
      </c>
      <c r="V191" s="286" t="str">
        <f>[1]BDD!A181</f>
        <v>1816</v>
      </c>
      <c r="W191" s="287" t="str">
        <f>[1]BDD!B181</f>
        <v>Noix de Macadamia sans coque BIO
    - (env. 500g)</v>
      </c>
      <c r="X191" s="288" t="str">
        <f>IF([1]BDD!F181=0, "", [1]BDD!F181)</f>
        <v>❤️</v>
      </c>
      <c r="Y191" s="214">
        <f>ROUND([1]BDD!G181+FDP_CMD_KG, 2)</f>
        <v>23.46</v>
      </c>
      <c r="Z191" s="214">
        <f>ROUND([1]BDD!G181+FDP_FACT_KG, 2)</f>
        <v>23.46</v>
      </c>
      <c r="AA191" s="215" t="str">
        <f>[1]BDD!H181</f>
        <v>Pièce</v>
      </c>
      <c r="AB191" s="225" t="str">
        <f>IF(NOT(ISBLANK([1]BDD!I181)), ROUND(SUM(([1]BDD!G181*reduc1),FDP_CMD_KG), 2), "")</f>
        <v/>
      </c>
      <c r="AC191" s="225" t="str">
        <f>IF(NOT(ISBLANK([1]BDD!J181)), ROUND(SUM(([1]BDD!G181*reduc2),FDP_CMD_KG), 2), "")</f>
        <v/>
      </c>
      <c r="AD191" s="225" t="str">
        <f>IF(NOT(ISBLANK([1]BDD!K181)), ROUND(SUM(([1]BDD!G181*reduc3),FDP_CMD_KG), 2), "")</f>
        <v/>
      </c>
      <c r="AE191" s="225" t="str">
        <f>IF(NOT(ISBLANK([1]BDD!I181)), ROUND(SUM(([1]BDD!G181*reduc1),FDP_FACT_KG), 2), "")</f>
        <v/>
      </c>
      <c r="AF191" s="225" t="str">
        <f>IF(NOT(ISBLANK([1]BDD!J181)), ROUND(SUM(([1]BDD!G181*reduc2),FDP_FACT_KG), 2), "")</f>
        <v/>
      </c>
      <c r="AG191" s="225" t="str">
        <f>IF(NOT(ISBLANK([1]BDD!K181)), ROUND(SUM(([1]BDD!G181*reduc3),FDP_FACT_KG), 2), "")</f>
        <v/>
      </c>
      <c r="AH191" s="289" t="str">
        <f>[1]BDD!C181</f>
        <v>Kenya</v>
      </c>
      <c r="AI191" s="290">
        <f t="shared" si="161"/>
        <v>0</v>
      </c>
      <c r="AJ191" s="216">
        <f t="shared" si="162"/>
        <v>23.46</v>
      </c>
      <c r="AK191" s="291">
        <f t="shared" si="163"/>
        <v>0</v>
      </c>
      <c r="AL191" s="429"/>
      <c r="AM191" s="292"/>
      <c r="AN191" s="216">
        <f t="shared" si="164"/>
        <v>23.46</v>
      </c>
      <c r="AO191" s="293">
        <f t="shared" si="165"/>
        <v>0</v>
      </c>
      <c r="AP191" s="294"/>
      <c r="AQ191" s="294"/>
      <c r="AR191" s="429"/>
      <c r="AS191" s="295">
        <f t="shared" si="166"/>
        <v>0</v>
      </c>
      <c r="AT191" s="216">
        <f t="shared" si="167"/>
        <v>23.46</v>
      </c>
      <c r="AU191" s="291">
        <f t="shared" si="139"/>
        <v>0</v>
      </c>
      <c r="AV191" s="296">
        <f>[1]COMMANDE!O189</f>
        <v>0</v>
      </c>
      <c r="AW191" s="297" t="str">
        <f t="shared" si="168"/>
        <v>0</v>
      </c>
      <c r="AX191" s="298">
        <f t="shared" si="169"/>
        <v>0</v>
      </c>
      <c r="AY191" s="299">
        <f>[1]COMMANDE!Q189</f>
        <v>0</v>
      </c>
      <c r="AZ191" s="297" t="str">
        <f t="shared" si="170"/>
        <v>0</v>
      </c>
      <c r="BA191" s="300">
        <f t="shared" si="171"/>
        <v>0</v>
      </c>
      <c r="BB191" s="301">
        <f>[1]COMMANDE!S189</f>
        <v>0</v>
      </c>
      <c r="BC191" s="297" t="str">
        <f t="shared" si="172"/>
        <v>0</v>
      </c>
      <c r="BD191" s="298">
        <f t="shared" si="173"/>
        <v>0</v>
      </c>
      <c r="BE191" s="299">
        <f>[1]COMMANDE!U189</f>
        <v>0</v>
      </c>
      <c r="BF191" s="297" t="str">
        <f t="shared" si="174"/>
        <v>0</v>
      </c>
      <c r="BG191" s="300">
        <f t="shared" si="175"/>
        <v>0</v>
      </c>
      <c r="BH191" s="301">
        <f>[1]COMMANDE!W189</f>
        <v>0</v>
      </c>
      <c r="BI191" s="297" t="str">
        <f t="shared" si="176"/>
        <v>0</v>
      </c>
      <c r="BJ191" s="298">
        <f t="shared" si="177"/>
        <v>0</v>
      </c>
      <c r="BK191" s="299">
        <f>[1]COMMANDE!Y189</f>
        <v>0</v>
      </c>
      <c r="BL191" s="297" t="str">
        <f t="shared" si="178"/>
        <v>0</v>
      </c>
      <c r="BM191" s="300">
        <f t="shared" si="179"/>
        <v>0</v>
      </c>
      <c r="BN191" s="301">
        <f>[1]COMMANDE!AA189</f>
        <v>0</v>
      </c>
      <c r="BO191" s="297" t="str">
        <f t="shared" si="180"/>
        <v>0</v>
      </c>
      <c r="BP191" s="298">
        <f t="shared" si="181"/>
        <v>0</v>
      </c>
      <c r="BQ191" s="299">
        <f>[1]COMMANDE!AC189</f>
        <v>0</v>
      </c>
      <c r="BR191" s="297" t="str">
        <f t="shared" si="182"/>
        <v>0</v>
      </c>
      <c r="BS191" s="300">
        <f t="shared" si="183"/>
        <v>0</v>
      </c>
      <c r="BT191" s="301">
        <f>[1]COMMANDE!AE189</f>
        <v>0</v>
      </c>
      <c r="BU191" s="297" t="str">
        <f t="shared" si="184"/>
        <v>0</v>
      </c>
      <c r="BV191" s="298">
        <f t="shared" si="185"/>
        <v>0</v>
      </c>
      <c r="BW191" s="299">
        <f>[1]COMMANDE!AG189</f>
        <v>0</v>
      </c>
      <c r="BX191" s="297" t="str">
        <f t="shared" si="186"/>
        <v>0</v>
      </c>
      <c r="BY191" s="300">
        <f t="shared" si="187"/>
        <v>0</v>
      </c>
      <c r="BZ191" s="301">
        <f>[1]COMMANDE!AI189</f>
        <v>0</v>
      </c>
      <c r="CA191" s="297" t="str">
        <f t="shared" si="188"/>
        <v>0</v>
      </c>
      <c r="CB191" s="298">
        <f t="shared" si="189"/>
        <v>0</v>
      </c>
      <c r="CC191" s="299">
        <f>[1]COMMANDE!AK189</f>
        <v>0</v>
      </c>
      <c r="CD191" s="297" t="str">
        <f t="shared" si="190"/>
        <v>0</v>
      </c>
      <c r="CE191" s="300">
        <f t="shared" si="191"/>
        <v>0</v>
      </c>
      <c r="CF191" s="301">
        <f>[1]COMMANDE!AM189</f>
        <v>0</v>
      </c>
      <c r="CG191" s="297" t="str">
        <f t="shared" si="192"/>
        <v>0</v>
      </c>
      <c r="CH191" s="298">
        <f t="shared" si="193"/>
        <v>0</v>
      </c>
      <c r="CI191" s="299">
        <f>[1]COMMANDE!AO189</f>
        <v>0</v>
      </c>
      <c r="CJ191" s="297" t="str">
        <f t="shared" si="194"/>
        <v>0</v>
      </c>
      <c r="CK191" s="300">
        <f t="shared" si="195"/>
        <v>0</v>
      </c>
      <c r="CL191" s="301">
        <f>[1]COMMANDE!AQ189</f>
        <v>0</v>
      </c>
      <c r="CM191" s="297" t="str">
        <f t="shared" si="196"/>
        <v>0</v>
      </c>
      <c r="CN191" s="298">
        <f t="shared" si="197"/>
        <v>0</v>
      </c>
      <c r="CO191" s="299">
        <f>[1]COMMANDE!AS189</f>
        <v>0</v>
      </c>
      <c r="CP191" s="297" t="str">
        <f t="shared" si="198"/>
        <v>0</v>
      </c>
      <c r="CQ191" s="300">
        <f t="shared" si="199"/>
        <v>0</v>
      </c>
      <c r="CR191" s="301">
        <f>[1]COMMANDE!AU189</f>
        <v>0</v>
      </c>
      <c r="CS191" s="297" t="str">
        <f t="shared" si="200"/>
        <v>0</v>
      </c>
      <c r="CT191" s="298">
        <f t="shared" si="201"/>
        <v>0</v>
      </c>
      <c r="CU191" s="299">
        <f>[1]COMMANDE!AW189</f>
        <v>0</v>
      </c>
      <c r="CV191" s="297" t="str">
        <f t="shared" si="202"/>
        <v>0</v>
      </c>
      <c r="CW191" s="300">
        <f t="shared" si="203"/>
        <v>0</v>
      </c>
      <c r="CX191" s="301">
        <f>[1]COMMANDE!AY189</f>
        <v>0</v>
      </c>
      <c r="CY191" s="297" t="str">
        <f t="shared" si="204"/>
        <v>0</v>
      </c>
      <c r="CZ191" s="298">
        <f t="shared" si="205"/>
        <v>0</v>
      </c>
      <c r="DA191" s="299">
        <f>[1]COMMANDE!BA189</f>
        <v>0</v>
      </c>
      <c r="DB191" s="297" t="str">
        <f t="shared" si="206"/>
        <v>0</v>
      </c>
      <c r="DC191" s="302">
        <f t="shared" si="207"/>
        <v>0</v>
      </c>
      <c r="DD191" s="303"/>
      <c r="DE191" s="304"/>
    </row>
    <row r="192" spans="1:109" ht="39.950000000000003" customHeight="1" x14ac:dyDescent="0.25">
      <c r="A192" s="284">
        <f t="shared" si="140"/>
        <v>0</v>
      </c>
      <c r="B192" s="284">
        <f t="shared" si="141"/>
        <v>0</v>
      </c>
      <c r="C192" s="284">
        <f t="shared" si="142"/>
        <v>0</v>
      </c>
      <c r="D192" s="284">
        <f t="shared" si="143"/>
        <v>0</v>
      </c>
      <c r="E192" s="284">
        <f t="shared" si="144"/>
        <v>0</v>
      </c>
      <c r="F192" s="284">
        <f t="shared" si="145"/>
        <v>0</v>
      </c>
      <c r="G192" s="284">
        <f t="shared" si="146"/>
        <v>0</v>
      </c>
      <c r="H192" s="284">
        <f t="shared" si="147"/>
        <v>0</v>
      </c>
      <c r="I192" s="284">
        <f t="shared" si="148"/>
        <v>0</v>
      </c>
      <c r="J192" s="284">
        <f t="shared" si="149"/>
        <v>0</v>
      </c>
      <c r="K192" s="284">
        <f t="shared" si="150"/>
        <v>0</v>
      </c>
      <c r="L192" s="284">
        <f t="shared" si="151"/>
        <v>0</v>
      </c>
      <c r="M192" s="284">
        <f t="shared" si="152"/>
        <v>0</v>
      </c>
      <c r="N192" s="284">
        <f t="shared" si="153"/>
        <v>0</v>
      </c>
      <c r="O192" s="284">
        <f t="shared" si="154"/>
        <v>0</v>
      </c>
      <c r="P192" s="284">
        <f t="shared" si="155"/>
        <v>0</v>
      </c>
      <c r="Q192" s="284">
        <f t="shared" si="156"/>
        <v>0</v>
      </c>
      <c r="R192" s="284">
        <f t="shared" si="157"/>
        <v>0</v>
      </c>
      <c r="S192" s="284">
        <f t="shared" si="158"/>
        <v>0</v>
      </c>
      <c r="T192" s="284">
        <f t="shared" si="159"/>
        <v>0</v>
      </c>
      <c r="U192" s="285">
        <f t="shared" si="160"/>
        <v>0</v>
      </c>
      <c r="V192" s="286">
        <f>[1]BDD!A182</f>
        <v>6005</v>
      </c>
      <c r="W192" s="287" t="str">
        <f>[1]BDD!B182</f>
        <v>Noix de Pécan sans coque BIO (env. 1kg)</v>
      </c>
      <c r="X192" s="288" t="str">
        <f>IF([1]BDD!F182=0, "", [1]BDD!F182)</f>
        <v>❤️</v>
      </c>
      <c r="Y192" s="214">
        <f>ROUND([1]BDD!G182+FDP_CMD_KG, 2)</f>
        <v>36.46</v>
      </c>
      <c r="Z192" s="214">
        <f>ROUND([1]BDD!G182+FDP_FACT_KG, 2)</f>
        <v>36.46</v>
      </c>
      <c r="AA192" s="215" t="str">
        <f>[1]BDD!H182</f>
        <v>Pièce</v>
      </c>
      <c r="AB192" s="225">
        <f>IF(NOT(ISBLANK([1]BDD!I182)), ROUND(SUM(([1]BDD!G182*reduc1),FDP_CMD_KG), 2), "")</f>
        <v>32.9</v>
      </c>
      <c r="AC192" s="225" t="str">
        <f>IF(NOT(ISBLANK([1]BDD!J182)), ROUND(SUM(([1]BDD!G182*reduc2),FDP_CMD_KG), 2), "")</f>
        <v/>
      </c>
      <c r="AD192" s="225" t="str">
        <f>IF(NOT(ISBLANK([1]BDD!K182)), ROUND(SUM(([1]BDD!G182*reduc3),FDP_CMD_KG), 2), "")</f>
        <v/>
      </c>
      <c r="AE192" s="225">
        <f>IF(NOT(ISBLANK([1]BDD!I182)), ROUND(SUM(([1]BDD!G182*reduc1),FDP_FACT_KG), 2), "")</f>
        <v>32.9</v>
      </c>
      <c r="AF192" s="225" t="str">
        <f>IF(NOT(ISBLANK([1]BDD!J182)), ROUND(SUM(([1]BDD!G182*reduc2),FDP_FACT_KG), 2), "")</f>
        <v/>
      </c>
      <c r="AG192" s="225" t="str">
        <f>IF(NOT(ISBLANK([1]BDD!K182)), ROUND(SUM(([1]BDD!G182*reduc3),FDP_FACT_KG), 2), "")</f>
        <v/>
      </c>
      <c r="AH192" s="289" t="str">
        <f>[1]BDD!C182</f>
        <v>Mexique</v>
      </c>
      <c r="AI192" s="290">
        <f t="shared" si="161"/>
        <v>0</v>
      </c>
      <c r="AJ192" s="216">
        <f t="shared" si="162"/>
        <v>32.9</v>
      </c>
      <c r="AK192" s="291">
        <f t="shared" si="163"/>
        <v>0</v>
      </c>
      <c r="AL192" s="429"/>
      <c r="AM192" s="292"/>
      <c r="AN192" s="216">
        <f t="shared" si="164"/>
        <v>36.46</v>
      </c>
      <c r="AO192" s="293">
        <f t="shared" si="165"/>
        <v>0</v>
      </c>
      <c r="AP192" s="294"/>
      <c r="AQ192" s="294"/>
      <c r="AR192" s="429"/>
      <c r="AS192" s="295">
        <f t="shared" si="166"/>
        <v>0</v>
      </c>
      <c r="AT192" s="216">
        <f t="shared" si="167"/>
        <v>36.46</v>
      </c>
      <c r="AU192" s="291">
        <f t="shared" si="139"/>
        <v>0</v>
      </c>
      <c r="AV192" s="296">
        <f>[1]COMMANDE!O190</f>
        <v>0</v>
      </c>
      <c r="AW192" s="297" t="str">
        <f t="shared" si="168"/>
        <v>0</v>
      </c>
      <c r="AX192" s="298">
        <f t="shared" si="169"/>
        <v>0</v>
      </c>
      <c r="AY192" s="299">
        <f>[1]COMMANDE!Q190</f>
        <v>0</v>
      </c>
      <c r="AZ192" s="297" t="str">
        <f t="shared" si="170"/>
        <v>0</v>
      </c>
      <c r="BA192" s="300">
        <f t="shared" si="171"/>
        <v>0</v>
      </c>
      <c r="BB192" s="301">
        <f>[1]COMMANDE!S190</f>
        <v>0</v>
      </c>
      <c r="BC192" s="297" t="str">
        <f t="shared" si="172"/>
        <v>0</v>
      </c>
      <c r="BD192" s="298">
        <f t="shared" si="173"/>
        <v>0</v>
      </c>
      <c r="BE192" s="299">
        <f>[1]COMMANDE!U190</f>
        <v>0</v>
      </c>
      <c r="BF192" s="297" t="str">
        <f t="shared" si="174"/>
        <v>0</v>
      </c>
      <c r="BG192" s="300">
        <f t="shared" si="175"/>
        <v>0</v>
      </c>
      <c r="BH192" s="301">
        <f>[1]COMMANDE!W190</f>
        <v>0</v>
      </c>
      <c r="BI192" s="297" t="str">
        <f t="shared" si="176"/>
        <v>0</v>
      </c>
      <c r="BJ192" s="298">
        <f t="shared" si="177"/>
        <v>0</v>
      </c>
      <c r="BK192" s="299">
        <f>[1]COMMANDE!Y190</f>
        <v>0</v>
      </c>
      <c r="BL192" s="297" t="str">
        <f t="shared" si="178"/>
        <v>0</v>
      </c>
      <c r="BM192" s="300">
        <f t="shared" si="179"/>
        <v>0</v>
      </c>
      <c r="BN192" s="301">
        <f>[1]COMMANDE!AA190</f>
        <v>0</v>
      </c>
      <c r="BO192" s="297" t="str">
        <f t="shared" si="180"/>
        <v>0</v>
      </c>
      <c r="BP192" s="298">
        <f t="shared" si="181"/>
        <v>0</v>
      </c>
      <c r="BQ192" s="299">
        <f>[1]COMMANDE!AC190</f>
        <v>0</v>
      </c>
      <c r="BR192" s="297" t="str">
        <f t="shared" si="182"/>
        <v>0</v>
      </c>
      <c r="BS192" s="300">
        <f t="shared" si="183"/>
        <v>0</v>
      </c>
      <c r="BT192" s="301">
        <f>[1]COMMANDE!AE190</f>
        <v>0</v>
      </c>
      <c r="BU192" s="297" t="str">
        <f t="shared" si="184"/>
        <v>0</v>
      </c>
      <c r="BV192" s="298">
        <f t="shared" si="185"/>
        <v>0</v>
      </c>
      <c r="BW192" s="299">
        <f>[1]COMMANDE!AG190</f>
        <v>0</v>
      </c>
      <c r="BX192" s="297" t="str">
        <f t="shared" si="186"/>
        <v>0</v>
      </c>
      <c r="BY192" s="300">
        <f t="shared" si="187"/>
        <v>0</v>
      </c>
      <c r="BZ192" s="301">
        <f>[1]COMMANDE!AI190</f>
        <v>0</v>
      </c>
      <c r="CA192" s="297" t="str">
        <f t="shared" si="188"/>
        <v>0</v>
      </c>
      <c r="CB192" s="298">
        <f t="shared" si="189"/>
        <v>0</v>
      </c>
      <c r="CC192" s="299">
        <f>[1]COMMANDE!AK190</f>
        <v>0</v>
      </c>
      <c r="CD192" s="297" t="str">
        <f t="shared" si="190"/>
        <v>0</v>
      </c>
      <c r="CE192" s="300">
        <f t="shared" si="191"/>
        <v>0</v>
      </c>
      <c r="CF192" s="301">
        <f>[1]COMMANDE!AM190</f>
        <v>0</v>
      </c>
      <c r="CG192" s="297" t="str">
        <f t="shared" si="192"/>
        <v>0</v>
      </c>
      <c r="CH192" s="298">
        <f t="shared" si="193"/>
        <v>0</v>
      </c>
      <c r="CI192" s="299">
        <f>[1]COMMANDE!AO190</f>
        <v>0</v>
      </c>
      <c r="CJ192" s="297" t="str">
        <f t="shared" si="194"/>
        <v>0</v>
      </c>
      <c r="CK192" s="300">
        <f t="shared" si="195"/>
        <v>0</v>
      </c>
      <c r="CL192" s="301">
        <f>[1]COMMANDE!AQ190</f>
        <v>0</v>
      </c>
      <c r="CM192" s="297" t="str">
        <f t="shared" si="196"/>
        <v>0</v>
      </c>
      <c r="CN192" s="298">
        <f t="shared" si="197"/>
        <v>0</v>
      </c>
      <c r="CO192" s="299">
        <f>[1]COMMANDE!AS190</f>
        <v>0</v>
      </c>
      <c r="CP192" s="297" t="str">
        <f t="shared" si="198"/>
        <v>0</v>
      </c>
      <c r="CQ192" s="300">
        <f t="shared" si="199"/>
        <v>0</v>
      </c>
      <c r="CR192" s="301">
        <f>[1]COMMANDE!AU190</f>
        <v>0</v>
      </c>
      <c r="CS192" s="297" t="str">
        <f t="shared" si="200"/>
        <v>0</v>
      </c>
      <c r="CT192" s="298">
        <f t="shared" si="201"/>
        <v>0</v>
      </c>
      <c r="CU192" s="299">
        <f>[1]COMMANDE!AW190</f>
        <v>0</v>
      </c>
      <c r="CV192" s="297" t="str">
        <f t="shared" si="202"/>
        <v>0</v>
      </c>
      <c r="CW192" s="300">
        <f t="shared" si="203"/>
        <v>0</v>
      </c>
      <c r="CX192" s="301">
        <f>[1]COMMANDE!AY190</f>
        <v>0</v>
      </c>
      <c r="CY192" s="297" t="str">
        <f t="shared" si="204"/>
        <v>0</v>
      </c>
      <c r="CZ192" s="298">
        <f t="shared" si="205"/>
        <v>0</v>
      </c>
      <c r="DA192" s="299">
        <f>[1]COMMANDE!BA190</f>
        <v>0</v>
      </c>
      <c r="DB192" s="297" t="str">
        <f t="shared" si="206"/>
        <v>0</v>
      </c>
      <c r="DC192" s="302">
        <f t="shared" si="207"/>
        <v>0</v>
      </c>
      <c r="DD192" s="303"/>
      <c r="DE192" s="304"/>
    </row>
    <row r="193" spans="1:109" ht="39.950000000000003" customHeight="1" x14ac:dyDescent="0.25">
      <c r="A193" s="284">
        <f t="shared" si="140"/>
        <v>0</v>
      </c>
      <c r="B193" s="284">
        <f t="shared" si="141"/>
        <v>0</v>
      </c>
      <c r="C193" s="284">
        <f t="shared" si="142"/>
        <v>0</v>
      </c>
      <c r="D193" s="284">
        <f t="shared" si="143"/>
        <v>0</v>
      </c>
      <c r="E193" s="284">
        <f t="shared" si="144"/>
        <v>0</v>
      </c>
      <c r="F193" s="284">
        <f t="shared" si="145"/>
        <v>0</v>
      </c>
      <c r="G193" s="284">
        <f t="shared" si="146"/>
        <v>0</v>
      </c>
      <c r="H193" s="284">
        <f t="shared" si="147"/>
        <v>0</v>
      </c>
      <c r="I193" s="284">
        <f t="shared" si="148"/>
        <v>0</v>
      </c>
      <c r="J193" s="284">
        <f t="shared" si="149"/>
        <v>0</v>
      </c>
      <c r="K193" s="284">
        <f t="shared" si="150"/>
        <v>0</v>
      </c>
      <c r="L193" s="284">
        <f t="shared" si="151"/>
        <v>0</v>
      </c>
      <c r="M193" s="284">
        <f t="shared" si="152"/>
        <v>0</v>
      </c>
      <c r="N193" s="284">
        <f t="shared" si="153"/>
        <v>0</v>
      </c>
      <c r="O193" s="284">
        <f t="shared" si="154"/>
        <v>0</v>
      </c>
      <c r="P193" s="284">
        <f t="shared" si="155"/>
        <v>0</v>
      </c>
      <c r="Q193" s="284">
        <f t="shared" si="156"/>
        <v>0</v>
      </c>
      <c r="R193" s="284">
        <f t="shared" si="157"/>
        <v>0</v>
      </c>
      <c r="S193" s="284">
        <f t="shared" si="158"/>
        <v>0</v>
      </c>
      <c r="T193" s="284">
        <f t="shared" si="159"/>
        <v>0</v>
      </c>
      <c r="U193" s="285">
        <f t="shared" si="160"/>
        <v>0</v>
      </c>
      <c r="V193" s="286">
        <f>[1]BDD!A183</f>
        <v>6005</v>
      </c>
      <c r="W193" s="287" t="str">
        <f>[1]BDD!B183</f>
        <v>Noix de Pécan sans coque BIO (env. 500g)</v>
      </c>
      <c r="X193" s="288" t="str">
        <f>IF([1]BDD!F183=0, "", [1]BDD!F183)</f>
        <v>❤️</v>
      </c>
      <c r="Y193" s="214">
        <f>ROUND([1]BDD!G183+FDP_CMD_KG, 2)</f>
        <v>19.63</v>
      </c>
      <c r="Z193" s="214">
        <f>ROUND([1]BDD!G183+FDP_FACT_KG, 2)</f>
        <v>19.63</v>
      </c>
      <c r="AA193" s="215" t="str">
        <f>[1]BDD!H183</f>
        <v>Pièce</v>
      </c>
      <c r="AB193" s="225" t="str">
        <f>IF(NOT(ISBLANK([1]BDD!I183)), ROUND(SUM(([1]BDD!G183*reduc1),FDP_CMD_KG), 2), "")</f>
        <v/>
      </c>
      <c r="AC193" s="225" t="str">
        <f>IF(NOT(ISBLANK([1]BDD!J183)), ROUND(SUM(([1]BDD!G183*reduc2),FDP_CMD_KG), 2), "")</f>
        <v/>
      </c>
      <c r="AD193" s="225" t="str">
        <f>IF(NOT(ISBLANK([1]BDD!K183)), ROUND(SUM(([1]BDD!G183*reduc3),FDP_CMD_KG), 2), "")</f>
        <v/>
      </c>
      <c r="AE193" s="225" t="str">
        <f>IF(NOT(ISBLANK([1]BDD!I183)), ROUND(SUM(([1]BDD!G183*reduc1),FDP_FACT_KG), 2), "")</f>
        <v/>
      </c>
      <c r="AF193" s="225" t="str">
        <f>IF(NOT(ISBLANK([1]BDD!J183)), ROUND(SUM(([1]BDD!G183*reduc2),FDP_FACT_KG), 2), "")</f>
        <v/>
      </c>
      <c r="AG193" s="225" t="str">
        <f>IF(NOT(ISBLANK([1]BDD!K183)), ROUND(SUM(([1]BDD!G183*reduc3),FDP_FACT_KG), 2), "")</f>
        <v/>
      </c>
      <c r="AH193" s="289" t="str">
        <f>[1]BDD!C183</f>
        <v>Mexique</v>
      </c>
      <c r="AI193" s="290">
        <f t="shared" si="161"/>
        <v>0</v>
      </c>
      <c r="AJ193" s="216">
        <f t="shared" si="162"/>
        <v>19.63</v>
      </c>
      <c r="AK193" s="291">
        <f t="shared" si="163"/>
        <v>0</v>
      </c>
      <c r="AL193" s="429"/>
      <c r="AM193" s="292"/>
      <c r="AN193" s="216">
        <f t="shared" si="164"/>
        <v>19.63</v>
      </c>
      <c r="AO193" s="293">
        <f t="shared" si="165"/>
        <v>0</v>
      </c>
      <c r="AP193" s="294"/>
      <c r="AQ193" s="294"/>
      <c r="AR193" s="429"/>
      <c r="AS193" s="295">
        <f t="shared" si="166"/>
        <v>0</v>
      </c>
      <c r="AT193" s="216">
        <f t="shared" si="167"/>
        <v>19.63</v>
      </c>
      <c r="AU193" s="291">
        <f t="shared" si="139"/>
        <v>0</v>
      </c>
      <c r="AV193" s="296">
        <f>[1]COMMANDE!O191</f>
        <v>0</v>
      </c>
      <c r="AW193" s="297" t="str">
        <f t="shared" si="168"/>
        <v>0</v>
      </c>
      <c r="AX193" s="298">
        <f t="shared" si="169"/>
        <v>0</v>
      </c>
      <c r="AY193" s="299">
        <f>[1]COMMANDE!Q191</f>
        <v>0</v>
      </c>
      <c r="AZ193" s="297" t="str">
        <f t="shared" si="170"/>
        <v>0</v>
      </c>
      <c r="BA193" s="300">
        <f t="shared" si="171"/>
        <v>0</v>
      </c>
      <c r="BB193" s="301">
        <f>[1]COMMANDE!S191</f>
        <v>0</v>
      </c>
      <c r="BC193" s="297" t="str">
        <f t="shared" si="172"/>
        <v>0</v>
      </c>
      <c r="BD193" s="298">
        <f t="shared" si="173"/>
        <v>0</v>
      </c>
      <c r="BE193" s="299">
        <f>[1]COMMANDE!U191</f>
        <v>0</v>
      </c>
      <c r="BF193" s="297" t="str">
        <f t="shared" si="174"/>
        <v>0</v>
      </c>
      <c r="BG193" s="300">
        <f t="shared" si="175"/>
        <v>0</v>
      </c>
      <c r="BH193" s="301">
        <f>[1]COMMANDE!W191</f>
        <v>0</v>
      </c>
      <c r="BI193" s="297" t="str">
        <f t="shared" si="176"/>
        <v>0</v>
      </c>
      <c r="BJ193" s="298">
        <f t="shared" si="177"/>
        <v>0</v>
      </c>
      <c r="BK193" s="299">
        <f>[1]COMMANDE!Y191</f>
        <v>0</v>
      </c>
      <c r="BL193" s="297" t="str">
        <f t="shared" si="178"/>
        <v>0</v>
      </c>
      <c r="BM193" s="300">
        <f t="shared" si="179"/>
        <v>0</v>
      </c>
      <c r="BN193" s="301">
        <f>[1]COMMANDE!AA191</f>
        <v>0</v>
      </c>
      <c r="BO193" s="297" t="str">
        <f t="shared" si="180"/>
        <v>0</v>
      </c>
      <c r="BP193" s="298">
        <f t="shared" si="181"/>
        <v>0</v>
      </c>
      <c r="BQ193" s="299">
        <f>[1]COMMANDE!AC191</f>
        <v>0</v>
      </c>
      <c r="BR193" s="297" t="str">
        <f t="shared" si="182"/>
        <v>0</v>
      </c>
      <c r="BS193" s="300">
        <f t="shared" si="183"/>
        <v>0</v>
      </c>
      <c r="BT193" s="301">
        <f>[1]COMMANDE!AE191</f>
        <v>0</v>
      </c>
      <c r="BU193" s="297" t="str">
        <f t="shared" si="184"/>
        <v>0</v>
      </c>
      <c r="BV193" s="298">
        <f t="shared" si="185"/>
        <v>0</v>
      </c>
      <c r="BW193" s="299">
        <f>[1]COMMANDE!AG191</f>
        <v>0</v>
      </c>
      <c r="BX193" s="297" t="str">
        <f t="shared" si="186"/>
        <v>0</v>
      </c>
      <c r="BY193" s="300">
        <f t="shared" si="187"/>
        <v>0</v>
      </c>
      <c r="BZ193" s="301">
        <f>[1]COMMANDE!AI191</f>
        <v>0</v>
      </c>
      <c r="CA193" s="297" t="str">
        <f t="shared" si="188"/>
        <v>0</v>
      </c>
      <c r="CB193" s="298">
        <f t="shared" si="189"/>
        <v>0</v>
      </c>
      <c r="CC193" s="299">
        <f>[1]COMMANDE!AK191</f>
        <v>0</v>
      </c>
      <c r="CD193" s="297" t="str">
        <f t="shared" si="190"/>
        <v>0</v>
      </c>
      <c r="CE193" s="300">
        <f t="shared" si="191"/>
        <v>0</v>
      </c>
      <c r="CF193" s="301">
        <f>[1]COMMANDE!AM191</f>
        <v>0</v>
      </c>
      <c r="CG193" s="297" t="str">
        <f t="shared" si="192"/>
        <v>0</v>
      </c>
      <c r="CH193" s="298">
        <f t="shared" si="193"/>
        <v>0</v>
      </c>
      <c r="CI193" s="299">
        <f>[1]COMMANDE!AO191</f>
        <v>0</v>
      </c>
      <c r="CJ193" s="297" t="str">
        <f t="shared" si="194"/>
        <v>0</v>
      </c>
      <c r="CK193" s="300">
        <f t="shared" si="195"/>
        <v>0</v>
      </c>
      <c r="CL193" s="301">
        <f>[1]COMMANDE!AQ191</f>
        <v>0</v>
      </c>
      <c r="CM193" s="297" t="str">
        <f t="shared" si="196"/>
        <v>0</v>
      </c>
      <c r="CN193" s="298">
        <f t="shared" si="197"/>
        <v>0</v>
      </c>
      <c r="CO193" s="299">
        <f>[1]COMMANDE!AS191</f>
        <v>0</v>
      </c>
      <c r="CP193" s="297" t="str">
        <f t="shared" si="198"/>
        <v>0</v>
      </c>
      <c r="CQ193" s="300">
        <f t="shared" si="199"/>
        <v>0</v>
      </c>
      <c r="CR193" s="301">
        <f>[1]COMMANDE!AU191</f>
        <v>0</v>
      </c>
      <c r="CS193" s="297" t="str">
        <f t="shared" si="200"/>
        <v>0</v>
      </c>
      <c r="CT193" s="298">
        <f t="shared" si="201"/>
        <v>0</v>
      </c>
      <c r="CU193" s="299">
        <f>[1]COMMANDE!AW191</f>
        <v>0</v>
      </c>
      <c r="CV193" s="297" t="str">
        <f t="shared" si="202"/>
        <v>0</v>
      </c>
      <c r="CW193" s="300">
        <f t="shared" si="203"/>
        <v>0</v>
      </c>
      <c r="CX193" s="301">
        <f>[1]COMMANDE!AY191</f>
        <v>0</v>
      </c>
      <c r="CY193" s="297" t="str">
        <f t="shared" si="204"/>
        <v>0</v>
      </c>
      <c r="CZ193" s="298">
        <f t="shared" si="205"/>
        <v>0</v>
      </c>
      <c r="DA193" s="299">
        <f>[1]COMMANDE!BA191</f>
        <v>0</v>
      </c>
      <c r="DB193" s="297" t="str">
        <f t="shared" si="206"/>
        <v>0</v>
      </c>
      <c r="DC193" s="302">
        <f t="shared" si="207"/>
        <v>0</v>
      </c>
      <c r="DD193" s="303"/>
      <c r="DE193" s="304"/>
    </row>
    <row r="194" spans="1:109" ht="39.950000000000003" customHeight="1" x14ac:dyDescent="0.25">
      <c r="A194" s="284">
        <f t="shared" si="140"/>
        <v>0</v>
      </c>
      <c r="B194" s="284">
        <f t="shared" si="141"/>
        <v>0</v>
      </c>
      <c r="C194" s="284">
        <f t="shared" si="142"/>
        <v>0</v>
      </c>
      <c r="D194" s="284">
        <f t="shared" si="143"/>
        <v>0</v>
      </c>
      <c r="E194" s="284">
        <f t="shared" si="144"/>
        <v>0</v>
      </c>
      <c r="F194" s="284">
        <f t="shared" si="145"/>
        <v>0</v>
      </c>
      <c r="G194" s="284">
        <f t="shared" si="146"/>
        <v>0</v>
      </c>
      <c r="H194" s="284">
        <f t="shared" si="147"/>
        <v>0</v>
      </c>
      <c r="I194" s="284">
        <f t="shared" si="148"/>
        <v>0</v>
      </c>
      <c r="J194" s="284">
        <f t="shared" si="149"/>
        <v>0</v>
      </c>
      <c r="K194" s="284">
        <f t="shared" si="150"/>
        <v>0</v>
      </c>
      <c r="L194" s="284">
        <f t="shared" si="151"/>
        <v>0</v>
      </c>
      <c r="M194" s="284">
        <f t="shared" si="152"/>
        <v>0</v>
      </c>
      <c r="N194" s="284">
        <f t="shared" si="153"/>
        <v>0</v>
      </c>
      <c r="O194" s="284">
        <f t="shared" si="154"/>
        <v>0</v>
      </c>
      <c r="P194" s="284">
        <f t="shared" si="155"/>
        <v>0</v>
      </c>
      <c r="Q194" s="284">
        <f t="shared" si="156"/>
        <v>0</v>
      </c>
      <c r="R194" s="284">
        <f t="shared" si="157"/>
        <v>0</v>
      </c>
      <c r="S194" s="284">
        <f t="shared" si="158"/>
        <v>0</v>
      </c>
      <c r="T194" s="284">
        <f t="shared" si="159"/>
        <v>0</v>
      </c>
      <c r="U194" s="285">
        <f t="shared" si="160"/>
        <v>0</v>
      </c>
      <c r="V194" s="286">
        <f>[1]BDD!A184</f>
        <v>1101</v>
      </c>
      <c r="W194" s="287" t="str">
        <f>[1]BDD!B184</f>
        <v>Oignon blanc BIO</v>
      </c>
      <c r="X194" s="288" t="str">
        <f>IF([1]BDD!F184=0, "", [1]BDD!F184)</f>
        <v/>
      </c>
      <c r="Y194" s="214">
        <f>ROUND([1]BDD!G184+FDP_CMD_KG, 2)</f>
        <v>2.64</v>
      </c>
      <c r="Z194" s="214">
        <f>ROUND([1]BDD!G184+FDP_FACT_KG, 2)</f>
        <v>2.64</v>
      </c>
      <c r="AA194" s="215" t="str">
        <f>[1]BDD!H184</f>
        <v>kg</v>
      </c>
      <c r="AB194" s="225">
        <f>IF(NOT(ISBLANK([1]BDD!I184)), ROUND(SUM(([1]BDD!G184*reduc1),FDP_CMD_KG), 2), "")</f>
        <v>2.4700000000000002</v>
      </c>
      <c r="AC194" s="225">
        <f>IF(NOT(ISBLANK([1]BDD!J184)), ROUND(SUM(([1]BDD!G184*reduc2),FDP_CMD_KG), 2), "")</f>
        <v>2.29</v>
      </c>
      <c r="AD194" s="225" t="str">
        <f>IF(NOT(ISBLANK([1]BDD!K184)), ROUND(SUM(([1]BDD!G184*reduc3),FDP_CMD_KG), 2), "")</f>
        <v/>
      </c>
      <c r="AE194" s="225">
        <f>IF(NOT(ISBLANK([1]BDD!I184)), ROUND(SUM(([1]BDD!G184*reduc1),FDP_FACT_KG), 2), "")</f>
        <v>2.46</v>
      </c>
      <c r="AF194" s="225">
        <f>IF(NOT(ISBLANK([1]BDD!J184)), ROUND(SUM(([1]BDD!G184*reduc2),FDP_FACT_KG), 2), "")</f>
        <v>2.2799999999999998</v>
      </c>
      <c r="AG194" s="225" t="str">
        <f>IF(NOT(ISBLANK([1]BDD!K184)), ROUND(SUM(([1]BDD!G184*reduc3),FDP_FACT_KG), 2), "")</f>
        <v/>
      </c>
      <c r="AH194" s="289" t="str">
        <f>[1]BDD!C184</f>
        <v>Malaga</v>
      </c>
      <c r="AI194" s="290">
        <f t="shared" si="161"/>
        <v>0</v>
      </c>
      <c r="AJ194" s="216">
        <f t="shared" si="162"/>
        <v>2.29</v>
      </c>
      <c r="AK194" s="291">
        <f t="shared" si="163"/>
        <v>0</v>
      </c>
      <c r="AL194" s="429"/>
      <c r="AM194" s="292"/>
      <c r="AN194" s="216">
        <f t="shared" si="164"/>
        <v>2.64</v>
      </c>
      <c r="AO194" s="293">
        <f t="shared" si="165"/>
        <v>0</v>
      </c>
      <c r="AP194" s="294"/>
      <c r="AQ194" s="294"/>
      <c r="AR194" s="429"/>
      <c r="AS194" s="295">
        <f t="shared" si="166"/>
        <v>0</v>
      </c>
      <c r="AT194" s="216">
        <f t="shared" si="167"/>
        <v>2.64</v>
      </c>
      <c r="AU194" s="291">
        <f t="shared" si="139"/>
        <v>0</v>
      </c>
      <c r="AV194" s="296">
        <f>[1]COMMANDE!O192</f>
        <v>0</v>
      </c>
      <c r="AW194" s="297" t="str">
        <f t="shared" si="168"/>
        <v>0</v>
      </c>
      <c r="AX194" s="298">
        <f t="shared" si="169"/>
        <v>0</v>
      </c>
      <c r="AY194" s="299">
        <f>[1]COMMANDE!Q192</f>
        <v>0</v>
      </c>
      <c r="AZ194" s="297" t="str">
        <f t="shared" si="170"/>
        <v>0</v>
      </c>
      <c r="BA194" s="300">
        <f t="shared" si="171"/>
        <v>0</v>
      </c>
      <c r="BB194" s="301">
        <f>[1]COMMANDE!S192</f>
        <v>0</v>
      </c>
      <c r="BC194" s="297" t="str">
        <f t="shared" si="172"/>
        <v>0</v>
      </c>
      <c r="BD194" s="298">
        <f t="shared" si="173"/>
        <v>0</v>
      </c>
      <c r="BE194" s="299">
        <f>[1]COMMANDE!U192</f>
        <v>0</v>
      </c>
      <c r="BF194" s="297" t="str">
        <f t="shared" si="174"/>
        <v>0</v>
      </c>
      <c r="BG194" s="300">
        <f t="shared" si="175"/>
        <v>0</v>
      </c>
      <c r="BH194" s="301">
        <f>[1]COMMANDE!W192</f>
        <v>0</v>
      </c>
      <c r="BI194" s="297" t="str">
        <f t="shared" si="176"/>
        <v>0</v>
      </c>
      <c r="BJ194" s="298">
        <f t="shared" si="177"/>
        <v>0</v>
      </c>
      <c r="BK194" s="299">
        <f>[1]COMMANDE!Y192</f>
        <v>0</v>
      </c>
      <c r="BL194" s="297" t="str">
        <f t="shared" si="178"/>
        <v>0</v>
      </c>
      <c r="BM194" s="300">
        <f t="shared" si="179"/>
        <v>0</v>
      </c>
      <c r="BN194" s="301">
        <f>[1]COMMANDE!AA192</f>
        <v>0</v>
      </c>
      <c r="BO194" s="297" t="str">
        <f t="shared" si="180"/>
        <v>0</v>
      </c>
      <c r="BP194" s="298">
        <f t="shared" si="181"/>
        <v>0</v>
      </c>
      <c r="BQ194" s="299">
        <f>[1]COMMANDE!AC192</f>
        <v>0</v>
      </c>
      <c r="BR194" s="297" t="str">
        <f t="shared" si="182"/>
        <v>0</v>
      </c>
      <c r="BS194" s="300">
        <f t="shared" si="183"/>
        <v>0</v>
      </c>
      <c r="BT194" s="301">
        <f>[1]COMMANDE!AE192</f>
        <v>0</v>
      </c>
      <c r="BU194" s="297" t="str">
        <f t="shared" si="184"/>
        <v>0</v>
      </c>
      <c r="BV194" s="298">
        <f t="shared" si="185"/>
        <v>0</v>
      </c>
      <c r="BW194" s="299">
        <f>[1]COMMANDE!AG192</f>
        <v>0</v>
      </c>
      <c r="BX194" s="297" t="str">
        <f t="shared" si="186"/>
        <v>0</v>
      </c>
      <c r="BY194" s="300">
        <f t="shared" si="187"/>
        <v>0</v>
      </c>
      <c r="BZ194" s="301">
        <f>[1]COMMANDE!AI192</f>
        <v>0</v>
      </c>
      <c r="CA194" s="297" t="str">
        <f t="shared" si="188"/>
        <v>0</v>
      </c>
      <c r="CB194" s="298">
        <f t="shared" si="189"/>
        <v>0</v>
      </c>
      <c r="CC194" s="299">
        <f>[1]COMMANDE!AK192</f>
        <v>0</v>
      </c>
      <c r="CD194" s="297" t="str">
        <f t="shared" si="190"/>
        <v>0</v>
      </c>
      <c r="CE194" s="300">
        <f t="shared" si="191"/>
        <v>0</v>
      </c>
      <c r="CF194" s="301">
        <f>[1]COMMANDE!AM192</f>
        <v>0</v>
      </c>
      <c r="CG194" s="297" t="str">
        <f t="shared" si="192"/>
        <v>0</v>
      </c>
      <c r="CH194" s="298">
        <f t="shared" si="193"/>
        <v>0</v>
      </c>
      <c r="CI194" s="299">
        <f>[1]COMMANDE!AO192</f>
        <v>0</v>
      </c>
      <c r="CJ194" s="297" t="str">
        <f t="shared" si="194"/>
        <v>0</v>
      </c>
      <c r="CK194" s="300">
        <f t="shared" si="195"/>
        <v>0</v>
      </c>
      <c r="CL194" s="301">
        <f>[1]COMMANDE!AQ192</f>
        <v>0</v>
      </c>
      <c r="CM194" s="297" t="str">
        <f t="shared" si="196"/>
        <v>0</v>
      </c>
      <c r="CN194" s="298">
        <f t="shared" si="197"/>
        <v>0</v>
      </c>
      <c r="CO194" s="299">
        <f>[1]COMMANDE!AS192</f>
        <v>0</v>
      </c>
      <c r="CP194" s="297" t="str">
        <f t="shared" si="198"/>
        <v>0</v>
      </c>
      <c r="CQ194" s="300">
        <f t="shared" si="199"/>
        <v>0</v>
      </c>
      <c r="CR194" s="301">
        <f>[1]COMMANDE!AU192</f>
        <v>0</v>
      </c>
      <c r="CS194" s="297" t="str">
        <f t="shared" si="200"/>
        <v>0</v>
      </c>
      <c r="CT194" s="298">
        <f t="shared" si="201"/>
        <v>0</v>
      </c>
      <c r="CU194" s="299">
        <f>[1]COMMANDE!AW192</f>
        <v>0</v>
      </c>
      <c r="CV194" s="297" t="str">
        <f t="shared" si="202"/>
        <v>0</v>
      </c>
      <c r="CW194" s="300">
        <f t="shared" si="203"/>
        <v>0</v>
      </c>
      <c r="CX194" s="301">
        <f>[1]COMMANDE!AY192</f>
        <v>0</v>
      </c>
      <c r="CY194" s="297" t="str">
        <f t="shared" si="204"/>
        <v>0</v>
      </c>
      <c r="CZ194" s="298">
        <f t="shared" si="205"/>
        <v>0</v>
      </c>
      <c r="DA194" s="299">
        <f>[1]COMMANDE!BA192</f>
        <v>0</v>
      </c>
      <c r="DB194" s="297" t="str">
        <f t="shared" si="206"/>
        <v>0</v>
      </c>
      <c r="DC194" s="302">
        <f t="shared" si="207"/>
        <v>0</v>
      </c>
      <c r="DD194" s="303"/>
      <c r="DE194" s="304"/>
    </row>
    <row r="195" spans="1:109" ht="39.950000000000003" customHeight="1" x14ac:dyDescent="0.25">
      <c r="A195" s="284">
        <f t="shared" si="140"/>
        <v>0</v>
      </c>
      <c r="B195" s="284">
        <f t="shared" si="141"/>
        <v>0</v>
      </c>
      <c r="C195" s="284">
        <f t="shared" si="142"/>
        <v>0</v>
      </c>
      <c r="D195" s="284">
        <f t="shared" si="143"/>
        <v>0</v>
      </c>
      <c r="E195" s="284">
        <f t="shared" si="144"/>
        <v>0</v>
      </c>
      <c r="F195" s="284">
        <f t="shared" si="145"/>
        <v>0</v>
      </c>
      <c r="G195" s="284">
        <f t="shared" si="146"/>
        <v>0</v>
      </c>
      <c r="H195" s="284">
        <f t="shared" si="147"/>
        <v>0</v>
      </c>
      <c r="I195" s="284">
        <f t="shared" si="148"/>
        <v>0</v>
      </c>
      <c r="J195" s="284">
        <f t="shared" si="149"/>
        <v>0</v>
      </c>
      <c r="K195" s="284">
        <f t="shared" si="150"/>
        <v>0</v>
      </c>
      <c r="L195" s="284">
        <f t="shared" si="151"/>
        <v>0</v>
      </c>
      <c r="M195" s="284">
        <f t="shared" si="152"/>
        <v>0</v>
      </c>
      <c r="N195" s="284">
        <f t="shared" si="153"/>
        <v>0</v>
      </c>
      <c r="O195" s="284">
        <f t="shared" si="154"/>
        <v>0</v>
      </c>
      <c r="P195" s="284">
        <f t="shared" si="155"/>
        <v>0</v>
      </c>
      <c r="Q195" s="284">
        <f t="shared" si="156"/>
        <v>0</v>
      </c>
      <c r="R195" s="284">
        <f t="shared" si="157"/>
        <v>0</v>
      </c>
      <c r="S195" s="284">
        <f t="shared" si="158"/>
        <v>0</v>
      </c>
      <c r="T195" s="284">
        <f t="shared" si="159"/>
        <v>0</v>
      </c>
      <c r="U195" s="285">
        <f t="shared" si="160"/>
        <v>0</v>
      </c>
      <c r="V195" s="286">
        <f>[1]BDD!A185</f>
        <v>1151</v>
      </c>
      <c r="W195" s="287" t="str">
        <f>[1]BDD!B185</f>
        <v>Oignon rouge BIO</v>
      </c>
      <c r="X195" s="288" t="str">
        <f>IF([1]BDD!F185=0, "", [1]BDD!F185)</f>
        <v>❤️</v>
      </c>
      <c r="Y195" s="214">
        <f>ROUND([1]BDD!G185+FDP_CMD_KG, 2)</f>
        <v>2.91</v>
      </c>
      <c r="Z195" s="214">
        <f>ROUND([1]BDD!G185+FDP_FACT_KG, 2)</f>
        <v>2.91</v>
      </c>
      <c r="AA195" s="215" t="str">
        <f>[1]BDD!H185</f>
        <v>kg</v>
      </c>
      <c r="AB195" s="225">
        <f>IF(NOT(ISBLANK([1]BDD!I185)), ROUND(SUM(([1]BDD!G185*reduc1),FDP_CMD_KG), 2), "")</f>
        <v>2.71</v>
      </c>
      <c r="AC195" s="225">
        <f>IF(NOT(ISBLANK([1]BDD!J185)), ROUND(SUM(([1]BDD!G185*reduc2),FDP_CMD_KG), 2), "")</f>
        <v>2.5099999999999998</v>
      </c>
      <c r="AD195" s="225" t="str">
        <f>IF(NOT(ISBLANK([1]BDD!K185)), ROUND(SUM(([1]BDD!G185*reduc3),FDP_CMD_KG), 2), "")</f>
        <v/>
      </c>
      <c r="AE195" s="225">
        <f>IF(NOT(ISBLANK([1]BDD!I185)), ROUND(SUM(([1]BDD!G185*reduc1),FDP_FACT_KG), 2), "")</f>
        <v>2.7</v>
      </c>
      <c r="AF195" s="225">
        <f>IF(NOT(ISBLANK([1]BDD!J185)), ROUND(SUM(([1]BDD!G185*reduc2),FDP_FACT_KG), 2), "")</f>
        <v>2.5</v>
      </c>
      <c r="AG195" s="225" t="str">
        <f>IF(NOT(ISBLANK([1]BDD!K185)), ROUND(SUM(([1]BDD!G185*reduc3),FDP_FACT_KG), 2), "")</f>
        <v/>
      </c>
      <c r="AH195" s="289" t="str">
        <f>[1]BDD!C185</f>
        <v>Malaga</v>
      </c>
      <c r="AI195" s="290">
        <f t="shared" si="161"/>
        <v>0</v>
      </c>
      <c r="AJ195" s="216">
        <f t="shared" si="162"/>
        <v>2.5099999999999998</v>
      </c>
      <c r="AK195" s="291">
        <f t="shared" si="163"/>
        <v>0</v>
      </c>
      <c r="AL195" s="429"/>
      <c r="AM195" s="292"/>
      <c r="AN195" s="216">
        <f t="shared" si="164"/>
        <v>2.91</v>
      </c>
      <c r="AO195" s="293">
        <f t="shared" si="165"/>
        <v>0</v>
      </c>
      <c r="AP195" s="294"/>
      <c r="AQ195" s="294"/>
      <c r="AR195" s="429"/>
      <c r="AS195" s="295">
        <f t="shared" si="166"/>
        <v>0</v>
      </c>
      <c r="AT195" s="216">
        <f t="shared" si="167"/>
        <v>2.91</v>
      </c>
      <c r="AU195" s="291">
        <f t="shared" si="139"/>
        <v>0</v>
      </c>
      <c r="AV195" s="296">
        <f>[1]COMMANDE!O193</f>
        <v>0</v>
      </c>
      <c r="AW195" s="297" t="str">
        <f t="shared" si="168"/>
        <v>0</v>
      </c>
      <c r="AX195" s="298">
        <f t="shared" si="169"/>
        <v>0</v>
      </c>
      <c r="AY195" s="299">
        <f>[1]COMMANDE!Q193</f>
        <v>0</v>
      </c>
      <c r="AZ195" s="297" t="str">
        <f t="shared" si="170"/>
        <v>0</v>
      </c>
      <c r="BA195" s="300">
        <f t="shared" si="171"/>
        <v>0</v>
      </c>
      <c r="BB195" s="301">
        <f>[1]COMMANDE!S193</f>
        <v>0</v>
      </c>
      <c r="BC195" s="297" t="str">
        <f t="shared" si="172"/>
        <v>0</v>
      </c>
      <c r="BD195" s="298">
        <f t="shared" si="173"/>
        <v>0</v>
      </c>
      <c r="BE195" s="299">
        <f>[1]COMMANDE!U193</f>
        <v>0</v>
      </c>
      <c r="BF195" s="297" t="str">
        <f t="shared" si="174"/>
        <v>0</v>
      </c>
      <c r="BG195" s="300">
        <f t="shared" si="175"/>
        <v>0</v>
      </c>
      <c r="BH195" s="301">
        <f>[1]COMMANDE!W193</f>
        <v>0</v>
      </c>
      <c r="BI195" s="297" t="str">
        <f t="shared" si="176"/>
        <v>0</v>
      </c>
      <c r="BJ195" s="298">
        <f t="shared" si="177"/>
        <v>0</v>
      </c>
      <c r="BK195" s="299">
        <f>[1]COMMANDE!Y193</f>
        <v>0</v>
      </c>
      <c r="BL195" s="297" t="str">
        <f t="shared" si="178"/>
        <v>0</v>
      </c>
      <c r="BM195" s="300">
        <f t="shared" si="179"/>
        <v>0</v>
      </c>
      <c r="BN195" s="301">
        <f>[1]COMMANDE!AA193</f>
        <v>0</v>
      </c>
      <c r="BO195" s="297" t="str">
        <f t="shared" si="180"/>
        <v>0</v>
      </c>
      <c r="BP195" s="298">
        <f t="shared" si="181"/>
        <v>0</v>
      </c>
      <c r="BQ195" s="299">
        <f>[1]COMMANDE!AC193</f>
        <v>0</v>
      </c>
      <c r="BR195" s="297" t="str">
        <f t="shared" si="182"/>
        <v>0</v>
      </c>
      <c r="BS195" s="300">
        <f t="shared" si="183"/>
        <v>0</v>
      </c>
      <c r="BT195" s="301">
        <f>[1]COMMANDE!AE193</f>
        <v>0</v>
      </c>
      <c r="BU195" s="297" t="str">
        <f t="shared" si="184"/>
        <v>0</v>
      </c>
      <c r="BV195" s="298">
        <f t="shared" si="185"/>
        <v>0</v>
      </c>
      <c r="BW195" s="299">
        <f>[1]COMMANDE!AG193</f>
        <v>0</v>
      </c>
      <c r="BX195" s="297" t="str">
        <f t="shared" si="186"/>
        <v>0</v>
      </c>
      <c r="BY195" s="300">
        <f t="shared" si="187"/>
        <v>0</v>
      </c>
      <c r="BZ195" s="301">
        <f>[1]COMMANDE!AI193</f>
        <v>0</v>
      </c>
      <c r="CA195" s="297" t="str">
        <f t="shared" si="188"/>
        <v>0</v>
      </c>
      <c r="CB195" s="298">
        <f t="shared" si="189"/>
        <v>0</v>
      </c>
      <c r="CC195" s="299">
        <f>[1]COMMANDE!AK193</f>
        <v>0</v>
      </c>
      <c r="CD195" s="297" t="str">
        <f t="shared" si="190"/>
        <v>0</v>
      </c>
      <c r="CE195" s="300">
        <f t="shared" si="191"/>
        <v>0</v>
      </c>
      <c r="CF195" s="301">
        <f>[1]COMMANDE!AM193</f>
        <v>0</v>
      </c>
      <c r="CG195" s="297" t="str">
        <f t="shared" si="192"/>
        <v>0</v>
      </c>
      <c r="CH195" s="298">
        <f t="shared" si="193"/>
        <v>0</v>
      </c>
      <c r="CI195" s="299">
        <f>[1]COMMANDE!AO193</f>
        <v>0</v>
      </c>
      <c r="CJ195" s="297" t="str">
        <f t="shared" si="194"/>
        <v>0</v>
      </c>
      <c r="CK195" s="300">
        <f t="shared" si="195"/>
        <v>0</v>
      </c>
      <c r="CL195" s="301">
        <f>[1]COMMANDE!AQ193</f>
        <v>0</v>
      </c>
      <c r="CM195" s="297" t="str">
        <f t="shared" si="196"/>
        <v>0</v>
      </c>
      <c r="CN195" s="298">
        <f t="shared" si="197"/>
        <v>0</v>
      </c>
      <c r="CO195" s="299">
        <f>[1]COMMANDE!AS193</f>
        <v>0</v>
      </c>
      <c r="CP195" s="297" t="str">
        <f t="shared" si="198"/>
        <v>0</v>
      </c>
      <c r="CQ195" s="300">
        <f t="shared" si="199"/>
        <v>0</v>
      </c>
      <c r="CR195" s="301">
        <f>[1]COMMANDE!AU193</f>
        <v>0</v>
      </c>
      <c r="CS195" s="297" t="str">
        <f t="shared" si="200"/>
        <v>0</v>
      </c>
      <c r="CT195" s="298">
        <f t="shared" si="201"/>
        <v>0</v>
      </c>
      <c r="CU195" s="299">
        <f>[1]COMMANDE!AW193</f>
        <v>0</v>
      </c>
      <c r="CV195" s="297" t="str">
        <f t="shared" si="202"/>
        <v>0</v>
      </c>
      <c r="CW195" s="300">
        <f t="shared" si="203"/>
        <v>0</v>
      </c>
      <c r="CX195" s="301">
        <f>[1]COMMANDE!AY193</f>
        <v>0</v>
      </c>
      <c r="CY195" s="297" t="str">
        <f t="shared" si="204"/>
        <v>0</v>
      </c>
      <c r="CZ195" s="298">
        <f t="shared" si="205"/>
        <v>0</v>
      </c>
      <c r="DA195" s="299">
        <f>[1]COMMANDE!BA193</f>
        <v>0</v>
      </c>
      <c r="DB195" s="297" t="str">
        <f t="shared" si="206"/>
        <v>0</v>
      </c>
      <c r="DC195" s="302">
        <f t="shared" si="207"/>
        <v>0</v>
      </c>
      <c r="DD195" s="303"/>
      <c r="DE195" s="304"/>
    </row>
    <row r="196" spans="1:109" ht="39.950000000000003" customHeight="1" x14ac:dyDescent="0.25">
      <c r="A196" s="284">
        <f t="shared" si="140"/>
        <v>0</v>
      </c>
      <c r="B196" s="284">
        <f t="shared" si="141"/>
        <v>0</v>
      </c>
      <c r="C196" s="284">
        <f t="shared" si="142"/>
        <v>0</v>
      </c>
      <c r="D196" s="284">
        <f t="shared" si="143"/>
        <v>0</v>
      </c>
      <c r="E196" s="284">
        <f t="shared" si="144"/>
        <v>0</v>
      </c>
      <c r="F196" s="284">
        <f t="shared" si="145"/>
        <v>0</v>
      </c>
      <c r="G196" s="284">
        <f t="shared" si="146"/>
        <v>0</v>
      </c>
      <c r="H196" s="284">
        <f t="shared" si="147"/>
        <v>0</v>
      </c>
      <c r="I196" s="284">
        <f t="shared" si="148"/>
        <v>0</v>
      </c>
      <c r="J196" s="284">
        <f t="shared" si="149"/>
        <v>0</v>
      </c>
      <c r="K196" s="284">
        <f t="shared" si="150"/>
        <v>0</v>
      </c>
      <c r="L196" s="284">
        <f t="shared" si="151"/>
        <v>0</v>
      </c>
      <c r="M196" s="284">
        <f t="shared" si="152"/>
        <v>0</v>
      </c>
      <c r="N196" s="284">
        <f t="shared" si="153"/>
        <v>0</v>
      </c>
      <c r="O196" s="284">
        <f t="shared" si="154"/>
        <v>0</v>
      </c>
      <c r="P196" s="284">
        <f t="shared" si="155"/>
        <v>0</v>
      </c>
      <c r="Q196" s="284">
        <f t="shared" si="156"/>
        <v>0</v>
      </c>
      <c r="R196" s="284">
        <f t="shared" si="157"/>
        <v>0</v>
      </c>
      <c r="S196" s="284">
        <f t="shared" si="158"/>
        <v>0</v>
      </c>
      <c r="T196" s="284">
        <f t="shared" si="159"/>
        <v>0</v>
      </c>
      <c r="U196" s="285">
        <f t="shared" si="160"/>
        <v>0</v>
      </c>
      <c r="V196" s="286">
        <f>[1]BDD!A186</f>
        <v>6025</v>
      </c>
      <c r="W196" s="287" t="str">
        <f>[1]BDD!B186</f>
        <v>Olives Aloreña BIO saumurées non pasteurisées (Bocal 800g)</v>
      </c>
      <c r="X196" s="288" t="str">
        <f>IF([1]BDD!F186=0, "", [1]BDD!F186)</f>
        <v/>
      </c>
      <c r="Y196" s="214">
        <f>ROUND([1]BDD!G186+FDP_CMD_KG, 2)</f>
        <v>6.32</v>
      </c>
      <c r="Z196" s="214">
        <f>ROUND([1]BDD!G186+FDP_FACT_KG, 2)</f>
        <v>6.32</v>
      </c>
      <c r="AA196" s="215" t="str">
        <f>[1]BDD!H186</f>
        <v>Pièce</v>
      </c>
      <c r="AB196" s="225">
        <f>IF(NOT(ISBLANK([1]BDD!I186)), ROUND(SUM(([1]BDD!G186*reduc1),FDP_CMD_KG), 2), "")</f>
        <v>5.78</v>
      </c>
      <c r="AC196" s="225" t="str">
        <f>IF(NOT(ISBLANK([1]BDD!J186)), ROUND(SUM(([1]BDD!G186*reduc2),FDP_CMD_KG), 2), "")</f>
        <v/>
      </c>
      <c r="AD196" s="225" t="str">
        <f>IF(NOT(ISBLANK([1]BDD!K186)), ROUND(SUM(([1]BDD!G186*reduc3),FDP_CMD_KG), 2), "")</f>
        <v/>
      </c>
      <c r="AE196" s="225">
        <f>IF(NOT(ISBLANK([1]BDD!I186)), ROUND(SUM(([1]BDD!G186*reduc1),FDP_FACT_KG), 2), "")</f>
        <v>5.77</v>
      </c>
      <c r="AF196" s="225" t="str">
        <f>IF(NOT(ISBLANK([1]BDD!J186)), ROUND(SUM(([1]BDD!G186*reduc2),FDP_FACT_KG), 2), "")</f>
        <v/>
      </c>
      <c r="AG196" s="225" t="str">
        <f>IF(NOT(ISBLANK([1]BDD!K186)), ROUND(SUM(([1]BDD!G186*reduc3),FDP_FACT_KG), 2), "")</f>
        <v/>
      </c>
      <c r="AH196" s="289" t="str">
        <f>[1]BDD!C186</f>
        <v>Malaga</v>
      </c>
      <c r="AI196" s="290">
        <f t="shared" si="161"/>
        <v>0</v>
      </c>
      <c r="AJ196" s="216">
        <f t="shared" si="162"/>
        <v>5.78</v>
      </c>
      <c r="AK196" s="291">
        <f t="shared" si="163"/>
        <v>0</v>
      </c>
      <c r="AL196" s="429"/>
      <c r="AM196" s="292"/>
      <c r="AN196" s="216">
        <f t="shared" si="164"/>
        <v>6.32</v>
      </c>
      <c r="AO196" s="293">
        <f t="shared" si="165"/>
        <v>0</v>
      </c>
      <c r="AP196" s="294"/>
      <c r="AQ196" s="294"/>
      <c r="AR196" s="429"/>
      <c r="AS196" s="295">
        <f t="shared" si="166"/>
        <v>0</v>
      </c>
      <c r="AT196" s="216">
        <f t="shared" si="167"/>
        <v>6.32</v>
      </c>
      <c r="AU196" s="291">
        <f t="shared" si="139"/>
        <v>0</v>
      </c>
      <c r="AV196" s="296">
        <f>[1]COMMANDE!O194</f>
        <v>0</v>
      </c>
      <c r="AW196" s="297" t="str">
        <f t="shared" si="168"/>
        <v>0</v>
      </c>
      <c r="AX196" s="298">
        <f t="shared" si="169"/>
        <v>0</v>
      </c>
      <c r="AY196" s="299">
        <f>[1]COMMANDE!Q194</f>
        <v>0</v>
      </c>
      <c r="AZ196" s="297" t="str">
        <f t="shared" si="170"/>
        <v>0</v>
      </c>
      <c r="BA196" s="300">
        <f t="shared" si="171"/>
        <v>0</v>
      </c>
      <c r="BB196" s="301">
        <f>[1]COMMANDE!S194</f>
        <v>0</v>
      </c>
      <c r="BC196" s="297" t="str">
        <f t="shared" si="172"/>
        <v>0</v>
      </c>
      <c r="BD196" s="298">
        <f t="shared" si="173"/>
        <v>0</v>
      </c>
      <c r="BE196" s="299">
        <f>[1]COMMANDE!U194</f>
        <v>0</v>
      </c>
      <c r="BF196" s="297" t="str">
        <f t="shared" si="174"/>
        <v>0</v>
      </c>
      <c r="BG196" s="300">
        <f t="shared" si="175"/>
        <v>0</v>
      </c>
      <c r="BH196" s="301">
        <f>[1]COMMANDE!W194</f>
        <v>0</v>
      </c>
      <c r="BI196" s="297" t="str">
        <f t="shared" si="176"/>
        <v>0</v>
      </c>
      <c r="BJ196" s="298">
        <f t="shared" si="177"/>
        <v>0</v>
      </c>
      <c r="BK196" s="299">
        <f>[1]COMMANDE!Y194</f>
        <v>0</v>
      </c>
      <c r="BL196" s="297" t="str">
        <f t="shared" si="178"/>
        <v>0</v>
      </c>
      <c r="BM196" s="300">
        <f t="shared" si="179"/>
        <v>0</v>
      </c>
      <c r="BN196" s="301">
        <f>[1]COMMANDE!AA194</f>
        <v>0</v>
      </c>
      <c r="BO196" s="297" t="str">
        <f t="shared" si="180"/>
        <v>0</v>
      </c>
      <c r="BP196" s="298">
        <f t="shared" si="181"/>
        <v>0</v>
      </c>
      <c r="BQ196" s="299">
        <f>[1]COMMANDE!AC194</f>
        <v>0</v>
      </c>
      <c r="BR196" s="297" t="str">
        <f t="shared" si="182"/>
        <v>0</v>
      </c>
      <c r="BS196" s="300">
        <f t="shared" si="183"/>
        <v>0</v>
      </c>
      <c r="BT196" s="301">
        <f>[1]COMMANDE!AE194</f>
        <v>0</v>
      </c>
      <c r="BU196" s="297" t="str">
        <f t="shared" si="184"/>
        <v>0</v>
      </c>
      <c r="BV196" s="298">
        <f t="shared" si="185"/>
        <v>0</v>
      </c>
      <c r="BW196" s="299">
        <f>[1]COMMANDE!AG194</f>
        <v>0</v>
      </c>
      <c r="BX196" s="297" t="str">
        <f t="shared" si="186"/>
        <v>0</v>
      </c>
      <c r="BY196" s="300">
        <f t="shared" si="187"/>
        <v>0</v>
      </c>
      <c r="BZ196" s="301">
        <f>[1]COMMANDE!AI194</f>
        <v>0</v>
      </c>
      <c r="CA196" s="297" t="str">
        <f t="shared" si="188"/>
        <v>0</v>
      </c>
      <c r="CB196" s="298">
        <f t="shared" si="189"/>
        <v>0</v>
      </c>
      <c r="CC196" s="299">
        <f>[1]COMMANDE!AK194</f>
        <v>0</v>
      </c>
      <c r="CD196" s="297" t="str">
        <f t="shared" si="190"/>
        <v>0</v>
      </c>
      <c r="CE196" s="300">
        <f t="shared" si="191"/>
        <v>0</v>
      </c>
      <c r="CF196" s="301">
        <f>[1]COMMANDE!AM194</f>
        <v>0</v>
      </c>
      <c r="CG196" s="297" t="str">
        <f t="shared" si="192"/>
        <v>0</v>
      </c>
      <c r="CH196" s="298">
        <f t="shared" si="193"/>
        <v>0</v>
      </c>
      <c r="CI196" s="299">
        <f>[1]COMMANDE!AO194</f>
        <v>0</v>
      </c>
      <c r="CJ196" s="297" t="str">
        <f t="shared" si="194"/>
        <v>0</v>
      </c>
      <c r="CK196" s="300">
        <f t="shared" si="195"/>
        <v>0</v>
      </c>
      <c r="CL196" s="301">
        <f>[1]COMMANDE!AQ194</f>
        <v>0</v>
      </c>
      <c r="CM196" s="297" t="str">
        <f t="shared" si="196"/>
        <v>0</v>
      </c>
      <c r="CN196" s="298">
        <f t="shared" si="197"/>
        <v>0</v>
      </c>
      <c r="CO196" s="299">
        <f>[1]COMMANDE!AS194</f>
        <v>0</v>
      </c>
      <c r="CP196" s="297" t="str">
        <f t="shared" si="198"/>
        <v>0</v>
      </c>
      <c r="CQ196" s="300">
        <f t="shared" si="199"/>
        <v>0</v>
      </c>
      <c r="CR196" s="301">
        <f>[1]COMMANDE!AU194</f>
        <v>0</v>
      </c>
      <c r="CS196" s="297" t="str">
        <f t="shared" si="200"/>
        <v>0</v>
      </c>
      <c r="CT196" s="298">
        <f t="shared" si="201"/>
        <v>0</v>
      </c>
      <c r="CU196" s="299">
        <f>[1]COMMANDE!AW194</f>
        <v>0</v>
      </c>
      <c r="CV196" s="297" t="str">
        <f t="shared" si="202"/>
        <v>0</v>
      </c>
      <c r="CW196" s="300">
        <f t="shared" si="203"/>
        <v>0</v>
      </c>
      <c r="CX196" s="301">
        <f>[1]COMMANDE!AY194</f>
        <v>0</v>
      </c>
      <c r="CY196" s="297" t="str">
        <f t="shared" si="204"/>
        <v>0</v>
      </c>
      <c r="CZ196" s="298">
        <f t="shared" si="205"/>
        <v>0</v>
      </c>
      <c r="DA196" s="299">
        <f>[1]COMMANDE!BA194</f>
        <v>0</v>
      </c>
      <c r="DB196" s="297" t="str">
        <f t="shared" si="206"/>
        <v>0</v>
      </c>
      <c r="DC196" s="302">
        <f t="shared" si="207"/>
        <v>0</v>
      </c>
      <c r="DD196" s="303"/>
      <c r="DE196" s="304"/>
    </row>
    <row r="197" spans="1:109" ht="39.950000000000003" customHeight="1" x14ac:dyDescent="0.25">
      <c r="A197" s="284">
        <f t="shared" si="140"/>
        <v>0</v>
      </c>
      <c r="B197" s="284">
        <f t="shared" si="141"/>
        <v>0</v>
      </c>
      <c r="C197" s="284">
        <f t="shared" si="142"/>
        <v>0</v>
      </c>
      <c r="D197" s="284">
        <f t="shared" si="143"/>
        <v>0</v>
      </c>
      <c r="E197" s="284">
        <f t="shared" si="144"/>
        <v>0</v>
      </c>
      <c r="F197" s="284">
        <f t="shared" si="145"/>
        <v>0</v>
      </c>
      <c r="G197" s="284">
        <f t="shared" si="146"/>
        <v>0</v>
      </c>
      <c r="H197" s="284">
        <f t="shared" si="147"/>
        <v>0</v>
      </c>
      <c r="I197" s="284">
        <f t="shared" si="148"/>
        <v>0</v>
      </c>
      <c r="J197" s="284">
        <f t="shared" si="149"/>
        <v>0</v>
      </c>
      <c r="K197" s="284">
        <f t="shared" si="150"/>
        <v>0</v>
      </c>
      <c r="L197" s="284">
        <f t="shared" si="151"/>
        <v>0</v>
      </c>
      <c r="M197" s="284">
        <f t="shared" si="152"/>
        <v>0</v>
      </c>
      <c r="N197" s="284">
        <f t="shared" si="153"/>
        <v>0</v>
      </c>
      <c r="O197" s="284">
        <f t="shared" si="154"/>
        <v>0</v>
      </c>
      <c r="P197" s="284">
        <f t="shared" si="155"/>
        <v>0</v>
      </c>
      <c r="Q197" s="284">
        <f t="shared" si="156"/>
        <v>0</v>
      </c>
      <c r="R197" s="284">
        <f t="shared" si="157"/>
        <v>0</v>
      </c>
      <c r="S197" s="284">
        <f t="shared" si="158"/>
        <v>0</v>
      </c>
      <c r="T197" s="284">
        <f t="shared" si="159"/>
        <v>0</v>
      </c>
      <c r="U197" s="285">
        <f t="shared" si="160"/>
        <v>0</v>
      </c>
      <c r="V197" s="286" t="str">
        <f>[1]BDD!A187</f>
        <v>5119-F</v>
      </c>
      <c r="W197" s="287" t="str">
        <f>[1]BDD!B187</f>
        <v>Olives fermentées fraîches non pasteurisées (env. 400g) - production artisanale</v>
      </c>
      <c r="X197" s="288" t="str">
        <f>IF([1]BDD!F187=0, "", [1]BDD!F187)</f>
        <v/>
      </c>
      <c r="Y197" s="214">
        <f>ROUND([1]BDD!G187+FDP_CMD_KG, 2)</f>
        <v>11.27</v>
      </c>
      <c r="Z197" s="214">
        <f>ROUND([1]BDD!G187+FDP_FACT_KG, 2)</f>
        <v>11.27</v>
      </c>
      <c r="AA197" s="215" t="str">
        <f>[1]BDD!H187</f>
        <v>Pièce</v>
      </c>
      <c r="AB197" s="225" t="str">
        <f>IF(NOT(ISBLANK([1]BDD!I187)), ROUND(SUM(([1]BDD!G187*reduc1),FDP_CMD_KG), 2), "")</f>
        <v/>
      </c>
      <c r="AC197" s="225" t="str">
        <f>IF(NOT(ISBLANK([1]BDD!J187)), ROUND(SUM(([1]BDD!G187*reduc2),FDP_CMD_KG), 2), "")</f>
        <v/>
      </c>
      <c r="AD197" s="225" t="str">
        <f>IF(NOT(ISBLANK([1]BDD!K187)), ROUND(SUM(([1]BDD!G187*reduc3),FDP_CMD_KG), 2), "")</f>
        <v/>
      </c>
      <c r="AE197" s="225" t="str">
        <f>IF(NOT(ISBLANK([1]BDD!I187)), ROUND(SUM(([1]BDD!G187*reduc1),FDP_FACT_KG), 2), "")</f>
        <v/>
      </c>
      <c r="AF197" s="225" t="str">
        <f>IF(NOT(ISBLANK([1]BDD!J187)), ROUND(SUM(([1]BDD!G187*reduc2),FDP_FACT_KG), 2), "")</f>
        <v/>
      </c>
      <c r="AG197" s="225" t="str">
        <f>IF(NOT(ISBLANK([1]BDD!K187)), ROUND(SUM(([1]BDD!G187*reduc3),FDP_FACT_KG), 2), "")</f>
        <v/>
      </c>
      <c r="AH197" s="289" t="str">
        <f>[1]BDD!C187</f>
        <v>Valence</v>
      </c>
      <c r="AI197" s="290">
        <f t="shared" si="161"/>
        <v>0</v>
      </c>
      <c r="AJ197" s="216">
        <f t="shared" si="162"/>
        <v>11.27</v>
      </c>
      <c r="AK197" s="291">
        <f t="shared" si="163"/>
        <v>0</v>
      </c>
      <c r="AL197" s="429"/>
      <c r="AM197" s="292"/>
      <c r="AN197" s="216">
        <f t="shared" si="164"/>
        <v>11.27</v>
      </c>
      <c r="AO197" s="293">
        <f t="shared" si="165"/>
        <v>0</v>
      </c>
      <c r="AP197" s="294"/>
      <c r="AQ197" s="294"/>
      <c r="AR197" s="429"/>
      <c r="AS197" s="295">
        <f t="shared" si="166"/>
        <v>0</v>
      </c>
      <c r="AT197" s="216">
        <f t="shared" si="167"/>
        <v>11.27</v>
      </c>
      <c r="AU197" s="291">
        <f t="shared" si="139"/>
        <v>0</v>
      </c>
      <c r="AV197" s="296">
        <f>[1]COMMANDE!O195</f>
        <v>0</v>
      </c>
      <c r="AW197" s="297" t="str">
        <f t="shared" si="168"/>
        <v>0</v>
      </c>
      <c r="AX197" s="298">
        <f t="shared" si="169"/>
        <v>0</v>
      </c>
      <c r="AY197" s="299">
        <f>[1]COMMANDE!Q195</f>
        <v>0</v>
      </c>
      <c r="AZ197" s="297" t="str">
        <f t="shared" si="170"/>
        <v>0</v>
      </c>
      <c r="BA197" s="300">
        <f t="shared" si="171"/>
        <v>0</v>
      </c>
      <c r="BB197" s="301">
        <f>[1]COMMANDE!S195</f>
        <v>0</v>
      </c>
      <c r="BC197" s="297" t="str">
        <f t="shared" si="172"/>
        <v>0</v>
      </c>
      <c r="BD197" s="298">
        <f t="shared" si="173"/>
        <v>0</v>
      </c>
      <c r="BE197" s="299">
        <f>[1]COMMANDE!U195</f>
        <v>0</v>
      </c>
      <c r="BF197" s="297" t="str">
        <f t="shared" si="174"/>
        <v>0</v>
      </c>
      <c r="BG197" s="300">
        <f t="shared" si="175"/>
        <v>0</v>
      </c>
      <c r="BH197" s="301">
        <f>[1]COMMANDE!W195</f>
        <v>0</v>
      </c>
      <c r="BI197" s="297" t="str">
        <f t="shared" si="176"/>
        <v>0</v>
      </c>
      <c r="BJ197" s="298">
        <f t="shared" si="177"/>
        <v>0</v>
      </c>
      <c r="BK197" s="299">
        <f>[1]COMMANDE!Y195</f>
        <v>0</v>
      </c>
      <c r="BL197" s="297" t="str">
        <f t="shared" si="178"/>
        <v>0</v>
      </c>
      <c r="BM197" s="300">
        <f t="shared" si="179"/>
        <v>0</v>
      </c>
      <c r="BN197" s="301">
        <f>[1]COMMANDE!AA195</f>
        <v>0</v>
      </c>
      <c r="BO197" s="297" t="str">
        <f t="shared" si="180"/>
        <v>0</v>
      </c>
      <c r="BP197" s="298">
        <f t="shared" si="181"/>
        <v>0</v>
      </c>
      <c r="BQ197" s="299">
        <f>[1]COMMANDE!AC195</f>
        <v>0</v>
      </c>
      <c r="BR197" s="297" t="str">
        <f t="shared" si="182"/>
        <v>0</v>
      </c>
      <c r="BS197" s="300">
        <f t="shared" si="183"/>
        <v>0</v>
      </c>
      <c r="BT197" s="301">
        <f>[1]COMMANDE!AE195</f>
        <v>0</v>
      </c>
      <c r="BU197" s="297" t="str">
        <f t="shared" si="184"/>
        <v>0</v>
      </c>
      <c r="BV197" s="298">
        <f t="shared" si="185"/>
        <v>0</v>
      </c>
      <c r="BW197" s="299">
        <f>[1]COMMANDE!AG195</f>
        <v>0</v>
      </c>
      <c r="BX197" s="297" t="str">
        <f t="shared" si="186"/>
        <v>0</v>
      </c>
      <c r="BY197" s="300">
        <f t="shared" si="187"/>
        <v>0</v>
      </c>
      <c r="BZ197" s="301">
        <f>[1]COMMANDE!AI195</f>
        <v>0</v>
      </c>
      <c r="CA197" s="297" t="str">
        <f t="shared" si="188"/>
        <v>0</v>
      </c>
      <c r="CB197" s="298">
        <f t="shared" si="189"/>
        <v>0</v>
      </c>
      <c r="CC197" s="299">
        <f>[1]COMMANDE!AK195</f>
        <v>0</v>
      </c>
      <c r="CD197" s="297" t="str">
        <f t="shared" si="190"/>
        <v>0</v>
      </c>
      <c r="CE197" s="300">
        <f t="shared" si="191"/>
        <v>0</v>
      </c>
      <c r="CF197" s="301">
        <f>[1]COMMANDE!AM195</f>
        <v>0</v>
      </c>
      <c r="CG197" s="297" t="str">
        <f t="shared" si="192"/>
        <v>0</v>
      </c>
      <c r="CH197" s="298">
        <f t="shared" si="193"/>
        <v>0</v>
      </c>
      <c r="CI197" s="299">
        <f>[1]COMMANDE!AO195</f>
        <v>0</v>
      </c>
      <c r="CJ197" s="297" t="str">
        <f t="shared" si="194"/>
        <v>0</v>
      </c>
      <c r="CK197" s="300">
        <f t="shared" si="195"/>
        <v>0</v>
      </c>
      <c r="CL197" s="301">
        <f>[1]COMMANDE!AQ195</f>
        <v>0</v>
      </c>
      <c r="CM197" s="297" t="str">
        <f t="shared" si="196"/>
        <v>0</v>
      </c>
      <c r="CN197" s="298">
        <f t="shared" si="197"/>
        <v>0</v>
      </c>
      <c r="CO197" s="299">
        <f>[1]COMMANDE!AS195</f>
        <v>0</v>
      </c>
      <c r="CP197" s="297" t="str">
        <f t="shared" si="198"/>
        <v>0</v>
      </c>
      <c r="CQ197" s="300">
        <f t="shared" si="199"/>
        <v>0</v>
      </c>
      <c r="CR197" s="301">
        <f>[1]COMMANDE!AU195</f>
        <v>0</v>
      </c>
      <c r="CS197" s="297" t="str">
        <f t="shared" si="200"/>
        <v>0</v>
      </c>
      <c r="CT197" s="298">
        <f t="shared" si="201"/>
        <v>0</v>
      </c>
      <c r="CU197" s="299">
        <f>[1]COMMANDE!AW195</f>
        <v>0</v>
      </c>
      <c r="CV197" s="297" t="str">
        <f t="shared" si="202"/>
        <v>0</v>
      </c>
      <c r="CW197" s="300">
        <f t="shared" si="203"/>
        <v>0</v>
      </c>
      <c r="CX197" s="301">
        <f>[1]COMMANDE!AY195</f>
        <v>0</v>
      </c>
      <c r="CY197" s="297" t="str">
        <f t="shared" si="204"/>
        <v>0</v>
      </c>
      <c r="CZ197" s="298">
        <f t="shared" si="205"/>
        <v>0</v>
      </c>
      <c r="DA197" s="299">
        <f>[1]COMMANDE!BA195</f>
        <v>0</v>
      </c>
      <c r="DB197" s="297" t="str">
        <f t="shared" si="206"/>
        <v>0</v>
      </c>
      <c r="DC197" s="302">
        <f t="shared" si="207"/>
        <v>0</v>
      </c>
      <c r="DD197" s="303"/>
      <c r="DE197" s="304"/>
    </row>
    <row r="198" spans="1:109" ht="39.950000000000003" customHeight="1" x14ac:dyDescent="0.25">
      <c r="A198" s="284">
        <f t="shared" si="140"/>
        <v>0</v>
      </c>
      <c r="B198" s="284">
        <f t="shared" si="141"/>
        <v>0</v>
      </c>
      <c r="C198" s="284">
        <f t="shared" si="142"/>
        <v>0</v>
      </c>
      <c r="D198" s="284">
        <f t="shared" si="143"/>
        <v>0</v>
      </c>
      <c r="E198" s="284">
        <f t="shared" si="144"/>
        <v>0</v>
      </c>
      <c r="F198" s="284">
        <f t="shared" si="145"/>
        <v>0</v>
      </c>
      <c r="G198" s="284">
        <f t="shared" si="146"/>
        <v>0</v>
      </c>
      <c r="H198" s="284">
        <f t="shared" si="147"/>
        <v>0</v>
      </c>
      <c r="I198" s="284">
        <f t="shared" si="148"/>
        <v>0</v>
      </c>
      <c r="J198" s="284">
        <f t="shared" si="149"/>
        <v>0</v>
      </c>
      <c r="K198" s="284">
        <f t="shared" si="150"/>
        <v>0</v>
      </c>
      <c r="L198" s="284">
        <f t="shared" si="151"/>
        <v>0</v>
      </c>
      <c r="M198" s="284">
        <f t="shared" si="152"/>
        <v>0</v>
      </c>
      <c r="N198" s="284">
        <f t="shared" si="153"/>
        <v>0</v>
      </c>
      <c r="O198" s="284">
        <f t="shared" si="154"/>
        <v>0</v>
      </c>
      <c r="P198" s="284">
        <f t="shared" si="155"/>
        <v>0</v>
      </c>
      <c r="Q198" s="284">
        <f t="shared" si="156"/>
        <v>0</v>
      </c>
      <c r="R198" s="284">
        <f t="shared" si="157"/>
        <v>0</v>
      </c>
      <c r="S198" s="284">
        <f t="shared" si="158"/>
        <v>0</v>
      </c>
      <c r="T198" s="284">
        <f t="shared" si="159"/>
        <v>0</v>
      </c>
      <c r="U198" s="285">
        <f t="shared" si="160"/>
        <v>0</v>
      </c>
      <c r="V198" s="286" t="str">
        <f>[1]BDD!A188</f>
        <v>5119-S</v>
      </c>
      <c r="W198" s="287" t="str">
        <f>[1]BDD!B188</f>
        <v>Olives fermentées sèches non pasteurisées (env. 400g) - production artisanale</v>
      </c>
      <c r="X198" s="288" t="str">
        <f>IF([1]BDD!F188=0, "", [1]BDD!F188)</f>
        <v/>
      </c>
      <c r="Y198" s="214">
        <f>ROUND([1]BDD!G188+FDP_CMD_KG, 2)</f>
        <v>11.27</v>
      </c>
      <c r="Z198" s="214">
        <f>ROUND([1]BDD!G188+FDP_FACT_KG, 2)</f>
        <v>11.27</v>
      </c>
      <c r="AA198" s="215" t="str">
        <f>[1]BDD!H188</f>
        <v>Pièce</v>
      </c>
      <c r="AB198" s="225" t="str">
        <f>IF(NOT(ISBLANK([1]BDD!I188)), ROUND(SUM(([1]BDD!G188*reduc1),FDP_CMD_KG), 2), "")</f>
        <v/>
      </c>
      <c r="AC198" s="225" t="str">
        <f>IF(NOT(ISBLANK([1]BDD!J188)), ROUND(SUM(([1]BDD!G188*reduc2),FDP_CMD_KG), 2), "")</f>
        <v/>
      </c>
      <c r="AD198" s="225" t="str">
        <f>IF(NOT(ISBLANK([1]BDD!K188)), ROUND(SUM(([1]BDD!G188*reduc3),FDP_CMD_KG), 2), "")</f>
        <v/>
      </c>
      <c r="AE198" s="225" t="str">
        <f>IF(NOT(ISBLANK([1]BDD!I188)), ROUND(SUM(([1]BDD!G188*reduc1),FDP_FACT_KG), 2), "")</f>
        <v/>
      </c>
      <c r="AF198" s="225" t="str">
        <f>IF(NOT(ISBLANK([1]BDD!J188)), ROUND(SUM(([1]BDD!G188*reduc2),FDP_FACT_KG), 2), "")</f>
        <v/>
      </c>
      <c r="AG198" s="225" t="str">
        <f>IF(NOT(ISBLANK([1]BDD!K188)), ROUND(SUM(([1]BDD!G188*reduc3),FDP_FACT_KG), 2), "")</f>
        <v/>
      </c>
      <c r="AH198" s="289" t="str">
        <f>[1]BDD!C188</f>
        <v>Valence</v>
      </c>
      <c r="AI198" s="290">
        <f t="shared" si="161"/>
        <v>0</v>
      </c>
      <c r="AJ198" s="216">
        <f t="shared" si="162"/>
        <v>11.27</v>
      </c>
      <c r="AK198" s="291">
        <f t="shared" si="163"/>
        <v>0</v>
      </c>
      <c r="AL198" s="429"/>
      <c r="AM198" s="292"/>
      <c r="AN198" s="216">
        <f t="shared" si="164"/>
        <v>11.27</v>
      </c>
      <c r="AO198" s="293">
        <f t="shared" si="165"/>
        <v>0</v>
      </c>
      <c r="AP198" s="294"/>
      <c r="AQ198" s="294"/>
      <c r="AR198" s="429"/>
      <c r="AS198" s="295">
        <f t="shared" si="166"/>
        <v>0</v>
      </c>
      <c r="AT198" s="216">
        <f t="shared" si="167"/>
        <v>11.27</v>
      </c>
      <c r="AU198" s="291">
        <f t="shared" si="139"/>
        <v>0</v>
      </c>
      <c r="AV198" s="296">
        <f>[1]COMMANDE!O196</f>
        <v>0</v>
      </c>
      <c r="AW198" s="297" t="str">
        <f t="shared" si="168"/>
        <v>0</v>
      </c>
      <c r="AX198" s="298">
        <f t="shared" si="169"/>
        <v>0</v>
      </c>
      <c r="AY198" s="299">
        <f>[1]COMMANDE!Q196</f>
        <v>0</v>
      </c>
      <c r="AZ198" s="297" t="str">
        <f t="shared" si="170"/>
        <v>0</v>
      </c>
      <c r="BA198" s="300">
        <f t="shared" si="171"/>
        <v>0</v>
      </c>
      <c r="BB198" s="301">
        <f>[1]COMMANDE!S196</f>
        <v>0</v>
      </c>
      <c r="BC198" s="297" t="str">
        <f t="shared" si="172"/>
        <v>0</v>
      </c>
      <c r="BD198" s="298">
        <f t="shared" si="173"/>
        <v>0</v>
      </c>
      <c r="BE198" s="299">
        <f>[1]COMMANDE!U196</f>
        <v>0</v>
      </c>
      <c r="BF198" s="297" t="str">
        <f t="shared" si="174"/>
        <v>0</v>
      </c>
      <c r="BG198" s="300">
        <f t="shared" si="175"/>
        <v>0</v>
      </c>
      <c r="BH198" s="301">
        <f>[1]COMMANDE!W196</f>
        <v>0</v>
      </c>
      <c r="BI198" s="297" t="str">
        <f t="shared" si="176"/>
        <v>0</v>
      </c>
      <c r="BJ198" s="298">
        <f t="shared" si="177"/>
        <v>0</v>
      </c>
      <c r="BK198" s="299">
        <f>[1]COMMANDE!Y196</f>
        <v>0</v>
      </c>
      <c r="BL198" s="297" t="str">
        <f t="shared" si="178"/>
        <v>0</v>
      </c>
      <c r="BM198" s="300">
        <f t="shared" si="179"/>
        <v>0</v>
      </c>
      <c r="BN198" s="301">
        <f>[1]COMMANDE!AA196</f>
        <v>0</v>
      </c>
      <c r="BO198" s="297" t="str">
        <f t="shared" si="180"/>
        <v>0</v>
      </c>
      <c r="BP198" s="298">
        <f t="shared" si="181"/>
        <v>0</v>
      </c>
      <c r="BQ198" s="299">
        <f>[1]COMMANDE!AC196</f>
        <v>0</v>
      </c>
      <c r="BR198" s="297" t="str">
        <f t="shared" si="182"/>
        <v>0</v>
      </c>
      <c r="BS198" s="300">
        <f t="shared" si="183"/>
        <v>0</v>
      </c>
      <c r="BT198" s="301">
        <f>[1]COMMANDE!AE196</f>
        <v>0</v>
      </c>
      <c r="BU198" s="297" t="str">
        <f t="shared" si="184"/>
        <v>0</v>
      </c>
      <c r="BV198" s="298">
        <f t="shared" si="185"/>
        <v>0</v>
      </c>
      <c r="BW198" s="299">
        <f>[1]COMMANDE!AG196</f>
        <v>0</v>
      </c>
      <c r="BX198" s="297" t="str">
        <f t="shared" si="186"/>
        <v>0</v>
      </c>
      <c r="BY198" s="300">
        <f t="shared" si="187"/>
        <v>0</v>
      </c>
      <c r="BZ198" s="301">
        <f>[1]COMMANDE!AI196</f>
        <v>0</v>
      </c>
      <c r="CA198" s="297" t="str">
        <f t="shared" si="188"/>
        <v>0</v>
      </c>
      <c r="CB198" s="298">
        <f t="shared" si="189"/>
        <v>0</v>
      </c>
      <c r="CC198" s="299">
        <f>[1]COMMANDE!AK196</f>
        <v>0</v>
      </c>
      <c r="CD198" s="297" t="str">
        <f t="shared" si="190"/>
        <v>0</v>
      </c>
      <c r="CE198" s="300">
        <f t="shared" si="191"/>
        <v>0</v>
      </c>
      <c r="CF198" s="301">
        <f>[1]COMMANDE!AM196</f>
        <v>0</v>
      </c>
      <c r="CG198" s="297" t="str">
        <f t="shared" si="192"/>
        <v>0</v>
      </c>
      <c r="CH198" s="298">
        <f t="shared" si="193"/>
        <v>0</v>
      </c>
      <c r="CI198" s="299">
        <f>[1]COMMANDE!AO196</f>
        <v>0</v>
      </c>
      <c r="CJ198" s="297" t="str">
        <f t="shared" si="194"/>
        <v>0</v>
      </c>
      <c r="CK198" s="300">
        <f t="shared" si="195"/>
        <v>0</v>
      </c>
      <c r="CL198" s="301">
        <f>[1]COMMANDE!AQ196</f>
        <v>0</v>
      </c>
      <c r="CM198" s="297" t="str">
        <f t="shared" si="196"/>
        <v>0</v>
      </c>
      <c r="CN198" s="298">
        <f t="shared" si="197"/>
        <v>0</v>
      </c>
      <c r="CO198" s="299">
        <f>[1]COMMANDE!AS196</f>
        <v>0</v>
      </c>
      <c r="CP198" s="297" t="str">
        <f t="shared" si="198"/>
        <v>0</v>
      </c>
      <c r="CQ198" s="300">
        <f t="shared" si="199"/>
        <v>0</v>
      </c>
      <c r="CR198" s="301">
        <f>[1]COMMANDE!AU196</f>
        <v>0</v>
      </c>
      <c r="CS198" s="297" t="str">
        <f t="shared" si="200"/>
        <v>0</v>
      </c>
      <c r="CT198" s="298">
        <f t="shared" si="201"/>
        <v>0</v>
      </c>
      <c r="CU198" s="299">
        <f>[1]COMMANDE!AW196</f>
        <v>0</v>
      </c>
      <c r="CV198" s="297" t="str">
        <f t="shared" si="202"/>
        <v>0</v>
      </c>
      <c r="CW198" s="300">
        <f t="shared" si="203"/>
        <v>0</v>
      </c>
      <c r="CX198" s="301">
        <f>[1]COMMANDE!AY196</f>
        <v>0</v>
      </c>
      <c r="CY198" s="297" t="str">
        <f t="shared" si="204"/>
        <v>0</v>
      </c>
      <c r="CZ198" s="298">
        <f t="shared" si="205"/>
        <v>0</v>
      </c>
      <c r="DA198" s="299">
        <f>[1]COMMANDE!BA196</f>
        <v>0</v>
      </c>
      <c r="DB198" s="297" t="str">
        <f t="shared" si="206"/>
        <v>0</v>
      </c>
      <c r="DC198" s="302">
        <f t="shared" si="207"/>
        <v>0</v>
      </c>
      <c r="DD198" s="303"/>
      <c r="DE198" s="304"/>
    </row>
    <row r="199" spans="1:109" ht="39.950000000000003" customHeight="1" x14ac:dyDescent="0.25">
      <c r="A199" s="284">
        <f t="shared" si="140"/>
        <v>0</v>
      </c>
      <c r="B199" s="284">
        <f t="shared" si="141"/>
        <v>0</v>
      </c>
      <c r="C199" s="284">
        <f t="shared" si="142"/>
        <v>0</v>
      </c>
      <c r="D199" s="284">
        <f t="shared" si="143"/>
        <v>0</v>
      </c>
      <c r="E199" s="284">
        <f t="shared" si="144"/>
        <v>0</v>
      </c>
      <c r="F199" s="284">
        <f t="shared" si="145"/>
        <v>0</v>
      </c>
      <c r="G199" s="284">
        <f t="shared" si="146"/>
        <v>0</v>
      </c>
      <c r="H199" s="284">
        <f t="shared" si="147"/>
        <v>0</v>
      </c>
      <c r="I199" s="284">
        <f t="shared" si="148"/>
        <v>0</v>
      </c>
      <c r="J199" s="284">
        <f t="shared" si="149"/>
        <v>0</v>
      </c>
      <c r="K199" s="284">
        <f t="shared" si="150"/>
        <v>0</v>
      </c>
      <c r="L199" s="284">
        <f t="shared" si="151"/>
        <v>0</v>
      </c>
      <c r="M199" s="284">
        <f t="shared" si="152"/>
        <v>0</v>
      </c>
      <c r="N199" s="284">
        <f t="shared" si="153"/>
        <v>0</v>
      </c>
      <c r="O199" s="284">
        <f t="shared" si="154"/>
        <v>0</v>
      </c>
      <c r="P199" s="284">
        <f t="shared" si="155"/>
        <v>0</v>
      </c>
      <c r="Q199" s="284">
        <f t="shared" si="156"/>
        <v>0</v>
      </c>
      <c r="R199" s="284">
        <f t="shared" si="157"/>
        <v>0</v>
      </c>
      <c r="S199" s="284">
        <f t="shared" si="158"/>
        <v>0</v>
      </c>
      <c r="T199" s="284">
        <f t="shared" si="159"/>
        <v>0</v>
      </c>
      <c r="U199" s="285">
        <f t="shared" si="160"/>
        <v>0</v>
      </c>
      <c r="V199" s="286" t="str">
        <f>[1]BDD!A189</f>
        <v>5119-SF</v>
      </c>
      <c r="W199" s="287" t="str">
        <f>[1]BDD!B189</f>
        <v>Olives fermentées semi-fraîches non pasteurisées (env. 400g) - production artisanale</v>
      </c>
      <c r="X199" s="288" t="str">
        <f>IF([1]BDD!F189=0, "", [1]BDD!F189)</f>
        <v/>
      </c>
      <c r="Y199" s="214">
        <f>ROUND([1]BDD!G189+FDP_CMD_KG, 2)</f>
        <v>11.27</v>
      </c>
      <c r="Z199" s="214">
        <f>ROUND([1]BDD!G189+FDP_FACT_KG, 2)</f>
        <v>11.27</v>
      </c>
      <c r="AA199" s="215" t="str">
        <f>[1]BDD!H189</f>
        <v>Pièce</v>
      </c>
      <c r="AB199" s="225" t="str">
        <f>IF(NOT(ISBLANK([1]BDD!I189)), ROUND(SUM(([1]BDD!G189*reduc1),FDP_CMD_KG), 2), "")</f>
        <v/>
      </c>
      <c r="AC199" s="225" t="str">
        <f>IF(NOT(ISBLANK([1]BDD!J189)), ROUND(SUM(([1]BDD!G189*reduc2),FDP_CMD_KG), 2), "")</f>
        <v/>
      </c>
      <c r="AD199" s="225" t="str">
        <f>IF(NOT(ISBLANK([1]BDD!K189)), ROUND(SUM(([1]BDD!G189*reduc3),FDP_CMD_KG), 2), "")</f>
        <v/>
      </c>
      <c r="AE199" s="225" t="str">
        <f>IF(NOT(ISBLANK([1]BDD!I189)), ROUND(SUM(([1]BDD!G189*reduc1),FDP_FACT_KG), 2), "")</f>
        <v/>
      </c>
      <c r="AF199" s="225" t="str">
        <f>IF(NOT(ISBLANK([1]BDD!J189)), ROUND(SUM(([1]BDD!G189*reduc2),FDP_FACT_KG), 2), "")</f>
        <v/>
      </c>
      <c r="AG199" s="225" t="str">
        <f>IF(NOT(ISBLANK([1]BDD!K189)), ROUND(SUM(([1]BDD!G189*reduc3),FDP_FACT_KG), 2), "")</f>
        <v/>
      </c>
      <c r="AH199" s="289" t="str">
        <f>[1]BDD!C189</f>
        <v>Valence</v>
      </c>
      <c r="AI199" s="290">
        <f t="shared" si="161"/>
        <v>0</v>
      </c>
      <c r="AJ199" s="216">
        <f t="shared" si="162"/>
        <v>11.27</v>
      </c>
      <c r="AK199" s="291">
        <f t="shared" si="163"/>
        <v>0</v>
      </c>
      <c r="AL199" s="429"/>
      <c r="AM199" s="292"/>
      <c r="AN199" s="216">
        <f t="shared" si="164"/>
        <v>11.27</v>
      </c>
      <c r="AO199" s="293">
        <f t="shared" si="165"/>
        <v>0</v>
      </c>
      <c r="AP199" s="294"/>
      <c r="AQ199" s="294"/>
      <c r="AR199" s="429"/>
      <c r="AS199" s="295">
        <f t="shared" si="166"/>
        <v>0</v>
      </c>
      <c r="AT199" s="216">
        <f t="shared" si="167"/>
        <v>11.27</v>
      </c>
      <c r="AU199" s="291">
        <f t="shared" si="139"/>
        <v>0</v>
      </c>
      <c r="AV199" s="296">
        <f>[1]COMMANDE!O197</f>
        <v>0</v>
      </c>
      <c r="AW199" s="297" t="str">
        <f t="shared" si="168"/>
        <v>0</v>
      </c>
      <c r="AX199" s="298">
        <f t="shared" si="169"/>
        <v>0</v>
      </c>
      <c r="AY199" s="299">
        <f>[1]COMMANDE!Q197</f>
        <v>0</v>
      </c>
      <c r="AZ199" s="297" t="str">
        <f t="shared" si="170"/>
        <v>0</v>
      </c>
      <c r="BA199" s="300">
        <f t="shared" si="171"/>
        <v>0</v>
      </c>
      <c r="BB199" s="301">
        <f>[1]COMMANDE!S197</f>
        <v>0</v>
      </c>
      <c r="BC199" s="297" t="str">
        <f t="shared" si="172"/>
        <v>0</v>
      </c>
      <c r="BD199" s="298">
        <f t="shared" si="173"/>
        <v>0</v>
      </c>
      <c r="BE199" s="299">
        <f>[1]COMMANDE!U197</f>
        <v>0</v>
      </c>
      <c r="BF199" s="297" t="str">
        <f t="shared" si="174"/>
        <v>0</v>
      </c>
      <c r="BG199" s="300">
        <f t="shared" si="175"/>
        <v>0</v>
      </c>
      <c r="BH199" s="301">
        <f>[1]COMMANDE!W197</f>
        <v>0</v>
      </c>
      <c r="BI199" s="297" t="str">
        <f t="shared" si="176"/>
        <v>0</v>
      </c>
      <c r="BJ199" s="298">
        <f t="shared" si="177"/>
        <v>0</v>
      </c>
      <c r="BK199" s="299">
        <f>[1]COMMANDE!Y197</f>
        <v>0</v>
      </c>
      <c r="BL199" s="297" t="str">
        <f t="shared" si="178"/>
        <v>0</v>
      </c>
      <c r="BM199" s="300">
        <f t="shared" si="179"/>
        <v>0</v>
      </c>
      <c r="BN199" s="301">
        <f>[1]COMMANDE!AA197</f>
        <v>0</v>
      </c>
      <c r="BO199" s="297" t="str">
        <f t="shared" si="180"/>
        <v>0</v>
      </c>
      <c r="BP199" s="298">
        <f t="shared" si="181"/>
        <v>0</v>
      </c>
      <c r="BQ199" s="299">
        <f>[1]COMMANDE!AC197</f>
        <v>0</v>
      </c>
      <c r="BR199" s="297" t="str">
        <f t="shared" si="182"/>
        <v>0</v>
      </c>
      <c r="BS199" s="300">
        <f t="shared" si="183"/>
        <v>0</v>
      </c>
      <c r="BT199" s="301">
        <f>[1]COMMANDE!AE197</f>
        <v>0</v>
      </c>
      <c r="BU199" s="297" t="str">
        <f t="shared" si="184"/>
        <v>0</v>
      </c>
      <c r="BV199" s="298">
        <f t="shared" si="185"/>
        <v>0</v>
      </c>
      <c r="BW199" s="299">
        <f>[1]COMMANDE!AG197</f>
        <v>0</v>
      </c>
      <c r="BX199" s="297" t="str">
        <f t="shared" si="186"/>
        <v>0</v>
      </c>
      <c r="BY199" s="300">
        <f t="shared" si="187"/>
        <v>0</v>
      </c>
      <c r="BZ199" s="301">
        <f>[1]COMMANDE!AI197</f>
        <v>0</v>
      </c>
      <c r="CA199" s="297" t="str">
        <f t="shared" si="188"/>
        <v>0</v>
      </c>
      <c r="CB199" s="298">
        <f t="shared" si="189"/>
        <v>0</v>
      </c>
      <c r="CC199" s="299">
        <f>[1]COMMANDE!AK197</f>
        <v>0</v>
      </c>
      <c r="CD199" s="297" t="str">
        <f t="shared" si="190"/>
        <v>0</v>
      </c>
      <c r="CE199" s="300">
        <f t="shared" si="191"/>
        <v>0</v>
      </c>
      <c r="CF199" s="301">
        <f>[1]COMMANDE!AM197</f>
        <v>0</v>
      </c>
      <c r="CG199" s="297" t="str">
        <f t="shared" si="192"/>
        <v>0</v>
      </c>
      <c r="CH199" s="298">
        <f t="shared" si="193"/>
        <v>0</v>
      </c>
      <c r="CI199" s="299">
        <f>[1]COMMANDE!AO197</f>
        <v>0</v>
      </c>
      <c r="CJ199" s="297" t="str">
        <f t="shared" si="194"/>
        <v>0</v>
      </c>
      <c r="CK199" s="300">
        <f t="shared" si="195"/>
        <v>0</v>
      </c>
      <c r="CL199" s="301">
        <f>[1]COMMANDE!AQ197</f>
        <v>0</v>
      </c>
      <c r="CM199" s="297" t="str">
        <f t="shared" si="196"/>
        <v>0</v>
      </c>
      <c r="CN199" s="298">
        <f t="shared" si="197"/>
        <v>0</v>
      </c>
      <c r="CO199" s="299">
        <f>[1]COMMANDE!AS197</f>
        <v>0</v>
      </c>
      <c r="CP199" s="297" t="str">
        <f t="shared" si="198"/>
        <v>0</v>
      </c>
      <c r="CQ199" s="300">
        <f t="shared" si="199"/>
        <v>0</v>
      </c>
      <c r="CR199" s="301">
        <f>[1]COMMANDE!AU197</f>
        <v>0</v>
      </c>
      <c r="CS199" s="297" t="str">
        <f t="shared" si="200"/>
        <v>0</v>
      </c>
      <c r="CT199" s="298">
        <f t="shared" si="201"/>
        <v>0</v>
      </c>
      <c r="CU199" s="299">
        <f>[1]COMMANDE!AW197</f>
        <v>0</v>
      </c>
      <c r="CV199" s="297" t="str">
        <f t="shared" si="202"/>
        <v>0</v>
      </c>
      <c r="CW199" s="300">
        <f t="shared" si="203"/>
        <v>0</v>
      </c>
      <c r="CX199" s="301">
        <f>[1]COMMANDE!AY197</f>
        <v>0</v>
      </c>
      <c r="CY199" s="297" t="str">
        <f t="shared" si="204"/>
        <v>0</v>
      </c>
      <c r="CZ199" s="298">
        <f t="shared" si="205"/>
        <v>0</v>
      </c>
      <c r="DA199" s="299">
        <f>[1]COMMANDE!BA197</f>
        <v>0</v>
      </c>
      <c r="DB199" s="297" t="str">
        <f t="shared" si="206"/>
        <v>0</v>
      </c>
      <c r="DC199" s="302">
        <f t="shared" si="207"/>
        <v>0</v>
      </c>
      <c r="DD199" s="303"/>
      <c r="DE199" s="304"/>
    </row>
    <row r="200" spans="1:109" ht="39.950000000000003" customHeight="1" x14ac:dyDescent="0.25">
      <c r="A200" s="284">
        <f t="shared" si="140"/>
        <v>0</v>
      </c>
      <c r="B200" s="284">
        <f t="shared" si="141"/>
        <v>0</v>
      </c>
      <c r="C200" s="284">
        <f t="shared" si="142"/>
        <v>0</v>
      </c>
      <c r="D200" s="284">
        <f t="shared" si="143"/>
        <v>0</v>
      </c>
      <c r="E200" s="284">
        <f t="shared" si="144"/>
        <v>0</v>
      </c>
      <c r="F200" s="284">
        <f t="shared" si="145"/>
        <v>0</v>
      </c>
      <c r="G200" s="284">
        <f t="shared" si="146"/>
        <v>0</v>
      </c>
      <c r="H200" s="284">
        <f t="shared" si="147"/>
        <v>0</v>
      </c>
      <c r="I200" s="284">
        <f t="shared" si="148"/>
        <v>0</v>
      </c>
      <c r="J200" s="284">
        <f t="shared" si="149"/>
        <v>0</v>
      </c>
      <c r="K200" s="284">
        <f t="shared" si="150"/>
        <v>0</v>
      </c>
      <c r="L200" s="284">
        <f t="shared" si="151"/>
        <v>0</v>
      </c>
      <c r="M200" s="284">
        <f t="shared" si="152"/>
        <v>0</v>
      </c>
      <c r="N200" s="284">
        <f t="shared" si="153"/>
        <v>0</v>
      </c>
      <c r="O200" s="284">
        <f t="shared" si="154"/>
        <v>0</v>
      </c>
      <c r="P200" s="284">
        <f t="shared" si="155"/>
        <v>0</v>
      </c>
      <c r="Q200" s="284">
        <f t="shared" si="156"/>
        <v>0</v>
      </c>
      <c r="R200" s="284">
        <f t="shared" si="157"/>
        <v>0</v>
      </c>
      <c r="S200" s="284">
        <f t="shared" si="158"/>
        <v>0</v>
      </c>
      <c r="T200" s="284">
        <f t="shared" si="159"/>
        <v>0</v>
      </c>
      <c r="U200" s="285">
        <f t="shared" si="160"/>
        <v>0</v>
      </c>
      <c r="V200" s="286" t="str">
        <f>[1]BDD!A190</f>
        <v>5119-SS</v>
      </c>
      <c r="W200" s="287" t="str">
        <f>[1]BDD!B190</f>
        <v>Olives fermentées semi-sèches non pasteurisées (env. 400g) - production artisanale</v>
      </c>
      <c r="X200" s="288" t="str">
        <f>IF([1]BDD!F190=0, "", [1]BDD!F190)</f>
        <v/>
      </c>
      <c r="Y200" s="214">
        <f>ROUND([1]BDD!G190+FDP_CMD_KG, 2)</f>
        <v>11.27</v>
      </c>
      <c r="Z200" s="214">
        <f>ROUND([1]BDD!G190+FDP_FACT_KG, 2)</f>
        <v>11.27</v>
      </c>
      <c r="AA200" s="215" t="str">
        <f>[1]BDD!H190</f>
        <v>Pièce</v>
      </c>
      <c r="AB200" s="225" t="str">
        <f>IF(NOT(ISBLANK([1]BDD!I190)), ROUND(SUM(([1]BDD!G190*reduc1),FDP_CMD_KG), 2), "")</f>
        <v/>
      </c>
      <c r="AC200" s="225" t="str">
        <f>IF(NOT(ISBLANK([1]BDD!J190)), ROUND(SUM(([1]BDD!G190*reduc2),FDP_CMD_KG), 2), "")</f>
        <v/>
      </c>
      <c r="AD200" s="225" t="str">
        <f>IF(NOT(ISBLANK([1]BDD!K190)), ROUND(SUM(([1]BDD!G190*reduc3),FDP_CMD_KG), 2), "")</f>
        <v/>
      </c>
      <c r="AE200" s="225" t="str">
        <f>IF(NOT(ISBLANK([1]BDD!I190)), ROUND(SUM(([1]BDD!G190*reduc1),FDP_FACT_KG), 2), "")</f>
        <v/>
      </c>
      <c r="AF200" s="225" t="str">
        <f>IF(NOT(ISBLANK([1]BDD!J190)), ROUND(SUM(([1]BDD!G190*reduc2),FDP_FACT_KG), 2), "")</f>
        <v/>
      </c>
      <c r="AG200" s="225" t="str">
        <f>IF(NOT(ISBLANK([1]BDD!K190)), ROUND(SUM(([1]BDD!G190*reduc3),FDP_FACT_KG), 2), "")</f>
        <v/>
      </c>
      <c r="AH200" s="289" t="str">
        <f>[1]BDD!C190</f>
        <v>Valence</v>
      </c>
      <c r="AI200" s="290">
        <f t="shared" si="161"/>
        <v>0</v>
      </c>
      <c r="AJ200" s="216">
        <f t="shared" si="162"/>
        <v>11.27</v>
      </c>
      <c r="AK200" s="291">
        <f t="shared" si="163"/>
        <v>0</v>
      </c>
      <c r="AL200" s="429"/>
      <c r="AM200" s="292"/>
      <c r="AN200" s="216">
        <f t="shared" si="164"/>
        <v>11.27</v>
      </c>
      <c r="AO200" s="293">
        <f t="shared" si="165"/>
        <v>0</v>
      </c>
      <c r="AP200" s="294"/>
      <c r="AQ200" s="294"/>
      <c r="AR200" s="429"/>
      <c r="AS200" s="295">
        <f t="shared" si="166"/>
        <v>0</v>
      </c>
      <c r="AT200" s="216">
        <f t="shared" si="167"/>
        <v>11.27</v>
      </c>
      <c r="AU200" s="291">
        <f t="shared" si="139"/>
        <v>0</v>
      </c>
      <c r="AV200" s="296">
        <f>[1]COMMANDE!O198</f>
        <v>0</v>
      </c>
      <c r="AW200" s="297" t="str">
        <f t="shared" si="168"/>
        <v>0</v>
      </c>
      <c r="AX200" s="298">
        <f t="shared" si="169"/>
        <v>0</v>
      </c>
      <c r="AY200" s="299">
        <f>[1]COMMANDE!Q198</f>
        <v>0</v>
      </c>
      <c r="AZ200" s="297" t="str">
        <f t="shared" si="170"/>
        <v>0</v>
      </c>
      <c r="BA200" s="300">
        <f t="shared" si="171"/>
        <v>0</v>
      </c>
      <c r="BB200" s="301">
        <f>[1]COMMANDE!S198</f>
        <v>0</v>
      </c>
      <c r="BC200" s="297" t="str">
        <f t="shared" si="172"/>
        <v>0</v>
      </c>
      <c r="BD200" s="298">
        <f t="shared" si="173"/>
        <v>0</v>
      </c>
      <c r="BE200" s="299">
        <f>[1]COMMANDE!U198</f>
        <v>0</v>
      </c>
      <c r="BF200" s="297" t="str">
        <f t="shared" si="174"/>
        <v>0</v>
      </c>
      <c r="BG200" s="300">
        <f t="shared" si="175"/>
        <v>0</v>
      </c>
      <c r="BH200" s="301">
        <f>[1]COMMANDE!W198</f>
        <v>0</v>
      </c>
      <c r="BI200" s="297" t="str">
        <f t="shared" si="176"/>
        <v>0</v>
      </c>
      <c r="BJ200" s="298">
        <f t="shared" si="177"/>
        <v>0</v>
      </c>
      <c r="BK200" s="299">
        <f>[1]COMMANDE!Y198</f>
        <v>0</v>
      </c>
      <c r="BL200" s="297" t="str">
        <f t="shared" si="178"/>
        <v>0</v>
      </c>
      <c r="BM200" s="300">
        <f t="shared" si="179"/>
        <v>0</v>
      </c>
      <c r="BN200" s="301">
        <f>[1]COMMANDE!AA198</f>
        <v>0</v>
      </c>
      <c r="BO200" s="297" t="str">
        <f t="shared" si="180"/>
        <v>0</v>
      </c>
      <c r="BP200" s="298">
        <f t="shared" si="181"/>
        <v>0</v>
      </c>
      <c r="BQ200" s="299">
        <f>[1]COMMANDE!AC198</f>
        <v>0</v>
      </c>
      <c r="BR200" s="297" t="str">
        <f t="shared" si="182"/>
        <v>0</v>
      </c>
      <c r="BS200" s="300">
        <f t="shared" si="183"/>
        <v>0</v>
      </c>
      <c r="BT200" s="301">
        <f>[1]COMMANDE!AE198</f>
        <v>0</v>
      </c>
      <c r="BU200" s="297" t="str">
        <f t="shared" si="184"/>
        <v>0</v>
      </c>
      <c r="BV200" s="298">
        <f t="shared" si="185"/>
        <v>0</v>
      </c>
      <c r="BW200" s="299">
        <f>[1]COMMANDE!AG198</f>
        <v>0</v>
      </c>
      <c r="BX200" s="297" t="str">
        <f t="shared" si="186"/>
        <v>0</v>
      </c>
      <c r="BY200" s="300">
        <f t="shared" si="187"/>
        <v>0</v>
      </c>
      <c r="BZ200" s="301">
        <f>[1]COMMANDE!AI198</f>
        <v>0</v>
      </c>
      <c r="CA200" s="297" t="str">
        <f t="shared" si="188"/>
        <v>0</v>
      </c>
      <c r="CB200" s="298">
        <f t="shared" si="189"/>
        <v>0</v>
      </c>
      <c r="CC200" s="299">
        <f>[1]COMMANDE!AK198</f>
        <v>0</v>
      </c>
      <c r="CD200" s="297" t="str">
        <f t="shared" si="190"/>
        <v>0</v>
      </c>
      <c r="CE200" s="300">
        <f t="shared" si="191"/>
        <v>0</v>
      </c>
      <c r="CF200" s="301">
        <f>[1]COMMANDE!AM198</f>
        <v>0</v>
      </c>
      <c r="CG200" s="297" t="str">
        <f t="shared" si="192"/>
        <v>0</v>
      </c>
      <c r="CH200" s="298">
        <f t="shared" si="193"/>
        <v>0</v>
      </c>
      <c r="CI200" s="299">
        <f>[1]COMMANDE!AO198</f>
        <v>0</v>
      </c>
      <c r="CJ200" s="297" t="str">
        <f t="shared" si="194"/>
        <v>0</v>
      </c>
      <c r="CK200" s="300">
        <f t="shared" si="195"/>
        <v>0</v>
      </c>
      <c r="CL200" s="301">
        <f>[1]COMMANDE!AQ198</f>
        <v>0</v>
      </c>
      <c r="CM200" s="297" t="str">
        <f t="shared" si="196"/>
        <v>0</v>
      </c>
      <c r="CN200" s="298">
        <f t="shared" si="197"/>
        <v>0</v>
      </c>
      <c r="CO200" s="299">
        <f>[1]COMMANDE!AS198</f>
        <v>0</v>
      </c>
      <c r="CP200" s="297" t="str">
        <f t="shared" si="198"/>
        <v>0</v>
      </c>
      <c r="CQ200" s="300">
        <f t="shared" si="199"/>
        <v>0</v>
      </c>
      <c r="CR200" s="301">
        <f>[1]COMMANDE!AU198</f>
        <v>0</v>
      </c>
      <c r="CS200" s="297" t="str">
        <f t="shared" si="200"/>
        <v>0</v>
      </c>
      <c r="CT200" s="298">
        <f t="shared" si="201"/>
        <v>0</v>
      </c>
      <c r="CU200" s="299">
        <f>[1]COMMANDE!AW198</f>
        <v>0</v>
      </c>
      <c r="CV200" s="297" t="str">
        <f t="shared" si="202"/>
        <v>0</v>
      </c>
      <c r="CW200" s="300">
        <f t="shared" si="203"/>
        <v>0</v>
      </c>
      <c r="CX200" s="301">
        <f>[1]COMMANDE!AY198</f>
        <v>0</v>
      </c>
      <c r="CY200" s="297" t="str">
        <f t="shared" si="204"/>
        <v>0</v>
      </c>
      <c r="CZ200" s="298">
        <f t="shared" si="205"/>
        <v>0</v>
      </c>
      <c r="DA200" s="299">
        <f>[1]COMMANDE!BA198</f>
        <v>0</v>
      </c>
      <c r="DB200" s="297" t="str">
        <f t="shared" si="206"/>
        <v>0</v>
      </c>
      <c r="DC200" s="302">
        <f t="shared" si="207"/>
        <v>0</v>
      </c>
      <c r="DD200" s="303"/>
      <c r="DE200" s="304"/>
    </row>
    <row r="201" spans="1:109" ht="39.950000000000003" customHeight="1" x14ac:dyDescent="0.25">
      <c r="A201" s="284">
        <f t="shared" si="140"/>
        <v>0</v>
      </c>
      <c r="B201" s="284">
        <f t="shared" si="141"/>
        <v>0</v>
      </c>
      <c r="C201" s="284">
        <f t="shared" si="142"/>
        <v>0</v>
      </c>
      <c r="D201" s="284">
        <f t="shared" si="143"/>
        <v>0</v>
      </c>
      <c r="E201" s="284">
        <f t="shared" si="144"/>
        <v>0</v>
      </c>
      <c r="F201" s="284">
        <f t="shared" si="145"/>
        <v>0</v>
      </c>
      <c r="G201" s="284">
        <f t="shared" si="146"/>
        <v>0</v>
      </c>
      <c r="H201" s="284">
        <f t="shared" si="147"/>
        <v>0</v>
      </c>
      <c r="I201" s="284">
        <f t="shared" si="148"/>
        <v>0</v>
      </c>
      <c r="J201" s="284">
        <f t="shared" si="149"/>
        <v>0</v>
      </c>
      <c r="K201" s="284">
        <f t="shared" si="150"/>
        <v>0</v>
      </c>
      <c r="L201" s="284">
        <f t="shared" si="151"/>
        <v>0</v>
      </c>
      <c r="M201" s="284">
        <f t="shared" si="152"/>
        <v>0</v>
      </c>
      <c r="N201" s="284">
        <f t="shared" si="153"/>
        <v>0</v>
      </c>
      <c r="O201" s="284">
        <f t="shared" si="154"/>
        <v>0</v>
      </c>
      <c r="P201" s="284">
        <f t="shared" si="155"/>
        <v>0</v>
      </c>
      <c r="Q201" s="284">
        <f t="shared" si="156"/>
        <v>0</v>
      </c>
      <c r="R201" s="284">
        <f t="shared" si="157"/>
        <v>0</v>
      </c>
      <c r="S201" s="284">
        <f t="shared" si="158"/>
        <v>0</v>
      </c>
      <c r="T201" s="284">
        <f t="shared" si="159"/>
        <v>0</v>
      </c>
      <c r="U201" s="285">
        <f t="shared" si="160"/>
        <v>0</v>
      </c>
      <c r="V201" s="286">
        <f>[1]BDD!A191</f>
        <v>5159</v>
      </c>
      <c r="W201" s="287" t="str">
        <f>[1]BDD!B191</f>
        <v>Olives Manzanilla fraîche noire</v>
      </c>
      <c r="X201" s="288" t="str">
        <f>IF([1]BDD!F191=0, "", [1]BDD!F191)</f>
        <v/>
      </c>
      <c r="Y201" s="214">
        <f>ROUND([1]BDD!G191+FDP_CMD_KG, 2)</f>
        <v>4.28</v>
      </c>
      <c r="Z201" s="214">
        <f>ROUND([1]BDD!G191+FDP_FACT_KG, 2)</f>
        <v>4.28</v>
      </c>
      <c r="AA201" s="215" t="str">
        <f>[1]BDD!H191</f>
        <v>kg</v>
      </c>
      <c r="AB201" s="225">
        <f>IF(NOT(ISBLANK([1]BDD!I191)), ROUND(SUM(([1]BDD!G191*reduc1),FDP_CMD_KG), 2), "")</f>
        <v>3.94</v>
      </c>
      <c r="AC201" s="225" t="str">
        <f>IF(NOT(ISBLANK([1]BDD!J191)), ROUND(SUM(([1]BDD!G191*reduc2),FDP_CMD_KG), 2), "")</f>
        <v/>
      </c>
      <c r="AD201" s="225" t="str">
        <f>IF(NOT(ISBLANK([1]BDD!K191)), ROUND(SUM(([1]BDD!G191*reduc3),FDP_CMD_KG), 2), "")</f>
        <v/>
      </c>
      <c r="AE201" s="225">
        <f>IF(NOT(ISBLANK([1]BDD!I191)), ROUND(SUM(([1]BDD!G191*reduc1),FDP_FACT_KG), 2), "")</f>
        <v>3.94</v>
      </c>
      <c r="AF201" s="225" t="str">
        <f>IF(NOT(ISBLANK([1]BDD!J191)), ROUND(SUM(([1]BDD!G191*reduc2),FDP_FACT_KG), 2), "")</f>
        <v/>
      </c>
      <c r="AG201" s="225" t="str">
        <f>IF(NOT(ISBLANK([1]BDD!K191)), ROUND(SUM(([1]BDD!G191*reduc3),FDP_FACT_KG), 2), "")</f>
        <v/>
      </c>
      <c r="AH201" s="289" t="str">
        <f>[1]BDD!C191</f>
        <v>Grenade</v>
      </c>
      <c r="AI201" s="290">
        <f t="shared" si="161"/>
        <v>0</v>
      </c>
      <c r="AJ201" s="216">
        <f t="shared" si="162"/>
        <v>3.94</v>
      </c>
      <c r="AK201" s="291">
        <f t="shared" si="163"/>
        <v>0</v>
      </c>
      <c r="AL201" s="429"/>
      <c r="AM201" s="292"/>
      <c r="AN201" s="216">
        <f t="shared" si="164"/>
        <v>4.28</v>
      </c>
      <c r="AO201" s="293">
        <f t="shared" si="165"/>
        <v>0</v>
      </c>
      <c r="AP201" s="294"/>
      <c r="AQ201" s="294"/>
      <c r="AR201" s="429"/>
      <c r="AS201" s="295">
        <f t="shared" si="166"/>
        <v>0</v>
      </c>
      <c r="AT201" s="216">
        <f t="shared" si="167"/>
        <v>4.28</v>
      </c>
      <c r="AU201" s="291">
        <f t="shared" si="139"/>
        <v>0</v>
      </c>
      <c r="AV201" s="296">
        <f>[1]COMMANDE!O199</f>
        <v>0</v>
      </c>
      <c r="AW201" s="297" t="str">
        <f t="shared" si="168"/>
        <v>0</v>
      </c>
      <c r="AX201" s="298">
        <f t="shared" si="169"/>
        <v>0</v>
      </c>
      <c r="AY201" s="299">
        <f>[1]COMMANDE!Q199</f>
        <v>0</v>
      </c>
      <c r="AZ201" s="297" t="str">
        <f t="shared" si="170"/>
        <v>0</v>
      </c>
      <c r="BA201" s="300">
        <f t="shared" si="171"/>
        <v>0</v>
      </c>
      <c r="BB201" s="301">
        <f>[1]COMMANDE!S199</f>
        <v>0</v>
      </c>
      <c r="BC201" s="297" t="str">
        <f t="shared" si="172"/>
        <v>0</v>
      </c>
      <c r="BD201" s="298">
        <f t="shared" si="173"/>
        <v>0</v>
      </c>
      <c r="BE201" s="299">
        <f>[1]COMMANDE!U199</f>
        <v>0</v>
      </c>
      <c r="BF201" s="297" t="str">
        <f t="shared" si="174"/>
        <v>0</v>
      </c>
      <c r="BG201" s="300">
        <f t="shared" si="175"/>
        <v>0</v>
      </c>
      <c r="BH201" s="301">
        <f>[1]COMMANDE!W199</f>
        <v>0</v>
      </c>
      <c r="BI201" s="297" t="str">
        <f t="shared" si="176"/>
        <v>0</v>
      </c>
      <c r="BJ201" s="298">
        <f t="shared" si="177"/>
        <v>0</v>
      </c>
      <c r="BK201" s="299">
        <f>[1]COMMANDE!Y199</f>
        <v>0</v>
      </c>
      <c r="BL201" s="297" t="str">
        <f t="shared" si="178"/>
        <v>0</v>
      </c>
      <c r="BM201" s="300">
        <f t="shared" si="179"/>
        <v>0</v>
      </c>
      <c r="BN201" s="301">
        <f>[1]COMMANDE!AA199</f>
        <v>0</v>
      </c>
      <c r="BO201" s="297" t="str">
        <f t="shared" si="180"/>
        <v>0</v>
      </c>
      <c r="BP201" s="298">
        <f t="shared" si="181"/>
        <v>0</v>
      </c>
      <c r="BQ201" s="299">
        <f>[1]COMMANDE!AC199</f>
        <v>0</v>
      </c>
      <c r="BR201" s="297" t="str">
        <f t="shared" si="182"/>
        <v>0</v>
      </c>
      <c r="BS201" s="300">
        <f t="shared" si="183"/>
        <v>0</v>
      </c>
      <c r="BT201" s="301">
        <f>[1]COMMANDE!AE199</f>
        <v>0</v>
      </c>
      <c r="BU201" s="297" t="str">
        <f t="shared" si="184"/>
        <v>0</v>
      </c>
      <c r="BV201" s="298">
        <f t="shared" si="185"/>
        <v>0</v>
      </c>
      <c r="BW201" s="299">
        <f>[1]COMMANDE!AG199</f>
        <v>0</v>
      </c>
      <c r="BX201" s="297" t="str">
        <f t="shared" si="186"/>
        <v>0</v>
      </c>
      <c r="BY201" s="300">
        <f t="shared" si="187"/>
        <v>0</v>
      </c>
      <c r="BZ201" s="301">
        <f>[1]COMMANDE!AI199</f>
        <v>0</v>
      </c>
      <c r="CA201" s="297" t="str">
        <f t="shared" si="188"/>
        <v>0</v>
      </c>
      <c r="CB201" s="298">
        <f t="shared" si="189"/>
        <v>0</v>
      </c>
      <c r="CC201" s="299">
        <f>[1]COMMANDE!AK199</f>
        <v>0</v>
      </c>
      <c r="CD201" s="297" t="str">
        <f t="shared" si="190"/>
        <v>0</v>
      </c>
      <c r="CE201" s="300">
        <f t="shared" si="191"/>
        <v>0</v>
      </c>
      <c r="CF201" s="301">
        <f>[1]COMMANDE!AM199</f>
        <v>0</v>
      </c>
      <c r="CG201" s="297" t="str">
        <f t="shared" si="192"/>
        <v>0</v>
      </c>
      <c r="CH201" s="298">
        <f t="shared" si="193"/>
        <v>0</v>
      </c>
      <c r="CI201" s="299">
        <f>[1]COMMANDE!AO199</f>
        <v>0</v>
      </c>
      <c r="CJ201" s="297" t="str">
        <f t="shared" si="194"/>
        <v>0</v>
      </c>
      <c r="CK201" s="300">
        <f t="shared" si="195"/>
        <v>0</v>
      </c>
      <c r="CL201" s="301">
        <f>[1]COMMANDE!AQ199</f>
        <v>0</v>
      </c>
      <c r="CM201" s="297" t="str">
        <f t="shared" si="196"/>
        <v>0</v>
      </c>
      <c r="CN201" s="298">
        <f t="shared" si="197"/>
        <v>0</v>
      </c>
      <c r="CO201" s="299">
        <f>[1]COMMANDE!AS199</f>
        <v>0</v>
      </c>
      <c r="CP201" s="297" t="str">
        <f t="shared" si="198"/>
        <v>0</v>
      </c>
      <c r="CQ201" s="300">
        <f t="shared" si="199"/>
        <v>0</v>
      </c>
      <c r="CR201" s="301">
        <f>[1]COMMANDE!AU199</f>
        <v>0</v>
      </c>
      <c r="CS201" s="297" t="str">
        <f t="shared" si="200"/>
        <v>0</v>
      </c>
      <c r="CT201" s="298">
        <f t="shared" si="201"/>
        <v>0</v>
      </c>
      <c r="CU201" s="299">
        <f>[1]COMMANDE!AW199</f>
        <v>0</v>
      </c>
      <c r="CV201" s="297" t="str">
        <f t="shared" si="202"/>
        <v>0</v>
      </c>
      <c r="CW201" s="300">
        <f t="shared" si="203"/>
        <v>0</v>
      </c>
      <c r="CX201" s="301">
        <f>[1]COMMANDE!AY199</f>
        <v>0</v>
      </c>
      <c r="CY201" s="297" t="str">
        <f t="shared" si="204"/>
        <v>0</v>
      </c>
      <c r="CZ201" s="298">
        <f t="shared" si="205"/>
        <v>0</v>
      </c>
      <c r="DA201" s="299">
        <f>[1]COMMANDE!BA199</f>
        <v>0</v>
      </c>
      <c r="DB201" s="297" t="str">
        <f t="shared" si="206"/>
        <v>0</v>
      </c>
      <c r="DC201" s="302">
        <f t="shared" si="207"/>
        <v>0</v>
      </c>
      <c r="DD201" s="303"/>
      <c r="DE201" s="304"/>
    </row>
    <row r="202" spans="1:109" ht="39.950000000000003" customHeight="1" x14ac:dyDescent="0.25">
      <c r="A202" s="284">
        <f t="shared" si="140"/>
        <v>0</v>
      </c>
      <c r="B202" s="284">
        <f t="shared" si="141"/>
        <v>0</v>
      </c>
      <c r="C202" s="284">
        <f t="shared" si="142"/>
        <v>0</v>
      </c>
      <c r="D202" s="284">
        <f t="shared" si="143"/>
        <v>0</v>
      </c>
      <c r="E202" s="284">
        <f t="shared" si="144"/>
        <v>0</v>
      </c>
      <c r="F202" s="284">
        <f t="shared" si="145"/>
        <v>0</v>
      </c>
      <c r="G202" s="284">
        <f t="shared" si="146"/>
        <v>0</v>
      </c>
      <c r="H202" s="284">
        <f t="shared" si="147"/>
        <v>0</v>
      </c>
      <c r="I202" s="284">
        <f t="shared" si="148"/>
        <v>0</v>
      </c>
      <c r="J202" s="284">
        <f t="shared" si="149"/>
        <v>0</v>
      </c>
      <c r="K202" s="284">
        <f t="shared" si="150"/>
        <v>0</v>
      </c>
      <c r="L202" s="284">
        <f t="shared" si="151"/>
        <v>0</v>
      </c>
      <c r="M202" s="284">
        <f t="shared" si="152"/>
        <v>0</v>
      </c>
      <c r="N202" s="284">
        <f t="shared" si="153"/>
        <v>0</v>
      </c>
      <c r="O202" s="284">
        <f t="shared" si="154"/>
        <v>0</v>
      </c>
      <c r="P202" s="284">
        <f t="shared" si="155"/>
        <v>0</v>
      </c>
      <c r="Q202" s="284">
        <f t="shared" si="156"/>
        <v>0</v>
      </c>
      <c r="R202" s="284">
        <f t="shared" si="157"/>
        <v>0</v>
      </c>
      <c r="S202" s="284">
        <f t="shared" si="158"/>
        <v>0</v>
      </c>
      <c r="T202" s="284">
        <f t="shared" si="159"/>
        <v>0</v>
      </c>
      <c r="U202" s="285">
        <f t="shared" si="160"/>
        <v>0</v>
      </c>
      <c r="V202" s="286">
        <f>[1]BDD!A192</f>
        <v>1541</v>
      </c>
      <c r="W202" s="287" t="str">
        <f>[1]BDD!B192</f>
        <v>Olives noires BIO (bocal 500g, dénoyautées, semi-séchées, non pasteurisées)</v>
      </c>
      <c r="X202" s="288" t="str">
        <f>IF([1]BDD!F192=0, "", [1]BDD!F192)</f>
        <v>❤️</v>
      </c>
      <c r="Y202" s="214">
        <f>ROUND([1]BDD!G192+FDP_CMD_KG, 2)</f>
        <v>10.17</v>
      </c>
      <c r="Z202" s="214">
        <f>ROUND([1]BDD!G192+FDP_FACT_KG, 2)</f>
        <v>10.17</v>
      </c>
      <c r="AA202" s="215" t="str">
        <f>[1]BDD!H192</f>
        <v>Pièce</v>
      </c>
      <c r="AB202" s="225" t="str">
        <f>IF(NOT(ISBLANK([1]BDD!I192)), ROUND(SUM(([1]BDD!G192*reduc1),FDP_CMD_KG), 2), "")</f>
        <v/>
      </c>
      <c r="AC202" s="225" t="str">
        <f>IF(NOT(ISBLANK([1]BDD!J192)), ROUND(SUM(([1]BDD!G192*reduc2),FDP_CMD_KG), 2), "")</f>
        <v/>
      </c>
      <c r="AD202" s="225" t="str">
        <f>IF(NOT(ISBLANK([1]BDD!K192)), ROUND(SUM(([1]BDD!G192*reduc3),FDP_CMD_KG), 2), "")</f>
        <v/>
      </c>
      <c r="AE202" s="225" t="str">
        <f>IF(NOT(ISBLANK([1]BDD!I192)), ROUND(SUM(([1]BDD!G192*reduc1),FDP_FACT_KG), 2), "")</f>
        <v/>
      </c>
      <c r="AF202" s="225" t="str">
        <f>IF(NOT(ISBLANK([1]BDD!J192)), ROUND(SUM(([1]BDD!G192*reduc2),FDP_FACT_KG), 2), "")</f>
        <v/>
      </c>
      <c r="AG202" s="225" t="str">
        <f>IF(NOT(ISBLANK([1]BDD!K192)), ROUND(SUM(([1]BDD!G192*reduc3),FDP_FACT_KG), 2), "")</f>
        <v/>
      </c>
      <c r="AH202" s="289" t="str">
        <f>[1]BDD!C192</f>
        <v>Import</v>
      </c>
      <c r="AI202" s="290">
        <f t="shared" si="161"/>
        <v>0</v>
      </c>
      <c r="AJ202" s="216">
        <f t="shared" si="162"/>
        <v>10.17</v>
      </c>
      <c r="AK202" s="291">
        <f t="shared" si="163"/>
        <v>0</v>
      </c>
      <c r="AL202" s="429"/>
      <c r="AM202" s="292"/>
      <c r="AN202" s="216">
        <f t="shared" si="164"/>
        <v>10.17</v>
      </c>
      <c r="AO202" s="293">
        <f t="shared" si="165"/>
        <v>0</v>
      </c>
      <c r="AP202" s="294"/>
      <c r="AQ202" s="294"/>
      <c r="AR202" s="429"/>
      <c r="AS202" s="295">
        <f t="shared" si="166"/>
        <v>0</v>
      </c>
      <c r="AT202" s="216">
        <f t="shared" si="167"/>
        <v>10.17</v>
      </c>
      <c r="AU202" s="291">
        <f t="shared" si="139"/>
        <v>0</v>
      </c>
      <c r="AV202" s="296">
        <f>[1]COMMANDE!O200</f>
        <v>0</v>
      </c>
      <c r="AW202" s="297" t="str">
        <f t="shared" si="168"/>
        <v>0</v>
      </c>
      <c r="AX202" s="298">
        <f t="shared" si="169"/>
        <v>0</v>
      </c>
      <c r="AY202" s="299">
        <f>[1]COMMANDE!Q200</f>
        <v>0</v>
      </c>
      <c r="AZ202" s="297" t="str">
        <f t="shared" si="170"/>
        <v>0</v>
      </c>
      <c r="BA202" s="300">
        <f t="shared" si="171"/>
        <v>0</v>
      </c>
      <c r="BB202" s="301">
        <f>[1]COMMANDE!S200</f>
        <v>0</v>
      </c>
      <c r="BC202" s="297" t="str">
        <f t="shared" si="172"/>
        <v>0</v>
      </c>
      <c r="BD202" s="298">
        <f t="shared" si="173"/>
        <v>0</v>
      </c>
      <c r="BE202" s="299">
        <f>[1]COMMANDE!U200</f>
        <v>0</v>
      </c>
      <c r="BF202" s="297" t="str">
        <f t="shared" si="174"/>
        <v>0</v>
      </c>
      <c r="BG202" s="300">
        <f t="shared" si="175"/>
        <v>0</v>
      </c>
      <c r="BH202" s="301">
        <f>[1]COMMANDE!W200</f>
        <v>0</v>
      </c>
      <c r="BI202" s="297" t="str">
        <f t="shared" si="176"/>
        <v>0</v>
      </c>
      <c r="BJ202" s="298">
        <f t="shared" si="177"/>
        <v>0</v>
      </c>
      <c r="BK202" s="299">
        <f>[1]COMMANDE!Y200</f>
        <v>0</v>
      </c>
      <c r="BL202" s="297" t="str">
        <f t="shared" si="178"/>
        <v>0</v>
      </c>
      <c r="BM202" s="300">
        <f t="shared" si="179"/>
        <v>0</v>
      </c>
      <c r="BN202" s="301">
        <f>[1]COMMANDE!AA200</f>
        <v>0</v>
      </c>
      <c r="BO202" s="297" t="str">
        <f t="shared" si="180"/>
        <v>0</v>
      </c>
      <c r="BP202" s="298">
        <f t="shared" si="181"/>
        <v>0</v>
      </c>
      <c r="BQ202" s="299">
        <f>[1]COMMANDE!AC200</f>
        <v>0</v>
      </c>
      <c r="BR202" s="297" t="str">
        <f t="shared" si="182"/>
        <v>0</v>
      </c>
      <c r="BS202" s="300">
        <f t="shared" si="183"/>
        <v>0</v>
      </c>
      <c r="BT202" s="301">
        <f>[1]COMMANDE!AE200</f>
        <v>0</v>
      </c>
      <c r="BU202" s="297" t="str">
        <f t="shared" si="184"/>
        <v>0</v>
      </c>
      <c r="BV202" s="298">
        <f t="shared" si="185"/>
        <v>0</v>
      </c>
      <c r="BW202" s="299">
        <f>[1]COMMANDE!AG200</f>
        <v>0</v>
      </c>
      <c r="BX202" s="297" t="str">
        <f t="shared" si="186"/>
        <v>0</v>
      </c>
      <c r="BY202" s="300">
        <f t="shared" si="187"/>
        <v>0</v>
      </c>
      <c r="BZ202" s="301">
        <f>[1]COMMANDE!AI200</f>
        <v>0</v>
      </c>
      <c r="CA202" s="297" t="str">
        <f t="shared" si="188"/>
        <v>0</v>
      </c>
      <c r="CB202" s="298">
        <f t="shared" si="189"/>
        <v>0</v>
      </c>
      <c r="CC202" s="299">
        <f>[1]COMMANDE!AK200</f>
        <v>0</v>
      </c>
      <c r="CD202" s="297" t="str">
        <f t="shared" si="190"/>
        <v>0</v>
      </c>
      <c r="CE202" s="300">
        <f t="shared" si="191"/>
        <v>0</v>
      </c>
      <c r="CF202" s="301">
        <f>[1]COMMANDE!AM200</f>
        <v>0</v>
      </c>
      <c r="CG202" s="297" t="str">
        <f t="shared" si="192"/>
        <v>0</v>
      </c>
      <c r="CH202" s="298">
        <f t="shared" si="193"/>
        <v>0</v>
      </c>
      <c r="CI202" s="299">
        <f>[1]COMMANDE!AO200</f>
        <v>0</v>
      </c>
      <c r="CJ202" s="297" t="str">
        <f t="shared" si="194"/>
        <v>0</v>
      </c>
      <c r="CK202" s="300">
        <f t="shared" si="195"/>
        <v>0</v>
      </c>
      <c r="CL202" s="301">
        <f>[1]COMMANDE!AQ200</f>
        <v>0</v>
      </c>
      <c r="CM202" s="297" t="str">
        <f t="shared" si="196"/>
        <v>0</v>
      </c>
      <c r="CN202" s="298">
        <f t="shared" si="197"/>
        <v>0</v>
      </c>
      <c r="CO202" s="299">
        <f>[1]COMMANDE!AS200</f>
        <v>0</v>
      </c>
      <c r="CP202" s="297" t="str">
        <f t="shared" si="198"/>
        <v>0</v>
      </c>
      <c r="CQ202" s="300">
        <f t="shared" si="199"/>
        <v>0</v>
      </c>
      <c r="CR202" s="301">
        <f>[1]COMMANDE!AU200</f>
        <v>0</v>
      </c>
      <c r="CS202" s="297" t="str">
        <f t="shared" si="200"/>
        <v>0</v>
      </c>
      <c r="CT202" s="298">
        <f t="shared" si="201"/>
        <v>0</v>
      </c>
      <c r="CU202" s="299">
        <f>[1]COMMANDE!AW200</f>
        <v>0</v>
      </c>
      <c r="CV202" s="297" t="str">
        <f t="shared" si="202"/>
        <v>0</v>
      </c>
      <c r="CW202" s="300">
        <f t="shared" si="203"/>
        <v>0</v>
      </c>
      <c r="CX202" s="301">
        <f>[1]COMMANDE!AY200</f>
        <v>0</v>
      </c>
      <c r="CY202" s="297" t="str">
        <f t="shared" si="204"/>
        <v>0</v>
      </c>
      <c r="CZ202" s="298">
        <f t="shared" si="205"/>
        <v>0</v>
      </c>
      <c r="DA202" s="299">
        <f>[1]COMMANDE!BA200</f>
        <v>0</v>
      </c>
      <c r="DB202" s="297" t="str">
        <f t="shared" si="206"/>
        <v>0</v>
      </c>
      <c r="DC202" s="302">
        <f t="shared" si="207"/>
        <v>0</v>
      </c>
      <c r="DD202" s="303"/>
      <c r="DE202" s="304"/>
    </row>
    <row r="203" spans="1:109" ht="39.950000000000003" customHeight="1" x14ac:dyDescent="0.25">
      <c r="A203" s="284">
        <f t="shared" si="140"/>
        <v>0</v>
      </c>
      <c r="B203" s="284">
        <f t="shared" si="141"/>
        <v>0</v>
      </c>
      <c r="C203" s="284">
        <f t="shared" si="142"/>
        <v>0</v>
      </c>
      <c r="D203" s="284">
        <f t="shared" si="143"/>
        <v>0</v>
      </c>
      <c r="E203" s="284">
        <f t="shared" si="144"/>
        <v>0</v>
      </c>
      <c r="F203" s="284">
        <f t="shared" si="145"/>
        <v>0</v>
      </c>
      <c r="G203" s="284">
        <f t="shared" si="146"/>
        <v>0</v>
      </c>
      <c r="H203" s="284">
        <f t="shared" si="147"/>
        <v>0</v>
      </c>
      <c r="I203" s="284">
        <f t="shared" si="148"/>
        <v>0</v>
      </c>
      <c r="J203" s="284">
        <f t="shared" si="149"/>
        <v>0</v>
      </c>
      <c r="K203" s="284">
        <f t="shared" si="150"/>
        <v>0</v>
      </c>
      <c r="L203" s="284">
        <f t="shared" si="151"/>
        <v>0</v>
      </c>
      <c r="M203" s="284">
        <f t="shared" si="152"/>
        <v>0</v>
      </c>
      <c r="N203" s="284">
        <f t="shared" si="153"/>
        <v>0</v>
      </c>
      <c r="O203" s="284">
        <f t="shared" si="154"/>
        <v>0</v>
      </c>
      <c r="P203" s="284">
        <f t="shared" si="155"/>
        <v>0</v>
      </c>
      <c r="Q203" s="284">
        <f t="shared" si="156"/>
        <v>0</v>
      </c>
      <c r="R203" s="284">
        <f t="shared" si="157"/>
        <v>0</v>
      </c>
      <c r="S203" s="284">
        <f t="shared" si="158"/>
        <v>0</v>
      </c>
      <c r="T203" s="284">
        <f t="shared" si="159"/>
        <v>0</v>
      </c>
      <c r="U203" s="285">
        <f t="shared" si="160"/>
        <v>0</v>
      </c>
      <c r="V203" s="286">
        <f>[1]BDD!A193</f>
        <v>3136</v>
      </c>
      <c r="W203" s="287" t="str">
        <f>[1]BDD!B193</f>
        <v>Orange Naveline de table (nouvelle récolte)</v>
      </c>
      <c r="X203" s="288" t="str">
        <f>IF([1]BDD!F193=0, "", [1]BDD!F193)</f>
        <v/>
      </c>
      <c r="Y203" s="214">
        <f>ROUND([1]BDD!G193+FDP_CMD_KG, 2)</f>
        <v>2.64</v>
      </c>
      <c r="Z203" s="214">
        <f>ROUND([1]BDD!G193+FDP_FACT_KG, 2)</f>
        <v>2.64</v>
      </c>
      <c r="AA203" s="215" t="str">
        <f>[1]BDD!H193</f>
        <v>kg</v>
      </c>
      <c r="AB203" s="225">
        <f>IF(NOT(ISBLANK([1]BDD!I193)), ROUND(SUM(([1]BDD!G193*reduc1),FDP_CMD_KG), 2), "")</f>
        <v>2.4700000000000002</v>
      </c>
      <c r="AC203" s="225">
        <f>IF(NOT(ISBLANK([1]BDD!J193)), ROUND(SUM(([1]BDD!G193*reduc2),FDP_CMD_KG), 2), "")</f>
        <v>2.29</v>
      </c>
      <c r="AD203" s="225" t="str">
        <f>IF(NOT(ISBLANK([1]BDD!K193)), ROUND(SUM(([1]BDD!G193*reduc3),FDP_CMD_KG), 2), "")</f>
        <v/>
      </c>
      <c r="AE203" s="225">
        <f>IF(NOT(ISBLANK([1]BDD!I193)), ROUND(SUM(([1]BDD!G193*reduc1),FDP_FACT_KG), 2), "")</f>
        <v>2.46</v>
      </c>
      <c r="AF203" s="225">
        <f>IF(NOT(ISBLANK([1]BDD!J193)), ROUND(SUM(([1]BDD!G193*reduc2),FDP_FACT_KG), 2), "")</f>
        <v>2.2799999999999998</v>
      </c>
      <c r="AG203" s="225" t="str">
        <f>IF(NOT(ISBLANK([1]BDD!K193)), ROUND(SUM(([1]BDD!G193*reduc3),FDP_FACT_KG), 2), "")</f>
        <v/>
      </c>
      <c r="AH203" s="289" t="str">
        <f>[1]BDD!C193</f>
        <v>Grenade</v>
      </c>
      <c r="AI203" s="290">
        <f t="shared" si="161"/>
        <v>0</v>
      </c>
      <c r="AJ203" s="216">
        <f t="shared" si="162"/>
        <v>2.29</v>
      </c>
      <c r="AK203" s="291">
        <f t="shared" si="163"/>
        <v>0</v>
      </c>
      <c r="AL203" s="429"/>
      <c r="AM203" s="292"/>
      <c r="AN203" s="216">
        <f t="shared" si="164"/>
        <v>2.64</v>
      </c>
      <c r="AO203" s="293">
        <f t="shared" si="165"/>
        <v>0</v>
      </c>
      <c r="AP203" s="294"/>
      <c r="AQ203" s="294"/>
      <c r="AR203" s="429"/>
      <c r="AS203" s="295">
        <f t="shared" si="166"/>
        <v>0</v>
      </c>
      <c r="AT203" s="216">
        <f t="shared" si="167"/>
        <v>2.64</v>
      </c>
      <c r="AU203" s="291">
        <f t="shared" si="139"/>
        <v>0</v>
      </c>
      <c r="AV203" s="296">
        <f>[1]COMMANDE!O201</f>
        <v>0</v>
      </c>
      <c r="AW203" s="297" t="str">
        <f t="shared" si="168"/>
        <v>0</v>
      </c>
      <c r="AX203" s="298">
        <f t="shared" si="169"/>
        <v>0</v>
      </c>
      <c r="AY203" s="299">
        <f>[1]COMMANDE!Q201</f>
        <v>0</v>
      </c>
      <c r="AZ203" s="297" t="str">
        <f t="shared" si="170"/>
        <v>0</v>
      </c>
      <c r="BA203" s="300">
        <f t="shared" si="171"/>
        <v>0</v>
      </c>
      <c r="BB203" s="301">
        <f>[1]COMMANDE!S201</f>
        <v>0</v>
      </c>
      <c r="BC203" s="297" t="str">
        <f t="shared" si="172"/>
        <v>0</v>
      </c>
      <c r="BD203" s="298">
        <f t="shared" si="173"/>
        <v>0</v>
      </c>
      <c r="BE203" s="299">
        <f>[1]COMMANDE!U201</f>
        <v>0</v>
      </c>
      <c r="BF203" s="297" t="str">
        <f t="shared" si="174"/>
        <v>0</v>
      </c>
      <c r="BG203" s="300">
        <f t="shared" si="175"/>
        <v>0</v>
      </c>
      <c r="BH203" s="301">
        <f>[1]COMMANDE!W201</f>
        <v>0</v>
      </c>
      <c r="BI203" s="297" t="str">
        <f t="shared" si="176"/>
        <v>0</v>
      </c>
      <c r="BJ203" s="298">
        <f t="shared" si="177"/>
        <v>0</v>
      </c>
      <c r="BK203" s="299">
        <f>[1]COMMANDE!Y201</f>
        <v>0</v>
      </c>
      <c r="BL203" s="297" t="str">
        <f t="shared" si="178"/>
        <v>0</v>
      </c>
      <c r="BM203" s="300">
        <f t="shared" si="179"/>
        <v>0</v>
      </c>
      <c r="BN203" s="301">
        <f>[1]COMMANDE!AA201</f>
        <v>0</v>
      </c>
      <c r="BO203" s="297" t="str">
        <f t="shared" si="180"/>
        <v>0</v>
      </c>
      <c r="BP203" s="298">
        <f t="shared" si="181"/>
        <v>0</v>
      </c>
      <c r="BQ203" s="299">
        <f>[1]COMMANDE!AC201</f>
        <v>0</v>
      </c>
      <c r="BR203" s="297" t="str">
        <f t="shared" si="182"/>
        <v>0</v>
      </c>
      <c r="BS203" s="300">
        <f t="shared" si="183"/>
        <v>0</v>
      </c>
      <c r="BT203" s="301">
        <f>[1]COMMANDE!AE201</f>
        <v>0</v>
      </c>
      <c r="BU203" s="297" t="str">
        <f t="shared" si="184"/>
        <v>0</v>
      </c>
      <c r="BV203" s="298">
        <f t="shared" si="185"/>
        <v>0</v>
      </c>
      <c r="BW203" s="299">
        <f>[1]COMMANDE!AG201</f>
        <v>0</v>
      </c>
      <c r="BX203" s="297" t="str">
        <f t="shared" si="186"/>
        <v>0</v>
      </c>
      <c r="BY203" s="300">
        <f t="shared" si="187"/>
        <v>0</v>
      </c>
      <c r="BZ203" s="301">
        <f>[1]COMMANDE!AI201</f>
        <v>0</v>
      </c>
      <c r="CA203" s="297" t="str">
        <f t="shared" si="188"/>
        <v>0</v>
      </c>
      <c r="CB203" s="298">
        <f t="shared" si="189"/>
        <v>0</v>
      </c>
      <c r="CC203" s="299">
        <f>[1]COMMANDE!AK201</f>
        <v>0</v>
      </c>
      <c r="CD203" s="297" t="str">
        <f t="shared" si="190"/>
        <v>0</v>
      </c>
      <c r="CE203" s="300">
        <f t="shared" si="191"/>
        <v>0</v>
      </c>
      <c r="CF203" s="301">
        <f>[1]COMMANDE!AM201</f>
        <v>0</v>
      </c>
      <c r="CG203" s="297" t="str">
        <f t="shared" si="192"/>
        <v>0</v>
      </c>
      <c r="CH203" s="298">
        <f t="shared" si="193"/>
        <v>0</v>
      </c>
      <c r="CI203" s="299">
        <f>[1]COMMANDE!AO201</f>
        <v>0</v>
      </c>
      <c r="CJ203" s="297" t="str">
        <f t="shared" si="194"/>
        <v>0</v>
      </c>
      <c r="CK203" s="300">
        <f t="shared" si="195"/>
        <v>0</v>
      </c>
      <c r="CL203" s="301">
        <f>[1]COMMANDE!AQ201</f>
        <v>0</v>
      </c>
      <c r="CM203" s="297" t="str">
        <f t="shared" si="196"/>
        <v>0</v>
      </c>
      <c r="CN203" s="298">
        <f t="shared" si="197"/>
        <v>0</v>
      </c>
      <c r="CO203" s="299">
        <f>[1]COMMANDE!AS201</f>
        <v>0</v>
      </c>
      <c r="CP203" s="297" t="str">
        <f t="shared" si="198"/>
        <v>0</v>
      </c>
      <c r="CQ203" s="300">
        <f t="shared" si="199"/>
        <v>0</v>
      </c>
      <c r="CR203" s="301">
        <f>[1]COMMANDE!AU201</f>
        <v>0</v>
      </c>
      <c r="CS203" s="297" t="str">
        <f t="shared" si="200"/>
        <v>0</v>
      </c>
      <c r="CT203" s="298">
        <f t="shared" si="201"/>
        <v>0</v>
      </c>
      <c r="CU203" s="299">
        <f>[1]COMMANDE!AW201</f>
        <v>0</v>
      </c>
      <c r="CV203" s="297" t="str">
        <f t="shared" si="202"/>
        <v>0</v>
      </c>
      <c r="CW203" s="300">
        <f t="shared" si="203"/>
        <v>0</v>
      </c>
      <c r="CX203" s="301">
        <f>[1]COMMANDE!AY201</f>
        <v>0</v>
      </c>
      <c r="CY203" s="297" t="str">
        <f t="shared" si="204"/>
        <v>0</v>
      </c>
      <c r="CZ203" s="298">
        <f t="shared" si="205"/>
        <v>0</v>
      </c>
      <c r="DA203" s="299">
        <f>[1]COMMANDE!BA201</f>
        <v>0</v>
      </c>
      <c r="DB203" s="297" t="str">
        <f t="shared" si="206"/>
        <v>0</v>
      </c>
      <c r="DC203" s="302">
        <f t="shared" si="207"/>
        <v>0</v>
      </c>
      <c r="DD203" s="303"/>
      <c r="DE203" s="304"/>
    </row>
    <row r="204" spans="1:109" ht="39.950000000000003" customHeight="1" x14ac:dyDescent="0.25">
      <c r="A204" s="307">
        <f t="shared" si="140"/>
        <v>1</v>
      </c>
      <c r="B204" s="307">
        <f t="shared" si="141"/>
        <v>0</v>
      </c>
      <c r="C204" s="307">
        <f t="shared" si="142"/>
        <v>1</v>
      </c>
      <c r="D204" s="307">
        <f t="shared" si="143"/>
        <v>1</v>
      </c>
      <c r="E204" s="307">
        <f t="shared" si="144"/>
        <v>0</v>
      </c>
      <c r="F204" s="307">
        <f t="shared" si="145"/>
        <v>0</v>
      </c>
      <c r="G204" s="307">
        <f t="shared" si="146"/>
        <v>0</v>
      </c>
      <c r="H204" s="307">
        <f t="shared" si="147"/>
        <v>0</v>
      </c>
      <c r="I204" s="307">
        <f t="shared" si="148"/>
        <v>0</v>
      </c>
      <c r="J204" s="307">
        <f t="shared" si="149"/>
        <v>0</v>
      </c>
      <c r="K204" s="307">
        <f t="shared" si="150"/>
        <v>0</v>
      </c>
      <c r="L204" s="307">
        <f t="shared" si="151"/>
        <v>0</v>
      </c>
      <c r="M204" s="307">
        <f t="shared" si="152"/>
        <v>0</v>
      </c>
      <c r="N204" s="307">
        <f t="shared" si="153"/>
        <v>0</v>
      </c>
      <c r="O204" s="307">
        <f t="shared" si="154"/>
        <v>0</v>
      </c>
      <c r="P204" s="284">
        <f t="shared" si="155"/>
        <v>0</v>
      </c>
      <c r="Q204" s="284">
        <f t="shared" si="156"/>
        <v>0</v>
      </c>
      <c r="R204" s="284">
        <f t="shared" si="157"/>
        <v>0</v>
      </c>
      <c r="S204" s="284">
        <f t="shared" si="158"/>
        <v>0</v>
      </c>
      <c r="T204" s="284">
        <f t="shared" si="159"/>
        <v>0</v>
      </c>
      <c r="U204" s="285">
        <f t="shared" si="160"/>
        <v>1</v>
      </c>
      <c r="V204" s="286">
        <f>[1]BDD!A194</f>
        <v>1208</v>
      </c>
      <c r="W204" s="287" t="str">
        <f>[1]BDD!B194</f>
        <v>Orange Naveline de table BIO (nouvelle récolte)</v>
      </c>
      <c r="X204" s="288" t="str">
        <f>IF([1]BDD!F194=0, "", [1]BDD!F194)</f>
        <v/>
      </c>
      <c r="Y204" s="214">
        <f>ROUND([1]BDD!G194+FDP_CMD_KG, 2)</f>
        <v>2.91</v>
      </c>
      <c r="Z204" s="214">
        <f>ROUND([1]BDD!G194+FDP_FACT_KG, 2)</f>
        <v>2.91</v>
      </c>
      <c r="AA204" s="215" t="str">
        <f>[1]BDD!H194</f>
        <v>kg</v>
      </c>
      <c r="AB204" s="225">
        <f>IF(NOT(ISBLANK([1]BDD!I194)), ROUND(SUM(([1]BDD!G194*reduc1),FDP_CMD_KG), 2), "")</f>
        <v>2.71</v>
      </c>
      <c r="AC204" s="225">
        <f>IF(NOT(ISBLANK([1]BDD!J194)), ROUND(SUM(([1]BDD!G194*reduc2),FDP_CMD_KG), 2), "")</f>
        <v>2.5099999999999998</v>
      </c>
      <c r="AD204" s="225" t="str">
        <f>IF(NOT(ISBLANK([1]BDD!K194)), ROUND(SUM(([1]BDD!G194*reduc3),FDP_CMD_KG), 2), "")</f>
        <v/>
      </c>
      <c r="AE204" s="225">
        <f>IF(NOT(ISBLANK([1]BDD!I194)), ROUND(SUM(([1]BDD!G194*reduc1),FDP_FACT_KG), 2), "")</f>
        <v>2.7</v>
      </c>
      <c r="AF204" s="225">
        <f>IF(NOT(ISBLANK([1]BDD!J194)), ROUND(SUM(([1]BDD!G194*reduc2),FDP_FACT_KG), 2), "")</f>
        <v>2.5</v>
      </c>
      <c r="AG204" s="225" t="str">
        <f>IF(NOT(ISBLANK([1]BDD!K194)), ROUND(SUM(([1]BDD!G194*reduc3),FDP_FACT_KG), 2), "")</f>
        <v/>
      </c>
      <c r="AH204" s="289" t="str">
        <f>[1]BDD!C194</f>
        <v>Séville</v>
      </c>
      <c r="AI204" s="290">
        <f t="shared" si="161"/>
        <v>5</v>
      </c>
      <c r="AJ204" s="216">
        <f t="shared" si="162"/>
        <v>2.5099999999999998</v>
      </c>
      <c r="AK204" s="291">
        <f t="shared" si="163"/>
        <v>12.549999999999999</v>
      </c>
      <c r="AL204" s="429"/>
      <c r="AM204" s="292">
        <v>5.35</v>
      </c>
      <c r="AN204" s="216">
        <f t="shared" si="164"/>
        <v>2.91</v>
      </c>
      <c r="AO204" s="293">
        <f t="shared" si="165"/>
        <v>15.5685</v>
      </c>
      <c r="AP204" s="294"/>
      <c r="AQ204" s="294"/>
      <c r="AR204" s="429"/>
      <c r="AS204" s="295">
        <f t="shared" si="166"/>
        <v>5.35</v>
      </c>
      <c r="AT204" s="216">
        <f t="shared" si="167"/>
        <v>2.91</v>
      </c>
      <c r="AU204" s="291">
        <f t="shared" ref="AU204:AU262" si="208">$AS204*$AT204</f>
        <v>15.5685</v>
      </c>
      <c r="AV204" s="296">
        <f>[1]COMMANDE!O202</f>
        <v>2</v>
      </c>
      <c r="AW204" s="297">
        <f t="shared" si="168"/>
        <v>2.1399999999999997</v>
      </c>
      <c r="AX204" s="298">
        <f t="shared" si="169"/>
        <v>6.2273999999999994</v>
      </c>
      <c r="AY204" s="299">
        <f>[1]COMMANDE!Q202</f>
        <v>0</v>
      </c>
      <c r="AZ204" s="297" t="str">
        <f t="shared" si="170"/>
        <v>0</v>
      </c>
      <c r="BA204" s="300">
        <f t="shared" si="171"/>
        <v>0</v>
      </c>
      <c r="BB204" s="301">
        <f>[1]COMMANDE!S202</f>
        <v>1</v>
      </c>
      <c r="BC204" s="297">
        <f t="shared" si="172"/>
        <v>1.0699999999999998</v>
      </c>
      <c r="BD204" s="298">
        <f t="shared" si="173"/>
        <v>3.1136999999999997</v>
      </c>
      <c r="BE204" s="299">
        <f>[1]COMMANDE!U202</f>
        <v>2</v>
      </c>
      <c r="BF204" s="297">
        <f t="shared" si="174"/>
        <v>2.1399999999999997</v>
      </c>
      <c r="BG204" s="300">
        <f t="shared" si="175"/>
        <v>6.2273999999999994</v>
      </c>
      <c r="BH204" s="301">
        <f>[1]COMMANDE!W202</f>
        <v>0</v>
      </c>
      <c r="BI204" s="297" t="str">
        <f t="shared" si="176"/>
        <v>0</v>
      </c>
      <c r="BJ204" s="298">
        <f t="shared" si="177"/>
        <v>0</v>
      </c>
      <c r="BK204" s="299">
        <f>[1]COMMANDE!Y202</f>
        <v>0</v>
      </c>
      <c r="BL204" s="297" t="str">
        <f t="shared" si="178"/>
        <v>0</v>
      </c>
      <c r="BM204" s="300">
        <f t="shared" si="179"/>
        <v>0</v>
      </c>
      <c r="BN204" s="301">
        <f>[1]COMMANDE!AA202</f>
        <v>0</v>
      </c>
      <c r="BO204" s="297" t="str">
        <f t="shared" si="180"/>
        <v>0</v>
      </c>
      <c r="BP204" s="298">
        <f t="shared" si="181"/>
        <v>0</v>
      </c>
      <c r="BQ204" s="299">
        <f>[1]COMMANDE!AC202</f>
        <v>0</v>
      </c>
      <c r="BR204" s="297" t="str">
        <f t="shared" si="182"/>
        <v>0</v>
      </c>
      <c r="BS204" s="300">
        <f t="shared" si="183"/>
        <v>0</v>
      </c>
      <c r="BT204" s="301">
        <f>[1]COMMANDE!AE202</f>
        <v>0</v>
      </c>
      <c r="BU204" s="297" t="str">
        <f t="shared" si="184"/>
        <v>0</v>
      </c>
      <c r="BV204" s="298">
        <f t="shared" si="185"/>
        <v>0</v>
      </c>
      <c r="BW204" s="299">
        <f>[1]COMMANDE!AG202</f>
        <v>0</v>
      </c>
      <c r="BX204" s="297" t="str">
        <f t="shared" si="186"/>
        <v>0</v>
      </c>
      <c r="BY204" s="300">
        <f t="shared" si="187"/>
        <v>0</v>
      </c>
      <c r="BZ204" s="301">
        <f>[1]COMMANDE!AI202</f>
        <v>0</v>
      </c>
      <c r="CA204" s="297" t="str">
        <f t="shared" si="188"/>
        <v>0</v>
      </c>
      <c r="CB204" s="298">
        <f t="shared" si="189"/>
        <v>0</v>
      </c>
      <c r="CC204" s="299">
        <f>[1]COMMANDE!AK202</f>
        <v>0</v>
      </c>
      <c r="CD204" s="297" t="str">
        <f t="shared" si="190"/>
        <v>0</v>
      </c>
      <c r="CE204" s="300">
        <f t="shared" si="191"/>
        <v>0</v>
      </c>
      <c r="CF204" s="301">
        <f>[1]COMMANDE!AM202</f>
        <v>0</v>
      </c>
      <c r="CG204" s="297" t="str">
        <f t="shared" si="192"/>
        <v>0</v>
      </c>
      <c r="CH204" s="298">
        <f t="shared" si="193"/>
        <v>0</v>
      </c>
      <c r="CI204" s="299">
        <f>[1]COMMANDE!AO202</f>
        <v>0</v>
      </c>
      <c r="CJ204" s="297" t="str">
        <f t="shared" si="194"/>
        <v>0</v>
      </c>
      <c r="CK204" s="300">
        <f t="shared" si="195"/>
        <v>0</v>
      </c>
      <c r="CL204" s="301">
        <f>[1]COMMANDE!AQ202</f>
        <v>0</v>
      </c>
      <c r="CM204" s="297" t="str">
        <f t="shared" si="196"/>
        <v>0</v>
      </c>
      <c r="CN204" s="298">
        <f t="shared" si="197"/>
        <v>0</v>
      </c>
      <c r="CO204" s="299">
        <f>[1]COMMANDE!AS202</f>
        <v>0</v>
      </c>
      <c r="CP204" s="297" t="str">
        <f t="shared" si="198"/>
        <v>0</v>
      </c>
      <c r="CQ204" s="300">
        <f t="shared" si="199"/>
        <v>0</v>
      </c>
      <c r="CR204" s="301">
        <f>[1]COMMANDE!AU202</f>
        <v>0</v>
      </c>
      <c r="CS204" s="297" t="str">
        <f t="shared" si="200"/>
        <v>0</v>
      </c>
      <c r="CT204" s="298">
        <f t="shared" si="201"/>
        <v>0</v>
      </c>
      <c r="CU204" s="299">
        <f>[1]COMMANDE!AW202</f>
        <v>0</v>
      </c>
      <c r="CV204" s="297" t="str">
        <f t="shared" si="202"/>
        <v>0</v>
      </c>
      <c r="CW204" s="300">
        <f t="shared" si="203"/>
        <v>0</v>
      </c>
      <c r="CX204" s="301">
        <f>[1]COMMANDE!AY202</f>
        <v>0</v>
      </c>
      <c r="CY204" s="297" t="str">
        <f t="shared" si="204"/>
        <v>0</v>
      </c>
      <c r="CZ204" s="298">
        <f t="shared" si="205"/>
        <v>0</v>
      </c>
      <c r="DA204" s="299">
        <f>[1]COMMANDE!BA202</f>
        <v>0</v>
      </c>
      <c r="DB204" s="297" t="str">
        <f t="shared" si="206"/>
        <v>0</v>
      </c>
      <c r="DC204" s="302">
        <f t="shared" si="207"/>
        <v>0</v>
      </c>
      <c r="DD204" s="303"/>
      <c r="DE204" s="304"/>
    </row>
    <row r="205" spans="1:109" ht="39.950000000000003" customHeight="1" x14ac:dyDescent="0.25">
      <c r="A205" s="307">
        <f t="shared" si="140"/>
        <v>1</v>
      </c>
      <c r="B205" s="307">
        <f t="shared" si="141"/>
        <v>0</v>
      </c>
      <c r="C205" s="307">
        <f t="shared" si="142"/>
        <v>1</v>
      </c>
      <c r="D205" s="307">
        <f t="shared" si="143"/>
        <v>1</v>
      </c>
      <c r="E205" s="307">
        <f t="shared" si="144"/>
        <v>0</v>
      </c>
      <c r="F205" s="307">
        <f t="shared" si="145"/>
        <v>0</v>
      </c>
      <c r="G205" s="307">
        <f t="shared" si="146"/>
        <v>0</v>
      </c>
      <c r="H205" s="307">
        <f t="shared" si="147"/>
        <v>0</v>
      </c>
      <c r="I205" s="307">
        <f t="shared" si="148"/>
        <v>0</v>
      </c>
      <c r="J205" s="307">
        <f t="shared" si="149"/>
        <v>0</v>
      </c>
      <c r="K205" s="307">
        <f t="shared" si="150"/>
        <v>0</v>
      </c>
      <c r="L205" s="307">
        <f t="shared" si="151"/>
        <v>0</v>
      </c>
      <c r="M205" s="307">
        <f t="shared" si="152"/>
        <v>0</v>
      </c>
      <c r="N205" s="307">
        <f t="shared" si="153"/>
        <v>0</v>
      </c>
      <c r="O205" s="307">
        <f t="shared" si="154"/>
        <v>0</v>
      </c>
      <c r="P205" s="284">
        <f t="shared" ref="P205:P262" si="209">IF(OR($CO205&gt;0, $CQ205&gt;0), 1, 0)</f>
        <v>0</v>
      </c>
      <c r="Q205" s="284">
        <f t="shared" ref="Q205:Q262" si="210">IF(OR($CR205&gt;0, $CT205&gt;0), 1, 0)</f>
        <v>0</v>
      </c>
      <c r="R205" s="284">
        <f t="shared" ref="R205:R262" si="211">IF(OR($CU205&gt;0, $CW205&gt;0), 1, 0)</f>
        <v>0</v>
      </c>
      <c r="S205" s="284">
        <f t="shared" ref="S205:S262" si="212">IF(OR($CX205&gt;0, $CZ205&gt;0), 1, 0)</f>
        <v>0</v>
      </c>
      <c r="T205" s="284">
        <f t="shared" ref="T205:T262" si="213">IF(OR($DA205&gt;0, $DC205&gt;0), 1, 0)</f>
        <v>0</v>
      </c>
      <c r="U205" s="285">
        <f t="shared" ref="U205:U262" si="214">IF(OR($AI205&gt;0,$AM205&gt;0,$AS205&gt;0), 1, 0)</f>
        <v>1</v>
      </c>
      <c r="V205" s="286" t="str">
        <f>[1]BDD!A195</f>
        <v>3694-3006</v>
      </c>
      <c r="W205" s="287" t="str">
        <f>[1]BDD!B195</f>
        <v>Papaye Intenzza/Siluet</v>
      </c>
      <c r="X205" s="288" t="str">
        <f>IF([1]BDD!F195=0, "", [1]BDD!F195)</f>
        <v>OFFRE</v>
      </c>
      <c r="Y205" s="214">
        <f>ROUND([1]BDD!G195+FDP_CMD_KG, 2)</f>
        <v>4.83</v>
      </c>
      <c r="Z205" s="214">
        <f>ROUND([1]BDD!G195+FDP_FACT_KG, 2)</f>
        <v>4.83</v>
      </c>
      <c r="AA205" s="215" t="str">
        <f>[1]BDD!H195</f>
        <v>kg</v>
      </c>
      <c r="AB205" s="225">
        <f>IF(NOT(ISBLANK([1]BDD!I195)), ROUND(SUM(([1]BDD!G195*reduc1),FDP_CMD_KG), 2), "")</f>
        <v>4.4400000000000004</v>
      </c>
      <c r="AC205" s="225">
        <f>IF(NOT(ISBLANK([1]BDD!J195)), ROUND(SUM(([1]BDD!G195*reduc2),FDP_CMD_KG), 2), "")</f>
        <v>4.04</v>
      </c>
      <c r="AD205" s="225">
        <f>IF(NOT(ISBLANK([1]BDD!K195)), ROUND(SUM(([1]BDD!G195*reduc3),FDP_CMD_KG), 2), "")</f>
        <v>3.65</v>
      </c>
      <c r="AE205" s="225">
        <f>IF(NOT(ISBLANK([1]BDD!I195)), ROUND(SUM(([1]BDD!G195*reduc1),FDP_FACT_KG), 2), "")</f>
        <v>4.43</v>
      </c>
      <c r="AF205" s="225">
        <f>IF(NOT(ISBLANK([1]BDD!J195)), ROUND(SUM(([1]BDD!G195*reduc2),FDP_FACT_KG), 2), "")</f>
        <v>4.03</v>
      </c>
      <c r="AG205" s="225">
        <f>IF(NOT(ISBLANK([1]BDD!K195)), ROUND(SUM(([1]BDD!G195*reduc3),FDP_FACT_KG), 2), "")</f>
        <v>3.64</v>
      </c>
      <c r="AH205" s="289" t="str">
        <f>[1]BDD!C195</f>
        <v>Grenade</v>
      </c>
      <c r="AI205" s="290">
        <f t="shared" ref="AI205:AI262" si="215">SUM(AV205,AY205,BB205,BE205,BH205,BK205,BN205,BQ205,BT205,BW205,BZ205,CC205,CF205,CI205,CL205,CO205,CR205,CU205,CX205,DA205)</f>
        <v>5</v>
      </c>
      <c r="AJ205" s="216">
        <f t="shared" ref="AJ205:AJ262" si="216">_xlfn.IFS($AD205&lt;&gt;"", $AD205,    $AC205&lt;&gt;"", $AC205,    $AB205&lt;&gt;"", $AB205,    TRUE, $Y205)</f>
        <v>3.65</v>
      </c>
      <c r="AK205" s="291">
        <f t="shared" ref="AK205:AK262" si="217">$AI205*$AJ205</f>
        <v>18.25</v>
      </c>
      <c r="AL205" s="429"/>
      <c r="AM205" s="292">
        <v>5.26</v>
      </c>
      <c r="AN205" s="216">
        <f t="shared" ref="AN205:AN262" si="218">_xlfn.IFS(AND(AM205&gt;=60,$AG205&lt;&gt;""), $AG205,    AND(AM205&gt;=30,$AF205&lt;&gt;""), $AF205,    AND(AM205&gt;=10,$AE205&lt;&gt;""), $AE205,    TRUE, $Z205)</f>
        <v>4.83</v>
      </c>
      <c r="AO205" s="293">
        <f t="shared" ref="AO205:AO262" si="219">AM205*AN205</f>
        <v>25.405799999999999</v>
      </c>
      <c r="AP205" s="294"/>
      <c r="AQ205" s="294"/>
      <c r="AR205" s="429"/>
      <c r="AS205" s="295">
        <f t="shared" ref="AS205:AS262" si="220">SUM(AW205,AZ205,BC205,BF205,BI205,BL205,BO205,BR205,BU205,BX205,CA205,CD205,CG205,CJ205,CM205,CP205,CS205,CV205,CY205,DB205)</f>
        <v>5.26</v>
      </c>
      <c r="AT205" s="216">
        <f t="shared" ref="AT205:AT262" si="221">_xlfn.IFS(AND(AS205&gt;=60,$AG205&lt;&gt;""), $AG205,    AND(AS205&gt;=30,$AF205&lt;&gt;""), $AF205,    AND(AS205&gt;=10,$AE205&lt;&gt;""), $AE205,    TRUE, $Z205)</f>
        <v>4.83</v>
      </c>
      <c r="AU205" s="291">
        <f t="shared" si="208"/>
        <v>25.405799999999999</v>
      </c>
      <c r="AV205" s="296">
        <f>[1]COMMANDE!O203</f>
        <v>1</v>
      </c>
      <c r="AW205" s="297">
        <f t="shared" ref="AW205:AW262" si="222">_xlfn.IFS(AND($AI205=$AM205,$AI205&gt;0,$AM205&gt;0,AV205&gt;0), AV205,     AND(NOT($AI205=$AM205),$AI205&gt;0,$AM205&gt;0,AV205&gt;0), ($AM205*AV205)/$AI205,     AND($AI205=0,$AM205&gt;0,$AQ205&gt;0), IF(INDEX(AV$12:AV$263,MATCH($AQ205,$AP$12:$AP$263,0))&gt;0,($AM205*INDEX(AV$12:AV$263,MATCH($AQ205,$AP$12:$AP$263,0)))/INDEX($AI$12:$AI$263,MATCH($AQ205,$AP$12:$AP$263,0)), "-"),     TRUE, "0")</f>
        <v>1.052</v>
      </c>
      <c r="AX205" s="298">
        <f t="shared" ref="AX205:AX262" si="223">IF(AW$9&gt;0, IF(OR(AW205="",AW205="-"), 0, AW205*$AT205), AV205*$AJ205)</f>
        <v>5.0811600000000006</v>
      </c>
      <c r="AY205" s="299">
        <f>[1]COMMANDE!Q203</f>
        <v>0</v>
      </c>
      <c r="AZ205" s="297" t="str">
        <f t="shared" ref="AZ205:AZ262" si="224">_xlfn.IFS(AND($AI205=$AM205,$AI205&gt;0,$AM205&gt;0,AY205&gt;0), AY205,     AND(NOT($AI205=$AM205),$AI205&gt;0,$AM205&gt;0,AY205&gt;0), ($AM205*AY205)/$AI205,     AND($AI205=0,$AM205&gt;0,$AQ205&gt;0), IF(INDEX(AY$12:AY$263,MATCH($AQ205,$AP$12:$AP$263,0))&gt;0,($AM205*INDEX(AY$12:AY$263,MATCH($AQ205,$AP$12:$AP$263,0)))/INDEX($AI$12:$AI$263,MATCH($AQ205,$AP$12:$AP$263,0)), "-"),     TRUE, "0")</f>
        <v>0</v>
      </c>
      <c r="BA205" s="300">
        <f t="shared" ref="BA205:BA262" si="225">IF(AZ$9&gt;0, IF(OR(AZ205="",AZ205="-"), 0, AZ205*$AT205), AY205*$AJ205)</f>
        <v>0</v>
      </c>
      <c r="BB205" s="301">
        <f>[1]COMMANDE!S203</f>
        <v>1</v>
      </c>
      <c r="BC205" s="297">
        <f t="shared" ref="BC205:BC262" si="226">_xlfn.IFS(AND($AI205=$AM205,$AI205&gt;0,$AM205&gt;0,BB205&gt;0), BB205,     AND(NOT($AI205=$AM205),$AI205&gt;0,$AM205&gt;0,BB205&gt;0), ($AM205*BB205)/$AI205,     AND($AI205=0,$AM205&gt;0,$AQ205&gt;0), IF(INDEX(BB$12:BB$263,MATCH($AQ205,$AP$12:$AP$263,0))&gt;0,($AM205*INDEX(BB$12:BB$263,MATCH($AQ205,$AP$12:$AP$263,0)))/INDEX($AI$12:$AI$263,MATCH($AQ205,$AP$12:$AP$263,0)), "-"),     TRUE, "0")</f>
        <v>1.052</v>
      </c>
      <c r="BD205" s="298">
        <f t="shared" ref="BD205:BD262" si="227">IF(BC$9&gt;0, IF(OR(BC205="",BC205="-"), 0, BC205*$AT205), BB205*$AJ205)</f>
        <v>5.0811600000000006</v>
      </c>
      <c r="BE205" s="299">
        <f>[1]COMMANDE!U203</f>
        <v>3</v>
      </c>
      <c r="BF205" s="297">
        <f t="shared" ref="BF205:BF262" si="228">_xlfn.IFS(AND($AI205=$AM205,$AI205&gt;0,$AM205&gt;0,BE205&gt;0), BE205,     AND(NOT($AI205=$AM205),$AI205&gt;0,$AM205&gt;0,BE205&gt;0), ($AM205*BE205)/$AI205,     AND($AI205=0,$AM205&gt;0,$AQ205&gt;0), IF(INDEX(BE$12:BE$263,MATCH($AQ205,$AP$12:$AP$263,0))&gt;0,($AM205*INDEX(BE$12:BE$263,MATCH($AQ205,$AP$12:$AP$263,0)))/INDEX($AI$12:$AI$263,MATCH($AQ205,$AP$12:$AP$263,0)), "-"),     TRUE, "0")</f>
        <v>3.1559999999999997</v>
      </c>
      <c r="BG205" s="300">
        <f t="shared" ref="BG205:BG262" si="229">IF(BF$9&gt;0, IF(OR(BF205="",BF205="-"), 0, BF205*$AT205), BE205*$AJ205)</f>
        <v>15.243479999999998</v>
      </c>
      <c r="BH205" s="301">
        <f>[1]COMMANDE!W203</f>
        <v>0</v>
      </c>
      <c r="BI205" s="297" t="str">
        <f t="shared" ref="BI205:BI262" si="230">_xlfn.IFS(AND($AI205=$AM205,$AI205&gt;0,$AM205&gt;0,BH205&gt;0), BH205,     AND(NOT($AI205=$AM205),$AI205&gt;0,$AM205&gt;0,BH205&gt;0), ($AM205*BH205)/$AI205,     AND($AI205=0,$AM205&gt;0,$AQ205&gt;0), IF(INDEX(BH$12:BH$263,MATCH($AQ205,$AP$12:$AP$263,0))&gt;0,($AM205*INDEX(BH$12:BH$263,MATCH($AQ205,$AP$12:$AP$263,0)))/INDEX($AI$12:$AI$263,MATCH($AQ205,$AP$12:$AP$263,0)), "-"),     TRUE, "0")</f>
        <v>0</v>
      </c>
      <c r="BJ205" s="298">
        <f t="shared" ref="BJ205:BJ262" si="231">IF(BI$9&gt;0, IF(OR(BI205="",BI205="-"), 0, BI205*$AT205), BH205*$AJ205)</f>
        <v>0</v>
      </c>
      <c r="BK205" s="299">
        <f>[1]COMMANDE!Y203</f>
        <v>0</v>
      </c>
      <c r="BL205" s="297" t="str">
        <f t="shared" ref="BL205:BL262" si="232">_xlfn.IFS(AND($AI205=$AM205,$AI205&gt;0,$AM205&gt;0,BK205&gt;0), BK205,     AND(NOT($AI205=$AM205),$AI205&gt;0,$AM205&gt;0,BK205&gt;0), ($AM205*BK205)/$AI205,     AND($AI205=0,$AM205&gt;0,$AQ205&gt;0), IF(INDEX(BK$12:BK$263,MATCH($AQ205,$AP$12:$AP$263,0))&gt;0,($AM205*INDEX(BK$12:BK$263,MATCH($AQ205,$AP$12:$AP$263,0)))/INDEX($AI$12:$AI$263,MATCH($AQ205,$AP$12:$AP$263,0)), "-"),     TRUE, "0")</f>
        <v>0</v>
      </c>
      <c r="BM205" s="300">
        <f t="shared" ref="BM205:BM262" si="233">IF(BL$9&gt;0, IF(OR(BL205="",BL205="-"), 0, BL205*$AT205), BK205*$AJ205)</f>
        <v>0</v>
      </c>
      <c r="BN205" s="301">
        <f>[1]COMMANDE!AA203</f>
        <v>0</v>
      </c>
      <c r="BO205" s="297" t="str">
        <f t="shared" ref="BO205:BO262" si="234">_xlfn.IFS(AND($AI205=$AM205,$AI205&gt;0,$AM205&gt;0,BN205&gt;0), BN205,     AND(NOT($AI205=$AM205),$AI205&gt;0,$AM205&gt;0,BN205&gt;0), ($AM205*BN205)/$AI205,     AND($AI205=0,$AM205&gt;0,$AQ205&gt;0), IF(INDEX(BN$12:BN$263,MATCH($AQ205,$AP$12:$AP$263,0))&gt;0,($AM205*INDEX(BN$12:BN$263,MATCH($AQ205,$AP$12:$AP$263,0)))/INDEX($AI$12:$AI$263,MATCH($AQ205,$AP$12:$AP$263,0)), "-"),     TRUE, "0")</f>
        <v>0</v>
      </c>
      <c r="BP205" s="298">
        <f t="shared" ref="BP205:BP262" si="235">IF(BO$9&gt;0, IF(OR(BO205="",BO205="-"), 0, BO205*$AT205), BN205*$AJ205)</f>
        <v>0</v>
      </c>
      <c r="BQ205" s="299">
        <f>[1]COMMANDE!AC203</f>
        <v>0</v>
      </c>
      <c r="BR205" s="297" t="str">
        <f t="shared" ref="BR205:BR262" si="236">_xlfn.IFS(AND($AI205=$AM205,$AI205&gt;0,$AM205&gt;0,BQ205&gt;0), BQ205,     AND(NOT($AI205=$AM205),$AI205&gt;0,$AM205&gt;0,BQ205&gt;0), ($AM205*BQ205)/$AI205,     AND($AI205=0,$AM205&gt;0,$AQ205&gt;0), IF(INDEX(BQ$12:BQ$263,MATCH($AQ205,$AP$12:$AP$263,0))&gt;0,($AM205*INDEX(BQ$12:BQ$263,MATCH($AQ205,$AP$12:$AP$263,0)))/INDEX($AI$12:$AI$263,MATCH($AQ205,$AP$12:$AP$263,0)), "-"),     TRUE, "0")</f>
        <v>0</v>
      </c>
      <c r="BS205" s="300">
        <f t="shared" ref="BS205:BS262" si="237">IF(BR$9&gt;0, IF(OR(BR205="",BR205="-"), 0, BR205*$AT205), BQ205*$AJ205)</f>
        <v>0</v>
      </c>
      <c r="BT205" s="301">
        <f>[1]COMMANDE!AE203</f>
        <v>0</v>
      </c>
      <c r="BU205" s="297" t="str">
        <f t="shared" ref="BU205:BU262" si="238">_xlfn.IFS(AND($AI205=$AM205,$AI205&gt;0,$AM205&gt;0,BT205&gt;0), BT205,     AND(NOT($AI205=$AM205),$AI205&gt;0,$AM205&gt;0,BT205&gt;0), ($AM205*BT205)/$AI205,     AND($AI205=0,$AM205&gt;0,$AQ205&gt;0), IF(INDEX(BT$12:BT$263,MATCH($AQ205,$AP$12:$AP$263,0))&gt;0,($AM205*INDEX(BT$12:BT$263,MATCH($AQ205,$AP$12:$AP$263,0)))/INDEX($AI$12:$AI$263,MATCH($AQ205,$AP$12:$AP$263,0)), "-"),     TRUE, "0")</f>
        <v>0</v>
      </c>
      <c r="BV205" s="298">
        <f t="shared" ref="BV205:BV262" si="239">IF(BU$9&gt;0, IF(OR(BU205="",BU205="-"), 0, BU205*$AT205), BT205*$AJ205)</f>
        <v>0</v>
      </c>
      <c r="BW205" s="299">
        <f>[1]COMMANDE!AG203</f>
        <v>0</v>
      </c>
      <c r="BX205" s="297" t="str">
        <f t="shared" ref="BX205:BX262" si="240">_xlfn.IFS(AND($AI205=$AM205,$AI205&gt;0,$AM205&gt;0,BW205&gt;0), BW205,     AND(NOT($AI205=$AM205),$AI205&gt;0,$AM205&gt;0,BW205&gt;0), ($AM205*BW205)/$AI205,     AND($AI205=0,$AM205&gt;0,$AQ205&gt;0), IF(INDEX(BW$12:BW$263,MATCH($AQ205,$AP$12:$AP$263,0))&gt;0,($AM205*INDEX(BW$12:BW$263,MATCH($AQ205,$AP$12:$AP$263,0)))/INDEX($AI$12:$AI$263,MATCH($AQ205,$AP$12:$AP$263,0)), "-"),     TRUE, "0")</f>
        <v>0</v>
      </c>
      <c r="BY205" s="300">
        <f t="shared" ref="BY205:BY262" si="241">IF(BX$9&gt;0, IF(OR(BX205="",BX205="-"), 0, BX205*$AT205), BW205*$AJ205)</f>
        <v>0</v>
      </c>
      <c r="BZ205" s="301">
        <f>[1]COMMANDE!AI203</f>
        <v>0</v>
      </c>
      <c r="CA205" s="297" t="str">
        <f t="shared" ref="CA205:CA262" si="242">_xlfn.IFS(AND($AI205=$AM205,$AI205&gt;0,$AM205&gt;0,BZ205&gt;0), BZ205,     AND(NOT($AI205=$AM205),$AI205&gt;0,$AM205&gt;0,BZ205&gt;0), ($AM205*BZ205)/$AI205,     AND($AI205=0,$AM205&gt;0,$AQ205&gt;0), IF(INDEX(BZ$12:BZ$263,MATCH($AQ205,$AP$12:$AP$263,0))&gt;0,($AM205*INDEX(BZ$12:BZ$263,MATCH($AQ205,$AP$12:$AP$263,0)))/INDEX($AI$12:$AI$263,MATCH($AQ205,$AP$12:$AP$263,0)), "-"),     TRUE, "0")</f>
        <v>0</v>
      </c>
      <c r="CB205" s="298">
        <f t="shared" ref="CB205:CB262" si="243">IF(CA$9&gt;0, IF(OR(CA205="",CA205="-"), 0, CA205*$AT205), BZ205*$AJ205)</f>
        <v>0</v>
      </c>
      <c r="CC205" s="299">
        <f>[1]COMMANDE!AK203</f>
        <v>0</v>
      </c>
      <c r="CD205" s="297" t="str">
        <f t="shared" ref="CD205:CD262" si="244">_xlfn.IFS(AND($AI205=$AM205,$AI205&gt;0,$AM205&gt;0,CC205&gt;0), CC205,     AND(NOT($AI205=$AM205),$AI205&gt;0,$AM205&gt;0,CC205&gt;0), ($AM205*CC205)/$AI205,     AND($AI205=0,$AM205&gt;0,$AQ205&gt;0), IF(INDEX(CC$12:CC$263,MATCH($AQ205,$AP$12:$AP$263,0))&gt;0,($AM205*INDEX(CC$12:CC$263,MATCH($AQ205,$AP$12:$AP$263,0)))/INDEX($AI$12:$AI$263,MATCH($AQ205,$AP$12:$AP$263,0)), "-"),     TRUE, "0")</f>
        <v>0</v>
      </c>
      <c r="CE205" s="300">
        <f t="shared" ref="CE205:CE262" si="245">IF(CD$9&gt;0, IF(OR(CD205="",CD205="-"), 0, CD205*$AT205), CC205*$AJ205)</f>
        <v>0</v>
      </c>
      <c r="CF205" s="301">
        <f>[1]COMMANDE!AM203</f>
        <v>0</v>
      </c>
      <c r="CG205" s="297" t="str">
        <f t="shared" ref="CG205:CG262" si="246">_xlfn.IFS(AND($AI205=$AM205,$AI205&gt;0,$AM205&gt;0,CF205&gt;0), CF205,     AND(NOT($AI205=$AM205),$AI205&gt;0,$AM205&gt;0,CF205&gt;0), ($AM205*CF205)/$AI205,     AND($AI205=0,$AM205&gt;0,$AQ205&gt;0), IF(INDEX(CF$12:CF$263,MATCH($AQ205,$AP$12:$AP$263,0))&gt;0,($AM205*INDEX(CF$12:CF$263,MATCH($AQ205,$AP$12:$AP$263,0)))/INDEX($AI$12:$AI$263,MATCH($AQ205,$AP$12:$AP$263,0)), "-"),     TRUE, "0")</f>
        <v>0</v>
      </c>
      <c r="CH205" s="298">
        <f t="shared" ref="CH205:CH262" si="247">IF(CG$9&gt;0, IF(OR(CG205="",CG205="-"), 0, CG205*$AT205), CF205*$AJ205)</f>
        <v>0</v>
      </c>
      <c r="CI205" s="299">
        <f>[1]COMMANDE!AO203</f>
        <v>0</v>
      </c>
      <c r="CJ205" s="297" t="str">
        <f t="shared" ref="CJ205:CJ262" si="248">_xlfn.IFS(AND($AI205=$AM205,$AI205&gt;0,$AM205&gt;0,CI205&gt;0), CI205,     AND(NOT($AI205=$AM205),$AI205&gt;0,$AM205&gt;0,CI205&gt;0), ($AM205*CI205)/$AI205,     AND($AI205=0,$AM205&gt;0,$AQ205&gt;0), IF(INDEX(CI$12:CI$263,MATCH($AQ205,$AP$12:$AP$263,0))&gt;0,($AM205*INDEX(CI$12:CI$263,MATCH($AQ205,$AP$12:$AP$263,0)))/INDEX($AI$12:$AI$263,MATCH($AQ205,$AP$12:$AP$263,0)), "-"),     TRUE, "0")</f>
        <v>0</v>
      </c>
      <c r="CK205" s="300">
        <f t="shared" ref="CK205:CK262" si="249">IF(CJ$9&gt;0, IF(OR(CJ205="",CJ205="-"), 0, CJ205*$AT205), CI205*$AJ205)</f>
        <v>0</v>
      </c>
      <c r="CL205" s="301">
        <f>[1]COMMANDE!AQ203</f>
        <v>0</v>
      </c>
      <c r="CM205" s="297" t="str">
        <f t="shared" ref="CM205:CM262" si="250">_xlfn.IFS(AND($AI205=$AM205,$AI205&gt;0,$AM205&gt;0,CL205&gt;0), CL205,     AND(NOT($AI205=$AM205),$AI205&gt;0,$AM205&gt;0,CL205&gt;0), ($AM205*CL205)/$AI205,     AND($AI205=0,$AM205&gt;0,$AQ205&gt;0), IF(INDEX(CL$12:CL$263,MATCH($AQ205,$AP$12:$AP$263,0))&gt;0,($AM205*INDEX(CL$12:CL$263,MATCH($AQ205,$AP$12:$AP$263,0)))/INDEX($AI$12:$AI$263,MATCH($AQ205,$AP$12:$AP$263,0)), "-"),     TRUE, "0")</f>
        <v>0</v>
      </c>
      <c r="CN205" s="298">
        <f t="shared" ref="CN205:CN262" si="251">IF(CM$9&gt;0, IF(OR(CM205="",CM205="-"), 0, CM205*$AT205), CL205*$AJ205)</f>
        <v>0</v>
      </c>
      <c r="CO205" s="299">
        <f>[1]COMMANDE!AS203</f>
        <v>0</v>
      </c>
      <c r="CP205" s="297" t="str">
        <f t="shared" ref="CP205:CP262" si="252">_xlfn.IFS(AND($AI205=$AM205,$AI205&gt;0,$AM205&gt;0,CO205&gt;0), CO205,     AND(NOT($AI205=$AM205),$AI205&gt;0,$AM205&gt;0,CO205&gt;0), ($AM205*CO205)/$AI205,     AND($AI205=0,$AM205&gt;0,$AQ205&gt;0), IF(INDEX(CO$12:CO$263,MATCH($AQ205,$AP$12:$AP$263,0))&gt;0,($AM205*INDEX(CO$12:CO$263,MATCH($AQ205,$AP$12:$AP$263,0)))/INDEX($AI$12:$AI$263,MATCH($AQ205,$AP$12:$AP$263,0)), "-"),     TRUE, "0")</f>
        <v>0</v>
      </c>
      <c r="CQ205" s="300">
        <f t="shared" ref="CQ205:CQ262" si="253">IF(CP$9&gt;0, IF(OR(CP205="",CP205="-"), 0, CP205*$AT205), CO205*$AJ205)</f>
        <v>0</v>
      </c>
      <c r="CR205" s="301">
        <f>[1]COMMANDE!AU203</f>
        <v>0</v>
      </c>
      <c r="CS205" s="297" t="str">
        <f t="shared" ref="CS205:CS262" si="254">_xlfn.IFS(AND($AI205=$AM205,$AI205&gt;0,$AM205&gt;0,CR205&gt;0), CR205,     AND(NOT($AI205=$AM205),$AI205&gt;0,$AM205&gt;0,CR205&gt;0), ($AM205*CR205)/$AI205,     AND($AI205=0,$AM205&gt;0,$AQ205&gt;0), IF(INDEX(CR$12:CR$263,MATCH($AQ205,$AP$12:$AP$263,0))&gt;0,($AM205*INDEX(CR$12:CR$263,MATCH($AQ205,$AP$12:$AP$263,0)))/INDEX($AI$12:$AI$263,MATCH($AQ205,$AP$12:$AP$263,0)), "-"),     TRUE, "0")</f>
        <v>0</v>
      </c>
      <c r="CT205" s="298">
        <f t="shared" ref="CT205:CT262" si="255">IF(CS$9&gt;0, IF(OR(CS205="",CS205="-"), 0, CS205*$AT205), CR205*$AJ205)</f>
        <v>0</v>
      </c>
      <c r="CU205" s="299">
        <f>[1]COMMANDE!AW203</f>
        <v>0</v>
      </c>
      <c r="CV205" s="297" t="str">
        <f t="shared" ref="CV205:CV262" si="256">_xlfn.IFS(AND($AI205=$AM205,$AI205&gt;0,$AM205&gt;0,CU205&gt;0), CU205,     AND(NOT($AI205=$AM205),$AI205&gt;0,$AM205&gt;0,CU205&gt;0), ($AM205*CU205)/$AI205,     AND($AI205=0,$AM205&gt;0,$AQ205&gt;0), IF(INDEX(CU$12:CU$263,MATCH($AQ205,$AP$12:$AP$263,0))&gt;0,($AM205*INDEX(CU$12:CU$263,MATCH($AQ205,$AP$12:$AP$263,0)))/INDEX($AI$12:$AI$263,MATCH($AQ205,$AP$12:$AP$263,0)), "-"),     TRUE, "0")</f>
        <v>0</v>
      </c>
      <c r="CW205" s="300">
        <f t="shared" ref="CW205:CW262" si="257">IF(CV$9&gt;0, IF(OR(CV205="",CV205="-"), 0, CV205*$AT205), CU205*$AJ205)</f>
        <v>0</v>
      </c>
      <c r="CX205" s="301">
        <f>[1]COMMANDE!AY203</f>
        <v>0</v>
      </c>
      <c r="CY205" s="297" t="str">
        <f t="shared" ref="CY205:CY262" si="258">_xlfn.IFS(AND($AI205=$AM205,$AI205&gt;0,$AM205&gt;0,CX205&gt;0), CX205,     AND(NOT($AI205=$AM205),$AI205&gt;0,$AM205&gt;0,CX205&gt;0), ($AM205*CX205)/$AI205,     AND($AI205=0,$AM205&gt;0,$AQ205&gt;0), IF(INDEX(CX$12:CX$263,MATCH($AQ205,$AP$12:$AP$263,0))&gt;0,($AM205*INDEX(CX$12:CX$263,MATCH($AQ205,$AP$12:$AP$263,0)))/INDEX($AI$12:$AI$263,MATCH($AQ205,$AP$12:$AP$263,0)), "-"),     TRUE, "0")</f>
        <v>0</v>
      </c>
      <c r="CZ205" s="298">
        <f t="shared" ref="CZ205:CZ262" si="259">IF(CY$9&gt;0, IF(OR(CY205="",CY205="-"), 0, CY205*$AT205), CX205*$AJ205)</f>
        <v>0</v>
      </c>
      <c r="DA205" s="299">
        <f>[1]COMMANDE!BA203</f>
        <v>0</v>
      </c>
      <c r="DB205" s="297" t="str">
        <f t="shared" ref="DB205:DB262" si="260">_xlfn.IFS(AND($AI205=$AM205,$AI205&gt;0,$AM205&gt;0,DA205&gt;0), DA205,     AND(NOT($AI205=$AM205),$AI205&gt;0,$AM205&gt;0,DA205&gt;0), ($AM205*DA205)/$AI205,     AND($AI205=0,$AM205&gt;0,$AQ205&gt;0), IF(INDEX(DA$12:DA$263,MATCH($AQ205,$AP$12:$AP$263,0))&gt;0,($AM205*INDEX(DA$12:DA$263,MATCH($AQ205,$AP$12:$AP$263,0)))/INDEX($AI$12:$AI$263,MATCH($AQ205,$AP$12:$AP$263,0)), "-"),     TRUE, "0")</f>
        <v>0</v>
      </c>
      <c r="DC205" s="302">
        <f t="shared" ref="DC205:DC262" si="261">IF(DB$9&gt;0, IF(OR(DB205="",DB205="-"), 0, DB205*$AT205), DA205*$AJ205)</f>
        <v>0</v>
      </c>
      <c r="DD205" s="303"/>
      <c r="DE205" s="304"/>
    </row>
    <row r="206" spans="1:109" ht="39.950000000000003" customHeight="1" x14ac:dyDescent="0.25">
      <c r="A206" s="284">
        <f t="shared" si="140"/>
        <v>0</v>
      </c>
      <c r="B206" s="284">
        <f t="shared" si="141"/>
        <v>0</v>
      </c>
      <c r="C206" s="284">
        <f t="shared" si="142"/>
        <v>0</v>
      </c>
      <c r="D206" s="284">
        <f t="shared" si="143"/>
        <v>0</v>
      </c>
      <c r="E206" s="284">
        <f t="shared" si="144"/>
        <v>0</v>
      </c>
      <c r="F206" s="284">
        <f t="shared" si="145"/>
        <v>0</v>
      </c>
      <c r="G206" s="284">
        <f t="shared" si="146"/>
        <v>0</v>
      </c>
      <c r="H206" s="284">
        <f t="shared" si="147"/>
        <v>0</v>
      </c>
      <c r="I206" s="284">
        <f t="shared" si="148"/>
        <v>0</v>
      </c>
      <c r="J206" s="284">
        <f t="shared" si="149"/>
        <v>0</v>
      </c>
      <c r="K206" s="284">
        <f t="shared" si="150"/>
        <v>0</v>
      </c>
      <c r="L206" s="284">
        <f t="shared" si="151"/>
        <v>0</v>
      </c>
      <c r="M206" s="284">
        <f t="shared" si="152"/>
        <v>0</v>
      </c>
      <c r="N206" s="284">
        <f t="shared" si="153"/>
        <v>0</v>
      </c>
      <c r="O206" s="284">
        <f t="shared" si="154"/>
        <v>0</v>
      </c>
      <c r="P206" s="284">
        <f t="shared" si="209"/>
        <v>0</v>
      </c>
      <c r="Q206" s="284">
        <f t="shared" si="210"/>
        <v>0</v>
      </c>
      <c r="R206" s="284">
        <f t="shared" si="211"/>
        <v>0</v>
      </c>
      <c r="S206" s="284">
        <f t="shared" si="212"/>
        <v>0</v>
      </c>
      <c r="T206" s="284">
        <f t="shared" si="213"/>
        <v>0</v>
      </c>
      <c r="U206" s="285">
        <f t="shared" si="214"/>
        <v>0</v>
      </c>
      <c r="V206" s="286" t="str">
        <f>[1]BDD!A196</f>
        <v>1015.133</v>
      </c>
      <c r="W206" s="287" t="str">
        <f>[1]BDD!B196</f>
        <v>Patatate douce BIO avec défauts esthétiques 
    - (moyen)</v>
      </c>
      <c r="X206" s="288" t="str">
        <f>IF([1]BDD!F196=0, "", [1]BDD!F196)</f>
        <v/>
      </c>
      <c r="Y206" s="214">
        <f>ROUND([1]BDD!G196+FDP_CMD_KG, 2)</f>
        <v>2.77</v>
      </c>
      <c r="Z206" s="214">
        <f>ROUND([1]BDD!G196+FDP_FACT_KG, 2)</f>
        <v>2.77</v>
      </c>
      <c r="AA206" s="215" t="str">
        <f>[1]BDD!H196</f>
        <v>kg</v>
      </c>
      <c r="AB206" s="225">
        <f>IF(NOT(ISBLANK([1]BDD!I196)), ROUND(SUM(([1]BDD!G196*reduc1),FDP_CMD_KG), 2), "")</f>
        <v>2.58</v>
      </c>
      <c r="AC206" s="225">
        <f>IF(NOT(ISBLANK([1]BDD!J196)), ROUND(SUM(([1]BDD!G196*reduc2),FDP_CMD_KG), 2), "")</f>
        <v>2.39</v>
      </c>
      <c r="AD206" s="225">
        <f>IF(NOT(ISBLANK([1]BDD!K196)), ROUND(SUM(([1]BDD!G196*reduc3),FDP_CMD_KG), 2), "")</f>
        <v>2.2000000000000002</v>
      </c>
      <c r="AE206" s="225">
        <f>IF(NOT(ISBLANK([1]BDD!I196)), ROUND(SUM(([1]BDD!G196*reduc1),FDP_FACT_KG), 2), "")</f>
        <v>2.58</v>
      </c>
      <c r="AF206" s="225">
        <f>IF(NOT(ISBLANK([1]BDD!J196)), ROUND(SUM(([1]BDD!G196*reduc2),FDP_FACT_KG), 2), "")</f>
        <v>2.39</v>
      </c>
      <c r="AG206" s="225">
        <f>IF(NOT(ISBLANK([1]BDD!K196)), ROUND(SUM(([1]BDD!G196*reduc3),FDP_FACT_KG), 2), "")</f>
        <v>2.2000000000000002</v>
      </c>
      <c r="AH206" s="289" t="str">
        <f>[1]BDD!C196</f>
        <v>Malaga</v>
      </c>
      <c r="AI206" s="290">
        <f t="shared" si="215"/>
        <v>0</v>
      </c>
      <c r="AJ206" s="216">
        <f t="shared" si="216"/>
        <v>2.2000000000000002</v>
      </c>
      <c r="AK206" s="291">
        <f t="shared" si="217"/>
        <v>0</v>
      </c>
      <c r="AL206" s="429"/>
      <c r="AM206" s="292"/>
      <c r="AN206" s="216">
        <f t="shared" si="218"/>
        <v>2.77</v>
      </c>
      <c r="AO206" s="293">
        <f t="shared" si="219"/>
        <v>0</v>
      </c>
      <c r="AP206" s="294"/>
      <c r="AQ206" s="294"/>
      <c r="AR206" s="429"/>
      <c r="AS206" s="295">
        <f t="shared" si="220"/>
        <v>0</v>
      </c>
      <c r="AT206" s="216">
        <f t="shared" si="221"/>
        <v>2.77</v>
      </c>
      <c r="AU206" s="291">
        <f t="shared" si="208"/>
        <v>0</v>
      </c>
      <c r="AV206" s="296">
        <f>[1]COMMANDE!O204</f>
        <v>0</v>
      </c>
      <c r="AW206" s="297" t="str">
        <f t="shared" si="222"/>
        <v>0</v>
      </c>
      <c r="AX206" s="298">
        <f t="shared" si="223"/>
        <v>0</v>
      </c>
      <c r="AY206" s="299">
        <f>[1]COMMANDE!Q204</f>
        <v>0</v>
      </c>
      <c r="AZ206" s="297" t="str">
        <f t="shared" si="224"/>
        <v>0</v>
      </c>
      <c r="BA206" s="300">
        <f t="shared" si="225"/>
        <v>0</v>
      </c>
      <c r="BB206" s="301">
        <f>[1]COMMANDE!S204</f>
        <v>0</v>
      </c>
      <c r="BC206" s="297" t="str">
        <f t="shared" si="226"/>
        <v>0</v>
      </c>
      <c r="BD206" s="298">
        <f t="shared" si="227"/>
        <v>0</v>
      </c>
      <c r="BE206" s="299">
        <f>[1]COMMANDE!U204</f>
        <v>0</v>
      </c>
      <c r="BF206" s="297" t="str">
        <f t="shared" si="228"/>
        <v>0</v>
      </c>
      <c r="BG206" s="300">
        <f t="shared" si="229"/>
        <v>0</v>
      </c>
      <c r="BH206" s="301">
        <f>[1]COMMANDE!W204</f>
        <v>0</v>
      </c>
      <c r="BI206" s="297" t="str">
        <f t="shared" si="230"/>
        <v>0</v>
      </c>
      <c r="BJ206" s="298">
        <f t="shared" si="231"/>
        <v>0</v>
      </c>
      <c r="BK206" s="299">
        <f>[1]COMMANDE!Y204</f>
        <v>0</v>
      </c>
      <c r="BL206" s="297" t="str">
        <f t="shared" si="232"/>
        <v>0</v>
      </c>
      <c r="BM206" s="300">
        <f t="shared" si="233"/>
        <v>0</v>
      </c>
      <c r="BN206" s="301">
        <f>[1]COMMANDE!AA204</f>
        <v>0</v>
      </c>
      <c r="BO206" s="297" t="str">
        <f t="shared" si="234"/>
        <v>0</v>
      </c>
      <c r="BP206" s="298">
        <f t="shared" si="235"/>
        <v>0</v>
      </c>
      <c r="BQ206" s="299">
        <f>[1]COMMANDE!AC204</f>
        <v>0</v>
      </c>
      <c r="BR206" s="297" t="str">
        <f t="shared" si="236"/>
        <v>0</v>
      </c>
      <c r="BS206" s="300">
        <f t="shared" si="237"/>
        <v>0</v>
      </c>
      <c r="BT206" s="301">
        <f>[1]COMMANDE!AE204</f>
        <v>0</v>
      </c>
      <c r="BU206" s="297" t="str">
        <f t="shared" si="238"/>
        <v>0</v>
      </c>
      <c r="BV206" s="298">
        <f t="shared" si="239"/>
        <v>0</v>
      </c>
      <c r="BW206" s="299">
        <f>[1]COMMANDE!AG204</f>
        <v>0</v>
      </c>
      <c r="BX206" s="297" t="str">
        <f t="shared" si="240"/>
        <v>0</v>
      </c>
      <c r="BY206" s="300">
        <f t="shared" si="241"/>
        <v>0</v>
      </c>
      <c r="BZ206" s="301">
        <f>[1]COMMANDE!AI204</f>
        <v>0</v>
      </c>
      <c r="CA206" s="297" t="str">
        <f t="shared" si="242"/>
        <v>0</v>
      </c>
      <c r="CB206" s="298">
        <f t="shared" si="243"/>
        <v>0</v>
      </c>
      <c r="CC206" s="299">
        <f>[1]COMMANDE!AK204</f>
        <v>0</v>
      </c>
      <c r="CD206" s="297" t="str">
        <f t="shared" si="244"/>
        <v>0</v>
      </c>
      <c r="CE206" s="300">
        <f t="shared" si="245"/>
        <v>0</v>
      </c>
      <c r="CF206" s="301">
        <f>[1]COMMANDE!AM204</f>
        <v>0</v>
      </c>
      <c r="CG206" s="297" t="str">
        <f t="shared" si="246"/>
        <v>0</v>
      </c>
      <c r="CH206" s="298">
        <f t="shared" si="247"/>
        <v>0</v>
      </c>
      <c r="CI206" s="299">
        <f>[1]COMMANDE!AO204</f>
        <v>0</v>
      </c>
      <c r="CJ206" s="297" t="str">
        <f t="shared" si="248"/>
        <v>0</v>
      </c>
      <c r="CK206" s="300">
        <f t="shared" si="249"/>
        <v>0</v>
      </c>
      <c r="CL206" s="301">
        <f>[1]COMMANDE!AQ204</f>
        <v>0</v>
      </c>
      <c r="CM206" s="297" t="str">
        <f t="shared" si="250"/>
        <v>0</v>
      </c>
      <c r="CN206" s="298">
        <f t="shared" si="251"/>
        <v>0</v>
      </c>
      <c r="CO206" s="299">
        <f>[1]COMMANDE!AS204</f>
        <v>0</v>
      </c>
      <c r="CP206" s="297" t="str">
        <f t="shared" si="252"/>
        <v>0</v>
      </c>
      <c r="CQ206" s="300">
        <f t="shared" si="253"/>
        <v>0</v>
      </c>
      <c r="CR206" s="301">
        <f>[1]COMMANDE!AU204</f>
        <v>0</v>
      </c>
      <c r="CS206" s="297" t="str">
        <f t="shared" si="254"/>
        <v>0</v>
      </c>
      <c r="CT206" s="298">
        <f t="shared" si="255"/>
        <v>0</v>
      </c>
      <c r="CU206" s="299">
        <f>[1]COMMANDE!AW204</f>
        <v>0</v>
      </c>
      <c r="CV206" s="297" t="str">
        <f t="shared" si="256"/>
        <v>0</v>
      </c>
      <c r="CW206" s="300">
        <f t="shared" si="257"/>
        <v>0</v>
      </c>
      <c r="CX206" s="301">
        <f>[1]COMMANDE!AY204</f>
        <v>0</v>
      </c>
      <c r="CY206" s="297" t="str">
        <f t="shared" si="258"/>
        <v>0</v>
      </c>
      <c r="CZ206" s="298">
        <f t="shared" si="259"/>
        <v>0</v>
      </c>
      <c r="DA206" s="299">
        <f>[1]COMMANDE!BA204</f>
        <v>0</v>
      </c>
      <c r="DB206" s="297" t="str">
        <f t="shared" si="260"/>
        <v>0</v>
      </c>
      <c r="DC206" s="302">
        <f t="shared" si="261"/>
        <v>0</v>
      </c>
      <c r="DD206" s="303"/>
      <c r="DE206" s="304"/>
    </row>
    <row r="207" spans="1:109" ht="39.950000000000003" customHeight="1" x14ac:dyDescent="0.25">
      <c r="A207" s="284">
        <f t="shared" si="140"/>
        <v>1</v>
      </c>
      <c r="B207" s="284">
        <f t="shared" si="141"/>
        <v>0</v>
      </c>
      <c r="C207" s="284">
        <f t="shared" si="142"/>
        <v>0</v>
      </c>
      <c r="D207" s="284">
        <f t="shared" si="143"/>
        <v>0</v>
      </c>
      <c r="E207" s="284">
        <f t="shared" si="144"/>
        <v>0</v>
      </c>
      <c r="F207" s="284">
        <f t="shared" si="145"/>
        <v>0</v>
      </c>
      <c r="G207" s="284">
        <f t="shared" si="146"/>
        <v>0</v>
      </c>
      <c r="H207" s="284">
        <f t="shared" si="147"/>
        <v>0</v>
      </c>
      <c r="I207" s="284">
        <f t="shared" si="148"/>
        <v>0</v>
      </c>
      <c r="J207" s="284">
        <f t="shared" si="149"/>
        <v>0</v>
      </c>
      <c r="K207" s="284">
        <f t="shared" si="150"/>
        <v>0</v>
      </c>
      <c r="L207" s="284">
        <f t="shared" si="151"/>
        <v>0</v>
      </c>
      <c r="M207" s="284">
        <f t="shared" si="152"/>
        <v>0</v>
      </c>
      <c r="N207" s="284">
        <f t="shared" si="153"/>
        <v>0</v>
      </c>
      <c r="O207" s="284">
        <f t="shared" si="154"/>
        <v>0</v>
      </c>
      <c r="P207" s="284">
        <f t="shared" si="209"/>
        <v>0</v>
      </c>
      <c r="Q207" s="284">
        <f t="shared" si="210"/>
        <v>0</v>
      </c>
      <c r="R207" s="284">
        <f t="shared" si="211"/>
        <v>0</v>
      </c>
      <c r="S207" s="284">
        <f t="shared" si="212"/>
        <v>0</v>
      </c>
      <c r="T207" s="284">
        <f t="shared" si="213"/>
        <v>0</v>
      </c>
      <c r="U207" s="285">
        <f t="shared" si="214"/>
        <v>1</v>
      </c>
      <c r="V207" s="286">
        <f>[1]BDD!A197</f>
        <v>1576</v>
      </c>
      <c r="W207" s="287" t="str">
        <f>[1]BDD!B197</f>
        <v>Patate douce BIO (grand)</v>
      </c>
      <c r="X207" s="288" t="str">
        <f>IF([1]BDD!F197=0, "", [1]BDD!F197)</f>
        <v>❤️</v>
      </c>
      <c r="Y207" s="214">
        <f>ROUND([1]BDD!G197+FDP_CMD_KG, 2)</f>
        <v>2.91</v>
      </c>
      <c r="Z207" s="214">
        <f>ROUND([1]BDD!G197+FDP_FACT_KG, 2)</f>
        <v>2.91</v>
      </c>
      <c r="AA207" s="215" t="str">
        <f>[1]BDD!H197</f>
        <v>kg</v>
      </c>
      <c r="AB207" s="225">
        <f>IF(NOT(ISBLANK([1]BDD!I197)), ROUND(SUM(([1]BDD!G197*reduc1),FDP_CMD_KG), 2), "")</f>
        <v>2.71</v>
      </c>
      <c r="AC207" s="225">
        <f>IF(NOT(ISBLANK([1]BDD!J197)), ROUND(SUM(([1]BDD!G197*reduc2),FDP_CMD_KG), 2), "")</f>
        <v>2.5099999999999998</v>
      </c>
      <c r="AD207" s="225">
        <f>IF(NOT(ISBLANK([1]BDD!K197)), ROUND(SUM(([1]BDD!G197*reduc3),FDP_CMD_KG), 2), "")</f>
        <v>2.2999999999999998</v>
      </c>
      <c r="AE207" s="225">
        <f>IF(NOT(ISBLANK([1]BDD!I197)), ROUND(SUM(([1]BDD!G197*reduc1),FDP_FACT_KG), 2), "")</f>
        <v>2.7</v>
      </c>
      <c r="AF207" s="225">
        <f>IF(NOT(ISBLANK([1]BDD!J197)), ROUND(SUM(([1]BDD!G197*reduc2),FDP_FACT_KG), 2), "")</f>
        <v>2.5</v>
      </c>
      <c r="AG207" s="225">
        <f>IF(NOT(ISBLANK([1]BDD!K197)), ROUND(SUM(([1]BDD!G197*reduc3),FDP_FACT_KG), 2), "")</f>
        <v>2.29</v>
      </c>
      <c r="AH207" s="289" t="str">
        <f>[1]BDD!C197</f>
        <v>Malaga</v>
      </c>
      <c r="AI207" s="290">
        <f t="shared" si="215"/>
        <v>5</v>
      </c>
      <c r="AJ207" s="216">
        <f t="shared" si="216"/>
        <v>2.2999999999999998</v>
      </c>
      <c r="AK207" s="291">
        <f t="shared" si="217"/>
        <v>11.5</v>
      </c>
      <c r="AL207" s="429"/>
      <c r="AM207" s="292">
        <v>5.25</v>
      </c>
      <c r="AN207" s="216">
        <f t="shared" si="218"/>
        <v>2.91</v>
      </c>
      <c r="AO207" s="293">
        <f t="shared" si="219"/>
        <v>15.2775</v>
      </c>
      <c r="AP207" s="294"/>
      <c r="AQ207" s="294"/>
      <c r="AR207" s="429"/>
      <c r="AS207" s="295">
        <f t="shared" si="220"/>
        <v>5.25</v>
      </c>
      <c r="AT207" s="216">
        <f t="shared" si="221"/>
        <v>2.91</v>
      </c>
      <c r="AU207" s="291">
        <f t="shared" si="208"/>
        <v>15.2775</v>
      </c>
      <c r="AV207" s="296">
        <f>[1]COMMANDE!O205</f>
        <v>5</v>
      </c>
      <c r="AW207" s="297">
        <f t="shared" si="222"/>
        <v>5.25</v>
      </c>
      <c r="AX207" s="298">
        <f t="shared" si="223"/>
        <v>15.2775</v>
      </c>
      <c r="AY207" s="299">
        <f>[1]COMMANDE!Q205</f>
        <v>0</v>
      </c>
      <c r="AZ207" s="297" t="str">
        <f t="shared" si="224"/>
        <v>0</v>
      </c>
      <c r="BA207" s="300">
        <f t="shared" si="225"/>
        <v>0</v>
      </c>
      <c r="BB207" s="301">
        <f>[1]COMMANDE!S205</f>
        <v>0</v>
      </c>
      <c r="BC207" s="297" t="str">
        <f t="shared" si="226"/>
        <v>0</v>
      </c>
      <c r="BD207" s="298">
        <f t="shared" si="227"/>
        <v>0</v>
      </c>
      <c r="BE207" s="299">
        <f>[1]COMMANDE!U205</f>
        <v>0</v>
      </c>
      <c r="BF207" s="297" t="str">
        <f t="shared" si="228"/>
        <v>0</v>
      </c>
      <c r="BG207" s="300">
        <f t="shared" si="229"/>
        <v>0</v>
      </c>
      <c r="BH207" s="301">
        <f>[1]COMMANDE!W205</f>
        <v>0</v>
      </c>
      <c r="BI207" s="297" t="str">
        <f t="shared" si="230"/>
        <v>0</v>
      </c>
      <c r="BJ207" s="298">
        <f t="shared" si="231"/>
        <v>0</v>
      </c>
      <c r="BK207" s="299">
        <f>[1]COMMANDE!Y205</f>
        <v>0</v>
      </c>
      <c r="BL207" s="297" t="str">
        <f t="shared" si="232"/>
        <v>0</v>
      </c>
      <c r="BM207" s="300">
        <f t="shared" si="233"/>
        <v>0</v>
      </c>
      <c r="BN207" s="301">
        <f>[1]COMMANDE!AA205</f>
        <v>0</v>
      </c>
      <c r="BO207" s="297" t="str">
        <f t="shared" si="234"/>
        <v>0</v>
      </c>
      <c r="BP207" s="298">
        <f t="shared" si="235"/>
        <v>0</v>
      </c>
      <c r="BQ207" s="299">
        <f>[1]COMMANDE!AC205</f>
        <v>0</v>
      </c>
      <c r="BR207" s="297" t="str">
        <f t="shared" si="236"/>
        <v>0</v>
      </c>
      <c r="BS207" s="300">
        <f t="shared" si="237"/>
        <v>0</v>
      </c>
      <c r="BT207" s="301">
        <f>[1]COMMANDE!AE205</f>
        <v>0</v>
      </c>
      <c r="BU207" s="297" t="str">
        <f t="shared" si="238"/>
        <v>0</v>
      </c>
      <c r="BV207" s="298">
        <f t="shared" si="239"/>
        <v>0</v>
      </c>
      <c r="BW207" s="299">
        <f>[1]COMMANDE!AG205</f>
        <v>0</v>
      </c>
      <c r="BX207" s="297" t="str">
        <f t="shared" si="240"/>
        <v>0</v>
      </c>
      <c r="BY207" s="300">
        <f t="shared" si="241"/>
        <v>0</v>
      </c>
      <c r="BZ207" s="301">
        <f>[1]COMMANDE!AI205</f>
        <v>0</v>
      </c>
      <c r="CA207" s="297" t="str">
        <f t="shared" si="242"/>
        <v>0</v>
      </c>
      <c r="CB207" s="298">
        <f t="shared" si="243"/>
        <v>0</v>
      </c>
      <c r="CC207" s="299">
        <f>[1]COMMANDE!AK205</f>
        <v>0</v>
      </c>
      <c r="CD207" s="297" t="str">
        <f t="shared" si="244"/>
        <v>0</v>
      </c>
      <c r="CE207" s="300">
        <f t="shared" si="245"/>
        <v>0</v>
      </c>
      <c r="CF207" s="301">
        <f>[1]COMMANDE!AM205</f>
        <v>0</v>
      </c>
      <c r="CG207" s="297" t="str">
        <f t="shared" si="246"/>
        <v>0</v>
      </c>
      <c r="CH207" s="298">
        <f t="shared" si="247"/>
        <v>0</v>
      </c>
      <c r="CI207" s="299">
        <f>[1]COMMANDE!AO205</f>
        <v>0</v>
      </c>
      <c r="CJ207" s="297" t="str">
        <f t="shared" si="248"/>
        <v>0</v>
      </c>
      <c r="CK207" s="300">
        <f t="shared" si="249"/>
        <v>0</v>
      </c>
      <c r="CL207" s="301">
        <f>[1]COMMANDE!AQ205</f>
        <v>0</v>
      </c>
      <c r="CM207" s="297" t="str">
        <f t="shared" si="250"/>
        <v>0</v>
      </c>
      <c r="CN207" s="298">
        <f t="shared" si="251"/>
        <v>0</v>
      </c>
      <c r="CO207" s="299">
        <f>[1]COMMANDE!AS205</f>
        <v>0</v>
      </c>
      <c r="CP207" s="297" t="str">
        <f t="shared" si="252"/>
        <v>0</v>
      </c>
      <c r="CQ207" s="300">
        <f t="shared" si="253"/>
        <v>0</v>
      </c>
      <c r="CR207" s="301">
        <f>[1]COMMANDE!AU205</f>
        <v>0</v>
      </c>
      <c r="CS207" s="297" t="str">
        <f t="shared" si="254"/>
        <v>0</v>
      </c>
      <c r="CT207" s="298">
        <f t="shared" si="255"/>
        <v>0</v>
      </c>
      <c r="CU207" s="299">
        <f>[1]COMMANDE!AW205</f>
        <v>0</v>
      </c>
      <c r="CV207" s="297" t="str">
        <f t="shared" si="256"/>
        <v>0</v>
      </c>
      <c r="CW207" s="300">
        <f t="shared" si="257"/>
        <v>0</v>
      </c>
      <c r="CX207" s="301">
        <f>[1]COMMANDE!AY205</f>
        <v>0</v>
      </c>
      <c r="CY207" s="297" t="str">
        <f t="shared" si="258"/>
        <v>0</v>
      </c>
      <c r="CZ207" s="298">
        <f t="shared" si="259"/>
        <v>0</v>
      </c>
      <c r="DA207" s="299">
        <f>[1]COMMANDE!BA205</f>
        <v>0</v>
      </c>
      <c r="DB207" s="297" t="str">
        <f t="shared" si="260"/>
        <v>0</v>
      </c>
      <c r="DC207" s="302">
        <f t="shared" si="261"/>
        <v>0</v>
      </c>
      <c r="DD207" s="303"/>
      <c r="DE207" s="304"/>
    </row>
    <row r="208" spans="1:109" ht="39.950000000000003" customHeight="1" x14ac:dyDescent="0.25">
      <c r="A208" s="284">
        <f t="shared" si="140"/>
        <v>0</v>
      </c>
      <c r="B208" s="284">
        <f t="shared" si="141"/>
        <v>0</v>
      </c>
      <c r="C208" s="284">
        <f t="shared" si="142"/>
        <v>0</v>
      </c>
      <c r="D208" s="284">
        <f t="shared" si="143"/>
        <v>0</v>
      </c>
      <c r="E208" s="284">
        <f t="shared" si="144"/>
        <v>0</v>
      </c>
      <c r="F208" s="284">
        <f t="shared" si="145"/>
        <v>0</v>
      </c>
      <c r="G208" s="284">
        <f t="shared" si="146"/>
        <v>0</v>
      </c>
      <c r="H208" s="284">
        <f t="shared" si="147"/>
        <v>0</v>
      </c>
      <c r="I208" s="284">
        <f t="shared" si="148"/>
        <v>0</v>
      </c>
      <c r="J208" s="284">
        <f t="shared" si="149"/>
        <v>0</v>
      </c>
      <c r="K208" s="284">
        <f t="shared" si="150"/>
        <v>0</v>
      </c>
      <c r="L208" s="284">
        <f t="shared" si="151"/>
        <v>0</v>
      </c>
      <c r="M208" s="284">
        <f t="shared" si="152"/>
        <v>0</v>
      </c>
      <c r="N208" s="284">
        <f t="shared" si="153"/>
        <v>0</v>
      </c>
      <c r="O208" s="284">
        <f t="shared" si="154"/>
        <v>0</v>
      </c>
      <c r="P208" s="284">
        <f t="shared" si="209"/>
        <v>0</v>
      </c>
      <c r="Q208" s="284">
        <f t="shared" si="210"/>
        <v>0</v>
      </c>
      <c r="R208" s="284">
        <f t="shared" si="211"/>
        <v>0</v>
      </c>
      <c r="S208" s="284">
        <f t="shared" si="212"/>
        <v>0</v>
      </c>
      <c r="T208" s="284">
        <f t="shared" si="213"/>
        <v>0</v>
      </c>
      <c r="U208" s="285">
        <f t="shared" si="214"/>
        <v>0</v>
      </c>
      <c r="V208" s="286" t="str">
        <f>[1]BDD!A198</f>
        <v>1015.416</v>
      </c>
      <c r="W208" s="287" t="str">
        <f>[1]BDD!B198</f>
        <v>Patate douce BIO (moyen)</v>
      </c>
      <c r="X208" s="288" t="str">
        <f>IF([1]BDD!F198=0, "", [1]BDD!F198)</f>
        <v>❤️</v>
      </c>
      <c r="Y208" s="214">
        <f>ROUND([1]BDD!G198+FDP_CMD_KG, 2)</f>
        <v>3.46</v>
      </c>
      <c r="Z208" s="214">
        <f>ROUND([1]BDD!G198+FDP_FACT_KG, 2)</f>
        <v>3.46</v>
      </c>
      <c r="AA208" s="215" t="str">
        <f>[1]BDD!H198</f>
        <v>kg</v>
      </c>
      <c r="AB208" s="225">
        <f>IF(NOT(ISBLANK([1]BDD!I198)), ROUND(SUM(([1]BDD!G198*reduc1),FDP_CMD_KG), 2), "")</f>
        <v>3.2</v>
      </c>
      <c r="AC208" s="225">
        <f>IF(NOT(ISBLANK([1]BDD!J198)), ROUND(SUM(([1]BDD!G198*reduc2),FDP_CMD_KG), 2), "")</f>
        <v>2.95</v>
      </c>
      <c r="AD208" s="225">
        <f>IF(NOT(ISBLANK([1]BDD!K198)), ROUND(SUM(([1]BDD!G198*reduc3),FDP_CMD_KG), 2), "")</f>
        <v>2.69</v>
      </c>
      <c r="AE208" s="225">
        <f>IF(NOT(ISBLANK([1]BDD!I198)), ROUND(SUM(([1]BDD!G198*reduc1),FDP_FACT_KG), 2), "")</f>
        <v>3.2</v>
      </c>
      <c r="AF208" s="225">
        <f>IF(NOT(ISBLANK([1]BDD!J198)), ROUND(SUM(([1]BDD!G198*reduc2),FDP_FACT_KG), 2), "")</f>
        <v>2.94</v>
      </c>
      <c r="AG208" s="225">
        <f>IF(NOT(ISBLANK([1]BDD!K198)), ROUND(SUM(([1]BDD!G198*reduc3),FDP_FACT_KG), 2), "")</f>
        <v>2.68</v>
      </c>
      <c r="AH208" s="289" t="str">
        <f>[1]BDD!C198</f>
        <v>Malaga</v>
      </c>
      <c r="AI208" s="290">
        <f t="shared" si="215"/>
        <v>0</v>
      </c>
      <c r="AJ208" s="216">
        <f t="shared" si="216"/>
        <v>2.69</v>
      </c>
      <c r="AK208" s="291">
        <f t="shared" si="217"/>
        <v>0</v>
      </c>
      <c r="AL208" s="429"/>
      <c r="AM208" s="292"/>
      <c r="AN208" s="216">
        <f t="shared" si="218"/>
        <v>3.46</v>
      </c>
      <c r="AO208" s="293">
        <f t="shared" si="219"/>
        <v>0</v>
      </c>
      <c r="AP208" s="294"/>
      <c r="AQ208" s="294"/>
      <c r="AR208" s="429"/>
      <c r="AS208" s="295">
        <f t="shared" si="220"/>
        <v>0</v>
      </c>
      <c r="AT208" s="216">
        <f t="shared" si="221"/>
        <v>3.46</v>
      </c>
      <c r="AU208" s="291">
        <f t="shared" si="208"/>
        <v>0</v>
      </c>
      <c r="AV208" s="296">
        <f>[1]COMMANDE!O206</f>
        <v>0</v>
      </c>
      <c r="AW208" s="297" t="str">
        <f t="shared" si="222"/>
        <v>0</v>
      </c>
      <c r="AX208" s="298">
        <f t="shared" si="223"/>
        <v>0</v>
      </c>
      <c r="AY208" s="299">
        <f>[1]COMMANDE!Q206</f>
        <v>0</v>
      </c>
      <c r="AZ208" s="297" t="str">
        <f t="shared" si="224"/>
        <v>0</v>
      </c>
      <c r="BA208" s="300">
        <f t="shared" si="225"/>
        <v>0</v>
      </c>
      <c r="BB208" s="301">
        <f>[1]COMMANDE!S206</f>
        <v>0</v>
      </c>
      <c r="BC208" s="297" t="str">
        <f t="shared" si="226"/>
        <v>0</v>
      </c>
      <c r="BD208" s="298">
        <f t="shared" si="227"/>
        <v>0</v>
      </c>
      <c r="BE208" s="299">
        <f>[1]COMMANDE!U206</f>
        <v>0</v>
      </c>
      <c r="BF208" s="297" t="str">
        <f t="shared" si="228"/>
        <v>0</v>
      </c>
      <c r="BG208" s="300">
        <f t="shared" si="229"/>
        <v>0</v>
      </c>
      <c r="BH208" s="301">
        <f>[1]COMMANDE!W206</f>
        <v>0</v>
      </c>
      <c r="BI208" s="297" t="str">
        <f t="shared" si="230"/>
        <v>0</v>
      </c>
      <c r="BJ208" s="298">
        <f t="shared" si="231"/>
        <v>0</v>
      </c>
      <c r="BK208" s="299">
        <f>[1]COMMANDE!Y206</f>
        <v>0</v>
      </c>
      <c r="BL208" s="297" t="str">
        <f t="shared" si="232"/>
        <v>0</v>
      </c>
      <c r="BM208" s="300">
        <f t="shared" si="233"/>
        <v>0</v>
      </c>
      <c r="BN208" s="301">
        <f>[1]COMMANDE!AA206</f>
        <v>0</v>
      </c>
      <c r="BO208" s="297" t="str">
        <f t="shared" si="234"/>
        <v>0</v>
      </c>
      <c r="BP208" s="298">
        <f t="shared" si="235"/>
        <v>0</v>
      </c>
      <c r="BQ208" s="299">
        <f>[1]COMMANDE!AC206</f>
        <v>0</v>
      </c>
      <c r="BR208" s="297" t="str">
        <f t="shared" si="236"/>
        <v>0</v>
      </c>
      <c r="BS208" s="300">
        <f t="shared" si="237"/>
        <v>0</v>
      </c>
      <c r="BT208" s="301">
        <f>[1]COMMANDE!AE206</f>
        <v>0</v>
      </c>
      <c r="BU208" s="297" t="str">
        <f t="shared" si="238"/>
        <v>0</v>
      </c>
      <c r="BV208" s="298">
        <f t="shared" si="239"/>
        <v>0</v>
      </c>
      <c r="BW208" s="299">
        <f>[1]COMMANDE!AG206</f>
        <v>0</v>
      </c>
      <c r="BX208" s="297" t="str">
        <f t="shared" si="240"/>
        <v>0</v>
      </c>
      <c r="BY208" s="300">
        <f t="shared" si="241"/>
        <v>0</v>
      </c>
      <c r="BZ208" s="301">
        <f>[1]COMMANDE!AI206</f>
        <v>0</v>
      </c>
      <c r="CA208" s="297" t="str">
        <f t="shared" si="242"/>
        <v>0</v>
      </c>
      <c r="CB208" s="298">
        <f t="shared" si="243"/>
        <v>0</v>
      </c>
      <c r="CC208" s="299">
        <f>[1]COMMANDE!AK206</f>
        <v>0</v>
      </c>
      <c r="CD208" s="297" t="str">
        <f t="shared" si="244"/>
        <v>0</v>
      </c>
      <c r="CE208" s="300">
        <f t="shared" si="245"/>
        <v>0</v>
      </c>
      <c r="CF208" s="301">
        <f>[1]COMMANDE!AM206</f>
        <v>0</v>
      </c>
      <c r="CG208" s="297" t="str">
        <f t="shared" si="246"/>
        <v>0</v>
      </c>
      <c r="CH208" s="298">
        <f t="shared" si="247"/>
        <v>0</v>
      </c>
      <c r="CI208" s="299">
        <f>[1]COMMANDE!AO206</f>
        <v>0</v>
      </c>
      <c r="CJ208" s="297" t="str">
        <f t="shared" si="248"/>
        <v>0</v>
      </c>
      <c r="CK208" s="300">
        <f t="shared" si="249"/>
        <v>0</v>
      </c>
      <c r="CL208" s="301">
        <f>[1]COMMANDE!AQ206</f>
        <v>0</v>
      </c>
      <c r="CM208" s="297" t="str">
        <f t="shared" si="250"/>
        <v>0</v>
      </c>
      <c r="CN208" s="298">
        <f t="shared" si="251"/>
        <v>0</v>
      </c>
      <c r="CO208" s="299">
        <f>[1]COMMANDE!AS206</f>
        <v>0</v>
      </c>
      <c r="CP208" s="297" t="str">
        <f t="shared" si="252"/>
        <v>0</v>
      </c>
      <c r="CQ208" s="300">
        <f t="shared" si="253"/>
        <v>0</v>
      </c>
      <c r="CR208" s="301">
        <f>[1]COMMANDE!AU206</f>
        <v>0</v>
      </c>
      <c r="CS208" s="297" t="str">
        <f t="shared" si="254"/>
        <v>0</v>
      </c>
      <c r="CT208" s="298">
        <f t="shared" si="255"/>
        <v>0</v>
      </c>
      <c r="CU208" s="299">
        <f>[1]COMMANDE!AW206</f>
        <v>0</v>
      </c>
      <c r="CV208" s="297" t="str">
        <f t="shared" si="256"/>
        <v>0</v>
      </c>
      <c r="CW208" s="300">
        <f t="shared" si="257"/>
        <v>0</v>
      </c>
      <c r="CX208" s="301">
        <f>[1]COMMANDE!AY206</f>
        <v>0</v>
      </c>
      <c r="CY208" s="297" t="str">
        <f t="shared" si="258"/>
        <v>0</v>
      </c>
      <c r="CZ208" s="298">
        <f t="shared" si="259"/>
        <v>0</v>
      </c>
      <c r="DA208" s="299">
        <f>[1]COMMANDE!BA206</f>
        <v>0</v>
      </c>
      <c r="DB208" s="297" t="str">
        <f t="shared" si="260"/>
        <v>0</v>
      </c>
      <c r="DC208" s="302">
        <f t="shared" si="261"/>
        <v>0</v>
      </c>
      <c r="DD208" s="303"/>
      <c r="DE208" s="304"/>
    </row>
    <row r="209" spans="1:109" ht="39.950000000000003" customHeight="1" x14ac:dyDescent="0.25">
      <c r="A209" s="284">
        <f t="shared" si="140"/>
        <v>0</v>
      </c>
      <c r="B209" s="284">
        <f t="shared" si="141"/>
        <v>0</v>
      </c>
      <c r="C209" s="284">
        <f t="shared" si="142"/>
        <v>0</v>
      </c>
      <c r="D209" s="284">
        <f t="shared" si="143"/>
        <v>0</v>
      </c>
      <c r="E209" s="284">
        <f t="shared" si="144"/>
        <v>0</v>
      </c>
      <c r="F209" s="284">
        <f t="shared" si="145"/>
        <v>0</v>
      </c>
      <c r="G209" s="284">
        <f t="shared" si="146"/>
        <v>0</v>
      </c>
      <c r="H209" s="284">
        <f t="shared" si="147"/>
        <v>0</v>
      </c>
      <c r="I209" s="284">
        <f t="shared" si="148"/>
        <v>0</v>
      </c>
      <c r="J209" s="284">
        <f t="shared" si="149"/>
        <v>0</v>
      </c>
      <c r="K209" s="284">
        <f t="shared" si="150"/>
        <v>0</v>
      </c>
      <c r="L209" s="284">
        <f t="shared" si="151"/>
        <v>0</v>
      </c>
      <c r="M209" s="284">
        <f t="shared" si="152"/>
        <v>0</v>
      </c>
      <c r="N209" s="284">
        <f t="shared" si="153"/>
        <v>0</v>
      </c>
      <c r="O209" s="284">
        <f t="shared" si="154"/>
        <v>0</v>
      </c>
      <c r="P209" s="284">
        <f t="shared" si="209"/>
        <v>0</v>
      </c>
      <c r="Q209" s="284">
        <f t="shared" si="210"/>
        <v>0</v>
      </c>
      <c r="R209" s="284">
        <f t="shared" si="211"/>
        <v>0</v>
      </c>
      <c r="S209" s="284">
        <f t="shared" si="212"/>
        <v>0</v>
      </c>
      <c r="T209" s="284">
        <f t="shared" si="213"/>
        <v>0</v>
      </c>
      <c r="U209" s="285">
        <f t="shared" si="214"/>
        <v>0</v>
      </c>
      <c r="V209" s="286">
        <f>[1]BDD!A199</f>
        <v>1761</v>
      </c>
      <c r="W209" s="287" t="str">
        <f>[1]BDD!B199</f>
        <v>Patate douce Violette BIO (Moyenne, grande) Nouvelle récolte</v>
      </c>
      <c r="X209" s="288" t="str">
        <f>IF([1]BDD!F199=0, "", [1]BDD!F199)</f>
        <v>❤️</v>
      </c>
      <c r="Y209" s="214">
        <f>ROUND([1]BDD!G199+FDP_CMD_KG, 2)</f>
        <v>4.28</v>
      </c>
      <c r="Z209" s="214">
        <f>ROUND([1]BDD!G199+FDP_FACT_KG, 2)</f>
        <v>4.28</v>
      </c>
      <c r="AA209" s="215" t="str">
        <f>[1]BDD!H199</f>
        <v>kg</v>
      </c>
      <c r="AB209" s="225">
        <f>IF(NOT(ISBLANK([1]BDD!I199)), ROUND(SUM(([1]BDD!G199*reduc1),FDP_CMD_KG), 2), "")</f>
        <v>3.94</v>
      </c>
      <c r="AC209" s="225">
        <f>IF(NOT(ISBLANK([1]BDD!J199)), ROUND(SUM(([1]BDD!G199*reduc2),FDP_CMD_KG), 2), "")</f>
        <v>3.6</v>
      </c>
      <c r="AD209" s="225">
        <f>IF(NOT(ISBLANK([1]BDD!K199)), ROUND(SUM(([1]BDD!G199*reduc3),FDP_CMD_KG), 2), "")</f>
        <v>3.26</v>
      </c>
      <c r="AE209" s="225">
        <f>IF(NOT(ISBLANK([1]BDD!I199)), ROUND(SUM(([1]BDD!G199*reduc1),FDP_FACT_KG), 2), "")</f>
        <v>3.94</v>
      </c>
      <c r="AF209" s="225">
        <f>IF(NOT(ISBLANK([1]BDD!J199)), ROUND(SUM(([1]BDD!G199*reduc2),FDP_FACT_KG), 2), "")</f>
        <v>3.59</v>
      </c>
      <c r="AG209" s="225">
        <f>IF(NOT(ISBLANK([1]BDD!K199)), ROUND(SUM(([1]BDD!G199*reduc3),FDP_FACT_KG), 2), "")</f>
        <v>3.25</v>
      </c>
      <c r="AH209" s="289" t="str">
        <f>[1]BDD!C199</f>
        <v>Malaga</v>
      </c>
      <c r="AI209" s="290">
        <f t="shared" si="215"/>
        <v>0</v>
      </c>
      <c r="AJ209" s="216">
        <f t="shared" si="216"/>
        <v>3.26</v>
      </c>
      <c r="AK209" s="291">
        <f t="shared" si="217"/>
        <v>0</v>
      </c>
      <c r="AL209" s="429"/>
      <c r="AM209" s="292"/>
      <c r="AN209" s="216">
        <f t="shared" si="218"/>
        <v>4.28</v>
      </c>
      <c r="AO209" s="293">
        <f t="shared" si="219"/>
        <v>0</v>
      </c>
      <c r="AP209" s="294"/>
      <c r="AQ209" s="294"/>
      <c r="AR209" s="429"/>
      <c r="AS209" s="295">
        <f t="shared" si="220"/>
        <v>0</v>
      </c>
      <c r="AT209" s="216">
        <f t="shared" si="221"/>
        <v>4.28</v>
      </c>
      <c r="AU209" s="291">
        <f t="shared" si="208"/>
        <v>0</v>
      </c>
      <c r="AV209" s="296">
        <f>[1]COMMANDE!O207</f>
        <v>0</v>
      </c>
      <c r="AW209" s="297" t="str">
        <f t="shared" si="222"/>
        <v>0</v>
      </c>
      <c r="AX209" s="298">
        <f t="shared" si="223"/>
        <v>0</v>
      </c>
      <c r="AY209" s="299">
        <f>[1]COMMANDE!Q207</f>
        <v>0</v>
      </c>
      <c r="AZ209" s="297" t="str">
        <f t="shared" si="224"/>
        <v>0</v>
      </c>
      <c r="BA209" s="300">
        <f t="shared" si="225"/>
        <v>0</v>
      </c>
      <c r="BB209" s="301">
        <f>[1]COMMANDE!S207</f>
        <v>0</v>
      </c>
      <c r="BC209" s="297" t="str">
        <f t="shared" si="226"/>
        <v>0</v>
      </c>
      <c r="BD209" s="298">
        <f t="shared" si="227"/>
        <v>0</v>
      </c>
      <c r="BE209" s="299">
        <f>[1]COMMANDE!U207</f>
        <v>0</v>
      </c>
      <c r="BF209" s="297" t="str">
        <f t="shared" si="228"/>
        <v>0</v>
      </c>
      <c r="BG209" s="300">
        <f t="shared" si="229"/>
        <v>0</v>
      </c>
      <c r="BH209" s="301">
        <f>[1]COMMANDE!W207</f>
        <v>0</v>
      </c>
      <c r="BI209" s="297" t="str">
        <f t="shared" si="230"/>
        <v>0</v>
      </c>
      <c r="BJ209" s="298">
        <f t="shared" si="231"/>
        <v>0</v>
      </c>
      <c r="BK209" s="299">
        <f>[1]COMMANDE!Y207</f>
        <v>0</v>
      </c>
      <c r="BL209" s="297" t="str">
        <f t="shared" si="232"/>
        <v>0</v>
      </c>
      <c r="BM209" s="300">
        <f t="shared" si="233"/>
        <v>0</v>
      </c>
      <c r="BN209" s="301">
        <f>[1]COMMANDE!AA207</f>
        <v>0</v>
      </c>
      <c r="BO209" s="297" t="str">
        <f t="shared" si="234"/>
        <v>0</v>
      </c>
      <c r="BP209" s="298">
        <f t="shared" si="235"/>
        <v>0</v>
      </c>
      <c r="BQ209" s="299">
        <f>[1]COMMANDE!AC207</f>
        <v>0</v>
      </c>
      <c r="BR209" s="297" t="str">
        <f t="shared" si="236"/>
        <v>0</v>
      </c>
      <c r="BS209" s="300">
        <f t="shared" si="237"/>
        <v>0</v>
      </c>
      <c r="BT209" s="301">
        <f>[1]COMMANDE!AE207</f>
        <v>0</v>
      </c>
      <c r="BU209" s="297" t="str">
        <f t="shared" si="238"/>
        <v>0</v>
      </c>
      <c r="BV209" s="298">
        <f t="shared" si="239"/>
        <v>0</v>
      </c>
      <c r="BW209" s="299">
        <f>[1]COMMANDE!AG207</f>
        <v>0</v>
      </c>
      <c r="BX209" s="297" t="str">
        <f t="shared" si="240"/>
        <v>0</v>
      </c>
      <c r="BY209" s="300">
        <f t="shared" si="241"/>
        <v>0</v>
      </c>
      <c r="BZ209" s="301">
        <f>[1]COMMANDE!AI207</f>
        <v>0</v>
      </c>
      <c r="CA209" s="297" t="str">
        <f t="shared" si="242"/>
        <v>0</v>
      </c>
      <c r="CB209" s="298">
        <f t="shared" si="243"/>
        <v>0</v>
      </c>
      <c r="CC209" s="299">
        <f>[1]COMMANDE!AK207</f>
        <v>0</v>
      </c>
      <c r="CD209" s="297" t="str">
        <f t="shared" si="244"/>
        <v>0</v>
      </c>
      <c r="CE209" s="300">
        <f t="shared" si="245"/>
        <v>0</v>
      </c>
      <c r="CF209" s="301">
        <f>[1]COMMANDE!AM207</f>
        <v>0</v>
      </c>
      <c r="CG209" s="297" t="str">
        <f t="shared" si="246"/>
        <v>0</v>
      </c>
      <c r="CH209" s="298">
        <f t="shared" si="247"/>
        <v>0</v>
      </c>
      <c r="CI209" s="299">
        <f>[1]COMMANDE!AO207</f>
        <v>0</v>
      </c>
      <c r="CJ209" s="297" t="str">
        <f t="shared" si="248"/>
        <v>0</v>
      </c>
      <c r="CK209" s="300">
        <f t="shared" si="249"/>
        <v>0</v>
      </c>
      <c r="CL209" s="301">
        <f>[1]COMMANDE!AQ207</f>
        <v>0</v>
      </c>
      <c r="CM209" s="297" t="str">
        <f t="shared" si="250"/>
        <v>0</v>
      </c>
      <c r="CN209" s="298">
        <f t="shared" si="251"/>
        <v>0</v>
      </c>
      <c r="CO209" s="299">
        <f>[1]COMMANDE!AS207</f>
        <v>0</v>
      </c>
      <c r="CP209" s="297" t="str">
        <f t="shared" si="252"/>
        <v>0</v>
      </c>
      <c r="CQ209" s="300">
        <f t="shared" si="253"/>
        <v>0</v>
      </c>
      <c r="CR209" s="301">
        <f>[1]COMMANDE!AU207</f>
        <v>0</v>
      </c>
      <c r="CS209" s="297" t="str">
        <f t="shared" si="254"/>
        <v>0</v>
      </c>
      <c r="CT209" s="298">
        <f t="shared" si="255"/>
        <v>0</v>
      </c>
      <c r="CU209" s="299">
        <f>[1]COMMANDE!AW207</f>
        <v>0</v>
      </c>
      <c r="CV209" s="297" t="str">
        <f t="shared" si="256"/>
        <v>0</v>
      </c>
      <c r="CW209" s="300">
        <f t="shared" si="257"/>
        <v>0</v>
      </c>
      <c r="CX209" s="301">
        <f>[1]COMMANDE!AY207</f>
        <v>0</v>
      </c>
      <c r="CY209" s="297" t="str">
        <f t="shared" si="258"/>
        <v>0</v>
      </c>
      <c r="CZ209" s="298">
        <f t="shared" si="259"/>
        <v>0</v>
      </c>
      <c r="DA209" s="299">
        <f>[1]COMMANDE!BA207</f>
        <v>0</v>
      </c>
      <c r="DB209" s="297" t="str">
        <f t="shared" si="260"/>
        <v>0</v>
      </c>
      <c r="DC209" s="302">
        <f t="shared" si="261"/>
        <v>0</v>
      </c>
      <c r="DD209" s="303"/>
      <c r="DE209" s="304"/>
    </row>
    <row r="210" spans="1:109" ht="39.950000000000003" customHeight="1" x14ac:dyDescent="0.25">
      <c r="A210" s="284">
        <f t="shared" si="140"/>
        <v>0</v>
      </c>
      <c r="B210" s="284">
        <f t="shared" si="141"/>
        <v>0</v>
      </c>
      <c r="C210" s="284">
        <f t="shared" si="142"/>
        <v>0</v>
      </c>
      <c r="D210" s="284">
        <f t="shared" si="143"/>
        <v>0</v>
      </c>
      <c r="E210" s="284">
        <f t="shared" si="144"/>
        <v>0</v>
      </c>
      <c r="F210" s="284">
        <f t="shared" si="145"/>
        <v>0</v>
      </c>
      <c r="G210" s="284">
        <f t="shared" si="146"/>
        <v>0</v>
      </c>
      <c r="H210" s="284">
        <f t="shared" si="147"/>
        <v>0</v>
      </c>
      <c r="I210" s="284">
        <f t="shared" si="148"/>
        <v>0</v>
      </c>
      <c r="J210" s="284">
        <f t="shared" si="149"/>
        <v>0</v>
      </c>
      <c r="K210" s="284">
        <f t="shared" si="150"/>
        <v>0</v>
      </c>
      <c r="L210" s="284">
        <f t="shared" si="151"/>
        <v>0</v>
      </c>
      <c r="M210" s="284">
        <f t="shared" si="152"/>
        <v>0</v>
      </c>
      <c r="N210" s="284">
        <f t="shared" si="153"/>
        <v>0</v>
      </c>
      <c r="O210" s="284">
        <f t="shared" si="154"/>
        <v>0</v>
      </c>
      <c r="P210" s="284">
        <f t="shared" si="209"/>
        <v>0</v>
      </c>
      <c r="Q210" s="284">
        <f t="shared" si="210"/>
        <v>0</v>
      </c>
      <c r="R210" s="284">
        <f t="shared" si="211"/>
        <v>0</v>
      </c>
      <c r="S210" s="284">
        <f t="shared" si="212"/>
        <v>0</v>
      </c>
      <c r="T210" s="284">
        <f t="shared" si="213"/>
        <v>0</v>
      </c>
      <c r="U210" s="285">
        <f t="shared" si="214"/>
        <v>0</v>
      </c>
      <c r="V210" s="286">
        <f>[1]BDD!A200</f>
        <v>6179</v>
      </c>
      <c r="W210" s="287" t="str">
        <f>[1]BDD!B200</f>
        <v>Pâte de Datte BIO</v>
      </c>
      <c r="X210" s="288" t="str">
        <f>IF([1]BDD!F200=0, "", [1]BDD!F200)</f>
        <v/>
      </c>
      <c r="Y210" s="214">
        <f>ROUND([1]BDD!G200+FDP_CMD_KG, 2)</f>
        <v>7.69</v>
      </c>
      <c r="Z210" s="214">
        <f>ROUND([1]BDD!G200+FDP_FACT_KG, 2)</f>
        <v>7.69</v>
      </c>
      <c r="AA210" s="215" t="str">
        <f>[1]BDD!H200</f>
        <v>kg</v>
      </c>
      <c r="AB210" s="225">
        <f>IF(NOT(ISBLANK([1]BDD!I200)), ROUND(SUM(([1]BDD!G200*reduc1),FDP_CMD_KG), 2), "")</f>
        <v>7.01</v>
      </c>
      <c r="AC210" s="225" t="str">
        <f>IF(NOT(ISBLANK([1]BDD!J200)), ROUND(SUM(([1]BDD!G200*reduc2),FDP_CMD_KG), 2), "")</f>
        <v/>
      </c>
      <c r="AD210" s="225" t="str">
        <f>IF(NOT(ISBLANK([1]BDD!K200)), ROUND(SUM(([1]BDD!G200*reduc3),FDP_CMD_KG), 2), "")</f>
        <v/>
      </c>
      <c r="AE210" s="225">
        <f>IF(NOT(ISBLANK([1]BDD!I200)), ROUND(SUM(([1]BDD!G200*reduc1),FDP_FACT_KG), 2), "")</f>
        <v>7</v>
      </c>
      <c r="AF210" s="225" t="str">
        <f>IF(NOT(ISBLANK([1]BDD!J200)), ROUND(SUM(([1]BDD!G200*reduc2),FDP_FACT_KG), 2), "")</f>
        <v/>
      </c>
      <c r="AG210" s="225" t="str">
        <f>IF(NOT(ISBLANK([1]BDD!K200)), ROUND(SUM(([1]BDD!G200*reduc3),FDP_FACT_KG), 2), "")</f>
        <v/>
      </c>
      <c r="AH210" s="289" t="str">
        <f>[1]BDD!C200</f>
        <v>Israël</v>
      </c>
      <c r="AI210" s="290">
        <f t="shared" si="215"/>
        <v>0</v>
      </c>
      <c r="AJ210" s="216">
        <f t="shared" si="216"/>
        <v>7.01</v>
      </c>
      <c r="AK210" s="291">
        <f t="shared" si="217"/>
        <v>0</v>
      </c>
      <c r="AL210" s="429"/>
      <c r="AM210" s="292"/>
      <c r="AN210" s="216">
        <f t="shared" si="218"/>
        <v>7.69</v>
      </c>
      <c r="AO210" s="293">
        <f t="shared" si="219"/>
        <v>0</v>
      </c>
      <c r="AP210" s="294"/>
      <c r="AQ210" s="294"/>
      <c r="AR210" s="429"/>
      <c r="AS210" s="295">
        <f t="shared" si="220"/>
        <v>0</v>
      </c>
      <c r="AT210" s="216">
        <f t="shared" si="221"/>
        <v>7.69</v>
      </c>
      <c r="AU210" s="291">
        <f t="shared" si="208"/>
        <v>0</v>
      </c>
      <c r="AV210" s="296">
        <f>[1]COMMANDE!O208</f>
        <v>0</v>
      </c>
      <c r="AW210" s="297" t="str">
        <f t="shared" si="222"/>
        <v>0</v>
      </c>
      <c r="AX210" s="298">
        <f t="shared" si="223"/>
        <v>0</v>
      </c>
      <c r="AY210" s="299">
        <f>[1]COMMANDE!Q208</f>
        <v>0</v>
      </c>
      <c r="AZ210" s="297" t="str">
        <f t="shared" si="224"/>
        <v>0</v>
      </c>
      <c r="BA210" s="300">
        <f t="shared" si="225"/>
        <v>0</v>
      </c>
      <c r="BB210" s="301">
        <f>[1]COMMANDE!S208</f>
        <v>0</v>
      </c>
      <c r="BC210" s="297" t="str">
        <f t="shared" si="226"/>
        <v>0</v>
      </c>
      <c r="BD210" s="298">
        <f t="shared" si="227"/>
        <v>0</v>
      </c>
      <c r="BE210" s="299">
        <f>[1]COMMANDE!U208</f>
        <v>0</v>
      </c>
      <c r="BF210" s="297" t="str">
        <f t="shared" si="228"/>
        <v>0</v>
      </c>
      <c r="BG210" s="300">
        <f t="shared" si="229"/>
        <v>0</v>
      </c>
      <c r="BH210" s="301">
        <f>[1]COMMANDE!W208</f>
        <v>0</v>
      </c>
      <c r="BI210" s="297" t="str">
        <f t="shared" si="230"/>
        <v>0</v>
      </c>
      <c r="BJ210" s="298">
        <f t="shared" si="231"/>
        <v>0</v>
      </c>
      <c r="BK210" s="299">
        <f>[1]COMMANDE!Y208</f>
        <v>0</v>
      </c>
      <c r="BL210" s="297" t="str">
        <f t="shared" si="232"/>
        <v>0</v>
      </c>
      <c r="BM210" s="300">
        <f t="shared" si="233"/>
        <v>0</v>
      </c>
      <c r="BN210" s="301">
        <f>[1]COMMANDE!AA208</f>
        <v>0</v>
      </c>
      <c r="BO210" s="297" t="str">
        <f t="shared" si="234"/>
        <v>0</v>
      </c>
      <c r="BP210" s="298">
        <f t="shared" si="235"/>
        <v>0</v>
      </c>
      <c r="BQ210" s="299">
        <f>[1]COMMANDE!AC208</f>
        <v>0</v>
      </c>
      <c r="BR210" s="297" t="str">
        <f t="shared" si="236"/>
        <v>0</v>
      </c>
      <c r="BS210" s="300">
        <f t="shared" si="237"/>
        <v>0</v>
      </c>
      <c r="BT210" s="301">
        <f>[1]COMMANDE!AE208</f>
        <v>0</v>
      </c>
      <c r="BU210" s="297" t="str">
        <f t="shared" si="238"/>
        <v>0</v>
      </c>
      <c r="BV210" s="298">
        <f t="shared" si="239"/>
        <v>0</v>
      </c>
      <c r="BW210" s="299">
        <f>[1]COMMANDE!AG208</f>
        <v>0</v>
      </c>
      <c r="BX210" s="297" t="str">
        <f t="shared" si="240"/>
        <v>0</v>
      </c>
      <c r="BY210" s="300">
        <f t="shared" si="241"/>
        <v>0</v>
      </c>
      <c r="BZ210" s="301">
        <f>[1]COMMANDE!AI208</f>
        <v>0</v>
      </c>
      <c r="CA210" s="297" t="str">
        <f t="shared" si="242"/>
        <v>0</v>
      </c>
      <c r="CB210" s="298">
        <f t="shared" si="243"/>
        <v>0</v>
      </c>
      <c r="CC210" s="299">
        <f>[1]COMMANDE!AK208</f>
        <v>0</v>
      </c>
      <c r="CD210" s="297" t="str">
        <f t="shared" si="244"/>
        <v>0</v>
      </c>
      <c r="CE210" s="300">
        <f t="shared" si="245"/>
        <v>0</v>
      </c>
      <c r="CF210" s="301">
        <f>[1]COMMANDE!AM208</f>
        <v>0</v>
      </c>
      <c r="CG210" s="297" t="str">
        <f t="shared" si="246"/>
        <v>0</v>
      </c>
      <c r="CH210" s="298">
        <f t="shared" si="247"/>
        <v>0</v>
      </c>
      <c r="CI210" s="299">
        <f>[1]COMMANDE!AO208</f>
        <v>0</v>
      </c>
      <c r="CJ210" s="297" t="str">
        <f t="shared" si="248"/>
        <v>0</v>
      </c>
      <c r="CK210" s="300">
        <f t="shared" si="249"/>
        <v>0</v>
      </c>
      <c r="CL210" s="301">
        <f>[1]COMMANDE!AQ208</f>
        <v>0</v>
      </c>
      <c r="CM210" s="297" t="str">
        <f t="shared" si="250"/>
        <v>0</v>
      </c>
      <c r="CN210" s="298">
        <f t="shared" si="251"/>
        <v>0</v>
      </c>
      <c r="CO210" s="299">
        <f>[1]COMMANDE!AS208</f>
        <v>0</v>
      </c>
      <c r="CP210" s="297" t="str">
        <f t="shared" si="252"/>
        <v>0</v>
      </c>
      <c r="CQ210" s="300">
        <f t="shared" si="253"/>
        <v>0</v>
      </c>
      <c r="CR210" s="301">
        <f>[1]COMMANDE!AU208</f>
        <v>0</v>
      </c>
      <c r="CS210" s="297" t="str">
        <f t="shared" si="254"/>
        <v>0</v>
      </c>
      <c r="CT210" s="298">
        <f t="shared" si="255"/>
        <v>0</v>
      </c>
      <c r="CU210" s="299">
        <f>[1]COMMANDE!AW208</f>
        <v>0</v>
      </c>
      <c r="CV210" s="297" t="str">
        <f t="shared" si="256"/>
        <v>0</v>
      </c>
      <c r="CW210" s="300">
        <f t="shared" si="257"/>
        <v>0</v>
      </c>
      <c r="CX210" s="301">
        <f>[1]COMMANDE!AY208</f>
        <v>0</v>
      </c>
      <c r="CY210" s="297" t="str">
        <f t="shared" si="258"/>
        <v>0</v>
      </c>
      <c r="CZ210" s="298">
        <f t="shared" si="259"/>
        <v>0</v>
      </c>
      <c r="DA210" s="299">
        <f>[1]COMMANDE!BA208</f>
        <v>0</v>
      </c>
      <c r="DB210" s="297" t="str">
        <f t="shared" si="260"/>
        <v>0</v>
      </c>
      <c r="DC210" s="302">
        <f t="shared" si="261"/>
        <v>0</v>
      </c>
      <c r="DD210" s="303"/>
      <c r="DE210" s="304"/>
    </row>
    <row r="211" spans="1:109" ht="39.950000000000003" customHeight="1" x14ac:dyDescent="0.25">
      <c r="A211" s="307">
        <f t="shared" si="140"/>
        <v>0</v>
      </c>
      <c r="B211" s="307">
        <f t="shared" si="141"/>
        <v>0</v>
      </c>
      <c r="C211" s="307">
        <f t="shared" si="142"/>
        <v>0</v>
      </c>
      <c r="D211" s="307">
        <f t="shared" si="143"/>
        <v>0</v>
      </c>
      <c r="E211" s="307">
        <f t="shared" si="144"/>
        <v>0</v>
      </c>
      <c r="F211" s="307">
        <f t="shared" si="145"/>
        <v>0</v>
      </c>
      <c r="G211" s="307">
        <f t="shared" si="146"/>
        <v>0</v>
      </c>
      <c r="H211" s="307">
        <f t="shared" si="147"/>
        <v>0</v>
      </c>
      <c r="I211" s="307">
        <f t="shared" si="148"/>
        <v>0</v>
      </c>
      <c r="J211" s="307">
        <f t="shared" si="149"/>
        <v>0</v>
      </c>
      <c r="K211" s="307">
        <f t="shared" si="150"/>
        <v>0</v>
      </c>
      <c r="L211" s="307">
        <f t="shared" si="151"/>
        <v>0</v>
      </c>
      <c r="M211" s="307">
        <f t="shared" si="152"/>
        <v>0</v>
      </c>
      <c r="N211" s="307">
        <f t="shared" si="153"/>
        <v>0</v>
      </c>
      <c r="O211" s="307">
        <f t="shared" si="154"/>
        <v>0</v>
      </c>
      <c r="P211" s="284">
        <f t="shared" si="209"/>
        <v>0</v>
      </c>
      <c r="Q211" s="284">
        <f t="shared" si="210"/>
        <v>0</v>
      </c>
      <c r="R211" s="284">
        <f t="shared" si="211"/>
        <v>0</v>
      </c>
      <c r="S211" s="284">
        <f t="shared" si="212"/>
        <v>0</v>
      </c>
      <c r="T211" s="284">
        <f t="shared" si="213"/>
        <v>0</v>
      </c>
      <c r="U211" s="285">
        <f t="shared" si="214"/>
        <v>0</v>
      </c>
      <c r="V211" s="286">
        <f>[1]BDD!A201</f>
        <v>6584</v>
      </c>
      <c r="W211" s="287" t="str">
        <f>[1]BDD!B201</f>
        <v>Piment picant de la Vera BIO (env. 1kg)</v>
      </c>
      <c r="X211" s="288" t="str">
        <f>IF([1]BDD!F201=0, "", [1]BDD!F201)</f>
        <v/>
      </c>
      <c r="Y211" s="214">
        <f>ROUND([1]BDD!G201+FDP_CMD_KG, 2)</f>
        <v>17.28</v>
      </c>
      <c r="Z211" s="214">
        <f>ROUND([1]BDD!G201+FDP_FACT_KG, 2)</f>
        <v>17.28</v>
      </c>
      <c r="AA211" s="215" t="str">
        <f>[1]BDD!H201</f>
        <v>Pièce</v>
      </c>
      <c r="AB211" s="225" t="str">
        <f>IF(NOT(ISBLANK([1]BDD!I201)), ROUND(SUM(([1]BDD!G201*reduc1),FDP_CMD_KG), 2), "")</f>
        <v/>
      </c>
      <c r="AC211" s="225" t="str">
        <f>IF(NOT(ISBLANK([1]BDD!J201)), ROUND(SUM(([1]BDD!G201*reduc2),FDP_CMD_KG), 2), "")</f>
        <v/>
      </c>
      <c r="AD211" s="225" t="str">
        <f>IF(NOT(ISBLANK([1]BDD!K201)), ROUND(SUM(([1]BDD!G201*reduc3),FDP_CMD_KG), 2), "")</f>
        <v/>
      </c>
      <c r="AE211" s="225" t="str">
        <f>IF(NOT(ISBLANK([1]BDD!I201)), ROUND(SUM(([1]BDD!G201*reduc1),FDP_FACT_KG), 2), "")</f>
        <v/>
      </c>
      <c r="AF211" s="225" t="str">
        <f>IF(NOT(ISBLANK([1]BDD!J201)), ROUND(SUM(([1]BDD!G201*reduc2),FDP_FACT_KG), 2), "")</f>
        <v/>
      </c>
      <c r="AG211" s="225" t="str">
        <f>IF(NOT(ISBLANK([1]BDD!K201)), ROUND(SUM(([1]BDD!G201*reduc3),FDP_FACT_KG), 2), "")</f>
        <v/>
      </c>
      <c r="AH211" s="289" t="str">
        <f>[1]BDD!C201</f>
        <v>Sierra de Gredos</v>
      </c>
      <c r="AI211" s="290">
        <f t="shared" si="215"/>
        <v>0</v>
      </c>
      <c r="AJ211" s="216">
        <f t="shared" si="216"/>
        <v>17.28</v>
      </c>
      <c r="AK211" s="291">
        <f t="shared" si="217"/>
        <v>0</v>
      </c>
      <c r="AL211" s="429"/>
      <c r="AM211" s="292"/>
      <c r="AN211" s="216">
        <f t="shared" si="218"/>
        <v>17.28</v>
      </c>
      <c r="AO211" s="293">
        <f t="shared" si="219"/>
        <v>0</v>
      </c>
      <c r="AP211" s="294"/>
      <c r="AQ211" s="294"/>
      <c r="AR211" s="429"/>
      <c r="AS211" s="295">
        <f t="shared" si="220"/>
        <v>0</v>
      </c>
      <c r="AT211" s="216">
        <f t="shared" si="221"/>
        <v>17.28</v>
      </c>
      <c r="AU211" s="291">
        <f t="shared" si="208"/>
        <v>0</v>
      </c>
      <c r="AV211" s="296">
        <f>[1]COMMANDE!O209</f>
        <v>0</v>
      </c>
      <c r="AW211" s="297" t="str">
        <f t="shared" si="222"/>
        <v>0</v>
      </c>
      <c r="AX211" s="298">
        <f t="shared" si="223"/>
        <v>0</v>
      </c>
      <c r="AY211" s="299">
        <f>[1]COMMANDE!Q209</f>
        <v>0</v>
      </c>
      <c r="AZ211" s="297" t="str">
        <f t="shared" si="224"/>
        <v>0</v>
      </c>
      <c r="BA211" s="300">
        <f t="shared" si="225"/>
        <v>0</v>
      </c>
      <c r="BB211" s="301">
        <f>[1]COMMANDE!S209</f>
        <v>0</v>
      </c>
      <c r="BC211" s="297" t="str">
        <f t="shared" si="226"/>
        <v>0</v>
      </c>
      <c r="BD211" s="298">
        <f t="shared" si="227"/>
        <v>0</v>
      </c>
      <c r="BE211" s="299">
        <f>[1]COMMANDE!U209</f>
        <v>0</v>
      </c>
      <c r="BF211" s="297" t="str">
        <f t="shared" si="228"/>
        <v>0</v>
      </c>
      <c r="BG211" s="300">
        <f t="shared" si="229"/>
        <v>0</v>
      </c>
      <c r="BH211" s="301">
        <f>[1]COMMANDE!W209</f>
        <v>0</v>
      </c>
      <c r="BI211" s="297" t="str">
        <f t="shared" si="230"/>
        <v>0</v>
      </c>
      <c r="BJ211" s="298">
        <f t="shared" si="231"/>
        <v>0</v>
      </c>
      <c r="BK211" s="299">
        <f>[1]COMMANDE!Y209</f>
        <v>0</v>
      </c>
      <c r="BL211" s="297" t="str">
        <f t="shared" si="232"/>
        <v>0</v>
      </c>
      <c r="BM211" s="300">
        <f t="shared" si="233"/>
        <v>0</v>
      </c>
      <c r="BN211" s="301">
        <f>[1]COMMANDE!AA209</f>
        <v>0</v>
      </c>
      <c r="BO211" s="297" t="str">
        <f t="shared" si="234"/>
        <v>0</v>
      </c>
      <c r="BP211" s="298">
        <f t="shared" si="235"/>
        <v>0</v>
      </c>
      <c r="BQ211" s="299">
        <f>[1]COMMANDE!AC209</f>
        <v>0</v>
      </c>
      <c r="BR211" s="297" t="str">
        <f t="shared" si="236"/>
        <v>0</v>
      </c>
      <c r="BS211" s="300">
        <f t="shared" si="237"/>
        <v>0</v>
      </c>
      <c r="BT211" s="301">
        <f>[1]COMMANDE!AE209</f>
        <v>0</v>
      </c>
      <c r="BU211" s="297" t="str">
        <f t="shared" si="238"/>
        <v>0</v>
      </c>
      <c r="BV211" s="298">
        <f t="shared" si="239"/>
        <v>0</v>
      </c>
      <c r="BW211" s="299">
        <f>[1]COMMANDE!AG209</f>
        <v>0</v>
      </c>
      <c r="BX211" s="297" t="str">
        <f t="shared" si="240"/>
        <v>0</v>
      </c>
      <c r="BY211" s="300">
        <f t="shared" si="241"/>
        <v>0</v>
      </c>
      <c r="BZ211" s="301">
        <f>[1]COMMANDE!AI209</f>
        <v>0</v>
      </c>
      <c r="CA211" s="297" t="str">
        <f t="shared" si="242"/>
        <v>0</v>
      </c>
      <c r="CB211" s="298">
        <f t="shared" si="243"/>
        <v>0</v>
      </c>
      <c r="CC211" s="299">
        <f>[1]COMMANDE!AK209</f>
        <v>0</v>
      </c>
      <c r="CD211" s="297" t="str">
        <f t="shared" si="244"/>
        <v>0</v>
      </c>
      <c r="CE211" s="300">
        <f t="shared" si="245"/>
        <v>0</v>
      </c>
      <c r="CF211" s="301">
        <f>[1]COMMANDE!AM209</f>
        <v>0</v>
      </c>
      <c r="CG211" s="297" t="str">
        <f t="shared" si="246"/>
        <v>0</v>
      </c>
      <c r="CH211" s="298">
        <f t="shared" si="247"/>
        <v>0</v>
      </c>
      <c r="CI211" s="299">
        <f>[1]COMMANDE!AO209</f>
        <v>0</v>
      </c>
      <c r="CJ211" s="297" t="str">
        <f t="shared" si="248"/>
        <v>0</v>
      </c>
      <c r="CK211" s="300">
        <f t="shared" si="249"/>
        <v>0</v>
      </c>
      <c r="CL211" s="301">
        <f>[1]COMMANDE!AQ209</f>
        <v>0</v>
      </c>
      <c r="CM211" s="297" t="str">
        <f t="shared" si="250"/>
        <v>0</v>
      </c>
      <c r="CN211" s="298">
        <f t="shared" si="251"/>
        <v>0</v>
      </c>
      <c r="CO211" s="299">
        <f>[1]COMMANDE!AS209</f>
        <v>0</v>
      </c>
      <c r="CP211" s="297" t="str">
        <f t="shared" si="252"/>
        <v>0</v>
      </c>
      <c r="CQ211" s="300">
        <f t="shared" si="253"/>
        <v>0</v>
      </c>
      <c r="CR211" s="301">
        <f>[1]COMMANDE!AU209</f>
        <v>0</v>
      </c>
      <c r="CS211" s="297" t="str">
        <f t="shared" si="254"/>
        <v>0</v>
      </c>
      <c r="CT211" s="298">
        <f t="shared" si="255"/>
        <v>0</v>
      </c>
      <c r="CU211" s="299">
        <f>[1]COMMANDE!AW209</f>
        <v>0</v>
      </c>
      <c r="CV211" s="297" t="str">
        <f t="shared" si="256"/>
        <v>0</v>
      </c>
      <c r="CW211" s="300">
        <f t="shared" si="257"/>
        <v>0</v>
      </c>
      <c r="CX211" s="301">
        <f>[1]COMMANDE!AY209</f>
        <v>0</v>
      </c>
      <c r="CY211" s="297" t="str">
        <f t="shared" si="258"/>
        <v>0</v>
      </c>
      <c r="CZ211" s="298">
        <f t="shared" si="259"/>
        <v>0</v>
      </c>
      <c r="DA211" s="299">
        <f>[1]COMMANDE!BA209</f>
        <v>0</v>
      </c>
      <c r="DB211" s="297" t="str">
        <f t="shared" si="260"/>
        <v>0</v>
      </c>
      <c r="DC211" s="302">
        <f t="shared" si="261"/>
        <v>0</v>
      </c>
      <c r="DD211" s="303"/>
      <c r="DE211" s="304"/>
    </row>
    <row r="212" spans="1:109" ht="39.950000000000003" customHeight="1" x14ac:dyDescent="0.25">
      <c r="A212" s="307">
        <f t="shared" si="140"/>
        <v>0</v>
      </c>
      <c r="B212" s="307">
        <f t="shared" si="141"/>
        <v>0</v>
      </c>
      <c r="C212" s="307">
        <f t="shared" si="142"/>
        <v>0</v>
      </c>
      <c r="D212" s="307">
        <f t="shared" si="143"/>
        <v>0</v>
      </c>
      <c r="E212" s="307">
        <f t="shared" si="144"/>
        <v>0</v>
      </c>
      <c r="F212" s="307">
        <f t="shared" si="145"/>
        <v>0</v>
      </c>
      <c r="G212" s="307">
        <f t="shared" si="146"/>
        <v>0</v>
      </c>
      <c r="H212" s="307">
        <f t="shared" si="147"/>
        <v>0</v>
      </c>
      <c r="I212" s="307">
        <f t="shared" si="148"/>
        <v>0</v>
      </c>
      <c r="J212" s="307">
        <f t="shared" si="149"/>
        <v>0</v>
      </c>
      <c r="K212" s="307">
        <f t="shared" si="150"/>
        <v>0</v>
      </c>
      <c r="L212" s="307">
        <f t="shared" si="151"/>
        <v>0</v>
      </c>
      <c r="M212" s="307">
        <f t="shared" si="152"/>
        <v>0</v>
      </c>
      <c r="N212" s="307">
        <f t="shared" si="153"/>
        <v>0</v>
      </c>
      <c r="O212" s="307">
        <f t="shared" si="154"/>
        <v>0</v>
      </c>
      <c r="P212" s="284">
        <f t="shared" si="209"/>
        <v>0</v>
      </c>
      <c r="Q212" s="284">
        <f t="shared" si="210"/>
        <v>0</v>
      </c>
      <c r="R212" s="284">
        <f t="shared" si="211"/>
        <v>0</v>
      </c>
      <c r="S212" s="284">
        <f t="shared" si="212"/>
        <v>0</v>
      </c>
      <c r="T212" s="284">
        <f t="shared" si="213"/>
        <v>0</v>
      </c>
      <c r="U212" s="285">
        <f t="shared" si="214"/>
        <v>0</v>
      </c>
      <c r="V212" s="286">
        <f>[1]BDD!A202</f>
        <v>3049</v>
      </c>
      <c r="W212" s="287" t="str">
        <f>[1]BDD!B202</f>
        <v>Piment rouge Ramiro (doux)</v>
      </c>
      <c r="X212" s="288" t="str">
        <f>IF([1]BDD!F202=0, "", [1]BDD!F202)</f>
        <v/>
      </c>
      <c r="Y212" s="214">
        <f>ROUND([1]BDD!G202+FDP_CMD_KG, 2)</f>
        <v>3.58</v>
      </c>
      <c r="Z212" s="214">
        <f>ROUND([1]BDD!G202+FDP_FACT_KG, 2)</f>
        <v>3.58</v>
      </c>
      <c r="AA212" s="215" t="str">
        <f>[1]BDD!H202</f>
        <v>kg</v>
      </c>
      <c r="AB212" s="225">
        <f>IF(NOT(ISBLANK([1]BDD!I202)), ROUND(SUM(([1]BDD!G202*reduc1),FDP_CMD_KG), 2), "")</f>
        <v>3.31</v>
      </c>
      <c r="AC212" s="225" t="str">
        <f>IF(NOT(ISBLANK([1]BDD!J202)), ROUND(SUM(([1]BDD!G202*reduc2),FDP_CMD_KG), 2), "")</f>
        <v/>
      </c>
      <c r="AD212" s="225" t="str">
        <f>IF(NOT(ISBLANK([1]BDD!K202)), ROUND(SUM(([1]BDD!G202*reduc3),FDP_CMD_KG), 2), "")</f>
        <v/>
      </c>
      <c r="AE212" s="225">
        <f>IF(NOT(ISBLANK([1]BDD!I202)), ROUND(SUM(([1]BDD!G202*reduc1),FDP_FACT_KG), 2), "")</f>
        <v>3.31</v>
      </c>
      <c r="AF212" s="225" t="str">
        <f>IF(NOT(ISBLANK([1]BDD!J202)), ROUND(SUM(([1]BDD!G202*reduc2),FDP_FACT_KG), 2), "")</f>
        <v/>
      </c>
      <c r="AG212" s="225" t="str">
        <f>IF(NOT(ISBLANK([1]BDD!K202)), ROUND(SUM(([1]BDD!G202*reduc3),FDP_FACT_KG), 2), "")</f>
        <v/>
      </c>
      <c r="AH212" s="289" t="str">
        <f>[1]BDD!C202</f>
        <v>Grenade</v>
      </c>
      <c r="AI212" s="290">
        <f t="shared" si="215"/>
        <v>0</v>
      </c>
      <c r="AJ212" s="216">
        <f t="shared" si="216"/>
        <v>3.31</v>
      </c>
      <c r="AK212" s="291">
        <f t="shared" si="217"/>
        <v>0</v>
      </c>
      <c r="AL212" s="429"/>
      <c r="AM212" s="292"/>
      <c r="AN212" s="216">
        <f t="shared" si="218"/>
        <v>3.58</v>
      </c>
      <c r="AO212" s="293">
        <f t="shared" si="219"/>
        <v>0</v>
      </c>
      <c r="AP212" s="294"/>
      <c r="AQ212" s="294"/>
      <c r="AR212" s="429"/>
      <c r="AS212" s="295">
        <f t="shared" si="220"/>
        <v>0</v>
      </c>
      <c r="AT212" s="216">
        <f t="shared" si="221"/>
        <v>3.58</v>
      </c>
      <c r="AU212" s="291">
        <f t="shared" si="208"/>
        <v>0</v>
      </c>
      <c r="AV212" s="296">
        <f>[1]COMMANDE!O210</f>
        <v>0</v>
      </c>
      <c r="AW212" s="297" t="str">
        <f t="shared" si="222"/>
        <v>0</v>
      </c>
      <c r="AX212" s="298">
        <f t="shared" si="223"/>
        <v>0</v>
      </c>
      <c r="AY212" s="299">
        <f>[1]COMMANDE!Q210</f>
        <v>0</v>
      </c>
      <c r="AZ212" s="297" t="str">
        <f t="shared" si="224"/>
        <v>0</v>
      </c>
      <c r="BA212" s="300">
        <f t="shared" si="225"/>
        <v>0</v>
      </c>
      <c r="BB212" s="301">
        <f>[1]COMMANDE!S210</f>
        <v>0</v>
      </c>
      <c r="BC212" s="297" t="str">
        <f t="shared" si="226"/>
        <v>0</v>
      </c>
      <c r="BD212" s="298">
        <f t="shared" si="227"/>
        <v>0</v>
      </c>
      <c r="BE212" s="299">
        <f>[1]COMMANDE!U210</f>
        <v>0</v>
      </c>
      <c r="BF212" s="297" t="str">
        <f t="shared" si="228"/>
        <v>0</v>
      </c>
      <c r="BG212" s="300">
        <f t="shared" si="229"/>
        <v>0</v>
      </c>
      <c r="BH212" s="301">
        <f>[1]COMMANDE!W210</f>
        <v>0</v>
      </c>
      <c r="BI212" s="297" t="str">
        <f t="shared" si="230"/>
        <v>0</v>
      </c>
      <c r="BJ212" s="298">
        <f t="shared" si="231"/>
        <v>0</v>
      </c>
      <c r="BK212" s="299">
        <f>[1]COMMANDE!Y210</f>
        <v>0</v>
      </c>
      <c r="BL212" s="297" t="str">
        <f t="shared" si="232"/>
        <v>0</v>
      </c>
      <c r="BM212" s="300">
        <f t="shared" si="233"/>
        <v>0</v>
      </c>
      <c r="BN212" s="301">
        <f>[1]COMMANDE!AA210</f>
        <v>0</v>
      </c>
      <c r="BO212" s="297" t="str">
        <f t="shared" si="234"/>
        <v>0</v>
      </c>
      <c r="BP212" s="298">
        <f t="shared" si="235"/>
        <v>0</v>
      </c>
      <c r="BQ212" s="299">
        <f>[1]COMMANDE!AC210</f>
        <v>0</v>
      </c>
      <c r="BR212" s="297" t="str">
        <f t="shared" si="236"/>
        <v>0</v>
      </c>
      <c r="BS212" s="300">
        <f t="shared" si="237"/>
        <v>0</v>
      </c>
      <c r="BT212" s="301">
        <f>[1]COMMANDE!AE210</f>
        <v>0</v>
      </c>
      <c r="BU212" s="297" t="str">
        <f t="shared" si="238"/>
        <v>0</v>
      </c>
      <c r="BV212" s="298">
        <f t="shared" si="239"/>
        <v>0</v>
      </c>
      <c r="BW212" s="299">
        <f>[1]COMMANDE!AG210</f>
        <v>0</v>
      </c>
      <c r="BX212" s="297" t="str">
        <f t="shared" si="240"/>
        <v>0</v>
      </c>
      <c r="BY212" s="300">
        <f t="shared" si="241"/>
        <v>0</v>
      </c>
      <c r="BZ212" s="301">
        <f>[1]COMMANDE!AI210</f>
        <v>0</v>
      </c>
      <c r="CA212" s="297" t="str">
        <f t="shared" si="242"/>
        <v>0</v>
      </c>
      <c r="CB212" s="298">
        <f t="shared" si="243"/>
        <v>0</v>
      </c>
      <c r="CC212" s="299">
        <f>[1]COMMANDE!AK210</f>
        <v>0</v>
      </c>
      <c r="CD212" s="297" t="str">
        <f t="shared" si="244"/>
        <v>0</v>
      </c>
      <c r="CE212" s="300">
        <f t="shared" si="245"/>
        <v>0</v>
      </c>
      <c r="CF212" s="301">
        <f>[1]COMMANDE!AM210</f>
        <v>0</v>
      </c>
      <c r="CG212" s="297" t="str">
        <f t="shared" si="246"/>
        <v>0</v>
      </c>
      <c r="CH212" s="298">
        <f t="shared" si="247"/>
        <v>0</v>
      </c>
      <c r="CI212" s="299">
        <f>[1]COMMANDE!AO210</f>
        <v>0</v>
      </c>
      <c r="CJ212" s="297" t="str">
        <f t="shared" si="248"/>
        <v>0</v>
      </c>
      <c r="CK212" s="300">
        <f t="shared" si="249"/>
        <v>0</v>
      </c>
      <c r="CL212" s="301">
        <f>[1]COMMANDE!AQ210</f>
        <v>0</v>
      </c>
      <c r="CM212" s="297" t="str">
        <f t="shared" si="250"/>
        <v>0</v>
      </c>
      <c r="CN212" s="298">
        <f t="shared" si="251"/>
        <v>0</v>
      </c>
      <c r="CO212" s="299">
        <f>[1]COMMANDE!AS210</f>
        <v>0</v>
      </c>
      <c r="CP212" s="297" t="str">
        <f t="shared" si="252"/>
        <v>0</v>
      </c>
      <c r="CQ212" s="300">
        <f t="shared" si="253"/>
        <v>0</v>
      </c>
      <c r="CR212" s="301">
        <f>[1]COMMANDE!AU210</f>
        <v>0</v>
      </c>
      <c r="CS212" s="297" t="str">
        <f t="shared" si="254"/>
        <v>0</v>
      </c>
      <c r="CT212" s="298">
        <f t="shared" si="255"/>
        <v>0</v>
      </c>
      <c r="CU212" s="299">
        <f>[1]COMMANDE!AW210</f>
        <v>0</v>
      </c>
      <c r="CV212" s="297" t="str">
        <f t="shared" si="256"/>
        <v>0</v>
      </c>
      <c r="CW212" s="300">
        <f t="shared" si="257"/>
        <v>0</v>
      </c>
      <c r="CX212" s="301">
        <f>[1]COMMANDE!AY210</f>
        <v>0</v>
      </c>
      <c r="CY212" s="297" t="str">
        <f t="shared" si="258"/>
        <v>0</v>
      </c>
      <c r="CZ212" s="298">
        <f t="shared" si="259"/>
        <v>0</v>
      </c>
      <c r="DA212" s="299">
        <f>[1]COMMANDE!BA210</f>
        <v>0</v>
      </c>
      <c r="DB212" s="297" t="str">
        <f t="shared" si="260"/>
        <v>0</v>
      </c>
      <c r="DC212" s="302">
        <f t="shared" si="261"/>
        <v>0</v>
      </c>
      <c r="DD212" s="303"/>
      <c r="DE212" s="304"/>
    </row>
    <row r="213" spans="1:109" ht="39.950000000000003" customHeight="1" x14ac:dyDescent="0.25">
      <c r="A213" s="284">
        <f t="shared" si="140"/>
        <v>0</v>
      </c>
      <c r="B213" s="284">
        <f t="shared" si="141"/>
        <v>0</v>
      </c>
      <c r="C213" s="284">
        <f t="shared" si="142"/>
        <v>0</v>
      </c>
      <c r="D213" s="284">
        <f t="shared" si="143"/>
        <v>0</v>
      </c>
      <c r="E213" s="284">
        <f t="shared" si="144"/>
        <v>0</v>
      </c>
      <c r="F213" s="284">
        <f t="shared" si="145"/>
        <v>0</v>
      </c>
      <c r="G213" s="284">
        <f t="shared" si="146"/>
        <v>0</v>
      </c>
      <c r="H213" s="284">
        <f t="shared" si="147"/>
        <v>0</v>
      </c>
      <c r="I213" s="284">
        <f t="shared" si="148"/>
        <v>0</v>
      </c>
      <c r="J213" s="284">
        <f t="shared" si="149"/>
        <v>0</v>
      </c>
      <c r="K213" s="284">
        <f t="shared" si="150"/>
        <v>0</v>
      </c>
      <c r="L213" s="284">
        <f t="shared" si="151"/>
        <v>0</v>
      </c>
      <c r="M213" s="284">
        <f t="shared" si="152"/>
        <v>0</v>
      </c>
      <c r="N213" s="284">
        <f t="shared" si="153"/>
        <v>0</v>
      </c>
      <c r="O213" s="284">
        <f t="shared" si="154"/>
        <v>0</v>
      </c>
      <c r="P213" s="284">
        <f t="shared" si="209"/>
        <v>0</v>
      </c>
      <c r="Q213" s="284">
        <f t="shared" si="210"/>
        <v>0</v>
      </c>
      <c r="R213" s="284">
        <f t="shared" si="211"/>
        <v>0</v>
      </c>
      <c r="S213" s="284">
        <f t="shared" si="212"/>
        <v>0</v>
      </c>
      <c r="T213" s="284">
        <f t="shared" si="213"/>
        <v>0</v>
      </c>
      <c r="U213" s="285">
        <f t="shared" si="214"/>
        <v>0</v>
      </c>
      <c r="V213" s="286">
        <f>[1]BDD!A203</f>
        <v>3365</v>
      </c>
      <c r="W213" s="287" t="str">
        <f>[1]BDD!B203</f>
        <v>Pistache avec coque 20/22 CRU</v>
      </c>
      <c r="X213" s="288" t="str">
        <f>IF([1]BDD!F203=0, "", [1]BDD!F203)</f>
        <v/>
      </c>
      <c r="Y213" s="214">
        <f>ROUND([1]BDD!G203+FDP_CMD_KG, 2)</f>
        <v>17.28</v>
      </c>
      <c r="Z213" s="214">
        <f>ROUND([1]BDD!G203+FDP_FACT_KG, 2)</f>
        <v>17.28</v>
      </c>
      <c r="AA213" s="215" t="str">
        <f>[1]BDD!H203</f>
        <v>Pièce</v>
      </c>
      <c r="AB213" s="225" t="str">
        <f>IF(NOT(ISBLANK([1]BDD!I203)), ROUND(SUM(([1]BDD!G203*reduc1),FDP_CMD_KG), 2), "")</f>
        <v/>
      </c>
      <c r="AC213" s="225" t="str">
        <f>IF(NOT(ISBLANK([1]BDD!J203)), ROUND(SUM(([1]BDD!G203*reduc2),FDP_CMD_KG), 2), "")</f>
        <v/>
      </c>
      <c r="AD213" s="225" t="str">
        <f>IF(NOT(ISBLANK([1]BDD!K203)), ROUND(SUM(([1]BDD!G203*reduc3),FDP_CMD_KG), 2), "")</f>
        <v/>
      </c>
      <c r="AE213" s="225" t="str">
        <f>IF(NOT(ISBLANK([1]BDD!I203)), ROUND(SUM(([1]BDD!G203*reduc1),FDP_FACT_KG), 2), "")</f>
        <v/>
      </c>
      <c r="AF213" s="225" t="str">
        <f>IF(NOT(ISBLANK([1]BDD!J203)), ROUND(SUM(([1]BDD!G203*reduc2),FDP_FACT_KG), 2), "")</f>
        <v/>
      </c>
      <c r="AG213" s="225" t="str">
        <f>IF(NOT(ISBLANK([1]BDD!K203)), ROUND(SUM(([1]BDD!G203*reduc3),FDP_FACT_KG), 2), "")</f>
        <v/>
      </c>
      <c r="AH213" s="289" t="str">
        <f>[1]BDD!C203</f>
        <v>National</v>
      </c>
      <c r="AI213" s="290">
        <f t="shared" si="215"/>
        <v>0</v>
      </c>
      <c r="AJ213" s="216">
        <f t="shared" si="216"/>
        <v>17.28</v>
      </c>
      <c r="AK213" s="291">
        <f t="shared" si="217"/>
        <v>0</v>
      </c>
      <c r="AL213" s="429"/>
      <c r="AM213" s="292"/>
      <c r="AN213" s="216">
        <f t="shared" si="218"/>
        <v>17.28</v>
      </c>
      <c r="AO213" s="293">
        <f t="shared" si="219"/>
        <v>0</v>
      </c>
      <c r="AP213" s="294"/>
      <c r="AQ213" s="294"/>
      <c r="AR213" s="429"/>
      <c r="AS213" s="295">
        <f t="shared" si="220"/>
        <v>0</v>
      </c>
      <c r="AT213" s="216">
        <f t="shared" si="221"/>
        <v>17.28</v>
      </c>
      <c r="AU213" s="291">
        <f t="shared" si="208"/>
        <v>0</v>
      </c>
      <c r="AV213" s="296">
        <f>[1]COMMANDE!O211</f>
        <v>0</v>
      </c>
      <c r="AW213" s="297" t="str">
        <f t="shared" si="222"/>
        <v>0</v>
      </c>
      <c r="AX213" s="298">
        <f t="shared" si="223"/>
        <v>0</v>
      </c>
      <c r="AY213" s="299">
        <f>[1]COMMANDE!Q211</f>
        <v>0</v>
      </c>
      <c r="AZ213" s="297" t="str">
        <f t="shared" si="224"/>
        <v>0</v>
      </c>
      <c r="BA213" s="300">
        <f t="shared" si="225"/>
        <v>0</v>
      </c>
      <c r="BB213" s="301">
        <f>[1]COMMANDE!S211</f>
        <v>0</v>
      </c>
      <c r="BC213" s="297" t="str">
        <f t="shared" si="226"/>
        <v>0</v>
      </c>
      <c r="BD213" s="298">
        <f t="shared" si="227"/>
        <v>0</v>
      </c>
      <c r="BE213" s="299">
        <f>[1]COMMANDE!U211</f>
        <v>0</v>
      </c>
      <c r="BF213" s="297" t="str">
        <f t="shared" si="228"/>
        <v>0</v>
      </c>
      <c r="BG213" s="300">
        <f t="shared" si="229"/>
        <v>0</v>
      </c>
      <c r="BH213" s="301">
        <f>[1]COMMANDE!W211</f>
        <v>0</v>
      </c>
      <c r="BI213" s="297" t="str">
        <f t="shared" si="230"/>
        <v>0</v>
      </c>
      <c r="BJ213" s="298">
        <f t="shared" si="231"/>
        <v>0</v>
      </c>
      <c r="BK213" s="299">
        <f>[1]COMMANDE!Y211</f>
        <v>0</v>
      </c>
      <c r="BL213" s="297" t="str">
        <f t="shared" si="232"/>
        <v>0</v>
      </c>
      <c r="BM213" s="300">
        <f t="shared" si="233"/>
        <v>0</v>
      </c>
      <c r="BN213" s="301">
        <f>[1]COMMANDE!AA211</f>
        <v>0</v>
      </c>
      <c r="BO213" s="297" t="str">
        <f t="shared" si="234"/>
        <v>0</v>
      </c>
      <c r="BP213" s="298">
        <f t="shared" si="235"/>
        <v>0</v>
      </c>
      <c r="BQ213" s="299">
        <f>[1]COMMANDE!AC211</f>
        <v>0</v>
      </c>
      <c r="BR213" s="297" t="str">
        <f t="shared" si="236"/>
        <v>0</v>
      </c>
      <c r="BS213" s="300">
        <f t="shared" si="237"/>
        <v>0</v>
      </c>
      <c r="BT213" s="301">
        <f>[1]COMMANDE!AE211</f>
        <v>0</v>
      </c>
      <c r="BU213" s="297" t="str">
        <f t="shared" si="238"/>
        <v>0</v>
      </c>
      <c r="BV213" s="298">
        <f t="shared" si="239"/>
        <v>0</v>
      </c>
      <c r="BW213" s="299">
        <f>[1]COMMANDE!AG211</f>
        <v>0</v>
      </c>
      <c r="BX213" s="297" t="str">
        <f t="shared" si="240"/>
        <v>0</v>
      </c>
      <c r="BY213" s="300">
        <f t="shared" si="241"/>
        <v>0</v>
      </c>
      <c r="BZ213" s="301">
        <f>[1]COMMANDE!AI211</f>
        <v>0</v>
      </c>
      <c r="CA213" s="297" t="str">
        <f t="shared" si="242"/>
        <v>0</v>
      </c>
      <c r="CB213" s="298">
        <f t="shared" si="243"/>
        <v>0</v>
      </c>
      <c r="CC213" s="299">
        <f>[1]COMMANDE!AK211</f>
        <v>0</v>
      </c>
      <c r="CD213" s="297" t="str">
        <f t="shared" si="244"/>
        <v>0</v>
      </c>
      <c r="CE213" s="300">
        <f t="shared" si="245"/>
        <v>0</v>
      </c>
      <c r="CF213" s="301">
        <f>[1]COMMANDE!AM211</f>
        <v>0</v>
      </c>
      <c r="CG213" s="297" t="str">
        <f t="shared" si="246"/>
        <v>0</v>
      </c>
      <c r="CH213" s="298">
        <f t="shared" si="247"/>
        <v>0</v>
      </c>
      <c r="CI213" s="299">
        <f>[1]COMMANDE!AO211</f>
        <v>0</v>
      </c>
      <c r="CJ213" s="297" t="str">
        <f t="shared" si="248"/>
        <v>0</v>
      </c>
      <c r="CK213" s="300">
        <f t="shared" si="249"/>
        <v>0</v>
      </c>
      <c r="CL213" s="301">
        <f>[1]COMMANDE!AQ211</f>
        <v>0</v>
      </c>
      <c r="CM213" s="297" t="str">
        <f t="shared" si="250"/>
        <v>0</v>
      </c>
      <c r="CN213" s="298">
        <f t="shared" si="251"/>
        <v>0</v>
      </c>
      <c r="CO213" s="299">
        <f>[1]COMMANDE!AS211</f>
        <v>0</v>
      </c>
      <c r="CP213" s="297" t="str">
        <f t="shared" si="252"/>
        <v>0</v>
      </c>
      <c r="CQ213" s="300">
        <f t="shared" si="253"/>
        <v>0</v>
      </c>
      <c r="CR213" s="301">
        <f>[1]COMMANDE!AU211</f>
        <v>0</v>
      </c>
      <c r="CS213" s="297" t="str">
        <f t="shared" si="254"/>
        <v>0</v>
      </c>
      <c r="CT213" s="298">
        <f t="shared" si="255"/>
        <v>0</v>
      </c>
      <c r="CU213" s="299">
        <f>[1]COMMANDE!AW211</f>
        <v>0</v>
      </c>
      <c r="CV213" s="297" t="str">
        <f t="shared" si="256"/>
        <v>0</v>
      </c>
      <c r="CW213" s="300">
        <f t="shared" si="257"/>
        <v>0</v>
      </c>
      <c r="CX213" s="301">
        <f>[1]COMMANDE!AY211</f>
        <v>0</v>
      </c>
      <c r="CY213" s="297" t="str">
        <f t="shared" si="258"/>
        <v>0</v>
      </c>
      <c r="CZ213" s="298">
        <f t="shared" si="259"/>
        <v>0</v>
      </c>
      <c r="DA213" s="299">
        <f>[1]COMMANDE!BA211</f>
        <v>0</v>
      </c>
      <c r="DB213" s="297" t="str">
        <f t="shared" si="260"/>
        <v>0</v>
      </c>
      <c r="DC213" s="302">
        <f t="shared" si="261"/>
        <v>0</v>
      </c>
      <c r="DD213" s="303"/>
      <c r="DE213" s="304"/>
    </row>
    <row r="214" spans="1:109" ht="39.950000000000003" customHeight="1" x14ac:dyDescent="0.25">
      <c r="A214" s="284">
        <f t="shared" si="140"/>
        <v>0</v>
      </c>
      <c r="B214" s="284">
        <f t="shared" si="141"/>
        <v>0</v>
      </c>
      <c r="C214" s="284">
        <f t="shared" si="142"/>
        <v>0</v>
      </c>
      <c r="D214" s="284">
        <f t="shared" si="143"/>
        <v>0</v>
      </c>
      <c r="E214" s="284">
        <f t="shared" si="144"/>
        <v>0</v>
      </c>
      <c r="F214" s="284">
        <f t="shared" si="145"/>
        <v>0</v>
      </c>
      <c r="G214" s="284">
        <f t="shared" si="146"/>
        <v>0</v>
      </c>
      <c r="H214" s="284">
        <f t="shared" si="147"/>
        <v>0</v>
      </c>
      <c r="I214" s="284">
        <f t="shared" si="148"/>
        <v>0</v>
      </c>
      <c r="J214" s="284">
        <f t="shared" si="149"/>
        <v>0</v>
      </c>
      <c r="K214" s="284">
        <f t="shared" si="150"/>
        <v>0</v>
      </c>
      <c r="L214" s="284">
        <f t="shared" si="151"/>
        <v>0</v>
      </c>
      <c r="M214" s="284">
        <f t="shared" si="152"/>
        <v>0</v>
      </c>
      <c r="N214" s="284">
        <f t="shared" si="153"/>
        <v>0</v>
      </c>
      <c r="O214" s="284">
        <f t="shared" si="154"/>
        <v>0</v>
      </c>
      <c r="P214" s="284">
        <f t="shared" si="209"/>
        <v>0</v>
      </c>
      <c r="Q214" s="284">
        <f t="shared" si="210"/>
        <v>0</v>
      </c>
      <c r="R214" s="284">
        <f t="shared" si="211"/>
        <v>0</v>
      </c>
      <c r="S214" s="284">
        <f t="shared" si="212"/>
        <v>0</v>
      </c>
      <c r="T214" s="284">
        <f t="shared" si="213"/>
        <v>0</v>
      </c>
      <c r="U214" s="285">
        <f t="shared" si="214"/>
        <v>0</v>
      </c>
      <c r="V214" s="286">
        <f>[1]BDD!A204</f>
        <v>3365</v>
      </c>
      <c r="W214" s="287" t="str">
        <f>[1]BDD!B204</f>
        <v>Pistache avec coque 20/22 CRU
    -  (env. 500 g.)</v>
      </c>
      <c r="X214" s="288" t="str">
        <f>IF([1]BDD!F204=0, "", [1]BDD!F204)</f>
        <v/>
      </c>
      <c r="Y214" s="214">
        <f>ROUND([1]BDD!G204+FDP_CMD_KG, 2)</f>
        <v>10.43</v>
      </c>
      <c r="Z214" s="214">
        <f>ROUND([1]BDD!G204+FDP_FACT_KG, 2)</f>
        <v>10.43</v>
      </c>
      <c r="AA214" s="215" t="str">
        <f>[1]BDD!H204</f>
        <v>Pièce</v>
      </c>
      <c r="AB214" s="225" t="str">
        <f>IF(NOT(ISBLANK([1]BDD!I204)), ROUND(SUM(([1]BDD!G204*reduc1),FDP_CMD_KG), 2), "")</f>
        <v/>
      </c>
      <c r="AC214" s="225" t="str">
        <f>IF(NOT(ISBLANK([1]BDD!J204)), ROUND(SUM(([1]BDD!G204*reduc2),FDP_CMD_KG), 2), "")</f>
        <v/>
      </c>
      <c r="AD214" s="225" t="str">
        <f>IF(NOT(ISBLANK([1]BDD!K204)), ROUND(SUM(([1]BDD!G204*reduc3),FDP_CMD_KG), 2), "")</f>
        <v/>
      </c>
      <c r="AE214" s="225" t="str">
        <f>IF(NOT(ISBLANK([1]BDD!I204)), ROUND(SUM(([1]BDD!G204*reduc1),FDP_FACT_KG), 2), "")</f>
        <v/>
      </c>
      <c r="AF214" s="225" t="str">
        <f>IF(NOT(ISBLANK([1]BDD!J204)), ROUND(SUM(([1]BDD!G204*reduc2),FDP_FACT_KG), 2), "")</f>
        <v/>
      </c>
      <c r="AG214" s="225" t="str">
        <f>IF(NOT(ISBLANK([1]BDD!K204)), ROUND(SUM(([1]BDD!G204*reduc3),FDP_FACT_KG), 2), "")</f>
        <v/>
      </c>
      <c r="AH214" s="289" t="str">
        <f>[1]BDD!C204</f>
        <v>National</v>
      </c>
      <c r="AI214" s="290">
        <f t="shared" si="215"/>
        <v>0</v>
      </c>
      <c r="AJ214" s="216">
        <f t="shared" si="216"/>
        <v>10.43</v>
      </c>
      <c r="AK214" s="291">
        <f t="shared" si="217"/>
        <v>0</v>
      </c>
      <c r="AL214" s="429"/>
      <c r="AM214" s="292"/>
      <c r="AN214" s="216">
        <f t="shared" si="218"/>
        <v>10.43</v>
      </c>
      <c r="AO214" s="293">
        <f t="shared" si="219"/>
        <v>0</v>
      </c>
      <c r="AP214" s="294"/>
      <c r="AQ214" s="294"/>
      <c r="AR214" s="429"/>
      <c r="AS214" s="295">
        <f t="shared" si="220"/>
        <v>0</v>
      </c>
      <c r="AT214" s="216">
        <f t="shared" si="221"/>
        <v>10.43</v>
      </c>
      <c r="AU214" s="291">
        <f t="shared" si="208"/>
        <v>0</v>
      </c>
      <c r="AV214" s="296">
        <f>[1]COMMANDE!O212</f>
        <v>0</v>
      </c>
      <c r="AW214" s="297" t="str">
        <f t="shared" si="222"/>
        <v>0</v>
      </c>
      <c r="AX214" s="298">
        <f t="shared" si="223"/>
        <v>0</v>
      </c>
      <c r="AY214" s="299">
        <f>[1]COMMANDE!Q212</f>
        <v>0</v>
      </c>
      <c r="AZ214" s="297" t="str">
        <f t="shared" si="224"/>
        <v>0</v>
      </c>
      <c r="BA214" s="300">
        <f t="shared" si="225"/>
        <v>0</v>
      </c>
      <c r="BB214" s="301">
        <f>[1]COMMANDE!S212</f>
        <v>0</v>
      </c>
      <c r="BC214" s="297" t="str">
        <f t="shared" si="226"/>
        <v>0</v>
      </c>
      <c r="BD214" s="298">
        <f t="shared" si="227"/>
        <v>0</v>
      </c>
      <c r="BE214" s="299">
        <f>[1]COMMANDE!U212</f>
        <v>0</v>
      </c>
      <c r="BF214" s="297" t="str">
        <f t="shared" si="228"/>
        <v>0</v>
      </c>
      <c r="BG214" s="300">
        <f t="shared" si="229"/>
        <v>0</v>
      </c>
      <c r="BH214" s="301">
        <f>[1]COMMANDE!W212</f>
        <v>0</v>
      </c>
      <c r="BI214" s="297" t="str">
        <f t="shared" si="230"/>
        <v>0</v>
      </c>
      <c r="BJ214" s="298">
        <f t="shared" si="231"/>
        <v>0</v>
      </c>
      <c r="BK214" s="299">
        <f>[1]COMMANDE!Y212</f>
        <v>0</v>
      </c>
      <c r="BL214" s="297" t="str">
        <f t="shared" si="232"/>
        <v>0</v>
      </c>
      <c r="BM214" s="300">
        <f t="shared" si="233"/>
        <v>0</v>
      </c>
      <c r="BN214" s="301">
        <f>[1]COMMANDE!AA212</f>
        <v>0</v>
      </c>
      <c r="BO214" s="297" t="str">
        <f t="shared" si="234"/>
        <v>0</v>
      </c>
      <c r="BP214" s="298">
        <f t="shared" si="235"/>
        <v>0</v>
      </c>
      <c r="BQ214" s="299">
        <f>[1]COMMANDE!AC212</f>
        <v>0</v>
      </c>
      <c r="BR214" s="297" t="str">
        <f t="shared" si="236"/>
        <v>0</v>
      </c>
      <c r="BS214" s="300">
        <f t="shared" si="237"/>
        <v>0</v>
      </c>
      <c r="BT214" s="301">
        <f>[1]COMMANDE!AE212</f>
        <v>0</v>
      </c>
      <c r="BU214" s="297" t="str">
        <f t="shared" si="238"/>
        <v>0</v>
      </c>
      <c r="BV214" s="298">
        <f t="shared" si="239"/>
        <v>0</v>
      </c>
      <c r="BW214" s="299">
        <f>[1]COMMANDE!AG212</f>
        <v>0</v>
      </c>
      <c r="BX214" s="297" t="str">
        <f t="shared" si="240"/>
        <v>0</v>
      </c>
      <c r="BY214" s="300">
        <f t="shared" si="241"/>
        <v>0</v>
      </c>
      <c r="BZ214" s="301">
        <f>[1]COMMANDE!AI212</f>
        <v>0</v>
      </c>
      <c r="CA214" s="297" t="str">
        <f t="shared" si="242"/>
        <v>0</v>
      </c>
      <c r="CB214" s="298">
        <f t="shared" si="243"/>
        <v>0</v>
      </c>
      <c r="CC214" s="299">
        <f>[1]COMMANDE!AK212</f>
        <v>0</v>
      </c>
      <c r="CD214" s="297" t="str">
        <f t="shared" si="244"/>
        <v>0</v>
      </c>
      <c r="CE214" s="300">
        <f t="shared" si="245"/>
        <v>0</v>
      </c>
      <c r="CF214" s="301">
        <f>[1]COMMANDE!AM212</f>
        <v>0</v>
      </c>
      <c r="CG214" s="297" t="str">
        <f t="shared" si="246"/>
        <v>0</v>
      </c>
      <c r="CH214" s="298">
        <f t="shared" si="247"/>
        <v>0</v>
      </c>
      <c r="CI214" s="299">
        <f>[1]COMMANDE!AO212</f>
        <v>0</v>
      </c>
      <c r="CJ214" s="297" t="str">
        <f t="shared" si="248"/>
        <v>0</v>
      </c>
      <c r="CK214" s="300">
        <f t="shared" si="249"/>
        <v>0</v>
      </c>
      <c r="CL214" s="301">
        <f>[1]COMMANDE!AQ212</f>
        <v>0</v>
      </c>
      <c r="CM214" s="297" t="str">
        <f t="shared" si="250"/>
        <v>0</v>
      </c>
      <c r="CN214" s="298">
        <f t="shared" si="251"/>
        <v>0</v>
      </c>
      <c r="CO214" s="299">
        <f>[1]COMMANDE!AS212</f>
        <v>0</v>
      </c>
      <c r="CP214" s="297" t="str">
        <f t="shared" si="252"/>
        <v>0</v>
      </c>
      <c r="CQ214" s="300">
        <f t="shared" si="253"/>
        <v>0</v>
      </c>
      <c r="CR214" s="301">
        <f>[1]COMMANDE!AU212</f>
        <v>0</v>
      </c>
      <c r="CS214" s="297" t="str">
        <f t="shared" si="254"/>
        <v>0</v>
      </c>
      <c r="CT214" s="298">
        <f t="shared" si="255"/>
        <v>0</v>
      </c>
      <c r="CU214" s="299">
        <f>[1]COMMANDE!AW212</f>
        <v>0</v>
      </c>
      <c r="CV214" s="297" t="str">
        <f t="shared" si="256"/>
        <v>0</v>
      </c>
      <c r="CW214" s="300">
        <f t="shared" si="257"/>
        <v>0</v>
      </c>
      <c r="CX214" s="301">
        <f>[1]COMMANDE!AY212</f>
        <v>0</v>
      </c>
      <c r="CY214" s="297" t="str">
        <f t="shared" si="258"/>
        <v>0</v>
      </c>
      <c r="CZ214" s="298">
        <f t="shared" si="259"/>
        <v>0</v>
      </c>
      <c r="DA214" s="299">
        <f>[1]COMMANDE!BA212</f>
        <v>0</v>
      </c>
      <c r="DB214" s="297" t="str">
        <f t="shared" si="260"/>
        <v>0</v>
      </c>
      <c r="DC214" s="302">
        <f t="shared" si="261"/>
        <v>0</v>
      </c>
      <c r="DD214" s="303"/>
      <c r="DE214" s="304"/>
    </row>
    <row r="215" spans="1:109" ht="39.950000000000003" customHeight="1" x14ac:dyDescent="0.25">
      <c r="A215" s="284">
        <f t="shared" si="140"/>
        <v>0</v>
      </c>
      <c r="B215" s="284">
        <f t="shared" si="141"/>
        <v>0</v>
      </c>
      <c r="C215" s="284">
        <f t="shared" si="142"/>
        <v>0</v>
      </c>
      <c r="D215" s="284">
        <f t="shared" si="143"/>
        <v>0</v>
      </c>
      <c r="E215" s="284">
        <f t="shared" si="144"/>
        <v>0</v>
      </c>
      <c r="F215" s="284">
        <f t="shared" si="145"/>
        <v>0</v>
      </c>
      <c r="G215" s="284">
        <f t="shared" si="146"/>
        <v>0</v>
      </c>
      <c r="H215" s="284">
        <f t="shared" si="147"/>
        <v>0</v>
      </c>
      <c r="I215" s="284">
        <f t="shared" si="148"/>
        <v>0</v>
      </c>
      <c r="J215" s="284">
        <f t="shared" si="149"/>
        <v>0</v>
      </c>
      <c r="K215" s="284">
        <f t="shared" si="150"/>
        <v>0</v>
      </c>
      <c r="L215" s="284">
        <f t="shared" si="151"/>
        <v>0</v>
      </c>
      <c r="M215" s="284">
        <f t="shared" si="152"/>
        <v>0</v>
      </c>
      <c r="N215" s="284">
        <f t="shared" si="153"/>
        <v>0</v>
      </c>
      <c r="O215" s="284">
        <f t="shared" si="154"/>
        <v>0</v>
      </c>
      <c r="P215" s="284">
        <f t="shared" si="209"/>
        <v>0</v>
      </c>
      <c r="Q215" s="284">
        <f t="shared" si="210"/>
        <v>0</v>
      </c>
      <c r="R215" s="284">
        <f t="shared" si="211"/>
        <v>0</v>
      </c>
      <c r="S215" s="284">
        <f t="shared" si="212"/>
        <v>0</v>
      </c>
      <c r="T215" s="284">
        <f t="shared" si="213"/>
        <v>0</v>
      </c>
      <c r="U215" s="285">
        <f t="shared" si="214"/>
        <v>0</v>
      </c>
      <c r="V215" s="286">
        <f>[1]BDD!A205</f>
        <v>3615</v>
      </c>
      <c r="W215" s="287" t="str">
        <f>[1]BDD!B205</f>
        <v>Pistache avec coque CRU (env. 1kg)</v>
      </c>
      <c r="X215" s="288" t="str">
        <f>IF([1]BDD!F205=0, "", [1]BDD!F205)</f>
        <v>❤️</v>
      </c>
      <c r="Y215" s="214">
        <f>ROUND([1]BDD!G205+FDP_CMD_KG, 2)</f>
        <v>35.090000000000003</v>
      </c>
      <c r="Z215" s="214">
        <f>ROUND([1]BDD!G205+FDP_FACT_KG, 2)</f>
        <v>35.090000000000003</v>
      </c>
      <c r="AA215" s="215" t="str">
        <f>[1]BDD!H205</f>
        <v>Pièce</v>
      </c>
      <c r="AB215" s="225" t="str">
        <f>IF(NOT(ISBLANK([1]BDD!I205)), ROUND(SUM(([1]BDD!G205*reduc1),FDP_CMD_KG), 2), "")</f>
        <v/>
      </c>
      <c r="AC215" s="225" t="str">
        <f>IF(NOT(ISBLANK([1]BDD!J205)), ROUND(SUM(([1]BDD!G205*reduc2),FDP_CMD_KG), 2), "")</f>
        <v/>
      </c>
      <c r="AD215" s="225" t="str">
        <f>IF(NOT(ISBLANK([1]BDD!K205)), ROUND(SUM(([1]BDD!G205*reduc3),FDP_CMD_KG), 2), "")</f>
        <v/>
      </c>
      <c r="AE215" s="225" t="str">
        <f>IF(NOT(ISBLANK([1]BDD!I205)), ROUND(SUM(([1]BDD!G205*reduc1),FDP_FACT_KG), 2), "")</f>
        <v/>
      </c>
      <c r="AF215" s="225" t="str">
        <f>IF(NOT(ISBLANK([1]BDD!J205)), ROUND(SUM(([1]BDD!G205*reduc2),FDP_FACT_KG), 2), "")</f>
        <v/>
      </c>
      <c r="AG215" s="225" t="str">
        <f>IF(NOT(ISBLANK([1]BDD!K205)), ROUND(SUM(([1]BDD!G205*reduc3),FDP_FACT_KG), 2), "")</f>
        <v/>
      </c>
      <c r="AH215" s="289" t="str">
        <f>[1]BDD!C205</f>
        <v>Espagne</v>
      </c>
      <c r="AI215" s="290">
        <f t="shared" si="215"/>
        <v>0</v>
      </c>
      <c r="AJ215" s="216">
        <f t="shared" si="216"/>
        <v>35.090000000000003</v>
      </c>
      <c r="AK215" s="291">
        <f t="shared" si="217"/>
        <v>0</v>
      </c>
      <c r="AL215" s="429"/>
      <c r="AM215" s="292"/>
      <c r="AN215" s="216">
        <f t="shared" si="218"/>
        <v>35.090000000000003</v>
      </c>
      <c r="AO215" s="293">
        <f t="shared" si="219"/>
        <v>0</v>
      </c>
      <c r="AP215" s="294"/>
      <c r="AQ215" s="294"/>
      <c r="AR215" s="429"/>
      <c r="AS215" s="295">
        <f t="shared" si="220"/>
        <v>0</v>
      </c>
      <c r="AT215" s="216">
        <f t="shared" si="221"/>
        <v>35.090000000000003</v>
      </c>
      <c r="AU215" s="291">
        <f t="shared" si="208"/>
        <v>0</v>
      </c>
      <c r="AV215" s="296">
        <f>[1]COMMANDE!O213</f>
        <v>0</v>
      </c>
      <c r="AW215" s="297" t="str">
        <f t="shared" si="222"/>
        <v>0</v>
      </c>
      <c r="AX215" s="298">
        <f t="shared" si="223"/>
        <v>0</v>
      </c>
      <c r="AY215" s="299">
        <f>[1]COMMANDE!Q213</f>
        <v>0</v>
      </c>
      <c r="AZ215" s="297" t="str">
        <f t="shared" si="224"/>
        <v>0</v>
      </c>
      <c r="BA215" s="300">
        <f t="shared" si="225"/>
        <v>0</v>
      </c>
      <c r="BB215" s="301">
        <f>[1]COMMANDE!S213</f>
        <v>0</v>
      </c>
      <c r="BC215" s="297" t="str">
        <f t="shared" si="226"/>
        <v>0</v>
      </c>
      <c r="BD215" s="298">
        <f t="shared" si="227"/>
        <v>0</v>
      </c>
      <c r="BE215" s="299">
        <f>[1]COMMANDE!U213</f>
        <v>0</v>
      </c>
      <c r="BF215" s="297" t="str">
        <f t="shared" si="228"/>
        <v>0</v>
      </c>
      <c r="BG215" s="300">
        <f t="shared" si="229"/>
        <v>0</v>
      </c>
      <c r="BH215" s="301">
        <f>[1]COMMANDE!W213</f>
        <v>0</v>
      </c>
      <c r="BI215" s="297" t="str">
        <f t="shared" si="230"/>
        <v>0</v>
      </c>
      <c r="BJ215" s="298">
        <f t="shared" si="231"/>
        <v>0</v>
      </c>
      <c r="BK215" s="299">
        <f>[1]COMMANDE!Y213</f>
        <v>0</v>
      </c>
      <c r="BL215" s="297" t="str">
        <f t="shared" si="232"/>
        <v>0</v>
      </c>
      <c r="BM215" s="300">
        <f t="shared" si="233"/>
        <v>0</v>
      </c>
      <c r="BN215" s="301">
        <f>[1]COMMANDE!AA213</f>
        <v>0</v>
      </c>
      <c r="BO215" s="297" t="str">
        <f t="shared" si="234"/>
        <v>0</v>
      </c>
      <c r="BP215" s="298">
        <f t="shared" si="235"/>
        <v>0</v>
      </c>
      <c r="BQ215" s="299">
        <f>[1]COMMANDE!AC213</f>
        <v>0</v>
      </c>
      <c r="BR215" s="297" t="str">
        <f t="shared" si="236"/>
        <v>0</v>
      </c>
      <c r="BS215" s="300">
        <f t="shared" si="237"/>
        <v>0</v>
      </c>
      <c r="BT215" s="301">
        <f>[1]COMMANDE!AE213</f>
        <v>0</v>
      </c>
      <c r="BU215" s="297" t="str">
        <f t="shared" si="238"/>
        <v>0</v>
      </c>
      <c r="BV215" s="298">
        <f t="shared" si="239"/>
        <v>0</v>
      </c>
      <c r="BW215" s="299">
        <f>[1]COMMANDE!AG213</f>
        <v>0</v>
      </c>
      <c r="BX215" s="297" t="str">
        <f t="shared" si="240"/>
        <v>0</v>
      </c>
      <c r="BY215" s="300">
        <f t="shared" si="241"/>
        <v>0</v>
      </c>
      <c r="BZ215" s="301">
        <f>[1]COMMANDE!AI213</f>
        <v>0</v>
      </c>
      <c r="CA215" s="297" t="str">
        <f t="shared" si="242"/>
        <v>0</v>
      </c>
      <c r="CB215" s="298">
        <f t="shared" si="243"/>
        <v>0</v>
      </c>
      <c r="CC215" s="299">
        <f>[1]COMMANDE!AK213</f>
        <v>0</v>
      </c>
      <c r="CD215" s="297" t="str">
        <f t="shared" si="244"/>
        <v>0</v>
      </c>
      <c r="CE215" s="300">
        <f t="shared" si="245"/>
        <v>0</v>
      </c>
      <c r="CF215" s="301">
        <f>[1]COMMANDE!AM213</f>
        <v>0</v>
      </c>
      <c r="CG215" s="297" t="str">
        <f t="shared" si="246"/>
        <v>0</v>
      </c>
      <c r="CH215" s="298">
        <f t="shared" si="247"/>
        <v>0</v>
      </c>
      <c r="CI215" s="299">
        <f>[1]COMMANDE!AO213</f>
        <v>0</v>
      </c>
      <c r="CJ215" s="297" t="str">
        <f t="shared" si="248"/>
        <v>0</v>
      </c>
      <c r="CK215" s="300">
        <f t="shared" si="249"/>
        <v>0</v>
      </c>
      <c r="CL215" s="301">
        <f>[1]COMMANDE!AQ213</f>
        <v>0</v>
      </c>
      <c r="CM215" s="297" t="str">
        <f t="shared" si="250"/>
        <v>0</v>
      </c>
      <c r="CN215" s="298">
        <f t="shared" si="251"/>
        <v>0</v>
      </c>
      <c r="CO215" s="299">
        <f>[1]COMMANDE!AS213</f>
        <v>0</v>
      </c>
      <c r="CP215" s="297" t="str">
        <f t="shared" si="252"/>
        <v>0</v>
      </c>
      <c r="CQ215" s="300">
        <f t="shared" si="253"/>
        <v>0</v>
      </c>
      <c r="CR215" s="301">
        <f>[1]COMMANDE!AU213</f>
        <v>0</v>
      </c>
      <c r="CS215" s="297" t="str">
        <f t="shared" si="254"/>
        <v>0</v>
      </c>
      <c r="CT215" s="298">
        <f t="shared" si="255"/>
        <v>0</v>
      </c>
      <c r="CU215" s="299">
        <f>[1]COMMANDE!AW213</f>
        <v>0</v>
      </c>
      <c r="CV215" s="297" t="str">
        <f t="shared" si="256"/>
        <v>0</v>
      </c>
      <c r="CW215" s="300">
        <f t="shared" si="257"/>
        <v>0</v>
      </c>
      <c r="CX215" s="301">
        <f>[1]COMMANDE!AY213</f>
        <v>0</v>
      </c>
      <c r="CY215" s="297" t="str">
        <f t="shared" si="258"/>
        <v>0</v>
      </c>
      <c r="CZ215" s="298">
        <f t="shared" si="259"/>
        <v>0</v>
      </c>
      <c r="DA215" s="299">
        <f>[1]COMMANDE!BA213</f>
        <v>0</v>
      </c>
      <c r="DB215" s="297" t="str">
        <f t="shared" si="260"/>
        <v>0</v>
      </c>
      <c r="DC215" s="302">
        <f t="shared" si="261"/>
        <v>0</v>
      </c>
      <c r="DD215" s="303"/>
      <c r="DE215" s="304"/>
    </row>
    <row r="216" spans="1:109" ht="39.950000000000003" customHeight="1" x14ac:dyDescent="0.25">
      <c r="A216" s="284">
        <f t="shared" si="140"/>
        <v>0</v>
      </c>
      <c r="B216" s="284">
        <f t="shared" si="141"/>
        <v>0</v>
      </c>
      <c r="C216" s="284">
        <f t="shared" si="142"/>
        <v>0</v>
      </c>
      <c r="D216" s="284">
        <f t="shared" si="143"/>
        <v>0</v>
      </c>
      <c r="E216" s="284">
        <f t="shared" si="144"/>
        <v>0</v>
      </c>
      <c r="F216" s="284">
        <f t="shared" si="145"/>
        <v>0</v>
      </c>
      <c r="G216" s="284">
        <f t="shared" si="146"/>
        <v>0</v>
      </c>
      <c r="H216" s="284">
        <f t="shared" si="147"/>
        <v>0</v>
      </c>
      <c r="I216" s="284">
        <f t="shared" si="148"/>
        <v>0</v>
      </c>
      <c r="J216" s="284">
        <f t="shared" si="149"/>
        <v>0</v>
      </c>
      <c r="K216" s="284">
        <f t="shared" si="150"/>
        <v>0</v>
      </c>
      <c r="L216" s="284">
        <f t="shared" si="151"/>
        <v>0</v>
      </c>
      <c r="M216" s="284">
        <f t="shared" si="152"/>
        <v>0</v>
      </c>
      <c r="N216" s="284">
        <f t="shared" si="153"/>
        <v>0</v>
      </c>
      <c r="O216" s="284">
        <f t="shared" si="154"/>
        <v>0</v>
      </c>
      <c r="P216" s="284">
        <f t="shared" si="209"/>
        <v>0</v>
      </c>
      <c r="Q216" s="284">
        <f t="shared" si="210"/>
        <v>0</v>
      </c>
      <c r="R216" s="284">
        <f t="shared" si="211"/>
        <v>0</v>
      </c>
      <c r="S216" s="284">
        <f t="shared" si="212"/>
        <v>0</v>
      </c>
      <c r="T216" s="284">
        <f t="shared" si="213"/>
        <v>0</v>
      </c>
      <c r="U216" s="285">
        <f t="shared" si="214"/>
        <v>0</v>
      </c>
      <c r="V216" s="286">
        <f>[1]BDD!A206</f>
        <v>3615</v>
      </c>
      <c r="W216" s="287" t="str">
        <f>[1]BDD!B206</f>
        <v>Pistache avec coque CRU (env. 500g)</v>
      </c>
      <c r="X216" s="288" t="str">
        <f>IF([1]BDD!F206=0, "", [1]BDD!F206)</f>
        <v>❤️</v>
      </c>
      <c r="Y216" s="214">
        <f>ROUND([1]BDD!G206+FDP_CMD_KG, 2)</f>
        <v>18.649999999999999</v>
      </c>
      <c r="Z216" s="214">
        <f>ROUND([1]BDD!G206+FDP_FACT_KG, 2)</f>
        <v>18.649999999999999</v>
      </c>
      <c r="AA216" s="215" t="str">
        <f>[1]BDD!H206</f>
        <v>Pièce</v>
      </c>
      <c r="AB216" s="225" t="str">
        <f>IF(NOT(ISBLANK([1]BDD!I206)), ROUND(SUM(([1]BDD!G206*reduc1),FDP_CMD_KG), 2), "")</f>
        <v/>
      </c>
      <c r="AC216" s="225" t="str">
        <f>IF(NOT(ISBLANK([1]BDD!J206)), ROUND(SUM(([1]BDD!G206*reduc2),FDP_CMD_KG), 2), "")</f>
        <v/>
      </c>
      <c r="AD216" s="225" t="str">
        <f>IF(NOT(ISBLANK([1]BDD!K206)), ROUND(SUM(([1]BDD!G206*reduc3),FDP_CMD_KG), 2), "")</f>
        <v/>
      </c>
      <c r="AE216" s="225" t="str">
        <f>IF(NOT(ISBLANK([1]BDD!I206)), ROUND(SUM(([1]BDD!G206*reduc1),FDP_FACT_KG), 2), "")</f>
        <v/>
      </c>
      <c r="AF216" s="225" t="str">
        <f>IF(NOT(ISBLANK([1]BDD!J206)), ROUND(SUM(([1]BDD!G206*reduc2),FDP_FACT_KG), 2), "")</f>
        <v/>
      </c>
      <c r="AG216" s="225" t="str">
        <f>IF(NOT(ISBLANK([1]BDD!K206)), ROUND(SUM(([1]BDD!G206*reduc3),FDP_FACT_KG), 2), "")</f>
        <v/>
      </c>
      <c r="AH216" s="289" t="str">
        <f>[1]BDD!C206</f>
        <v>Espagne</v>
      </c>
      <c r="AI216" s="290">
        <f t="shared" si="215"/>
        <v>0</v>
      </c>
      <c r="AJ216" s="216">
        <f t="shared" si="216"/>
        <v>18.649999999999999</v>
      </c>
      <c r="AK216" s="291">
        <f t="shared" si="217"/>
        <v>0</v>
      </c>
      <c r="AL216" s="429"/>
      <c r="AM216" s="292"/>
      <c r="AN216" s="216">
        <f t="shared" si="218"/>
        <v>18.649999999999999</v>
      </c>
      <c r="AO216" s="293">
        <f t="shared" si="219"/>
        <v>0</v>
      </c>
      <c r="AP216" s="294"/>
      <c r="AQ216" s="294"/>
      <c r="AR216" s="429"/>
      <c r="AS216" s="295">
        <f t="shared" si="220"/>
        <v>0</v>
      </c>
      <c r="AT216" s="216">
        <f t="shared" si="221"/>
        <v>18.649999999999999</v>
      </c>
      <c r="AU216" s="291">
        <f t="shared" si="208"/>
        <v>0</v>
      </c>
      <c r="AV216" s="296">
        <f>[1]COMMANDE!O214</f>
        <v>0</v>
      </c>
      <c r="AW216" s="297" t="str">
        <f t="shared" si="222"/>
        <v>0</v>
      </c>
      <c r="AX216" s="298">
        <f t="shared" si="223"/>
        <v>0</v>
      </c>
      <c r="AY216" s="299">
        <f>[1]COMMANDE!Q214</f>
        <v>0</v>
      </c>
      <c r="AZ216" s="297" t="str">
        <f t="shared" si="224"/>
        <v>0</v>
      </c>
      <c r="BA216" s="300">
        <f t="shared" si="225"/>
        <v>0</v>
      </c>
      <c r="BB216" s="301">
        <f>[1]COMMANDE!S214</f>
        <v>0</v>
      </c>
      <c r="BC216" s="297" t="str">
        <f t="shared" si="226"/>
        <v>0</v>
      </c>
      <c r="BD216" s="298">
        <f t="shared" si="227"/>
        <v>0</v>
      </c>
      <c r="BE216" s="299">
        <f>[1]COMMANDE!U214</f>
        <v>0</v>
      </c>
      <c r="BF216" s="297" t="str">
        <f t="shared" si="228"/>
        <v>0</v>
      </c>
      <c r="BG216" s="300">
        <f t="shared" si="229"/>
        <v>0</v>
      </c>
      <c r="BH216" s="301">
        <f>[1]COMMANDE!W214</f>
        <v>0</v>
      </c>
      <c r="BI216" s="297" t="str">
        <f t="shared" si="230"/>
        <v>0</v>
      </c>
      <c r="BJ216" s="298">
        <f t="shared" si="231"/>
        <v>0</v>
      </c>
      <c r="BK216" s="299">
        <f>[1]COMMANDE!Y214</f>
        <v>0</v>
      </c>
      <c r="BL216" s="297" t="str">
        <f t="shared" si="232"/>
        <v>0</v>
      </c>
      <c r="BM216" s="300">
        <f t="shared" si="233"/>
        <v>0</v>
      </c>
      <c r="BN216" s="301">
        <f>[1]COMMANDE!AA214</f>
        <v>0</v>
      </c>
      <c r="BO216" s="297" t="str">
        <f t="shared" si="234"/>
        <v>0</v>
      </c>
      <c r="BP216" s="298">
        <f t="shared" si="235"/>
        <v>0</v>
      </c>
      <c r="BQ216" s="299">
        <f>[1]COMMANDE!AC214</f>
        <v>0</v>
      </c>
      <c r="BR216" s="297" t="str">
        <f t="shared" si="236"/>
        <v>0</v>
      </c>
      <c r="BS216" s="300">
        <f t="shared" si="237"/>
        <v>0</v>
      </c>
      <c r="BT216" s="301">
        <f>[1]COMMANDE!AE214</f>
        <v>0</v>
      </c>
      <c r="BU216" s="297" t="str">
        <f t="shared" si="238"/>
        <v>0</v>
      </c>
      <c r="BV216" s="298">
        <f t="shared" si="239"/>
        <v>0</v>
      </c>
      <c r="BW216" s="299">
        <f>[1]COMMANDE!AG214</f>
        <v>0</v>
      </c>
      <c r="BX216" s="297" t="str">
        <f t="shared" si="240"/>
        <v>0</v>
      </c>
      <c r="BY216" s="300">
        <f t="shared" si="241"/>
        <v>0</v>
      </c>
      <c r="BZ216" s="301">
        <f>[1]COMMANDE!AI214</f>
        <v>0</v>
      </c>
      <c r="CA216" s="297" t="str">
        <f t="shared" si="242"/>
        <v>0</v>
      </c>
      <c r="CB216" s="298">
        <f t="shared" si="243"/>
        <v>0</v>
      </c>
      <c r="CC216" s="299">
        <f>[1]COMMANDE!AK214</f>
        <v>0</v>
      </c>
      <c r="CD216" s="297" t="str">
        <f t="shared" si="244"/>
        <v>0</v>
      </c>
      <c r="CE216" s="300">
        <f t="shared" si="245"/>
        <v>0</v>
      </c>
      <c r="CF216" s="301">
        <f>[1]COMMANDE!AM214</f>
        <v>0</v>
      </c>
      <c r="CG216" s="297" t="str">
        <f t="shared" si="246"/>
        <v>0</v>
      </c>
      <c r="CH216" s="298">
        <f t="shared" si="247"/>
        <v>0</v>
      </c>
      <c r="CI216" s="299">
        <f>[1]COMMANDE!AO214</f>
        <v>0</v>
      </c>
      <c r="CJ216" s="297" t="str">
        <f t="shared" si="248"/>
        <v>0</v>
      </c>
      <c r="CK216" s="300">
        <f t="shared" si="249"/>
        <v>0</v>
      </c>
      <c r="CL216" s="301">
        <f>[1]COMMANDE!AQ214</f>
        <v>0</v>
      </c>
      <c r="CM216" s="297" t="str">
        <f t="shared" si="250"/>
        <v>0</v>
      </c>
      <c r="CN216" s="298">
        <f t="shared" si="251"/>
        <v>0</v>
      </c>
      <c r="CO216" s="299">
        <f>[1]COMMANDE!AS214</f>
        <v>0</v>
      </c>
      <c r="CP216" s="297" t="str">
        <f t="shared" si="252"/>
        <v>0</v>
      </c>
      <c r="CQ216" s="300">
        <f t="shared" si="253"/>
        <v>0</v>
      </c>
      <c r="CR216" s="301">
        <f>[1]COMMANDE!AU214</f>
        <v>0</v>
      </c>
      <c r="CS216" s="297" t="str">
        <f t="shared" si="254"/>
        <v>0</v>
      </c>
      <c r="CT216" s="298">
        <f t="shared" si="255"/>
        <v>0</v>
      </c>
      <c r="CU216" s="299">
        <f>[1]COMMANDE!AW214</f>
        <v>0</v>
      </c>
      <c r="CV216" s="297" t="str">
        <f t="shared" si="256"/>
        <v>0</v>
      </c>
      <c r="CW216" s="300">
        <f t="shared" si="257"/>
        <v>0</v>
      </c>
      <c r="CX216" s="301">
        <f>[1]COMMANDE!AY214</f>
        <v>0</v>
      </c>
      <c r="CY216" s="297" t="str">
        <f t="shared" si="258"/>
        <v>0</v>
      </c>
      <c r="CZ216" s="298">
        <f t="shared" si="259"/>
        <v>0</v>
      </c>
      <c r="DA216" s="299">
        <f>[1]COMMANDE!BA214</f>
        <v>0</v>
      </c>
      <c r="DB216" s="297" t="str">
        <f t="shared" si="260"/>
        <v>0</v>
      </c>
      <c r="DC216" s="302">
        <f t="shared" si="261"/>
        <v>0</v>
      </c>
      <c r="DD216" s="303"/>
      <c r="DE216" s="304"/>
    </row>
    <row r="217" spans="1:109" ht="39.950000000000003" customHeight="1" x14ac:dyDescent="0.25">
      <c r="A217" s="284">
        <f t="shared" si="140"/>
        <v>0</v>
      </c>
      <c r="B217" s="284">
        <f t="shared" si="141"/>
        <v>0</v>
      </c>
      <c r="C217" s="284">
        <f t="shared" si="142"/>
        <v>0</v>
      </c>
      <c r="D217" s="284">
        <f t="shared" si="143"/>
        <v>0</v>
      </c>
      <c r="E217" s="284">
        <f t="shared" si="144"/>
        <v>0</v>
      </c>
      <c r="F217" s="284">
        <f t="shared" si="145"/>
        <v>0</v>
      </c>
      <c r="G217" s="284">
        <f t="shared" si="146"/>
        <v>0</v>
      </c>
      <c r="H217" s="284">
        <f t="shared" si="147"/>
        <v>0</v>
      </c>
      <c r="I217" s="284">
        <f t="shared" si="148"/>
        <v>0</v>
      </c>
      <c r="J217" s="284">
        <f t="shared" si="149"/>
        <v>0</v>
      </c>
      <c r="K217" s="284">
        <f t="shared" si="150"/>
        <v>0</v>
      </c>
      <c r="L217" s="284">
        <f t="shared" si="151"/>
        <v>0</v>
      </c>
      <c r="M217" s="284">
        <f t="shared" si="152"/>
        <v>0</v>
      </c>
      <c r="N217" s="284">
        <f t="shared" si="153"/>
        <v>0</v>
      </c>
      <c r="O217" s="284">
        <f t="shared" si="154"/>
        <v>0</v>
      </c>
      <c r="P217" s="284">
        <f t="shared" si="209"/>
        <v>0</v>
      </c>
      <c r="Q217" s="284">
        <f t="shared" si="210"/>
        <v>0</v>
      </c>
      <c r="R217" s="284">
        <f t="shared" si="211"/>
        <v>0</v>
      </c>
      <c r="S217" s="284">
        <f t="shared" si="212"/>
        <v>0</v>
      </c>
      <c r="T217" s="284">
        <f t="shared" si="213"/>
        <v>0</v>
      </c>
      <c r="U217" s="285">
        <f t="shared" si="214"/>
        <v>0</v>
      </c>
      <c r="V217" s="286">
        <f>[1]BDD!A207</f>
        <v>3967</v>
      </c>
      <c r="W217" s="287" t="str">
        <f>[1]BDD!B207</f>
        <v>Pitaya/Fruit du dragon (jaune à l'extérieur et pulpe blanche)</v>
      </c>
      <c r="X217" s="288" t="str">
        <f>IF([1]BDD!F207=0, "", [1]BDD!F207)</f>
        <v/>
      </c>
      <c r="Y217" s="214">
        <f>ROUND([1]BDD!G207+FDP_CMD_KG, 2)</f>
        <v>10.17</v>
      </c>
      <c r="Z217" s="214">
        <f>ROUND([1]BDD!G207+FDP_FACT_KG, 2)</f>
        <v>10.17</v>
      </c>
      <c r="AA217" s="215" t="str">
        <f>[1]BDD!H207</f>
        <v>kg</v>
      </c>
      <c r="AB217" s="225" t="str">
        <f>IF(NOT(ISBLANK([1]BDD!I207)), ROUND(SUM(([1]BDD!G207*reduc1),FDP_CMD_KG), 2), "")</f>
        <v/>
      </c>
      <c r="AC217" s="225" t="str">
        <f>IF(NOT(ISBLANK([1]BDD!J207)), ROUND(SUM(([1]BDD!G207*reduc2),FDP_CMD_KG), 2), "")</f>
        <v/>
      </c>
      <c r="AD217" s="225" t="str">
        <f>IF(NOT(ISBLANK([1]BDD!K207)), ROUND(SUM(([1]BDD!G207*reduc3),FDP_CMD_KG), 2), "")</f>
        <v/>
      </c>
      <c r="AE217" s="225" t="str">
        <f>IF(NOT(ISBLANK([1]BDD!I207)), ROUND(SUM(([1]BDD!G207*reduc1),FDP_FACT_KG), 2), "")</f>
        <v/>
      </c>
      <c r="AF217" s="225" t="str">
        <f>IF(NOT(ISBLANK([1]BDD!J207)), ROUND(SUM(([1]BDD!G207*reduc2),FDP_FACT_KG), 2), "")</f>
        <v/>
      </c>
      <c r="AG217" s="225" t="str">
        <f>IF(NOT(ISBLANK([1]BDD!K207)), ROUND(SUM(([1]BDD!G207*reduc3),FDP_FACT_KG), 2), "")</f>
        <v/>
      </c>
      <c r="AH217" s="289" t="str">
        <f>[1]BDD!C207</f>
        <v>Grenade</v>
      </c>
      <c r="AI217" s="290">
        <f t="shared" si="215"/>
        <v>0</v>
      </c>
      <c r="AJ217" s="216">
        <f t="shared" si="216"/>
        <v>10.17</v>
      </c>
      <c r="AK217" s="291">
        <f t="shared" si="217"/>
        <v>0</v>
      </c>
      <c r="AL217" s="429"/>
      <c r="AM217" s="292"/>
      <c r="AN217" s="216">
        <f t="shared" si="218"/>
        <v>10.17</v>
      </c>
      <c r="AO217" s="293">
        <f t="shared" si="219"/>
        <v>0</v>
      </c>
      <c r="AP217" s="294"/>
      <c r="AQ217" s="294"/>
      <c r="AR217" s="429"/>
      <c r="AS217" s="295">
        <f t="shared" si="220"/>
        <v>0</v>
      </c>
      <c r="AT217" s="216">
        <f t="shared" si="221"/>
        <v>10.17</v>
      </c>
      <c r="AU217" s="291">
        <f t="shared" si="208"/>
        <v>0</v>
      </c>
      <c r="AV217" s="296">
        <f>[1]COMMANDE!O215</f>
        <v>0</v>
      </c>
      <c r="AW217" s="297" t="str">
        <f t="shared" si="222"/>
        <v>0</v>
      </c>
      <c r="AX217" s="298">
        <f t="shared" si="223"/>
        <v>0</v>
      </c>
      <c r="AY217" s="299">
        <f>[1]COMMANDE!Q215</f>
        <v>0</v>
      </c>
      <c r="AZ217" s="297" t="str">
        <f t="shared" si="224"/>
        <v>0</v>
      </c>
      <c r="BA217" s="300">
        <f t="shared" si="225"/>
        <v>0</v>
      </c>
      <c r="BB217" s="301">
        <f>[1]COMMANDE!S215</f>
        <v>0</v>
      </c>
      <c r="BC217" s="297" t="str">
        <f t="shared" si="226"/>
        <v>0</v>
      </c>
      <c r="BD217" s="298">
        <f t="shared" si="227"/>
        <v>0</v>
      </c>
      <c r="BE217" s="299">
        <f>[1]COMMANDE!U215</f>
        <v>0</v>
      </c>
      <c r="BF217" s="297" t="str">
        <f t="shared" si="228"/>
        <v>0</v>
      </c>
      <c r="BG217" s="300">
        <f t="shared" si="229"/>
        <v>0</v>
      </c>
      <c r="BH217" s="301">
        <f>[1]COMMANDE!W215</f>
        <v>0</v>
      </c>
      <c r="BI217" s="297" t="str">
        <f t="shared" si="230"/>
        <v>0</v>
      </c>
      <c r="BJ217" s="298">
        <f t="shared" si="231"/>
        <v>0</v>
      </c>
      <c r="BK217" s="299">
        <f>[1]COMMANDE!Y215</f>
        <v>0</v>
      </c>
      <c r="BL217" s="297" t="str">
        <f t="shared" si="232"/>
        <v>0</v>
      </c>
      <c r="BM217" s="300">
        <f t="shared" si="233"/>
        <v>0</v>
      </c>
      <c r="BN217" s="301">
        <f>[1]COMMANDE!AA215</f>
        <v>0</v>
      </c>
      <c r="BO217" s="297" t="str">
        <f t="shared" si="234"/>
        <v>0</v>
      </c>
      <c r="BP217" s="298">
        <f t="shared" si="235"/>
        <v>0</v>
      </c>
      <c r="BQ217" s="299">
        <f>[1]COMMANDE!AC215</f>
        <v>0</v>
      </c>
      <c r="BR217" s="297" t="str">
        <f t="shared" si="236"/>
        <v>0</v>
      </c>
      <c r="BS217" s="300">
        <f t="shared" si="237"/>
        <v>0</v>
      </c>
      <c r="BT217" s="301">
        <f>[1]COMMANDE!AE215</f>
        <v>0</v>
      </c>
      <c r="BU217" s="297" t="str">
        <f t="shared" si="238"/>
        <v>0</v>
      </c>
      <c r="BV217" s="298">
        <f t="shared" si="239"/>
        <v>0</v>
      </c>
      <c r="BW217" s="299">
        <f>[1]COMMANDE!AG215</f>
        <v>0</v>
      </c>
      <c r="BX217" s="297" t="str">
        <f t="shared" si="240"/>
        <v>0</v>
      </c>
      <c r="BY217" s="300">
        <f t="shared" si="241"/>
        <v>0</v>
      </c>
      <c r="BZ217" s="301">
        <f>[1]COMMANDE!AI215</f>
        <v>0</v>
      </c>
      <c r="CA217" s="297" t="str">
        <f t="shared" si="242"/>
        <v>0</v>
      </c>
      <c r="CB217" s="298">
        <f t="shared" si="243"/>
        <v>0</v>
      </c>
      <c r="CC217" s="299">
        <f>[1]COMMANDE!AK215</f>
        <v>0</v>
      </c>
      <c r="CD217" s="297" t="str">
        <f t="shared" si="244"/>
        <v>0</v>
      </c>
      <c r="CE217" s="300">
        <f t="shared" si="245"/>
        <v>0</v>
      </c>
      <c r="CF217" s="301">
        <f>[1]COMMANDE!AM215</f>
        <v>0</v>
      </c>
      <c r="CG217" s="297" t="str">
        <f t="shared" si="246"/>
        <v>0</v>
      </c>
      <c r="CH217" s="298">
        <f t="shared" si="247"/>
        <v>0</v>
      </c>
      <c r="CI217" s="299">
        <f>[1]COMMANDE!AO215</f>
        <v>0</v>
      </c>
      <c r="CJ217" s="297" t="str">
        <f t="shared" si="248"/>
        <v>0</v>
      </c>
      <c r="CK217" s="300">
        <f t="shared" si="249"/>
        <v>0</v>
      </c>
      <c r="CL217" s="301">
        <f>[1]COMMANDE!AQ215</f>
        <v>0</v>
      </c>
      <c r="CM217" s="297" t="str">
        <f t="shared" si="250"/>
        <v>0</v>
      </c>
      <c r="CN217" s="298">
        <f t="shared" si="251"/>
        <v>0</v>
      </c>
      <c r="CO217" s="299">
        <f>[1]COMMANDE!AS215</f>
        <v>0</v>
      </c>
      <c r="CP217" s="297" t="str">
        <f t="shared" si="252"/>
        <v>0</v>
      </c>
      <c r="CQ217" s="300">
        <f t="shared" si="253"/>
        <v>0</v>
      </c>
      <c r="CR217" s="301">
        <f>[1]COMMANDE!AU215</f>
        <v>0</v>
      </c>
      <c r="CS217" s="297" t="str">
        <f t="shared" si="254"/>
        <v>0</v>
      </c>
      <c r="CT217" s="298">
        <f t="shared" si="255"/>
        <v>0</v>
      </c>
      <c r="CU217" s="299">
        <f>[1]COMMANDE!AW215</f>
        <v>0</v>
      </c>
      <c r="CV217" s="297" t="str">
        <f t="shared" si="256"/>
        <v>0</v>
      </c>
      <c r="CW217" s="300">
        <f t="shared" si="257"/>
        <v>0</v>
      </c>
      <c r="CX217" s="301">
        <f>[1]COMMANDE!AY215</f>
        <v>0</v>
      </c>
      <c r="CY217" s="297" t="str">
        <f t="shared" si="258"/>
        <v>0</v>
      </c>
      <c r="CZ217" s="298">
        <f t="shared" si="259"/>
        <v>0</v>
      </c>
      <c r="DA217" s="299">
        <f>[1]COMMANDE!BA215</f>
        <v>0</v>
      </c>
      <c r="DB217" s="297" t="str">
        <f t="shared" si="260"/>
        <v>0</v>
      </c>
      <c r="DC217" s="302">
        <f t="shared" si="261"/>
        <v>0</v>
      </c>
      <c r="DD217" s="303"/>
      <c r="DE217" s="304"/>
    </row>
    <row r="218" spans="1:109" ht="39.950000000000003" customHeight="1" x14ac:dyDescent="0.25">
      <c r="A218" s="307">
        <f t="shared" si="140"/>
        <v>0</v>
      </c>
      <c r="B218" s="307">
        <f t="shared" si="141"/>
        <v>0</v>
      </c>
      <c r="C218" s="307">
        <f t="shared" si="142"/>
        <v>0</v>
      </c>
      <c r="D218" s="307">
        <f t="shared" si="143"/>
        <v>0</v>
      </c>
      <c r="E218" s="307">
        <f t="shared" si="144"/>
        <v>0</v>
      </c>
      <c r="F218" s="307">
        <f t="shared" si="145"/>
        <v>0</v>
      </c>
      <c r="G218" s="307">
        <f t="shared" si="146"/>
        <v>0</v>
      </c>
      <c r="H218" s="307">
        <f t="shared" si="147"/>
        <v>0</v>
      </c>
      <c r="I218" s="307">
        <f t="shared" si="148"/>
        <v>0</v>
      </c>
      <c r="J218" s="307">
        <f t="shared" si="149"/>
        <v>0</v>
      </c>
      <c r="K218" s="307">
        <f t="shared" si="150"/>
        <v>0</v>
      </c>
      <c r="L218" s="307">
        <f t="shared" si="151"/>
        <v>0</v>
      </c>
      <c r="M218" s="307">
        <f t="shared" si="152"/>
        <v>0</v>
      </c>
      <c r="N218" s="307">
        <f t="shared" si="153"/>
        <v>0</v>
      </c>
      <c r="O218" s="307">
        <f t="shared" si="154"/>
        <v>0</v>
      </c>
      <c r="P218" s="284">
        <f t="shared" si="209"/>
        <v>0</v>
      </c>
      <c r="Q218" s="284">
        <f t="shared" si="210"/>
        <v>0</v>
      </c>
      <c r="R218" s="284">
        <f t="shared" si="211"/>
        <v>0</v>
      </c>
      <c r="S218" s="284">
        <f t="shared" si="212"/>
        <v>0</v>
      </c>
      <c r="T218" s="284">
        <f t="shared" si="213"/>
        <v>0</v>
      </c>
      <c r="U218" s="285">
        <f t="shared" si="214"/>
        <v>0</v>
      </c>
      <c r="V218" s="286">
        <f>[1]BDD!A208</f>
        <v>3043</v>
      </c>
      <c r="W218" s="287" t="str">
        <f>[1]BDD!B208</f>
        <v xml:space="preserve">Poire Conférence  </v>
      </c>
      <c r="X218" s="288" t="str">
        <f>IF([1]BDD!F208=0, "", [1]BDD!F208)</f>
        <v/>
      </c>
      <c r="Y218" s="214">
        <f>ROUND([1]BDD!G208+FDP_CMD_KG, 2)</f>
        <v>3.87</v>
      </c>
      <c r="Z218" s="214">
        <f>ROUND([1]BDD!G208+FDP_FACT_KG, 2)</f>
        <v>3.87</v>
      </c>
      <c r="AA218" s="215" t="str">
        <f>[1]BDD!H208</f>
        <v>kg</v>
      </c>
      <c r="AB218" s="225">
        <f>IF(NOT(ISBLANK([1]BDD!I208)), ROUND(SUM(([1]BDD!G208*reduc1),FDP_CMD_KG), 2), "")</f>
        <v>3.57</v>
      </c>
      <c r="AC218" s="225">
        <f>IF(NOT(ISBLANK([1]BDD!J208)), ROUND(SUM(([1]BDD!G208*reduc2),FDP_CMD_KG), 2), "")</f>
        <v>3.27</v>
      </c>
      <c r="AD218" s="225" t="str">
        <f>IF(NOT(ISBLANK([1]BDD!K208)), ROUND(SUM(([1]BDD!G208*reduc3),FDP_CMD_KG), 2), "")</f>
        <v/>
      </c>
      <c r="AE218" s="225">
        <f>IF(NOT(ISBLANK([1]BDD!I208)), ROUND(SUM(([1]BDD!G208*reduc1),FDP_FACT_KG), 2), "")</f>
        <v>3.57</v>
      </c>
      <c r="AF218" s="225">
        <f>IF(NOT(ISBLANK([1]BDD!J208)), ROUND(SUM(([1]BDD!G208*reduc2),FDP_FACT_KG), 2), "")</f>
        <v>3.27</v>
      </c>
      <c r="AG218" s="225" t="str">
        <f>IF(NOT(ISBLANK([1]BDD!K208)), ROUND(SUM(([1]BDD!G208*reduc3),FDP_FACT_KG), 2), "")</f>
        <v/>
      </c>
      <c r="AH218" s="289" t="str">
        <f>[1]BDD!C208</f>
        <v>Espagne</v>
      </c>
      <c r="AI218" s="290">
        <f t="shared" si="215"/>
        <v>0</v>
      </c>
      <c r="AJ218" s="216">
        <f t="shared" si="216"/>
        <v>3.27</v>
      </c>
      <c r="AK218" s="291">
        <f t="shared" si="217"/>
        <v>0</v>
      </c>
      <c r="AL218" s="429"/>
      <c r="AM218" s="292"/>
      <c r="AN218" s="216">
        <f t="shared" si="218"/>
        <v>3.87</v>
      </c>
      <c r="AO218" s="293">
        <f t="shared" si="219"/>
        <v>0</v>
      </c>
      <c r="AP218" s="294"/>
      <c r="AQ218" s="294"/>
      <c r="AR218" s="429"/>
      <c r="AS218" s="295">
        <f t="shared" si="220"/>
        <v>0</v>
      </c>
      <c r="AT218" s="216">
        <f t="shared" si="221"/>
        <v>3.87</v>
      </c>
      <c r="AU218" s="291">
        <f t="shared" si="208"/>
        <v>0</v>
      </c>
      <c r="AV218" s="296">
        <f>[1]COMMANDE!O216</f>
        <v>0</v>
      </c>
      <c r="AW218" s="297" t="str">
        <f t="shared" si="222"/>
        <v>0</v>
      </c>
      <c r="AX218" s="298">
        <f t="shared" si="223"/>
        <v>0</v>
      </c>
      <c r="AY218" s="299">
        <f>[1]COMMANDE!Q216</f>
        <v>0</v>
      </c>
      <c r="AZ218" s="297" t="str">
        <f t="shared" si="224"/>
        <v>0</v>
      </c>
      <c r="BA218" s="300">
        <f t="shared" si="225"/>
        <v>0</v>
      </c>
      <c r="BB218" s="301">
        <f>[1]COMMANDE!S216</f>
        <v>0</v>
      </c>
      <c r="BC218" s="297" t="str">
        <f t="shared" si="226"/>
        <v>0</v>
      </c>
      <c r="BD218" s="298">
        <f t="shared" si="227"/>
        <v>0</v>
      </c>
      <c r="BE218" s="299">
        <f>[1]COMMANDE!U216</f>
        <v>0</v>
      </c>
      <c r="BF218" s="297" t="str">
        <f t="shared" si="228"/>
        <v>0</v>
      </c>
      <c r="BG218" s="300">
        <f t="shared" si="229"/>
        <v>0</v>
      </c>
      <c r="BH218" s="301">
        <f>[1]COMMANDE!W216</f>
        <v>0</v>
      </c>
      <c r="BI218" s="297" t="str">
        <f t="shared" si="230"/>
        <v>0</v>
      </c>
      <c r="BJ218" s="298">
        <f t="shared" si="231"/>
        <v>0</v>
      </c>
      <c r="BK218" s="299">
        <f>[1]COMMANDE!Y216</f>
        <v>0</v>
      </c>
      <c r="BL218" s="297" t="str">
        <f t="shared" si="232"/>
        <v>0</v>
      </c>
      <c r="BM218" s="300">
        <f t="shared" si="233"/>
        <v>0</v>
      </c>
      <c r="BN218" s="301">
        <f>[1]COMMANDE!AA216</f>
        <v>0</v>
      </c>
      <c r="BO218" s="297" t="str">
        <f t="shared" si="234"/>
        <v>0</v>
      </c>
      <c r="BP218" s="298">
        <f t="shared" si="235"/>
        <v>0</v>
      </c>
      <c r="BQ218" s="299">
        <f>[1]COMMANDE!AC216</f>
        <v>0</v>
      </c>
      <c r="BR218" s="297" t="str">
        <f t="shared" si="236"/>
        <v>0</v>
      </c>
      <c r="BS218" s="300">
        <f t="shared" si="237"/>
        <v>0</v>
      </c>
      <c r="BT218" s="301">
        <f>[1]COMMANDE!AE216</f>
        <v>0</v>
      </c>
      <c r="BU218" s="297" t="str">
        <f t="shared" si="238"/>
        <v>0</v>
      </c>
      <c r="BV218" s="298">
        <f t="shared" si="239"/>
        <v>0</v>
      </c>
      <c r="BW218" s="299">
        <f>[1]COMMANDE!AG216</f>
        <v>0</v>
      </c>
      <c r="BX218" s="297" t="str">
        <f t="shared" si="240"/>
        <v>0</v>
      </c>
      <c r="BY218" s="300">
        <f t="shared" si="241"/>
        <v>0</v>
      </c>
      <c r="BZ218" s="301">
        <f>[1]COMMANDE!AI216</f>
        <v>0</v>
      </c>
      <c r="CA218" s="297" t="str">
        <f t="shared" si="242"/>
        <v>0</v>
      </c>
      <c r="CB218" s="298">
        <f t="shared" si="243"/>
        <v>0</v>
      </c>
      <c r="CC218" s="299">
        <f>[1]COMMANDE!AK216</f>
        <v>0</v>
      </c>
      <c r="CD218" s="297" t="str">
        <f t="shared" si="244"/>
        <v>0</v>
      </c>
      <c r="CE218" s="300">
        <f t="shared" si="245"/>
        <v>0</v>
      </c>
      <c r="CF218" s="301">
        <f>[1]COMMANDE!AM216</f>
        <v>0</v>
      </c>
      <c r="CG218" s="297" t="str">
        <f t="shared" si="246"/>
        <v>0</v>
      </c>
      <c r="CH218" s="298">
        <f t="shared" si="247"/>
        <v>0</v>
      </c>
      <c r="CI218" s="299">
        <f>[1]COMMANDE!AO216</f>
        <v>0</v>
      </c>
      <c r="CJ218" s="297" t="str">
        <f t="shared" si="248"/>
        <v>0</v>
      </c>
      <c r="CK218" s="300">
        <f t="shared" si="249"/>
        <v>0</v>
      </c>
      <c r="CL218" s="301">
        <f>[1]COMMANDE!AQ216</f>
        <v>0</v>
      </c>
      <c r="CM218" s="297" t="str">
        <f t="shared" si="250"/>
        <v>0</v>
      </c>
      <c r="CN218" s="298">
        <f t="shared" si="251"/>
        <v>0</v>
      </c>
      <c r="CO218" s="299">
        <f>[1]COMMANDE!AS216</f>
        <v>0</v>
      </c>
      <c r="CP218" s="297" t="str">
        <f t="shared" si="252"/>
        <v>0</v>
      </c>
      <c r="CQ218" s="300">
        <f t="shared" si="253"/>
        <v>0</v>
      </c>
      <c r="CR218" s="301">
        <f>[1]COMMANDE!AU216</f>
        <v>0</v>
      </c>
      <c r="CS218" s="297" t="str">
        <f t="shared" si="254"/>
        <v>0</v>
      </c>
      <c r="CT218" s="298">
        <f t="shared" si="255"/>
        <v>0</v>
      </c>
      <c r="CU218" s="299">
        <f>[1]COMMANDE!AW216</f>
        <v>0</v>
      </c>
      <c r="CV218" s="297" t="str">
        <f t="shared" si="256"/>
        <v>0</v>
      </c>
      <c r="CW218" s="300">
        <f t="shared" si="257"/>
        <v>0</v>
      </c>
      <c r="CX218" s="301">
        <f>[1]COMMANDE!AY216</f>
        <v>0</v>
      </c>
      <c r="CY218" s="297" t="str">
        <f t="shared" si="258"/>
        <v>0</v>
      </c>
      <c r="CZ218" s="298">
        <f t="shared" si="259"/>
        <v>0</v>
      </c>
      <c r="DA218" s="299">
        <f>[1]COMMANDE!BA216</f>
        <v>0</v>
      </c>
      <c r="DB218" s="297" t="str">
        <f t="shared" si="260"/>
        <v>0</v>
      </c>
      <c r="DC218" s="302">
        <f t="shared" si="261"/>
        <v>0</v>
      </c>
      <c r="DD218" s="303"/>
      <c r="DE218" s="304"/>
    </row>
    <row r="219" spans="1:109" ht="39.950000000000003" customHeight="1" x14ac:dyDescent="0.25">
      <c r="A219" s="307">
        <f t="shared" si="140"/>
        <v>0</v>
      </c>
      <c r="B219" s="307">
        <f t="shared" si="141"/>
        <v>0</v>
      </c>
      <c r="C219" s="307">
        <f t="shared" si="142"/>
        <v>0</v>
      </c>
      <c r="D219" s="307">
        <f t="shared" si="143"/>
        <v>0</v>
      </c>
      <c r="E219" s="307">
        <f t="shared" si="144"/>
        <v>0</v>
      </c>
      <c r="F219" s="307">
        <f t="shared" si="145"/>
        <v>0</v>
      </c>
      <c r="G219" s="307">
        <f t="shared" si="146"/>
        <v>0</v>
      </c>
      <c r="H219" s="307">
        <f t="shared" si="147"/>
        <v>0</v>
      </c>
      <c r="I219" s="307">
        <f t="shared" si="148"/>
        <v>0</v>
      </c>
      <c r="J219" s="307">
        <f t="shared" si="149"/>
        <v>0</v>
      </c>
      <c r="K219" s="307">
        <f t="shared" si="150"/>
        <v>0</v>
      </c>
      <c r="L219" s="307">
        <f t="shared" si="151"/>
        <v>0</v>
      </c>
      <c r="M219" s="307">
        <f t="shared" si="152"/>
        <v>0</v>
      </c>
      <c r="N219" s="307">
        <f t="shared" si="153"/>
        <v>0</v>
      </c>
      <c r="O219" s="307">
        <f t="shared" si="154"/>
        <v>0</v>
      </c>
      <c r="P219" s="284">
        <f t="shared" si="209"/>
        <v>0</v>
      </c>
      <c r="Q219" s="284">
        <f t="shared" si="210"/>
        <v>0</v>
      </c>
      <c r="R219" s="284">
        <f t="shared" si="211"/>
        <v>0</v>
      </c>
      <c r="S219" s="284">
        <f t="shared" si="212"/>
        <v>0</v>
      </c>
      <c r="T219" s="284">
        <f t="shared" si="213"/>
        <v>0</v>
      </c>
      <c r="U219" s="285">
        <f t="shared" si="214"/>
        <v>0</v>
      </c>
      <c r="V219" s="286">
        <f>[1]BDD!A209</f>
        <v>1123</v>
      </c>
      <c r="W219" s="287" t="str">
        <f>[1]BDD!B209</f>
        <v>Poire Conférence BIO</v>
      </c>
      <c r="X219" s="288" t="str">
        <f>IF([1]BDD!F209=0, "", [1]BDD!F209)</f>
        <v/>
      </c>
      <c r="Y219" s="214">
        <f>ROUND([1]BDD!G209+FDP_CMD_KG, 2)</f>
        <v>4.83</v>
      </c>
      <c r="Z219" s="214">
        <f>ROUND([1]BDD!G209+FDP_FACT_KG, 2)</f>
        <v>4.83</v>
      </c>
      <c r="AA219" s="215" t="str">
        <f>[1]BDD!H209</f>
        <v>kg</v>
      </c>
      <c r="AB219" s="225">
        <f>IF(NOT(ISBLANK([1]BDD!I209)), ROUND(SUM(([1]BDD!G209*reduc1),FDP_CMD_KG), 2), "")</f>
        <v>4.4400000000000004</v>
      </c>
      <c r="AC219" s="225">
        <f>IF(NOT(ISBLANK([1]BDD!J209)), ROUND(SUM(([1]BDD!G209*reduc2),FDP_CMD_KG), 2), "")</f>
        <v>4.04</v>
      </c>
      <c r="AD219" s="225" t="str">
        <f>IF(NOT(ISBLANK([1]BDD!K209)), ROUND(SUM(([1]BDD!G209*reduc3),FDP_CMD_KG), 2), "")</f>
        <v/>
      </c>
      <c r="AE219" s="225">
        <f>IF(NOT(ISBLANK([1]BDD!I209)), ROUND(SUM(([1]BDD!G209*reduc1),FDP_FACT_KG), 2), "")</f>
        <v>4.43</v>
      </c>
      <c r="AF219" s="225">
        <f>IF(NOT(ISBLANK([1]BDD!J209)), ROUND(SUM(([1]BDD!G209*reduc2),FDP_FACT_KG), 2), "")</f>
        <v>4.03</v>
      </c>
      <c r="AG219" s="225" t="str">
        <f>IF(NOT(ISBLANK([1]BDD!K209)), ROUND(SUM(([1]BDD!G209*reduc3),FDP_FACT_KG), 2), "")</f>
        <v/>
      </c>
      <c r="AH219" s="289" t="str">
        <f>[1]BDD!C209</f>
        <v>Espagne</v>
      </c>
      <c r="AI219" s="290">
        <f t="shared" si="215"/>
        <v>0</v>
      </c>
      <c r="AJ219" s="216">
        <f t="shared" si="216"/>
        <v>4.04</v>
      </c>
      <c r="AK219" s="291">
        <f t="shared" si="217"/>
        <v>0</v>
      </c>
      <c r="AL219" s="429"/>
      <c r="AM219" s="292"/>
      <c r="AN219" s="216">
        <f t="shared" si="218"/>
        <v>4.83</v>
      </c>
      <c r="AO219" s="293">
        <f t="shared" si="219"/>
        <v>0</v>
      </c>
      <c r="AP219" s="294"/>
      <c r="AQ219" s="294"/>
      <c r="AR219" s="429"/>
      <c r="AS219" s="295">
        <f t="shared" si="220"/>
        <v>0</v>
      </c>
      <c r="AT219" s="216">
        <f t="shared" si="221"/>
        <v>4.83</v>
      </c>
      <c r="AU219" s="291">
        <f t="shared" si="208"/>
        <v>0</v>
      </c>
      <c r="AV219" s="296">
        <f>[1]COMMANDE!O217</f>
        <v>0</v>
      </c>
      <c r="AW219" s="297" t="str">
        <f t="shared" si="222"/>
        <v>0</v>
      </c>
      <c r="AX219" s="298">
        <f t="shared" si="223"/>
        <v>0</v>
      </c>
      <c r="AY219" s="299">
        <f>[1]COMMANDE!Q217</f>
        <v>0</v>
      </c>
      <c r="AZ219" s="297" t="str">
        <f t="shared" si="224"/>
        <v>0</v>
      </c>
      <c r="BA219" s="300">
        <f t="shared" si="225"/>
        <v>0</v>
      </c>
      <c r="BB219" s="301">
        <f>[1]COMMANDE!S217</f>
        <v>0</v>
      </c>
      <c r="BC219" s="297" t="str">
        <f t="shared" si="226"/>
        <v>0</v>
      </c>
      <c r="BD219" s="298">
        <f t="shared" si="227"/>
        <v>0</v>
      </c>
      <c r="BE219" s="299">
        <f>[1]COMMANDE!U217</f>
        <v>0</v>
      </c>
      <c r="BF219" s="297" t="str">
        <f t="shared" si="228"/>
        <v>0</v>
      </c>
      <c r="BG219" s="300">
        <f t="shared" si="229"/>
        <v>0</v>
      </c>
      <c r="BH219" s="301">
        <f>[1]COMMANDE!W217</f>
        <v>0</v>
      </c>
      <c r="BI219" s="297" t="str">
        <f t="shared" si="230"/>
        <v>0</v>
      </c>
      <c r="BJ219" s="298">
        <f t="shared" si="231"/>
        <v>0</v>
      </c>
      <c r="BK219" s="299">
        <f>[1]COMMANDE!Y217</f>
        <v>0</v>
      </c>
      <c r="BL219" s="297" t="str">
        <f t="shared" si="232"/>
        <v>0</v>
      </c>
      <c r="BM219" s="300">
        <f t="shared" si="233"/>
        <v>0</v>
      </c>
      <c r="BN219" s="301">
        <f>[1]COMMANDE!AA217</f>
        <v>0</v>
      </c>
      <c r="BO219" s="297" t="str">
        <f t="shared" si="234"/>
        <v>0</v>
      </c>
      <c r="BP219" s="298">
        <f t="shared" si="235"/>
        <v>0</v>
      </c>
      <c r="BQ219" s="299">
        <f>[1]COMMANDE!AC217</f>
        <v>0</v>
      </c>
      <c r="BR219" s="297" t="str">
        <f t="shared" si="236"/>
        <v>0</v>
      </c>
      <c r="BS219" s="300">
        <f t="shared" si="237"/>
        <v>0</v>
      </c>
      <c r="BT219" s="301">
        <f>[1]COMMANDE!AE217</f>
        <v>0</v>
      </c>
      <c r="BU219" s="297" t="str">
        <f t="shared" si="238"/>
        <v>0</v>
      </c>
      <c r="BV219" s="298">
        <f t="shared" si="239"/>
        <v>0</v>
      </c>
      <c r="BW219" s="299">
        <f>[1]COMMANDE!AG217</f>
        <v>0</v>
      </c>
      <c r="BX219" s="297" t="str">
        <f t="shared" si="240"/>
        <v>0</v>
      </c>
      <c r="BY219" s="300">
        <f t="shared" si="241"/>
        <v>0</v>
      </c>
      <c r="BZ219" s="301">
        <f>[1]COMMANDE!AI217</f>
        <v>0</v>
      </c>
      <c r="CA219" s="297" t="str">
        <f t="shared" si="242"/>
        <v>0</v>
      </c>
      <c r="CB219" s="298">
        <f t="shared" si="243"/>
        <v>0</v>
      </c>
      <c r="CC219" s="299">
        <f>[1]COMMANDE!AK217</f>
        <v>0</v>
      </c>
      <c r="CD219" s="297" t="str">
        <f t="shared" si="244"/>
        <v>0</v>
      </c>
      <c r="CE219" s="300">
        <f t="shared" si="245"/>
        <v>0</v>
      </c>
      <c r="CF219" s="301">
        <f>[1]COMMANDE!AM217</f>
        <v>0</v>
      </c>
      <c r="CG219" s="297" t="str">
        <f t="shared" si="246"/>
        <v>0</v>
      </c>
      <c r="CH219" s="298">
        <f t="shared" si="247"/>
        <v>0</v>
      </c>
      <c r="CI219" s="299">
        <f>[1]COMMANDE!AO217</f>
        <v>0</v>
      </c>
      <c r="CJ219" s="297" t="str">
        <f t="shared" si="248"/>
        <v>0</v>
      </c>
      <c r="CK219" s="300">
        <f t="shared" si="249"/>
        <v>0</v>
      </c>
      <c r="CL219" s="301">
        <f>[1]COMMANDE!AQ217</f>
        <v>0</v>
      </c>
      <c r="CM219" s="297" t="str">
        <f t="shared" si="250"/>
        <v>0</v>
      </c>
      <c r="CN219" s="298">
        <f t="shared" si="251"/>
        <v>0</v>
      </c>
      <c r="CO219" s="299">
        <f>[1]COMMANDE!AS217</f>
        <v>0</v>
      </c>
      <c r="CP219" s="297" t="str">
        <f t="shared" si="252"/>
        <v>0</v>
      </c>
      <c r="CQ219" s="300">
        <f t="shared" si="253"/>
        <v>0</v>
      </c>
      <c r="CR219" s="301">
        <f>[1]COMMANDE!AU217</f>
        <v>0</v>
      </c>
      <c r="CS219" s="297" t="str">
        <f t="shared" si="254"/>
        <v>0</v>
      </c>
      <c r="CT219" s="298">
        <f t="shared" si="255"/>
        <v>0</v>
      </c>
      <c r="CU219" s="299">
        <f>[1]COMMANDE!AW217</f>
        <v>0</v>
      </c>
      <c r="CV219" s="297" t="str">
        <f t="shared" si="256"/>
        <v>0</v>
      </c>
      <c r="CW219" s="300">
        <f t="shared" si="257"/>
        <v>0</v>
      </c>
      <c r="CX219" s="301">
        <f>[1]COMMANDE!AY217</f>
        <v>0</v>
      </c>
      <c r="CY219" s="297" t="str">
        <f t="shared" si="258"/>
        <v>0</v>
      </c>
      <c r="CZ219" s="298">
        <f t="shared" si="259"/>
        <v>0</v>
      </c>
      <c r="DA219" s="299">
        <f>[1]COMMANDE!BA217</f>
        <v>0</v>
      </c>
      <c r="DB219" s="297" t="str">
        <f t="shared" si="260"/>
        <v>0</v>
      </c>
      <c r="DC219" s="302">
        <f t="shared" si="261"/>
        <v>0</v>
      </c>
      <c r="DD219" s="303"/>
      <c r="DE219" s="304"/>
    </row>
    <row r="220" spans="1:109" ht="39.950000000000003" customHeight="1" x14ac:dyDescent="0.25">
      <c r="A220" s="284">
        <f t="shared" si="140"/>
        <v>0</v>
      </c>
      <c r="B220" s="284">
        <f t="shared" si="141"/>
        <v>0</v>
      </c>
      <c r="C220" s="284">
        <f t="shared" si="142"/>
        <v>0</v>
      </c>
      <c r="D220" s="284">
        <f t="shared" si="143"/>
        <v>0</v>
      </c>
      <c r="E220" s="284">
        <f t="shared" si="144"/>
        <v>0</v>
      </c>
      <c r="F220" s="284">
        <f t="shared" si="145"/>
        <v>0</v>
      </c>
      <c r="G220" s="284">
        <f t="shared" si="146"/>
        <v>0</v>
      </c>
      <c r="H220" s="284">
        <f t="shared" si="147"/>
        <v>0</v>
      </c>
      <c r="I220" s="284">
        <f t="shared" si="148"/>
        <v>0</v>
      </c>
      <c r="J220" s="284">
        <f t="shared" si="149"/>
        <v>0</v>
      </c>
      <c r="K220" s="284">
        <f t="shared" si="150"/>
        <v>0</v>
      </c>
      <c r="L220" s="284">
        <f t="shared" si="151"/>
        <v>0</v>
      </c>
      <c r="M220" s="284">
        <f t="shared" si="152"/>
        <v>0</v>
      </c>
      <c r="N220" s="284">
        <f t="shared" si="153"/>
        <v>0</v>
      </c>
      <c r="O220" s="284">
        <f t="shared" si="154"/>
        <v>0</v>
      </c>
      <c r="P220" s="284">
        <f t="shared" si="209"/>
        <v>0</v>
      </c>
      <c r="Q220" s="284">
        <f t="shared" si="210"/>
        <v>0</v>
      </c>
      <c r="R220" s="284">
        <f t="shared" si="211"/>
        <v>0</v>
      </c>
      <c r="S220" s="284">
        <f t="shared" si="212"/>
        <v>0</v>
      </c>
      <c r="T220" s="284">
        <f t="shared" si="213"/>
        <v>0</v>
      </c>
      <c r="U220" s="285">
        <f t="shared" si="214"/>
        <v>0</v>
      </c>
      <c r="V220" s="286">
        <f>[1]BDD!A210</f>
        <v>1535</v>
      </c>
      <c r="W220" s="287" t="str">
        <f>[1]BDD!B210</f>
        <v>Poire déshydratée BIO</v>
      </c>
      <c r="X220" s="288" t="str">
        <f>IF([1]BDD!F210=0, "", [1]BDD!F210)</f>
        <v/>
      </c>
      <c r="Y220" s="214">
        <f>ROUND([1]BDD!G210+FDP_CMD_KG, 2)</f>
        <v>23.46</v>
      </c>
      <c r="Z220" s="214">
        <f>ROUND([1]BDD!G210+FDP_FACT_KG, 2)</f>
        <v>23.46</v>
      </c>
      <c r="AA220" s="215" t="str">
        <f>[1]BDD!H210</f>
        <v>kg</v>
      </c>
      <c r="AB220" s="225" t="str">
        <f>IF(NOT(ISBLANK([1]BDD!I210)), ROUND(SUM(([1]BDD!G210*reduc1),FDP_CMD_KG), 2), "")</f>
        <v/>
      </c>
      <c r="AC220" s="225" t="str">
        <f>IF(NOT(ISBLANK([1]BDD!J210)), ROUND(SUM(([1]BDD!G210*reduc2),FDP_CMD_KG), 2), "")</f>
        <v/>
      </c>
      <c r="AD220" s="225" t="str">
        <f>IF(NOT(ISBLANK([1]BDD!K210)), ROUND(SUM(([1]BDD!G210*reduc3),FDP_CMD_KG), 2), "")</f>
        <v/>
      </c>
      <c r="AE220" s="225" t="str">
        <f>IF(NOT(ISBLANK([1]BDD!I210)), ROUND(SUM(([1]BDD!G210*reduc1),FDP_FACT_KG), 2), "")</f>
        <v/>
      </c>
      <c r="AF220" s="225" t="str">
        <f>IF(NOT(ISBLANK([1]BDD!J210)), ROUND(SUM(([1]BDD!G210*reduc2),FDP_FACT_KG), 2), "")</f>
        <v/>
      </c>
      <c r="AG220" s="225" t="str">
        <f>IF(NOT(ISBLANK([1]BDD!K210)), ROUND(SUM(([1]BDD!G210*reduc3),FDP_FACT_KG), 2), "")</f>
        <v/>
      </c>
      <c r="AH220" s="289" t="str">
        <f>[1]BDD!C210</f>
        <v>Grenade</v>
      </c>
      <c r="AI220" s="290">
        <f t="shared" si="215"/>
        <v>0</v>
      </c>
      <c r="AJ220" s="216">
        <f t="shared" si="216"/>
        <v>23.46</v>
      </c>
      <c r="AK220" s="291">
        <f t="shared" si="217"/>
        <v>0</v>
      </c>
      <c r="AL220" s="429"/>
      <c r="AM220" s="292"/>
      <c r="AN220" s="216">
        <f t="shared" si="218"/>
        <v>23.46</v>
      </c>
      <c r="AO220" s="293">
        <f t="shared" si="219"/>
        <v>0</v>
      </c>
      <c r="AP220" s="294"/>
      <c r="AQ220" s="294"/>
      <c r="AR220" s="429"/>
      <c r="AS220" s="295">
        <f t="shared" si="220"/>
        <v>0</v>
      </c>
      <c r="AT220" s="216">
        <f t="shared" si="221"/>
        <v>23.46</v>
      </c>
      <c r="AU220" s="291">
        <f t="shared" si="208"/>
        <v>0</v>
      </c>
      <c r="AV220" s="296">
        <f>[1]COMMANDE!O218</f>
        <v>0</v>
      </c>
      <c r="AW220" s="297" t="str">
        <f t="shared" si="222"/>
        <v>0</v>
      </c>
      <c r="AX220" s="298">
        <f t="shared" si="223"/>
        <v>0</v>
      </c>
      <c r="AY220" s="299">
        <f>[1]COMMANDE!Q218</f>
        <v>0</v>
      </c>
      <c r="AZ220" s="297" t="str">
        <f t="shared" si="224"/>
        <v>0</v>
      </c>
      <c r="BA220" s="300">
        <f t="shared" si="225"/>
        <v>0</v>
      </c>
      <c r="BB220" s="301">
        <f>[1]COMMANDE!S218</f>
        <v>0</v>
      </c>
      <c r="BC220" s="297" t="str">
        <f t="shared" si="226"/>
        <v>0</v>
      </c>
      <c r="BD220" s="298">
        <f t="shared" si="227"/>
        <v>0</v>
      </c>
      <c r="BE220" s="299">
        <f>[1]COMMANDE!U218</f>
        <v>0</v>
      </c>
      <c r="BF220" s="297" t="str">
        <f t="shared" si="228"/>
        <v>0</v>
      </c>
      <c r="BG220" s="300">
        <f t="shared" si="229"/>
        <v>0</v>
      </c>
      <c r="BH220" s="301">
        <f>[1]COMMANDE!W218</f>
        <v>0</v>
      </c>
      <c r="BI220" s="297" t="str">
        <f t="shared" si="230"/>
        <v>0</v>
      </c>
      <c r="BJ220" s="298">
        <f t="shared" si="231"/>
        <v>0</v>
      </c>
      <c r="BK220" s="299">
        <f>[1]COMMANDE!Y218</f>
        <v>0</v>
      </c>
      <c r="BL220" s="297" t="str">
        <f t="shared" si="232"/>
        <v>0</v>
      </c>
      <c r="BM220" s="300">
        <f t="shared" si="233"/>
        <v>0</v>
      </c>
      <c r="BN220" s="301">
        <f>[1]COMMANDE!AA218</f>
        <v>0</v>
      </c>
      <c r="BO220" s="297" t="str">
        <f t="shared" si="234"/>
        <v>0</v>
      </c>
      <c r="BP220" s="298">
        <f t="shared" si="235"/>
        <v>0</v>
      </c>
      <c r="BQ220" s="299">
        <f>[1]COMMANDE!AC218</f>
        <v>0</v>
      </c>
      <c r="BR220" s="297" t="str">
        <f t="shared" si="236"/>
        <v>0</v>
      </c>
      <c r="BS220" s="300">
        <f t="shared" si="237"/>
        <v>0</v>
      </c>
      <c r="BT220" s="301">
        <f>[1]COMMANDE!AE218</f>
        <v>0</v>
      </c>
      <c r="BU220" s="297" t="str">
        <f t="shared" si="238"/>
        <v>0</v>
      </c>
      <c r="BV220" s="298">
        <f t="shared" si="239"/>
        <v>0</v>
      </c>
      <c r="BW220" s="299">
        <f>[1]COMMANDE!AG218</f>
        <v>0</v>
      </c>
      <c r="BX220" s="297" t="str">
        <f t="shared" si="240"/>
        <v>0</v>
      </c>
      <c r="BY220" s="300">
        <f t="shared" si="241"/>
        <v>0</v>
      </c>
      <c r="BZ220" s="301">
        <f>[1]COMMANDE!AI218</f>
        <v>0</v>
      </c>
      <c r="CA220" s="297" t="str">
        <f t="shared" si="242"/>
        <v>0</v>
      </c>
      <c r="CB220" s="298">
        <f t="shared" si="243"/>
        <v>0</v>
      </c>
      <c r="CC220" s="299">
        <f>[1]COMMANDE!AK218</f>
        <v>0</v>
      </c>
      <c r="CD220" s="297" t="str">
        <f t="shared" si="244"/>
        <v>0</v>
      </c>
      <c r="CE220" s="300">
        <f t="shared" si="245"/>
        <v>0</v>
      </c>
      <c r="CF220" s="301">
        <f>[1]COMMANDE!AM218</f>
        <v>0</v>
      </c>
      <c r="CG220" s="297" t="str">
        <f t="shared" si="246"/>
        <v>0</v>
      </c>
      <c r="CH220" s="298">
        <f t="shared" si="247"/>
        <v>0</v>
      </c>
      <c r="CI220" s="299">
        <f>[1]COMMANDE!AO218</f>
        <v>0</v>
      </c>
      <c r="CJ220" s="297" t="str">
        <f t="shared" si="248"/>
        <v>0</v>
      </c>
      <c r="CK220" s="300">
        <f t="shared" si="249"/>
        <v>0</v>
      </c>
      <c r="CL220" s="301">
        <f>[1]COMMANDE!AQ218</f>
        <v>0</v>
      </c>
      <c r="CM220" s="297" t="str">
        <f t="shared" si="250"/>
        <v>0</v>
      </c>
      <c r="CN220" s="298">
        <f t="shared" si="251"/>
        <v>0</v>
      </c>
      <c r="CO220" s="299">
        <f>[1]COMMANDE!AS218</f>
        <v>0</v>
      </c>
      <c r="CP220" s="297" t="str">
        <f t="shared" si="252"/>
        <v>0</v>
      </c>
      <c r="CQ220" s="300">
        <f t="shared" si="253"/>
        <v>0</v>
      </c>
      <c r="CR220" s="301">
        <f>[1]COMMANDE!AU218</f>
        <v>0</v>
      </c>
      <c r="CS220" s="297" t="str">
        <f t="shared" si="254"/>
        <v>0</v>
      </c>
      <c r="CT220" s="298">
        <f t="shared" si="255"/>
        <v>0</v>
      </c>
      <c r="CU220" s="299">
        <f>[1]COMMANDE!AW218</f>
        <v>0</v>
      </c>
      <c r="CV220" s="297" t="str">
        <f t="shared" si="256"/>
        <v>0</v>
      </c>
      <c r="CW220" s="300">
        <f t="shared" si="257"/>
        <v>0</v>
      </c>
      <c r="CX220" s="301">
        <f>[1]COMMANDE!AY218</f>
        <v>0</v>
      </c>
      <c r="CY220" s="297" t="str">
        <f t="shared" si="258"/>
        <v>0</v>
      </c>
      <c r="CZ220" s="298">
        <f t="shared" si="259"/>
        <v>0</v>
      </c>
      <c r="DA220" s="299">
        <f>[1]COMMANDE!BA218</f>
        <v>0</v>
      </c>
      <c r="DB220" s="297" t="str">
        <f t="shared" si="260"/>
        <v>0</v>
      </c>
      <c r="DC220" s="302">
        <f t="shared" si="261"/>
        <v>0</v>
      </c>
      <c r="DD220" s="303"/>
      <c r="DE220" s="304"/>
    </row>
    <row r="221" spans="1:109" ht="39.950000000000003" customHeight="1" x14ac:dyDescent="0.25">
      <c r="A221" s="284">
        <f t="shared" si="140"/>
        <v>0</v>
      </c>
      <c r="B221" s="284">
        <f t="shared" si="141"/>
        <v>0</v>
      </c>
      <c r="C221" s="284">
        <f t="shared" si="142"/>
        <v>0</v>
      </c>
      <c r="D221" s="284">
        <f t="shared" si="143"/>
        <v>0</v>
      </c>
      <c r="E221" s="284">
        <f t="shared" si="144"/>
        <v>0</v>
      </c>
      <c r="F221" s="284">
        <f t="shared" si="145"/>
        <v>0</v>
      </c>
      <c r="G221" s="284">
        <f t="shared" si="146"/>
        <v>0</v>
      </c>
      <c r="H221" s="284">
        <f t="shared" si="147"/>
        <v>0</v>
      </c>
      <c r="I221" s="284">
        <f t="shared" si="148"/>
        <v>0</v>
      </c>
      <c r="J221" s="284">
        <f t="shared" si="149"/>
        <v>0</v>
      </c>
      <c r="K221" s="284">
        <f t="shared" si="150"/>
        <v>0</v>
      </c>
      <c r="L221" s="284">
        <f t="shared" si="151"/>
        <v>0</v>
      </c>
      <c r="M221" s="284">
        <f t="shared" si="152"/>
        <v>0</v>
      </c>
      <c r="N221" s="284">
        <f t="shared" si="153"/>
        <v>0</v>
      </c>
      <c r="O221" s="284">
        <f t="shared" si="154"/>
        <v>0</v>
      </c>
      <c r="P221" s="284">
        <f t="shared" si="209"/>
        <v>0</v>
      </c>
      <c r="Q221" s="284">
        <f t="shared" si="210"/>
        <v>0</v>
      </c>
      <c r="R221" s="284">
        <f t="shared" si="211"/>
        <v>0</v>
      </c>
      <c r="S221" s="284">
        <f t="shared" si="212"/>
        <v>0</v>
      </c>
      <c r="T221" s="284">
        <f t="shared" si="213"/>
        <v>0</v>
      </c>
      <c r="U221" s="285">
        <f t="shared" si="214"/>
        <v>0</v>
      </c>
      <c r="V221" s="286">
        <f>[1]BDD!A211</f>
        <v>1062</v>
      </c>
      <c r="W221" s="287" t="str">
        <f>[1]BDD!B211</f>
        <v>Poireau BIO</v>
      </c>
      <c r="X221" s="288" t="str">
        <f>IF([1]BDD!F211=0, "", [1]BDD!F211)</f>
        <v/>
      </c>
      <c r="Y221" s="214">
        <f>ROUND([1]BDD!G211+FDP_CMD_KG, 2)</f>
        <v>4.28</v>
      </c>
      <c r="Z221" s="214">
        <f>ROUND([1]BDD!G211+FDP_FACT_KG, 2)</f>
        <v>4.28</v>
      </c>
      <c r="AA221" s="215" t="str">
        <f>[1]BDD!H211</f>
        <v>kg</v>
      </c>
      <c r="AB221" s="225">
        <f>IF(NOT(ISBLANK([1]BDD!I211)), ROUND(SUM(([1]BDD!G211*reduc1),FDP_CMD_KG), 2), "")</f>
        <v>3.94</v>
      </c>
      <c r="AC221" s="225" t="str">
        <f>IF(NOT(ISBLANK([1]BDD!J211)), ROUND(SUM(([1]BDD!G211*reduc2),FDP_CMD_KG), 2), "")</f>
        <v/>
      </c>
      <c r="AD221" s="225" t="str">
        <f>IF(NOT(ISBLANK([1]BDD!K211)), ROUND(SUM(([1]BDD!G211*reduc3),FDP_CMD_KG), 2), "")</f>
        <v/>
      </c>
      <c r="AE221" s="225">
        <f>IF(NOT(ISBLANK([1]BDD!I211)), ROUND(SUM(([1]BDD!G211*reduc1),FDP_FACT_KG), 2), "")</f>
        <v>3.94</v>
      </c>
      <c r="AF221" s="225" t="str">
        <f>IF(NOT(ISBLANK([1]BDD!J211)), ROUND(SUM(([1]BDD!G211*reduc2),FDP_FACT_KG), 2), "")</f>
        <v/>
      </c>
      <c r="AG221" s="225" t="str">
        <f>IF(NOT(ISBLANK([1]BDD!K211)), ROUND(SUM(([1]BDD!G211*reduc3),FDP_FACT_KG), 2), "")</f>
        <v/>
      </c>
      <c r="AH221" s="289" t="str">
        <f>[1]BDD!C211</f>
        <v>Malaga</v>
      </c>
      <c r="AI221" s="290">
        <f t="shared" si="215"/>
        <v>0</v>
      </c>
      <c r="AJ221" s="216">
        <f t="shared" si="216"/>
        <v>3.94</v>
      </c>
      <c r="AK221" s="291">
        <f t="shared" si="217"/>
        <v>0</v>
      </c>
      <c r="AL221" s="429"/>
      <c r="AM221" s="292"/>
      <c r="AN221" s="216">
        <f t="shared" si="218"/>
        <v>4.28</v>
      </c>
      <c r="AO221" s="293">
        <f t="shared" si="219"/>
        <v>0</v>
      </c>
      <c r="AP221" s="294"/>
      <c r="AQ221" s="294"/>
      <c r="AR221" s="429"/>
      <c r="AS221" s="295">
        <f t="shared" si="220"/>
        <v>0</v>
      </c>
      <c r="AT221" s="216">
        <f t="shared" si="221"/>
        <v>4.28</v>
      </c>
      <c r="AU221" s="291">
        <f t="shared" si="208"/>
        <v>0</v>
      </c>
      <c r="AV221" s="296">
        <f>[1]COMMANDE!O219</f>
        <v>0</v>
      </c>
      <c r="AW221" s="297" t="str">
        <f t="shared" si="222"/>
        <v>0</v>
      </c>
      <c r="AX221" s="298">
        <f t="shared" si="223"/>
        <v>0</v>
      </c>
      <c r="AY221" s="299">
        <f>[1]COMMANDE!Q219</f>
        <v>0</v>
      </c>
      <c r="AZ221" s="297" t="str">
        <f t="shared" si="224"/>
        <v>0</v>
      </c>
      <c r="BA221" s="300">
        <f t="shared" si="225"/>
        <v>0</v>
      </c>
      <c r="BB221" s="301">
        <f>[1]COMMANDE!S219</f>
        <v>0</v>
      </c>
      <c r="BC221" s="297" t="str">
        <f t="shared" si="226"/>
        <v>0</v>
      </c>
      <c r="BD221" s="298">
        <f t="shared" si="227"/>
        <v>0</v>
      </c>
      <c r="BE221" s="299">
        <f>[1]COMMANDE!U219</f>
        <v>0</v>
      </c>
      <c r="BF221" s="297" t="str">
        <f t="shared" si="228"/>
        <v>0</v>
      </c>
      <c r="BG221" s="300">
        <f t="shared" si="229"/>
        <v>0</v>
      </c>
      <c r="BH221" s="301">
        <f>[1]COMMANDE!W219</f>
        <v>0</v>
      </c>
      <c r="BI221" s="297" t="str">
        <f t="shared" si="230"/>
        <v>0</v>
      </c>
      <c r="BJ221" s="298">
        <f t="shared" si="231"/>
        <v>0</v>
      </c>
      <c r="BK221" s="299">
        <f>[1]COMMANDE!Y219</f>
        <v>0</v>
      </c>
      <c r="BL221" s="297" t="str">
        <f t="shared" si="232"/>
        <v>0</v>
      </c>
      <c r="BM221" s="300">
        <f t="shared" si="233"/>
        <v>0</v>
      </c>
      <c r="BN221" s="301">
        <f>[1]COMMANDE!AA219</f>
        <v>0</v>
      </c>
      <c r="BO221" s="297" t="str">
        <f t="shared" si="234"/>
        <v>0</v>
      </c>
      <c r="BP221" s="298">
        <f t="shared" si="235"/>
        <v>0</v>
      </c>
      <c r="BQ221" s="299">
        <f>[1]COMMANDE!AC219</f>
        <v>0</v>
      </c>
      <c r="BR221" s="297" t="str">
        <f t="shared" si="236"/>
        <v>0</v>
      </c>
      <c r="BS221" s="300">
        <f t="shared" si="237"/>
        <v>0</v>
      </c>
      <c r="BT221" s="301">
        <f>[1]COMMANDE!AE219</f>
        <v>0</v>
      </c>
      <c r="BU221" s="297" t="str">
        <f t="shared" si="238"/>
        <v>0</v>
      </c>
      <c r="BV221" s="298">
        <f t="shared" si="239"/>
        <v>0</v>
      </c>
      <c r="BW221" s="299">
        <f>[1]COMMANDE!AG219</f>
        <v>0</v>
      </c>
      <c r="BX221" s="297" t="str">
        <f t="shared" si="240"/>
        <v>0</v>
      </c>
      <c r="BY221" s="300">
        <f t="shared" si="241"/>
        <v>0</v>
      </c>
      <c r="BZ221" s="301">
        <f>[1]COMMANDE!AI219</f>
        <v>0</v>
      </c>
      <c r="CA221" s="297" t="str">
        <f t="shared" si="242"/>
        <v>0</v>
      </c>
      <c r="CB221" s="298">
        <f t="shared" si="243"/>
        <v>0</v>
      </c>
      <c r="CC221" s="299">
        <f>[1]COMMANDE!AK219</f>
        <v>0</v>
      </c>
      <c r="CD221" s="297" t="str">
        <f t="shared" si="244"/>
        <v>0</v>
      </c>
      <c r="CE221" s="300">
        <f t="shared" si="245"/>
        <v>0</v>
      </c>
      <c r="CF221" s="301">
        <f>[1]COMMANDE!AM219</f>
        <v>0</v>
      </c>
      <c r="CG221" s="297" t="str">
        <f t="shared" si="246"/>
        <v>0</v>
      </c>
      <c r="CH221" s="298">
        <f t="shared" si="247"/>
        <v>0</v>
      </c>
      <c r="CI221" s="299">
        <f>[1]COMMANDE!AO219</f>
        <v>0</v>
      </c>
      <c r="CJ221" s="297" t="str">
        <f t="shared" si="248"/>
        <v>0</v>
      </c>
      <c r="CK221" s="300">
        <f t="shared" si="249"/>
        <v>0</v>
      </c>
      <c r="CL221" s="301">
        <f>[1]COMMANDE!AQ219</f>
        <v>0</v>
      </c>
      <c r="CM221" s="297" t="str">
        <f t="shared" si="250"/>
        <v>0</v>
      </c>
      <c r="CN221" s="298">
        <f t="shared" si="251"/>
        <v>0</v>
      </c>
      <c r="CO221" s="299">
        <f>[1]COMMANDE!AS219</f>
        <v>0</v>
      </c>
      <c r="CP221" s="297" t="str">
        <f t="shared" si="252"/>
        <v>0</v>
      </c>
      <c r="CQ221" s="300">
        <f t="shared" si="253"/>
        <v>0</v>
      </c>
      <c r="CR221" s="301">
        <f>[1]COMMANDE!AU219</f>
        <v>0</v>
      </c>
      <c r="CS221" s="297" t="str">
        <f t="shared" si="254"/>
        <v>0</v>
      </c>
      <c r="CT221" s="298">
        <f t="shared" si="255"/>
        <v>0</v>
      </c>
      <c r="CU221" s="299">
        <f>[1]COMMANDE!AW219</f>
        <v>0</v>
      </c>
      <c r="CV221" s="297" t="str">
        <f t="shared" si="256"/>
        <v>0</v>
      </c>
      <c r="CW221" s="300">
        <f t="shared" si="257"/>
        <v>0</v>
      </c>
      <c r="CX221" s="301">
        <f>[1]COMMANDE!AY219</f>
        <v>0</v>
      </c>
      <c r="CY221" s="297" t="str">
        <f t="shared" si="258"/>
        <v>0</v>
      </c>
      <c r="CZ221" s="298">
        <f t="shared" si="259"/>
        <v>0</v>
      </c>
      <c r="DA221" s="299">
        <f>[1]COMMANDE!BA219</f>
        <v>0</v>
      </c>
      <c r="DB221" s="297" t="str">
        <f t="shared" si="260"/>
        <v>0</v>
      </c>
      <c r="DC221" s="302">
        <f t="shared" si="261"/>
        <v>0</v>
      </c>
      <c r="DD221" s="303"/>
      <c r="DE221" s="304"/>
    </row>
    <row r="222" spans="1:109" ht="39.950000000000003" customHeight="1" x14ac:dyDescent="0.25">
      <c r="A222" s="284">
        <f t="shared" si="140"/>
        <v>0</v>
      </c>
      <c r="B222" s="284">
        <f t="shared" si="141"/>
        <v>0</v>
      </c>
      <c r="C222" s="284">
        <f t="shared" si="142"/>
        <v>0</v>
      </c>
      <c r="D222" s="284">
        <f t="shared" si="143"/>
        <v>0</v>
      </c>
      <c r="E222" s="284">
        <f t="shared" si="144"/>
        <v>0</v>
      </c>
      <c r="F222" s="284">
        <f t="shared" si="145"/>
        <v>0</v>
      </c>
      <c r="G222" s="284">
        <f t="shared" si="146"/>
        <v>0</v>
      </c>
      <c r="H222" s="284">
        <f t="shared" si="147"/>
        <v>0</v>
      </c>
      <c r="I222" s="284">
        <f t="shared" si="148"/>
        <v>0</v>
      </c>
      <c r="J222" s="284">
        <f t="shared" si="149"/>
        <v>0</v>
      </c>
      <c r="K222" s="284">
        <f t="shared" si="150"/>
        <v>0</v>
      </c>
      <c r="L222" s="284">
        <f t="shared" si="151"/>
        <v>0</v>
      </c>
      <c r="M222" s="284">
        <f t="shared" si="152"/>
        <v>0</v>
      </c>
      <c r="N222" s="284">
        <f t="shared" si="153"/>
        <v>0</v>
      </c>
      <c r="O222" s="284">
        <f t="shared" si="154"/>
        <v>0</v>
      </c>
      <c r="P222" s="284">
        <f t="shared" si="209"/>
        <v>0</v>
      </c>
      <c r="Q222" s="284">
        <f t="shared" si="210"/>
        <v>0</v>
      </c>
      <c r="R222" s="284">
        <f t="shared" si="211"/>
        <v>0</v>
      </c>
      <c r="S222" s="284">
        <f t="shared" si="212"/>
        <v>0</v>
      </c>
      <c r="T222" s="284">
        <f t="shared" si="213"/>
        <v>0</v>
      </c>
      <c r="U222" s="285">
        <f t="shared" si="214"/>
        <v>0</v>
      </c>
      <c r="V222" s="286">
        <f>[1]BDD!A212</f>
        <v>3313</v>
      </c>
      <c r="W222" s="287" t="str">
        <f>[1]BDD!B212</f>
        <v>Poivron mini en couleur (saveur sucrée)</v>
      </c>
      <c r="X222" s="288" t="str">
        <f>IF([1]BDD!F212=0, "", [1]BDD!F212)</f>
        <v>❤️</v>
      </c>
      <c r="Y222" s="214">
        <f>ROUND([1]BDD!G212+FDP_CMD_KG, 2)</f>
        <v>4.01</v>
      </c>
      <c r="Z222" s="214">
        <f>ROUND([1]BDD!G212+FDP_FACT_KG, 2)</f>
        <v>4.01</v>
      </c>
      <c r="AA222" s="215" t="str">
        <f>[1]BDD!H212</f>
        <v>kg</v>
      </c>
      <c r="AB222" s="225">
        <f>IF(NOT(ISBLANK([1]BDD!I212)), ROUND(SUM(([1]BDD!G212*reduc1),FDP_CMD_KG), 2), "")</f>
        <v>3.7</v>
      </c>
      <c r="AC222" s="225">
        <f>IF(NOT(ISBLANK([1]BDD!J212)), ROUND(SUM(([1]BDD!G212*reduc2),FDP_CMD_KG), 2), "")</f>
        <v>3.39</v>
      </c>
      <c r="AD222" s="225" t="str">
        <f>IF(NOT(ISBLANK([1]BDD!K212)), ROUND(SUM(([1]BDD!G212*reduc3),FDP_CMD_KG), 2), "")</f>
        <v/>
      </c>
      <c r="AE222" s="225">
        <f>IF(NOT(ISBLANK([1]BDD!I212)), ROUND(SUM(([1]BDD!G212*reduc1),FDP_FACT_KG), 2), "")</f>
        <v>3.69</v>
      </c>
      <c r="AF222" s="225">
        <f>IF(NOT(ISBLANK([1]BDD!J212)), ROUND(SUM(([1]BDD!G212*reduc2),FDP_FACT_KG), 2), "")</f>
        <v>3.38</v>
      </c>
      <c r="AG222" s="225" t="str">
        <f>IF(NOT(ISBLANK([1]BDD!K212)), ROUND(SUM(([1]BDD!G212*reduc3),FDP_FACT_KG), 2), "")</f>
        <v/>
      </c>
      <c r="AH222" s="289" t="str">
        <f>[1]BDD!C212</f>
        <v>Grenade</v>
      </c>
      <c r="AI222" s="290">
        <f t="shared" si="215"/>
        <v>0</v>
      </c>
      <c r="AJ222" s="216">
        <f t="shared" si="216"/>
        <v>3.39</v>
      </c>
      <c r="AK222" s="291">
        <f t="shared" si="217"/>
        <v>0</v>
      </c>
      <c r="AL222" s="429"/>
      <c r="AM222" s="292"/>
      <c r="AN222" s="216">
        <f t="shared" si="218"/>
        <v>4.01</v>
      </c>
      <c r="AO222" s="293">
        <f t="shared" si="219"/>
        <v>0</v>
      </c>
      <c r="AP222" s="294"/>
      <c r="AQ222" s="294"/>
      <c r="AR222" s="429"/>
      <c r="AS222" s="295">
        <f t="shared" si="220"/>
        <v>0</v>
      </c>
      <c r="AT222" s="216">
        <f t="shared" si="221"/>
        <v>4.01</v>
      </c>
      <c r="AU222" s="291">
        <f t="shared" si="208"/>
        <v>0</v>
      </c>
      <c r="AV222" s="296">
        <f>[1]COMMANDE!O220</f>
        <v>0</v>
      </c>
      <c r="AW222" s="297" t="str">
        <f t="shared" si="222"/>
        <v>0</v>
      </c>
      <c r="AX222" s="298">
        <f t="shared" si="223"/>
        <v>0</v>
      </c>
      <c r="AY222" s="299">
        <f>[1]COMMANDE!Q220</f>
        <v>0</v>
      </c>
      <c r="AZ222" s="297" t="str">
        <f t="shared" si="224"/>
        <v>0</v>
      </c>
      <c r="BA222" s="300">
        <f t="shared" si="225"/>
        <v>0</v>
      </c>
      <c r="BB222" s="301">
        <f>[1]COMMANDE!S220</f>
        <v>0</v>
      </c>
      <c r="BC222" s="297" t="str">
        <f t="shared" si="226"/>
        <v>0</v>
      </c>
      <c r="BD222" s="298">
        <f t="shared" si="227"/>
        <v>0</v>
      </c>
      <c r="BE222" s="299">
        <f>[1]COMMANDE!U220</f>
        <v>0</v>
      </c>
      <c r="BF222" s="297" t="str">
        <f t="shared" si="228"/>
        <v>0</v>
      </c>
      <c r="BG222" s="300">
        <f t="shared" si="229"/>
        <v>0</v>
      </c>
      <c r="BH222" s="301">
        <f>[1]COMMANDE!W220</f>
        <v>0</v>
      </c>
      <c r="BI222" s="297" t="str">
        <f t="shared" si="230"/>
        <v>0</v>
      </c>
      <c r="BJ222" s="298">
        <f t="shared" si="231"/>
        <v>0</v>
      </c>
      <c r="BK222" s="299">
        <f>[1]COMMANDE!Y220</f>
        <v>0</v>
      </c>
      <c r="BL222" s="297" t="str">
        <f t="shared" si="232"/>
        <v>0</v>
      </c>
      <c r="BM222" s="300">
        <f t="shared" si="233"/>
        <v>0</v>
      </c>
      <c r="BN222" s="301">
        <f>[1]COMMANDE!AA220</f>
        <v>0</v>
      </c>
      <c r="BO222" s="297" t="str">
        <f t="shared" si="234"/>
        <v>0</v>
      </c>
      <c r="BP222" s="298">
        <f t="shared" si="235"/>
        <v>0</v>
      </c>
      <c r="BQ222" s="299">
        <f>[1]COMMANDE!AC220</f>
        <v>0</v>
      </c>
      <c r="BR222" s="297" t="str">
        <f t="shared" si="236"/>
        <v>0</v>
      </c>
      <c r="BS222" s="300">
        <f t="shared" si="237"/>
        <v>0</v>
      </c>
      <c r="BT222" s="301">
        <f>[1]COMMANDE!AE220</f>
        <v>0</v>
      </c>
      <c r="BU222" s="297" t="str">
        <f t="shared" si="238"/>
        <v>0</v>
      </c>
      <c r="BV222" s="298">
        <f t="shared" si="239"/>
        <v>0</v>
      </c>
      <c r="BW222" s="299">
        <f>[1]COMMANDE!AG220</f>
        <v>0</v>
      </c>
      <c r="BX222" s="297" t="str">
        <f t="shared" si="240"/>
        <v>0</v>
      </c>
      <c r="BY222" s="300">
        <f t="shared" si="241"/>
        <v>0</v>
      </c>
      <c r="BZ222" s="301">
        <f>[1]COMMANDE!AI220</f>
        <v>0</v>
      </c>
      <c r="CA222" s="297" t="str">
        <f t="shared" si="242"/>
        <v>0</v>
      </c>
      <c r="CB222" s="298">
        <f t="shared" si="243"/>
        <v>0</v>
      </c>
      <c r="CC222" s="299">
        <f>[1]COMMANDE!AK220</f>
        <v>0</v>
      </c>
      <c r="CD222" s="297" t="str">
        <f t="shared" si="244"/>
        <v>0</v>
      </c>
      <c r="CE222" s="300">
        <f t="shared" si="245"/>
        <v>0</v>
      </c>
      <c r="CF222" s="301">
        <f>[1]COMMANDE!AM220</f>
        <v>0</v>
      </c>
      <c r="CG222" s="297" t="str">
        <f t="shared" si="246"/>
        <v>0</v>
      </c>
      <c r="CH222" s="298">
        <f t="shared" si="247"/>
        <v>0</v>
      </c>
      <c r="CI222" s="299">
        <f>[1]COMMANDE!AO220</f>
        <v>0</v>
      </c>
      <c r="CJ222" s="297" t="str">
        <f t="shared" si="248"/>
        <v>0</v>
      </c>
      <c r="CK222" s="300">
        <f t="shared" si="249"/>
        <v>0</v>
      </c>
      <c r="CL222" s="301">
        <f>[1]COMMANDE!AQ220</f>
        <v>0</v>
      </c>
      <c r="CM222" s="297" t="str">
        <f t="shared" si="250"/>
        <v>0</v>
      </c>
      <c r="CN222" s="298">
        <f t="shared" si="251"/>
        <v>0</v>
      </c>
      <c r="CO222" s="299">
        <f>[1]COMMANDE!AS220</f>
        <v>0</v>
      </c>
      <c r="CP222" s="297" t="str">
        <f t="shared" si="252"/>
        <v>0</v>
      </c>
      <c r="CQ222" s="300">
        <f t="shared" si="253"/>
        <v>0</v>
      </c>
      <c r="CR222" s="301">
        <f>[1]COMMANDE!AU220</f>
        <v>0</v>
      </c>
      <c r="CS222" s="297" t="str">
        <f t="shared" si="254"/>
        <v>0</v>
      </c>
      <c r="CT222" s="298">
        <f t="shared" si="255"/>
        <v>0</v>
      </c>
      <c r="CU222" s="299">
        <f>[1]COMMANDE!AW220</f>
        <v>0</v>
      </c>
      <c r="CV222" s="297" t="str">
        <f t="shared" si="256"/>
        <v>0</v>
      </c>
      <c r="CW222" s="300">
        <f t="shared" si="257"/>
        <v>0</v>
      </c>
      <c r="CX222" s="301">
        <f>[1]COMMANDE!AY220</f>
        <v>0</v>
      </c>
      <c r="CY222" s="297" t="str">
        <f t="shared" si="258"/>
        <v>0</v>
      </c>
      <c r="CZ222" s="298">
        <f t="shared" si="259"/>
        <v>0</v>
      </c>
      <c r="DA222" s="299">
        <f>[1]COMMANDE!BA220</f>
        <v>0</v>
      </c>
      <c r="DB222" s="297" t="str">
        <f t="shared" si="260"/>
        <v>0</v>
      </c>
      <c r="DC222" s="302">
        <f t="shared" si="261"/>
        <v>0</v>
      </c>
      <c r="DD222" s="303"/>
      <c r="DE222" s="304"/>
    </row>
    <row r="223" spans="1:109" ht="39.950000000000003" customHeight="1" x14ac:dyDescent="0.25">
      <c r="A223" s="284">
        <f t="shared" si="140"/>
        <v>0</v>
      </c>
      <c r="B223" s="284">
        <f t="shared" si="141"/>
        <v>0</v>
      </c>
      <c r="C223" s="284">
        <f t="shared" si="142"/>
        <v>0</v>
      </c>
      <c r="D223" s="284">
        <f t="shared" si="143"/>
        <v>0</v>
      </c>
      <c r="E223" s="284">
        <f t="shared" si="144"/>
        <v>0</v>
      </c>
      <c r="F223" s="284">
        <f t="shared" si="145"/>
        <v>0</v>
      </c>
      <c r="G223" s="284">
        <f t="shared" si="146"/>
        <v>0</v>
      </c>
      <c r="H223" s="284">
        <f t="shared" si="147"/>
        <v>0</v>
      </c>
      <c r="I223" s="284">
        <f t="shared" si="148"/>
        <v>0</v>
      </c>
      <c r="J223" s="284">
        <f t="shared" si="149"/>
        <v>0</v>
      </c>
      <c r="K223" s="284">
        <f t="shared" si="150"/>
        <v>0</v>
      </c>
      <c r="L223" s="284">
        <f t="shared" si="151"/>
        <v>0</v>
      </c>
      <c r="M223" s="284">
        <f t="shared" si="152"/>
        <v>0</v>
      </c>
      <c r="N223" s="284">
        <f t="shared" si="153"/>
        <v>0</v>
      </c>
      <c r="O223" s="284">
        <f t="shared" si="154"/>
        <v>0</v>
      </c>
      <c r="P223" s="284">
        <f t="shared" si="209"/>
        <v>0</v>
      </c>
      <c r="Q223" s="284">
        <f t="shared" si="210"/>
        <v>0</v>
      </c>
      <c r="R223" s="284">
        <f t="shared" si="211"/>
        <v>0</v>
      </c>
      <c r="S223" s="284">
        <f t="shared" si="212"/>
        <v>0</v>
      </c>
      <c r="T223" s="284">
        <f t="shared" si="213"/>
        <v>0</v>
      </c>
      <c r="U223" s="285">
        <f t="shared" si="214"/>
        <v>0</v>
      </c>
      <c r="V223" s="286">
        <f>[1]BDD!A213</f>
        <v>3106</v>
      </c>
      <c r="W223" s="287" t="str">
        <f>[1]BDD!B213</f>
        <v>Poivron rouge déshydraté
    - (production Rufino - env. 200g)</v>
      </c>
      <c r="X223" s="288" t="str">
        <f>IF([1]BDD!F213=0, "", [1]BDD!F213)</f>
        <v/>
      </c>
      <c r="Y223" s="214">
        <f>ROUND([1]BDD!G213+FDP_CMD_KG, 2)</f>
        <v>4.95</v>
      </c>
      <c r="Z223" s="214">
        <f>ROUND([1]BDD!G213+FDP_FACT_KG, 2)</f>
        <v>4.95</v>
      </c>
      <c r="AA223" s="215" t="str">
        <f>[1]BDD!H213</f>
        <v>Pièce</v>
      </c>
      <c r="AB223" s="225" t="str">
        <f>IF(NOT(ISBLANK([1]BDD!I213)), ROUND(SUM(([1]BDD!G213*reduc1),FDP_CMD_KG), 2), "")</f>
        <v/>
      </c>
      <c r="AC223" s="225" t="str">
        <f>IF(NOT(ISBLANK([1]BDD!J213)), ROUND(SUM(([1]BDD!G213*reduc2),FDP_CMD_KG), 2), "")</f>
        <v/>
      </c>
      <c r="AD223" s="225" t="str">
        <f>IF(NOT(ISBLANK([1]BDD!K213)), ROUND(SUM(([1]BDD!G213*reduc3),FDP_CMD_KG), 2), "")</f>
        <v/>
      </c>
      <c r="AE223" s="225" t="str">
        <f>IF(NOT(ISBLANK([1]BDD!I213)), ROUND(SUM(([1]BDD!G213*reduc1),FDP_FACT_KG), 2), "")</f>
        <v/>
      </c>
      <c r="AF223" s="225" t="str">
        <f>IF(NOT(ISBLANK([1]BDD!J213)), ROUND(SUM(([1]BDD!G213*reduc2),FDP_FACT_KG), 2), "")</f>
        <v/>
      </c>
      <c r="AG223" s="225" t="str">
        <f>IF(NOT(ISBLANK([1]BDD!K213)), ROUND(SUM(([1]BDD!G213*reduc3),FDP_FACT_KG), 2), "")</f>
        <v/>
      </c>
      <c r="AH223" s="289" t="str">
        <f>[1]BDD!C213</f>
        <v>Grenade</v>
      </c>
      <c r="AI223" s="290">
        <f t="shared" si="215"/>
        <v>0</v>
      </c>
      <c r="AJ223" s="216">
        <f t="shared" si="216"/>
        <v>4.95</v>
      </c>
      <c r="AK223" s="291">
        <f t="shared" si="217"/>
        <v>0</v>
      </c>
      <c r="AL223" s="429"/>
      <c r="AM223" s="292"/>
      <c r="AN223" s="216">
        <f t="shared" si="218"/>
        <v>4.95</v>
      </c>
      <c r="AO223" s="293">
        <f t="shared" si="219"/>
        <v>0</v>
      </c>
      <c r="AP223" s="294"/>
      <c r="AQ223" s="294"/>
      <c r="AR223" s="429"/>
      <c r="AS223" s="295">
        <f t="shared" si="220"/>
        <v>0</v>
      </c>
      <c r="AT223" s="216">
        <f t="shared" si="221"/>
        <v>4.95</v>
      </c>
      <c r="AU223" s="291">
        <f t="shared" si="208"/>
        <v>0</v>
      </c>
      <c r="AV223" s="296">
        <f>[1]COMMANDE!O221</f>
        <v>0</v>
      </c>
      <c r="AW223" s="297" t="str">
        <f t="shared" si="222"/>
        <v>0</v>
      </c>
      <c r="AX223" s="298">
        <f t="shared" si="223"/>
        <v>0</v>
      </c>
      <c r="AY223" s="299">
        <f>[1]COMMANDE!Q221</f>
        <v>0</v>
      </c>
      <c r="AZ223" s="297" t="str">
        <f t="shared" si="224"/>
        <v>0</v>
      </c>
      <c r="BA223" s="300">
        <f t="shared" si="225"/>
        <v>0</v>
      </c>
      <c r="BB223" s="301">
        <f>[1]COMMANDE!S221</f>
        <v>0</v>
      </c>
      <c r="BC223" s="297" t="str">
        <f t="shared" si="226"/>
        <v>0</v>
      </c>
      <c r="BD223" s="298">
        <f t="shared" si="227"/>
        <v>0</v>
      </c>
      <c r="BE223" s="299">
        <f>[1]COMMANDE!U221</f>
        <v>0</v>
      </c>
      <c r="BF223" s="297" t="str">
        <f t="shared" si="228"/>
        <v>0</v>
      </c>
      <c r="BG223" s="300">
        <f t="shared" si="229"/>
        <v>0</v>
      </c>
      <c r="BH223" s="301">
        <f>[1]COMMANDE!W221</f>
        <v>0</v>
      </c>
      <c r="BI223" s="297" t="str">
        <f t="shared" si="230"/>
        <v>0</v>
      </c>
      <c r="BJ223" s="298">
        <f t="shared" si="231"/>
        <v>0</v>
      </c>
      <c r="BK223" s="299">
        <f>[1]COMMANDE!Y221</f>
        <v>0</v>
      </c>
      <c r="BL223" s="297" t="str">
        <f t="shared" si="232"/>
        <v>0</v>
      </c>
      <c r="BM223" s="300">
        <f t="shared" si="233"/>
        <v>0</v>
      </c>
      <c r="BN223" s="301">
        <f>[1]COMMANDE!AA221</f>
        <v>0</v>
      </c>
      <c r="BO223" s="297" t="str">
        <f t="shared" si="234"/>
        <v>0</v>
      </c>
      <c r="BP223" s="298">
        <f t="shared" si="235"/>
        <v>0</v>
      </c>
      <c r="BQ223" s="299">
        <f>[1]COMMANDE!AC221</f>
        <v>0</v>
      </c>
      <c r="BR223" s="297" t="str">
        <f t="shared" si="236"/>
        <v>0</v>
      </c>
      <c r="BS223" s="300">
        <f t="shared" si="237"/>
        <v>0</v>
      </c>
      <c r="BT223" s="301">
        <f>[1]COMMANDE!AE221</f>
        <v>0</v>
      </c>
      <c r="BU223" s="297" t="str">
        <f t="shared" si="238"/>
        <v>0</v>
      </c>
      <c r="BV223" s="298">
        <f t="shared" si="239"/>
        <v>0</v>
      </c>
      <c r="BW223" s="299">
        <f>[1]COMMANDE!AG221</f>
        <v>0</v>
      </c>
      <c r="BX223" s="297" t="str">
        <f t="shared" si="240"/>
        <v>0</v>
      </c>
      <c r="BY223" s="300">
        <f t="shared" si="241"/>
        <v>0</v>
      </c>
      <c r="BZ223" s="301">
        <f>[1]COMMANDE!AI221</f>
        <v>0</v>
      </c>
      <c r="CA223" s="297" t="str">
        <f t="shared" si="242"/>
        <v>0</v>
      </c>
      <c r="CB223" s="298">
        <f t="shared" si="243"/>
        <v>0</v>
      </c>
      <c r="CC223" s="299">
        <f>[1]COMMANDE!AK221</f>
        <v>0</v>
      </c>
      <c r="CD223" s="297" t="str">
        <f t="shared" si="244"/>
        <v>0</v>
      </c>
      <c r="CE223" s="300">
        <f t="shared" si="245"/>
        <v>0</v>
      </c>
      <c r="CF223" s="301">
        <f>[1]COMMANDE!AM221</f>
        <v>0</v>
      </c>
      <c r="CG223" s="297" t="str">
        <f t="shared" si="246"/>
        <v>0</v>
      </c>
      <c r="CH223" s="298">
        <f t="shared" si="247"/>
        <v>0</v>
      </c>
      <c r="CI223" s="299">
        <f>[1]COMMANDE!AO221</f>
        <v>0</v>
      </c>
      <c r="CJ223" s="297" t="str">
        <f t="shared" si="248"/>
        <v>0</v>
      </c>
      <c r="CK223" s="300">
        <f t="shared" si="249"/>
        <v>0</v>
      </c>
      <c r="CL223" s="301">
        <f>[1]COMMANDE!AQ221</f>
        <v>0</v>
      </c>
      <c r="CM223" s="297" t="str">
        <f t="shared" si="250"/>
        <v>0</v>
      </c>
      <c r="CN223" s="298">
        <f t="shared" si="251"/>
        <v>0</v>
      </c>
      <c r="CO223" s="299">
        <f>[1]COMMANDE!AS221</f>
        <v>0</v>
      </c>
      <c r="CP223" s="297" t="str">
        <f t="shared" si="252"/>
        <v>0</v>
      </c>
      <c r="CQ223" s="300">
        <f t="shared" si="253"/>
        <v>0</v>
      </c>
      <c r="CR223" s="301">
        <f>[1]COMMANDE!AU221</f>
        <v>0</v>
      </c>
      <c r="CS223" s="297" t="str">
        <f t="shared" si="254"/>
        <v>0</v>
      </c>
      <c r="CT223" s="298">
        <f t="shared" si="255"/>
        <v>0</v>
      </c>
      <c r="CU223" s="299">
        <f>[1]COMMANDE!AW221</f>
        <v>0</v>
      </c>
      <c r="CV223" s="297" t="str">
        <f t="shared" si="256"/>
        <v>0</v>
      </c>
      <c r="CW223" s="300">
        <f t="shared" si="257"/>
        <v>0</v>
      </c>
      <c r="CX223" s="301">
        <f>[1]COMMANDE!AY221</f>
        <v>0</v>
      </c>
      <c r="CY223" s="297" t="str">
        <f t="shared" si="258"/>
        <v>0</v>
      </c>
      <c r="CZ223" s="298">
        <f t="shared" si="259"/>
        <v>0</v>
      </c>
      <c r="DA223" s="299">
        <f>[1]COMMANDE!BA221</f>
        <v>0</v>
      </c>
      <c r="DB223" s="297" t="str">
        <f t="shared" si="260"/>
        <v>0</v>
      </c>
      <c r="DC223" s="302">
        <f t="shared" si="261"/>
        <v>0</v>
      </c>
      <c r="DD223" s="303"/>
      <c r="DE223" s="304"/>
    </row>
    <row r="224" spans="1:109" ht="39.950000000000003" customHeight="1" x14ac:dyDescent="0.25">
      <c r="A224" s="284">
        <f t="shared" si="140"/>
        <v>0</v>
      </c>
      <c r="B224" s="284">
        <f t="shared" si="141"/>
        <v>0</v>
      </c>
      <c r="C224" s="284">
        <f t="shared" si="142"/>
        <v>0</v>
      </c>
      <c r="D224" s="284">
        <f t="shared" si="143"/>
        <v>0</v>
      </c>
      <c r="E224" s="284">
        <f t="shared" si="144"/>
        <v>0</v>
      </c>
      <c r="F224" s="284">
        <f t="shared" si="145"/>
        <v>0</v>
      </c>
      <c r="G224" s="284">
        <f t="shared" si="146"/>
        <v>0</v>
      </c>
      <c r="H224" s="284">
        <f t="shared" si="147"/>
        <v>0</v>
      </c>
      <c r="I224" s="284">
        <f t="shared" si="148"/>
        <v>0</v>
      </c>
      <c r="J224" s="284">
        <f t="shared" si="149"/>
        <v>0</v>
      </c>
      <c r="K224" s="284">
        <f t="shared" si="150"/>
        <v>0</v>
      </c>
      <c r="L224" s="284">
        <f t="shared" si="151"/>
        <v>0</v>
      </c>
      <c r="M224" s="284">
        <f t="shared" si="152"/>
        <v>0</v>
      </c>
      <c r="N224" s="284">
        <f t="shared" si="153"/>
        <v>0</v>
      </c>
      <c r="O224" s="284">
        <f t="shared" si="154"/>
        <v>0</v>
      </c>
      <c r="P224" s="284">
        <f t="shared" si="209"/>
        <v>0</v>
      </c>
      <c r="Q224" s="284">
        <f t="shared" si="210"/>
        <v>0</v>
      </c>
      <c r="R224" s="284">
        <f t="shared" si="211"/>
        <v>0</v>
      </c>
      <c r="S224" s="284">
        <f t="shared" si="212"/>
        <v>0</v>
      </c>
      <c r="T224" s="284">
        <f t="shared" si="213"/>
        <v>0</v>
      </c>
      <c r="U224" s="285">
        <f t="shared" si="214"/>
        <v>0</v>
      </c>
      <c r="V224" s="286">
        <f>[1]BDD!A214</f>
        <v>1076</v>
      </c>
      <c r="W224" s="287" t="str">
        <f>[1]BDD!B214</f>
        <v>Poivron vert italien BIO</v>
      </c>
      <c r="X224" s="288" t="str">
        <f>IF([1]BDD!F214=0, "", [1]BDD!F214)</f>
        <v>OFFRE</v>
      </c>
      <c r="Y224" s="214">
        <f>ROUND([1]BDD!G214+FDP_CMD_KG, 2)</f>
        <v>4.01</v>
      </c>
      <c r="Z224" s="214">
        <f>ROUND([1]BDD!G214+FDP_FACT_KG, 2)</f>
        <v>4.01</v>
      </c>
      <c r="AA224" s="215" t="str">
        <f>[1]BDD!H214</f>
        <v>kg</v>
      </c>
      <c r="AB224" s="225">
        <f>IF(NOT(ISBLANK([1]BDD!I214)), ROUND(SUM(([1]BDD!G214*reduc1),FDP_CMD_KG), 2), "")</f>
        <v>3.7</v>
      </c>
      <c r="AC224" s="225" t="str">
        <f>IF(NOT(ISBLANK([1]BDD!J214)), ROUND(SUM(([1]BDD!G214*reduc2),FDP_CMD_KG), 2), "")</f>
        <v/>
      </c>
      <c r="AD224" s="225" t="str">
        <f>IF(NOT(ISBLANK([1]BDD!K214)), ROUND(SUM(([1]BDD!G214*reduc3),FDP_CMD_KG), 2), "")</f>
        <v/>
      </c>
      <c r="AE224" s="225">
        <f>IF(NOT(ISBLANK([1]BDD!I214)), ROUND(SUM(([1]BDD!G214*reduc1),FDP_FACT_KG), 2), "")</f>
        <v>3.69</v>
      </c>
      <c r="AF224" s="225" t="str">
        <f>IF(NOT(ISBLANK([1]BDD!J214)), ROUND(SUM(([1]BDD!G214*reduc2),FDP_FACT_KG), 2), "")</f>
        <v/>
      </c>
      <c r="AG224" s="225" t="str">
        <f>IF(NOT(ISBLANK([1]BDD!K214)), ROUND(SUM(([1]BDD!G214*reduc3),FDP_FACT_KG), 2), "")</f>
        <v/>
      </c>
      <c r="AH224" s="289" t="str">
        <f>[1]BDD!C214</f>
        <v>Malaga</v>
      </c>
      <c r="AI224" s="290">
        <f t="shared" si="215"/>
        <v>0</v>
      </c>
      <c r="AJ224" s="216">
        <f t="shared" si="216"/>
        <v>3.7</v>
      </c>
      <c r="AK224" s="291">
        <f t="shared" si="217"/>
        <v>0</v>
      </c>
      <c r="AL224" s="429"/>
      <c r="AM224" s="292"/>
      <c r="AN224" s="216">
        <f t="shared" si="218"/>
        <v>4.01</v>
      </c>
      <c r="AO224" s="293">
        <f t="shared" si="219"/>
        <v>0</v>
      </c>
      <c r="AP224" s="294"/>
      <c r="AQ224" s="294"/>
      <c r="AR224" s="429"/>
      <c r="AS224" s="295">
        <f t="shared" si="220"/>
        <v>0</v>
      </c>
      <c r="AT224" s="216">
        <f t="shared" si="221"/>
        <v>4.01</v>
      </c>
      <c r="AU224" s="291">
        <f t="shared" si="208"/>
        <v>0</v>
      </c>
      <c r="AV224" s="296">
        <f>[1]COMMANDE!O222</f>
        <v>0</v>
      </c>
      <c r="AW224" s="297" t="str">
        <f t="shared" si="222"/>
        <v>0</v>
      </c>
      <c r="AX224" s="298">
        <f t="shared" si="223"/>
        <v>0</v>
      </c>
      <c r="AY224" s="299">
        <f>[1]COMMANDE!Q222</f>
        <v>0</v>
      </c>
      <c r="AZ224" s="297" t="str">
        <f t="shared" si="224"/>
        <v>0</v>
      </c>
      <c r="BA224" s="300">
        <f t="shared" si="225"/>
        <v>0</v>
      </c>
      <c r="BB224" s="301">
        <f>[1]COMMANDE!S222</f>
        <v>0</v>
      </c>
      <c r="BC224" s="297" t="str">
        <f t="shared" si="226"/>
        <v>0</v>
      </c>
      <c r="BD224" s="298">
        <f t="shared" si="227"/>
        <v>0</v>
      </c>
      <c r="BE224" s="299">
        <f>[1]COMMANDE!U222</f>
        <v>0</v>
      </c>
      <c r="BF224" s="297" t="str">
        <f t="shared" si="228"/>
        <v>0</v>
      </c>
      <c r="BG224" s="300">
        <f t="shared" si="229"/>
        <v>0</v>
      </c>
      <c r="BH224" s="301">
        <f>[1]COMMANDE!W222</f>
        <v>0</v>
      </c>
      <c r="BI224" s="297" t="str">
        <f t="shared" si="230"/>
        <v>0</v>
      </c>
      <c r="BJ224" s="298">
        <f t="shared" si="231"/>
        <v>0</v>
      </c>
      <c r="BK224" s="299">
        <f>[1]COMMANDE!Y222</f>
        <v>0</v>
      </c>
      <c r="BL224" s="297" t="str">
        <f t="shared" si="232"/>
        <v>0</v>
      </c>
      <c r="BM224" s="300">
        <f t="shared" si="233"/>
        <v>0</v>
      </c>
      <c r="BN224" s="301">
        <f>[1]COMMANDE!AA222</f>
        <v>0</v>
      </c>
      <c r="BO224" s="297" t="str">
        <f t="shared" si="234"/>
        <v>0</v>
      </c>
      <c r="BP224" s="298">
        <f t="shared" si="235"/>
        <v>0</v>
      </c>
      <c r="BQ224" s="299">
        <f>[1]COMMANDE!AC222</f>
        <v>0</v>
      </c>
      <c r="BR224" s="297" t="str">
        <f t="shared" si="236"/>
        <v>0</v>
      </c>
      <c r="BS224" s="300">
        <f t="shared" si="237"/>
        <v>0</v>
      </c>
      <c r="BT224" s="301">
        <f>[1]COMMANDE!AE222</f>
        <v>0</v>
      </c>
      <c r="BU224" s="297" t="str">
        <f t="shared" si="238"/>
        <v>0</v>
      </c>
      <c r="BV224" s="298">
        <f t="shared" si="239"/>
        <v>0</v>
      </c>
      <c r="BW224" s="299">
        <f>[1]COMMANDE!AG222</f>
        <v>0</v>
      </c>
      <c r="BX224" s="297" t="str">
        <f t="shared" si="240"/>
        <v>0</v>
      </c>
      <c r="BY224" s="300">
        <f t="shared" si="241"/>
        <v>0</v>
      </c>
      <c r="BZ224" s="301">
        <f>[1]COMMANDE!AI222</f>
        <v>0</v>
      </c>
      <c r="CA224" s="297" t="str">
        <f t="shared" si="242"/>
        <v>0</v>
      </c>
      <c r="CB224" s="298">
        <f t="shared" si="243"/>
        <v>0</v>
      </c>
      <c r="CC224" s="299">
        <f>[1]COMMANDE!AK222</f>
        <v>0</v>
      </c>
      <c r="CD224" s="297" t="str">
        <f t="shared" si="244"/>
        <v>0</v>
      </c>
      <c r="CE224" s="300">
        <f t="shared" si="245"/>
        <v>0</v>
      </c>
      <c r="CF224" s="301">
        <f>[1]COMMANDE!AM222</f>
        <v>0</v>
      </c>
      <c r="CG224" s="297" t="str">
        <f t="shared" si="246"/>
        <v>0</v>
      </c>
      <c r="CH224" s="298">
        <f t="shared" si="247"/>
        <v>0</v>
      </c>
      <c r="CI224" s="299">
        <f>[1]COMMANDE!AO222</f>
        <v>0</v>
      </c>
      <c r="CJ224" s="297" t="str">
        <f t="shared" si="248"/>
        <v>0</v>
      </c>
      <c r="CK224" s="300">
        <f t="shared" si="249"/>
        <v>0</v>
      </c>
      <c r="CL224" s="301">
        <f>[1]COMMANDE!AQ222</f>
        <v>0</v>
      </c>
      <c r="CM224" s="297" t="str">
        <f t="shared" si="250"/>
        <v>0</v>
      </c>
      <c r="CN224" s="298">
        <f t="shared" si="251"/>
        <v>0</v>
      </c>
      <c r="CO224" s="299">
        <f>[1]COMMANDE!AS222</f>
        <v>0</v>
      </c>
      <c r="CP224" s="297" t="str">
        <f t="shared" si="252"/>
        <v>0</v>
      </c>
      <c r="CQ224" s="300">
        <f t="shared" si="253"/>
        <v>0</v>
      </c>
      <c r="CR224" s="301">
        <f>[1]COMMANDE!AU222</f>
        <v>0</v>
      </c>
      <c r="CS224" s="297" t="str">
        <f t="shared" si="254"/>
        <v>0</v>
      </c>
      <c r="CT224" s="298">
        <f t="shared" si="255"/>
        <v>0</v>
      </c>
      <c r="CU224" s="299">
        <f>[1]COMMANDE!AW222</f>
        <v>0</v>
      </c>
      <c r="CV224" s="297" t="str">
        <f t="shared" si="256"/>
        <v>0</v>
      </c>
      <c r="CW224" s="300">
        <f t="shared" si="257"/>
        <v>0</v>
      </c>
      <c r="CX224" s="301">
        <f>[1]COMMANDE!AY222</f>
        <v>0</v>
      </c>
      <c r="CY224" s="297" t="str">
        <f t="shared" si="258"/>
        <v>0</v>
      </c>
      <c r="CZ224" s="298">
        <f t="shared" si="259"/>
        <v>0</v>
      </c>
      <c r="DA224" s="299">
        <f>[1]COMMANDE!BA222</f>
        <v>0</v>
      </c>
      <c r="DB224" s="297" t="str">
        <f t="shared" si="260"/>
        <v>0</v>
      </c>
      <c r="DC224" s="302">
        <f t="shared" si="261"/>
        <v>0</v>
      </c>
      <c r="DD224" s="303"/>
      <c r="DE224" s="304"/>
    </row>
    <row r="225" spans="1:109" ht="39.950000000000003" customHeight="1" x14ac:dyDescent="0.25">
      <c r="A225" s="307">
        <f t="shared" si="140"/>
        <v>0</v>
      </c>
      <c r="B225" s="307">
        <f t="shared" si="141"/>
        <v>0</v>
      </c>
      <c r="C225" s="307">
        <f t="shared" si="142"/>
        <v>0</v>
      </c>
      <c r="D225" s="307">
        <f t="shared" si="143"/>
        <v>0</v>
      </c>
      <c r="E225" s="307">
        <f t="shared" si="144"/>
        <v>0</v>
      </c>
      <c r="F225" s="307">
        <f t="shared" si="145"/>
        <v>0</v>
      </c>
      <c r="G225" s="307">
        <f t="shared" si="146"/>
        <v>0</v>
      </c>
      <c r="H225" s="307">
        <f t="shared" si="147"/>
        <v>0</v>
      </c>
      <c r="I225" s="307">
        <f t="shared" si="148"/>
        <v>0</v>
      </c>
      <c r="J225" s="307">
        <f t="shared" si="149"/>
        <v>0</v>
      </c>
      <c r="K225" s="307">
        <f t="shared" si="150"/>
        <v>0</v>
      </c>
      <c r="L225" s="307">
        <f t="shared" si="151"/>
        <v>0</v>
      </c>
      <c r="M225" s="307">
        <f t="shared" si="152"/>
        <v>0</v>
      </c>
      <c r="N225" s="307">
        <f t="shared" si="153"/>
        <v>0</v>
      </c>
      <c r="O225" s="307">
        <f t="shared" si="154"/>
        <v>0</v>
      </c>
      <c r="P225" s="284">
        <f t="shared" si="209"/>
        <v>0</v>
      </c>
      <c r="Q225" s="284">
        <f t="shared" si="210"/>
        <v>0</v>
      </c>
      <c r="R225" s="284">
        <f t="shared" si="211"/>
        <v>0</v>
      </c>
      <c r="S225" s="284">
        <f t="shared" si="212"/>
        <v>0</v>
      </c>
      <c r="T225" s="284">
        <f t="shared" si="213"/>
        <v>0</v>
      </c>
      <c r="U225" s="285">
        <f t="shared" si="214"/>
        <v>0</v>
      </c>
      <c r="V225" s="286">
        <f>[1]BDD!A215</f>
        <v>6041</v>
      </c>
      <c r="W225" s="287" t="str">
        <f>[1]BDD!B215</f>
        <v>Polen Frais BIO (bocal 500g)</v>
      </c>
      <c r="X225" s="288" t="str">
        <f>IF([1]BDD!F215=0, "", [1]BDD!F215)</f>
        <v>❤️</v>
      </c>
      <c r="Y225" s="214">
        <f>ROUND([1]BDD!G215+FDP_CMD_KG, 2)</f>
        <v>18.649999999999999</v>
      </c>
      <c r="Z225" s="214">
        <f>ROUND([1]BDD!G215+FDP_FACT_KG, 2)</f>
        <v>18.649999999999999</v>
      </c>
      <c r="AA225" s="215" t="str">
        <f>[1]BDD!H215</f>
        <v>Pièce</v>
      </c>
      <c r="AB225" s="225" t="str">
        <f>IF(NOT(ISBLANK([1]BDD!I215)), ROUND(SUM(([1]BDD!G215*reduc1),FDP_CMD_KG), 2), "")</f>
        <v/>
      </c>
      <c r="AC225" s="225" t="str">
        <f>IF(NOT(ISBLANK([1]BDD!J215)), ROUND(SUM(([1]BDD!G215*reduc2),FDP_CMD_KG), 2), "")</f>
        <v/>
      </c>
      <c r="AD225" s="225" t="str">
        <f>IF(NOT(ISBLANK([1]BDD!K215)), ROUND(SUM(([1]BDD!G215*reduc3),FDP_CMD_KG), 2), "")</f>
        <v/>
      </c>
      <c r="AE225" s="225" t="str">
        <f>IF(NOT(ISBLANK([1]BDD!I215)), ROUND(SUM(([1]BDD!G215*reduc1),FDP_FACT_KG), 2), "")</f>
        <v/>
      </c>
      <c r="AF225" s="225" t="str">
        <f>IF(NOT(ISBLANK([1]BDD!J215)), ROUND(SUM(([1]BDD!G215*reduc2),FDP_FACT_KG), 2), "")</f>
        <v/>
      </c>
      <c r="AG225" s="225" t="str">
        <f>IF(NOT(ISBLANK([1]BDD!K215)), ROUND(SUM(([1]BDD!G215*reduc3),FDP_FACT_KG), 2), "")</f>
        <v/>
      </c>
      <c r="AH225" s="289" t="str">
        <f>[1]BDD!C215</f>
        <v>Cordoue</v>
      </c>
      <c r="AI225" s="290">
        <f t="shared" si="215"/>
        <v>0</v>
      </c>
      <c r="AJ225" s="216">
        <f t="shared" si="216"/>
        <v>18.649999999999999</v>
      </c>
      <c r="AK225" s="291">
        <f t="shared" si="217"/>
        <v>0</v>
      </c>
      <c r="AL225" s="429"/>
      <c r="AM225" s="292"/>
      <c r="AN225" s="216">
        <f t="shared" si="218"/>
        <v>18.649999999999999</v>
      </c>
      <c r="AO225" s="293">
        <f t="shared" si="219"/>
        <v>0</v>
      </c>
      <c r="AP225" s="294"/>
      <c r="AQ225" s="294"/>
      <c r="AR225" s="429"/>
      <c r="AS225" s="295">
        <f t="shared" si="220"/>
        <v>0</v>
      </c>
      <c r="AT225" s="216">
        <f t="shared" si="221"/>
        <v>18.649999999999999</v>
      </c>
      <c r="AU225" s="291">
        <f t="shared" si="208"/>
        <v>0</v>
      </c>
      <c r="AV225" s="296">
        <f>[1]COMMANDE!O223</f>
        <v>0</v>
      </c>
      <c r="AW225" s="297" t="str">
        <f t="shared" si="222"/>
        <v>0</v>
      </c>
      <c r="AX225" s="298">
        <f t="shared" si="223"/>
        <v>0</v>
      </c>
      <c r="AY225" s="299">
        <f>[1]COMMANDE!Q223</f>
        <v>0</v>
      </c>
      <c r="AZ225" s="297" t="str">
        <f t="shared" si="224"/>
        <v>0</v>
      </c>
      <c r="BA225" s="300">
        <f t="shared" si="225"/>
        <v>0</v>
      </c>
      <c r="BB225" s="301">
        <f>[1]COMMANDE!S223</f>
        <v>0</v>
      </c>
      <c r="BC225" s="297" t="str">
        <f t="shared" si="226"/>
        <v>0</v>
      </c>
      <c r="BD225" s="298">
        <f t="shared" si="227"/>
        <v>0</v>
      </c>
      <c r="BE225" s="299">
        <f>[1]COMMANDE!U223</f>
        <v>0</v>
      </c>
      <c r="BF225" s="297" t="str">
        <f t="shared" si="228"/>
        <v>0</v>
      </c>
      <c r="BG225" s="300">
        <f t="shared" si="229"/>
        <v>0</v>
      </c>
      <c r="BH225" s="301">
        <f>[1]COMMANDE!W223</f>
        <v>0</v>
      </c>
      <c r="BI225" s="297" t="str">
        <f t="shared" si="230"/>
        <v>0</v>
      </c>
      <c r="BJ225" s="298">
        <f t="shared" si="231"/>
        <v>0</v>
      </c>
      <c r="BK225" s="299">
        <f>[1]COMMANDE!Y223</f>
        <v>0</v>
      </c>
      <c r="BL225" s="297" t="str">
        <f t="shared" si="232"/>
        <v>0</v>
      </c>
      <c r="BM225" s="300">
        <f t="shared" si="233"/>
        <v>0</v>
      </c>
      <c r="BN225" s="301">
        <f>[1]COMMANDE!AA223</f>
        <v>0</v>
      </c>
      <c r="BO225" s="297" t="str">
        <f t="shared" si="234"/>
        <v>0</v>
      </c>
      <c r="BP225" s="298">
        <f t="shared" si="235"/>
        <v>0</v>
      </c>
      <c r="BQ225" s="299">
        <f>[1]COMMANDE!AC223</f>
        <v>0</v>
      </c>
      <c r="BR225" s="297" t="str">
        <f t="shared" si="236"/>
        <v>0</v>
      </c>
      <c r="BS225" s="300">
        <f t="shared" si="237"/>
        <v>0</v>
      </c>
      <c r="BT225" s="301">
        <f>[1]COMMANDE!AE223</f>
        <v>0</v>
      </c>
      <c r="BU225" s="297" t="str">
        <f t="shared" si="238"/>
        <v>0</v>
      </c>
      <c r="BV225" s="298">
        <f t="shared" si="239"/>
        <v>0</v>
      </c>
      <c r="BW225" s="299">
        <f>[1]COMMANDE!AG223</f>
        <v>0</v>
      </c>
      <c r="BX225" s="297" t="str">
        <f t="shared" si="240"/>
        <v>0</v>
      </c>
      <c r="BY225" s="300">
        <f t="shared" si="241"/>
        <v>0</v>
      </c>
      <c r="BZ225" s="301">
        <f>[1]COMMANDE!AI223</f>
        <v>0</v>
      </c>
      <c r="CA225" s="297" t="str">
        <f t="shared" si="242"/>
        <v>0</v>
      </c>
      <c r="CB225" s="298">
        <f t="shared" si="243"/>
        <v>0</v>
      </c>
      <c r="CC225" s="299">
        <f>[1]COMMANDE!AK223</f>
        <v>0</v>
      </c>
      <c r="CD225" s="297" t="str">
        <f t="shared" si="244"/>
        <v>0</v>
      </c>
      <c r="CE225" s="300">
        <f t="shared" si="245"/>
        <v>0</v>
      </c>
      <c r="CF225" s="301">
        <f>[1]COMMANDE!AM223</f>
        <v>0</v>
      </c>
      <c r="CG225" s="297" t="str">
        <f t="shared" si="246"/>
        <v>0</v>
      </c>
      <c r="CH225" s="298">
        <f t="shared" si="247"/>
        <v>0</v>
      </c>
      <c r="CI225" s="299">
        <f>[1]COMMANDE!AO223</f>
        <v>0</v>
      </c>
      <c r="CJ225" s="297" t="str">
        <f t="shared" si="248"/>
        <v>0</v>
      </c>
      <c r="CK225" s="300">
        <f t="shared" si="249"/>
        <v>0</v>
      </c>
      <c r="CL225" s="301">
        <f>[1]COMMANDE!AQ223</f>
        <v>0</v>
      </c>
      <c r="CM225" s="297" t="str">
        <f t="shared" si="250"/>
        <v>0</v>
      </c>
      <c r="CN225" s="298">
        <f t="shared" si="251"/>
        <v>0</v>
      </c>
      <c r="CO225" s="299">
        <f>[1]COMMANDE!AS223</f>
        <v>0</v>
      </c>
      <c r="CP225" s="297" t="str">
        <f t="shared" si="252"/>
        <v>0</v>
      </c>
      <c r="CQ225" s="300">
        <f t="shared" si="253"/>
        <v>0</v>
      </c>
      <c r="CR225" s="301">
        <f>[1]COMMANDE!AU223</f>
        <v>0</v>
      </c>
      <c r="CS225" s="297" t="str">
        <f t="shared" si="254"/>
        <v>0</v>
      </c>
      <c r="CT225" s="298">
        <f t="shared" si="255"/>
        <v>0</v>
      </c>
      <c r="CU225" s="299">
        <f>[1]COMMANDE!AW223</f>
        <v>0</v>
      </c>
      <c r="CV225" s="297" t="str">
        <f t="shared" si="256"/>
        <v>0</v>
      </c>
      <c r="CW225" s="300">
        <f t="shared" si="257"/>
        <v>0</v>
      </c>
      <c r="CX225" s="301">
        <f>[1]COMMANDE!AY223</f>
        <v>0</v>
      </c>
      <c r="CY225" s="297" t="str">
        <f t="shared" si="258"/>
        <v>0</v>
      </c>
      <c r="CZ225" s="298">
        <f t="shared" si="259"/>
        <v>0</v>
      </c>
      <c r="DA225" s="299">
        <f>[1]COMMANDE!BA223</f>
        <v>0</v>
      </c>
      <c r="DB225" s="297" t="str">
        <f t="shared" si="260"/>
        <v>0</v>
      </c>
      <c r="DC225" s="302">
        <f t="shared" si="261"/>
        <v>0</v>
      </c>
      <c r="DD225" s="303"/>
      <c r="DE225" s="304"/>
    </row>
    <row r="226" spans="1:109" ht="39.950000000000003" customHeight="1" x14ac:dyDescent="0.25">
      <c r="A226" s="307">
        <f t="shared" si="140"/>
        <v>0</v>
      </c>
      <c r="B226" s="307">
        <f t="shared" si="141"/>
        <v>0</v>
      </c>
      <c r="C226" s="307">
        <f t="shared" si="142"/>
        <v>0</v>
      </c>
      <c r="D226" s="307">
        <f t="shared" si="143"/>
        <v>0</v>
      </c>
      <c r="E226" s="307">
        <f t="shared" si="144"/>
        <v>0</v>
      </c>
      <c r="F226" s="307">
        <f t="shared" si="145"/>
        <v>0</v>
      </c>
      <c r="G226" s="307">
        <f t="shared" si="146"/>
        <v>0</v>
      </c>
      <c r="H226" s="307">
        <f t="shared" si="147"/>
        <v>0</v>
      </c>
      <c r="I226" s="307">
        <f t="shared" si="148"/>
        <v>0</v>
      </c>
      <c r="J226" s="307">
        <f t="shared" si="149"/>
        <v>0</v>
      </c>
      <c r="K226" s="307">
        <f t="shared" si="150"/>
        <v>0</v>
      </c>
      <c r="L226" s="307">
        <f t="shared" si="151"/>
        <v>0</v>
      </c>
      <c r="M226" s="307">
        <f t="shared" si="152"/>
        <v>0</v>
      </c>
      <c r="N226" s="307">
        <f t="shared" si="153"/>
        <v>0</v>
      </c>
      <c r="O226" s="307">
        <f t="shared" si="154"/>
        <v>0</v>
      </c>
      <c r="P226" s="284">
        <f t="shared" si="209"/>
        <v>0</v>
      </c>
      <c r="Q226" s="284">
        <f t="shared" si="210"/>
        <v>0</v>
      </c>
      <c r="R226" s="284">
        <f t="shared" si="211"/>
        <v>0</v>
      </c>
      <c r="S226" s="284">
        <f t="shared" si="212"/>
        <v>0</v>
      </c>
      <c r="T226" s="284">
        <f t="shared" si="213"/>
        <v>0</v>
      </c>
      <c r="U226" s="285">
        <f t="shared" si="214"/>
        <v>0</v>
      </c>
      <c r="V226" s="286" t="str">
        <f>[1]BDD!A216</f>
        <v>1564</v>
      </c>
      <c r="W226" s="287" t="str">
        <f>[1]BDD!B216</f>
        <v>Polen sec BIO (bocal 500g)</v>
      </c>
      <c r="X226" s="288" t="str">
        <f>IF([1]BDD!F216=0, "", [1]BDD!F216)</f>
        <v>❤️</v>
      </c>
      <c r="Y226" s="214">
        <f>ROUND([1]BDD!G216+FDP_CMD_KG, 2)</f>
        <v>19.350000000000001</v>
      </c>
      <c r="Z226" s="214">
        <f>ROUND([1]BDD!G216+FDP_FACT_KG, 2)</f>
        <v>19.350000000000001</v>
      </c>
      <c r="AA226" s="215" t="str">
        <f>[1]BDD!H216</f>
        <v>Pièce</v>
      </c>
      <c r="AB226" s="225" t="str">
        <f>IF(NOT(ISBLANK([1]BDD!I216)), ROUND(SUM(([1]BDD!G216*reduc1),FDP_CMD_KG), 2), "")</f>
        <v/>
      </c>
      <c r="AC226" s="225" t="str">
        <f>IF(NOT(ISBLANK([1]BDD!J216)), ROUND(SUM(([1]BDD!G216*reduc2),FDP_CMD_KG), 2), "")</f>
        <v/>
      </c>
      <c r="AD226" s="225" t="str">
        <f>IF(NOT(ISBLANK([1]BDD!K216)), ROUND(SUM(([1]BDD!G216*reduc3),FDP_CMD_KG), 2), "")</f>
        <v/>
      </c>
      <c r="AE226" s="225" t="str">
        <f>IF(NOT(ISBLANK([1]BDD!I216)), ROUND(SUM(([1]BDD!G216*reduc1),FDP_FACT_KG), 2), "")</f>
        <v/>
      </c>
      <c r="AF226" s="225" t="str">
        <f>IF(NOT(ISBLANK([1]BDD!J216)), ROUND(SUM(([1]BDD!G216*reduc2),FDP_FACT_KG), 2), "")</f>
        <v/>
      </c>
      <c r="AG226" s="225" t="str">
        <f>IF(NOT(ISBLANK([1]BDD!K216)), ROUND(SUM(([1]BDD!G216*reduc3),FDP_FACT_KG), 2), "")</f>
        <v/>
      </c>
      <c r="AH226" s="289" t="str">
        <f>[1]BDD!C216</f>
        <v>Huelva</v>
      </c>
      <c r="AI226" s="290">
        <f t="shared" si="215"/>
        <v>0</v>
      </c>
      <c r="AJ226" s="216">
        <f t="shared" si="216"/>
        <v>19.350000000000001</v>
      </c>
      <c r="AK226" s="291">
        <f t="shared" si="217"/>
        <v>0</v>
      </c>
      <c r="AL226" s="429"/>
      <c r="AM226" s="292"/>
      <c r="AN226" s="216">
        <f t="shared" si="218"/>
        <v>19.350000000000001</v>
      </c>
      <c r="AO226" s="293">
        <f t="shared" si="219"/>
        <v>0</v>
      </c>
      <c r="AP226" s="294"/>
      <c r="AQ226" s="294"/>
      <c r="AR226" s="429"/>
      <c r="AS226" s="295">
        <f t="shared" si="220"/>
        <v>0</v>
      </c>
      <c r="AT226" s="216">
        <f t="shared" si="221"/>
        <v>19.350000000000001</v>
      </c>
      <c r="AU226" s="291">
        <f t="shared" si="208"/>
        <v>0</v>
      </c>
      <c r="AV226" s="296">
        <f>[1]COMMANDE!O224</f>
        <v>0</v>
      </c>
      <c r="AW226" s="297" t="str">
        <f t="shared" si="222"/>
        <v>0</v>
      </c>
      <c r="AX226" s="298">
        <f t="shared" si="223"/>
        <v>0</v>
      </c>
      <c r="AY226" s="299">
        <f>[1]COMMANDE!Q224</f>
        <v>0</v>
      </c>
      <c r="AZ226" s="297" t="str">
        <f t="shared" si="224"/>
        <v>0</v>
      </c>
      <c r="BA226" s="300">
        <f t="shared" si="225"/>
        <v>0</v>
      </c>
      <c r="BB226" s="301">
        <f>[1]COMMANDE!S224</f>
        <v>0</v>
      </c>
      <c r="BC226" s="297" t="str">
        <f t="shared" si="226"/>
        <v>0</v>
      </c>
      <c r="BD226" s="298">
        <f t="shared" si="227"/>
        <v>0</v>
      </c>
      <c r="BE226" s="299">
        <f>[1]COMMANDE!U224</f>
        <v>0</v>
      </c>
      <c r="BF226" s="297" t="str">
        <f t="shared" si="228"/>
        <v>0</v>
      </c>
      <c r="BG226" s="300">
        <f t="shared" si="229"/>
        <v>0</v>
      </c>
      <c r="BH226" s="301">
        <f>[1]COMMANDE!W224</f>
        <v>0</v>
      </c>
      <c r="BI226" s="297" t="str">
        <f t="shared" si="230"/>
        <v>0</v>
      </c>
      <c r="BJ226" s="298">
        <f t="shared" si="231"/>
        <v>0</v>
      </c>
      <c r="BK226" s="299">
        <f>[1]COMMANDE!Y224</f>
        <v>0</v>
      </c>
      <c r="BL226" s="297" t="str">
        <f t="shared" si="232"/>
        <v>0</v>
      </c>
      <c r="BM226" s="300">
        <f t="shared" si="233"/>
        <v>0</v>
      </c>
      <c r="BN226" s="301">
        <f>[1]COMMANDE!AA224</f>
        <v>0</v>
      </c>
      <c r="BO226" s="297" t="str">
        <f t="shared" si="234"/>
        <v>0</v>
      </c>
      <c r="BP226" s="298">
        <f t="shared" si="235"/>
        <v>0</v>
      </c>
      <c r="BQ226" s="299">
        <f>[1]COMMANDE!AC224</f>
        <v>0</v>
      </c>
      <c r="BR226" s="297" t="str">
        <f t="shared" si="236"/>
        <v>0</v>
      </c>
      <c r="BS226" s="300">
        <f t="shared" si="237"/>
        <v>0</v>
      </c>
      <c r="BT226" s="301">
        <f>[1]COMMANDE!AE224</f>
        <v>0</v>
      </c>
      <c r="BU226" s="297" t="str">
        <f t="shared" si="238"/>
        <v>0</v>
      </c>
      <c r="BV226" s="298">
        <f t="shared" si="239"/>
        <v>0</v>
      </c>
      <c r="BW226" s="299">
        <f>[1]COMMANDE!AG224</f>
        <v>0</v>
      </c>
      <c r="BX226" s="297" t="str">
        <f t="shared" si="240"/>
        <v>0</v>
      </c>
      <c r="BY226" s="300">
        <f t="shared" si="241"/>
        <v>0</v>
      </c>
      <c r="BZ226" s="301">
        <f>[1]COMMANDE!AI224</f>
        <v>0</v>
      </c>
      <c r="CA226" s="297" t="str">
        <f t="shared" si="242"/>
        <v>0</v>
      </c>
      <c r="CB226" s="298">
        <f t="shared" si="243"/>
        <v>0</v>
      </c>
      <c r="CC226" s="299">
        <f>[1]COMMANDE!AK224</f>
        <v>0</v>
      </c>
      <c r="CD226" s="297" t="str">
        <f t="shared" si="244"/>
        <v>0</v>
      </c>
      <c r="CE226" s="300">
        <f t="shared" si="245"/>
        <v>0</v>
      </c>
      <c r="CF226" s="301">
        <f>[1]COMMANDE!AM224</f>
        <v>0</v>
      </c>
      <c r="CG226" s="297" t="str">
        <f t="shared" si="246"/>
        <v>0</v>
      </c>
      <c r="CH226" s="298">
        <f t="shared" si="247"/>
        <v>0</v>
      </c>
      <c r="CI226" s="299">
        <f>[1]COMMANDE!AO224</f>
        <v>0</v>
      </c>
      <c r="CJ226" s="297" t="str">
        <f t="shared" si="248"/>
        <v>0</v>
      </c>
      <c r="CK226" s="300">
        <f t="shared" si="249"/>
        <v>0</v>
      </c>
      <c r="CL226" s="301">
        <f>[1]COMMANDE!AQ224</f>
        <v>0</v>
      </c>
      <c r="CM226" s="297" t="str">
        <f t="shared" si="250"/>
        <v>0</v>
      </c>
      <c r="CN226" s="298">
        <f t="shared" si="251"/>
        <v>0</v>
      </c>
      <c r="CO226" s="299">
        <f>[1]COMMANDE!AS224</f>
        <v>0</v>
      </c>
      <c r="CP226" s="297" t="str">
        <f t="shared" si="252"/>
        <v>0</v>
      </c>
      <c r="CQ226" s="300">
        <f t="shared" si="253"/>
        <v>0</v>
      </c>
      <c r="CR226" s="301">
        <f>[1]COMMANDE!AU224</f>
        <v>0</v>
      </c>
      <c r="CS226" s="297" t="str">
        <f t="shared" si="254"/>
        <v>0</v>
      </c>
      <c r="CT226" s="298">
        <f t="shared" si="255"/>
        <v>0</v>
      </c>
      <c r="CU226" s="299">
        <f>[1]COMMANDE!AW224</f>
        <v>0</v>
      </c>
      <c r="CV226" s="297" t="str">
        <f t="shared" si="256"/>
        <v>0</v>
      </c>
      <c r="CW226" s="300">
        <f t="shared" si="257"/>
        <v>0</v>
      </c>
      <c r="CX226" s="301">
        <f>[1]COMMANDE!AY224</f>
        <v>0</v>
      </c>
      <c r="CY226" s="297" t="str">
        <f t="shared" si="258"/>
        <v>0</v>
      </c>
      <c r="CZ226" s="298">
        <f t="shared" si="259"/>
        <v>0</v>
      </c>
      <c r="DA226" s="299">
        <f>[1]COMMANDE!BA224</f>
        <v>0</v>
      </c>
      <c r="DB226" s="297" t="str">
        <f t="shared" si="260"/>
        <v>0</v>
      </c>
      <c r="DC226" s="302">
        <f t="shared" si="261"/>
        <v>0</v>
      </c>
      <c r="DD226" s="303"/>
      <c r="DE226" s="304"/>
    </row>
    <row r="227" spans="1:109" ht="39.950000000000003" customHeight="1" x14ac:dyDescent="0.25">
      <c r="A227" s="284">
        <f t="shared" si="140"/>
        <v>1</v>
      </c>
      <c r="B227" s="284">
        <f t="shared" si="141"/>
        <v>0</v>
      </c>
      <c r="C227" s="284">
        <f t="shared" si="142"/>
        <v>0</v>
      </c>
      <c r="D227" s="284">
        <f t="shared" si="143"/>
        <v>0</v>
      </c>
      <c r="E227" s="284">
        <f t="shared" si="144"/>
        <v>0</v>
      </c>
      <c r="F227" s="284">
        <f t="shared" si="145"/>
        <v>0</v>
      </c>
      <c r="G227" s="284">
        <f t="shared" si="146"/>
        <v>0</v>
      </c>
      <c r="H227" s="284">
        <f t="shared" si="147"/>
        <v>0</v>
      </c>
      <c r="I227" s="284">
        <f t="shared" si="148"/>
        <v>0</v>
      </c>
      <c r="J227" s="284">
        <f t="shared" si="149"/>
        <v>0</v>
      </c>
      <c r="K227" s="284">
        <f t="shared" si="150"/>
        <v>0</v>
      </c>
      <c r="L227" s="284">
        <f t="shared" si="151"/>
        <v>0</v>
      </c>
      <c r="M227" s="284">
        <f t="shared" si="152"/>
        <v>0</v>
      </c>
      <c r="N227" s="284">
        <f t="shared" si="153"/>
        <v>0</v>
      </c>
      <c r="O227" s="284">
        <f t="shared" si="154"/>
        <v>0</v>
      </c>
      <c r="P227" s="284">
        <f t="shared" si="209"/>
        <v>0</v>
      </c>
      <c r="Q227" s="284">
        <f t="shared" si="210"/>
        <v>0</v>
      </c>
      <c r="R227" s="284">
        <f t="shared" si="211"/>
        <v>0</v>
      </c>
      <c r="S227" s="284">
        <f t="shared" si="212"/>
        <v>0</v>
      </c>
      <c r="T227" s="284">
        <f t="shared" si="213"/>
        <v>0</v>
      </c>
      <c r="U227" s="285">
        <f t="shared" si="214"/>
        <v>1</v>
      </c>
      <c r="V227" s="286">
        <f>[1]BDD!A217</f>
        <v>1986</v>
      </c>
      <c r="W227" s="287" t="str">
        <f>[1]BDD!B217</f>
        <v>Pomme de terre nouvelle Hero BIO</v>
      </c>
      <c r="X227" s="288" t="str">
        <f>IF([1]BDD!F217=0, "", [1]BDD!F217)</f>
        <v/>
      </c>
      <c r="Y227" s="214">
        <f>ROUND([1]BDD!G217+FDP_CMD_KG, 2)</f>
        <v>2.91</v>
      </c>
      <c r="Z227" s="214">
        <f>ROUND([1]BDD!G217+FDP_FACT_KG, 2)</f>
        <v>2.91</v>
      </c>
      <c r="AA227" s="215" t="str">
        <f>[1]BDD!H217</f>
        <v>kg</v>
      </c>
      <c r="AB227" s="225">
        <f>IF(NOT(ISBLANK([1]BDD!I217)), ROUND(SUM(([1]BDD!G217*reduc1),FDP_CMD_KG), 2), "")</f>
        <v>2.71</v>
      </c>
      <c r="AC227" s="225">
        <f>IF(NOT(ISBLANK([1]BDD!J217)), ROUND(SUM(([1]BDD!G217*reduc2),FDP_CMD_KG), 2), "")</f>
        <v>2.5099999999999998</v>
      </c>
      <c r="AD227" s="225" t="str">
        <f>IF(NOT(ISBLANK([1]BDD!K217)), ROUND(SUM(([1]BDD!G217*reduc3),FDP_CMD_KG), 2), "")</f>
        <v/>
      </c>
      <c r="AE227" s="225">
        <f>IF(NOT(ISBLANK([1]BDD!I217)), ROUND(SUM(([1]BDD!G217*reduc1),FDP_FACT_KG), 2), "")</f>
        <v>2.7</v>
      </c>
      <c r="AF227" s="225">
        <f>IF(NOT(ISBLANK([1]BDD!J217)), ROUND(SUM(([1]BDD!G217*reduc2),FDP_FACT_KG), 2), "")</f>
        <v>2.5</v>
      </c>
      <c r="AG227" s="225" t="str">
        <f>IF(NOT(ISBLANK([1]BDD!K217)), ROUND(SUM(([1]BDD!G217*reduc3),FDP_FACT_KG), 2), "")</f>
        <v/>
      </c>
      <c r="AH227" s="289" t="str">
        <f>[1]BDD!C217</f>
        <v>Malaga</v>
      </c>
      <c r="AI227" s="290">
        <f t="shared" si="215"/>
        <v>5</v>
      </c>
      <c r="AJ227" s="216">
        <f t="shared" si="216"/>
        <v>2.5099999999999998</v>
      </c>
      <c r="AK227" s="291">
        <f t="shared" si="217"/>
        <v>12.549999999999999</v>
      </c>
      <c r="AL227" s="429"/>
      <c r="AM227" s="292">
        <v>5.16</v>
      </c>
      <c r="AN227" s="216">
        <f t="shared" si="218"/>
        <v>2.91</v>
      </c>
      <c r="AO227" s="293">
        <f t="shared" si="219"/>
        <v>15.015600000000001</v>
      </c>
      <c r="AP227" s="294"/>
      <c r="AQ227" s="294"/>
      <c r="AR227" s="429"/>
      <c r="AS227" s="295">
        <f t="shared" si="220"/>
        <v>5.16</v>
      </c>
      <c r="AT227" s="216">
        <f t="shared" si="221"/>
        <v>2.91</v>
      </c>
      <c r="AU227" s="291">
        <f t="shared" si="208"/>
        <v>15.015600000000001</v>
      </c>
      <c r="AV227" s="296">
        <f>[1]COMMANDE!O225</f>
        <v>5</v>
      </c>
      <c r="AW227" s="297">
        <f t="shared" si="222"/>
        <v>5.16</v>
      </c>
      <c r="AX227" s="298">
        <f t="shared" si="223"/>
        <v>15.015600000000001</v>
      </c>
      <c r="AY227" s="299">
        <f>[1]COMMANDE!Q225</f>
        <v>0</v>
      </c>
      <c r="AZ227" s="297" t="str">
        <f t="shared" si="224"/>
        <v>0</v>
      </c>
      <c r="BA227" s="300">
        <f t="shared" si="225"/>
        <v>0</v>
      </c>
      <c r="BB227" s="301">
        <f>[1]COMMANDE!S225</f>
        <v>0</v>
      </c>
      <c r="BC227" s="297" t="str">
        <f t="shared" si="226"/>
        <v>0</v>
      </c>
      <c r="BD227" s="298">
        <f t="shared" si="227"/>
        <v>0</v>
      </c>
      <c r="BE227" s="299">
        <f>[1]COMMANDE!U225</f>
        <v>0</v>
      </c>
      <c r="BF227" s="297" t="str">
        <f t="shared" si="228"/>
        <v>0</v>
      </c>
      <c r="BG227" s="300">
        <f t="shared" si="229"/>
        <v>0</v>
      </c>
      <c r="BH227" s="301">
        <f>[1]COMMANDE!W225</f>
        <v>0</v>
      </c>
      <c r="BI227" s="297" t="str">
        <f t="shared" si="230"/>
        <v>0</v>
      </c>
      <c r="BJ227" s="298">
        <f t="shared" si="231"/>
        <v>0</v>
      </c>
      <c r="BK227" s="299">
        <f>[1]COMMANDE!Y225</f>
        <v>0</v>
      </c>
      <c r="BL227" s="297" t="str">
        <f t="shared" si="232"/>
        <v>0</v>
      </c>
      <c r="BM227" s="300">
        <f t="shared" si="233"/>
        <v>0</v>
      </c>
      <c r="BN227" s="301">
        <f>[1]COMMANDE!AA225</f>
        <v>0</v>
      </c>
      <c r="BO227" s="297" t="str">
        <f t="shared" si="234"/>
        <v>0</v>
      </c>
      <c r="BP227" s="298">
        <f t="shared" si="235"/>
        <v>0</v>
      </c>
      <c r="BQ227" s="299">
        <f>[1]COMMANDE!AC225</f>
        <v>0</v>
      </c>
      <c r="BR227" s="297" t="str">
        <f t="shared" si="236"/>
        <v>0</v>
      </c>
      <c r="BS227" s="300">
        <f t="shared" si="237"/>
        <v>0</v>
      </c>
      <c r="BT227" s="301">
        <f>[1]COMMANDE!AE225</f>
        <v>0</v>
      </c>
      <c r="BU227" s="297" t="str">
        <f t="shared" si="238"/>
        <v>0</v>
      </c>
      <c r="BV227" s="298">
        <f t="shared" si="239"/>
        <v>0</v>
      </c>
      <c r="BW227" s="299">
        <f>[1]COMMANDE!AG225</f>
        <v>0</v>
      </c>
      <c r="BX227" s="297" t="str">
        <f t="shared" si="240"/>
        <v>0</v>
      </c>
      <c r="BY227" s="300">
        <f t="shared" si="241"/>
        <v>0</v>
      </c>
      <c r="BZ227" s="301">
        <f>[1]COMMANDE!AI225</f>
        <v>0</v>
      </c>
      <c r="CA227" s="297" t="str">
        <f t="shared" si="242"/>
        <v>0</v>
      </c>
      <c r="CB227" s="298">
        <f t="shared" si="243"/>
        <v>0</v>
      </c>
      <c r="CC227" s="299">
        <f>[1]COMMANDE!AK225</f>
        <v>0</v>
      </c>
      <c r="CD227" s="297" t="str">
        <f t="shared" si="244"/>
        <v>0</v>
      </c>
      <c r="CE227" s="300">
        <f t="shared" si="245"/>
        <v>0</v>
      </c>
      <c r="CF227" s="301">
        <f>[1]COMMANDE!AM225</f>
        <v>0</v>
      </c>
      <c r="CG227" s="297" t="str">
        <f t="shared" si="246"/>
        <v>0</v>
      </c>
      <c r="CH227" s="298">
        <f t="shared" si="247"/>
        <v>0</v>
      </c>
      <c r="CI227" s="299">
        <f>[1]COMMANDE!AO225</f>
        <v>0</v>
      </c>
      <c r="CJ227" s="297" t="str">
        <f t="shared" si="248"/>
        <v>0</v>
      </c>
      <c r="CK227" s="300">
        <f t="shared" si="249"/>
        <v>0</v>
      </c>
      <c r="CL227" s="301">
        <f>[1]COMMANDE!AQ225</f>
        <v>0</v>
      </c>
      <c r="CM227" s="297" t="str">
        <f t="shared" si="250"/>
        <v>0</v>
      </c>
      <c r="CN227" s="298">
        <f t="shared" si="251"/>
        <v>0</v>
      </c>
      <c r="CO227" s="299">
        <f>[1]COMMANDE!AS225</f>
        <v>0</v>
      </c>
      <c r="CP227" s="297" t="str">
        <f t="shared" si="252"/>
        <v>0</v>
      </c>
      <c r="CQ227" s="300">
        <f t="shared" si="253"/>
        <v>0</v>
      </c>
      <c r="CR227" s="301">
        <f>[1]COMMANDE!AU225</f>
        <v>0</v>
      </c>
      <c r="CS227" s="297" t="str">
        <f t="shared" si="254"/>
        <v>0</v>
      </c>
      <c r="CT227" s="298">
        <f t="shared" si="255"/>
        <v>0</v>
      </c>
      <c r="CU227" s="299">
        <f>[1]COMMANDE!AW225</f>
        <v>0</v>
      </c>
      <c r="CV227" s="297" t="str">
        <f t="shared" si="256"/>
        <v>0</v>
      </c>
      <c r="CW227" s="300">
        <f t="shared" si="257"/>
        <v>0</v>
      </c>
      <c r="CX227" s="301">
        <f>[1]COMMANDE!AY225</f>
        <v>0</v>
      </c>
      <c r="CY227" s="297" t="str">
        <f t="shared" si="258"/>
        <v>0</v>
      </c>
      <c r="CZ227" s="298">
        <f t="shared" si="259"/>
        <v>0</v>
      </c>
      <c r="DA227" s="299">
        <f>[1]COMMANDE!BA225</f>
        <v>0</v>
      </c>
      <c r="DB227" s="297" t="str">
        <f t="shared" si="260"/>
        <v>0</v>
      </c>
      <c r="DC227" s="302">
        <f t="shared" si="261"/>
        <v>0</v>
      </c>
      <c r="DD227" s="303"/>
      <c r="DE227" s="304"/>
    </row>
    <row r="228" spans="1:109" ht="39.950000000000003" customHeight="1" x14ac:dyDescent="0.25">
      <c r="A228" s="284">
        <f t="shared" si="140"/>
        <v>0</v>
      </c>
      <c r="B228" s="284">
        <f t="shared" si="141"/>
        <v>0</v>
      </c>
      <c r="C228" s="284">
        <f t="shared" si="142"/>
        <v>0</v>
      </c>
      <c r="D228" s="284">
        <f t="shared" si="143"/>
        <v>0</v>
      </c>
      <c r="E228" s="284">
        <f t="shared" si="144"/>
        <v>0</v>
      </c>
      <c r="F228" s="284">
        <f t="shared" si="145"/>
        <v>0</v>
      </c>
      <c r="G228" s="284">
        <f t="shared" si="146"/>
        <v>0</v>
      </c>
      <c r="H228" s="284">
        <f t="shared" si="147"/>
        <v>0</v>
      </c>
      <c r="I228" s="284">
        <f t="shared" si="148"/>
        <v>0</v>
      </c>
      <c r="J228" s="284">
        <f t="shared" si="149"/>
        <v>0</v>
      </c>
      <c r="K228" s="284">
        <f t="shared" si="150"/>
        <v>0</v>
      </c>
      <c r="L228" s="284">
        <f t="shared" si="151"/>
        <v>0</v>
      </c>
      <c r="M228" s="284">
        <f t="shared" si="152"/>
        <v>0</v>
      </c>
      <c r="N228" s="284">
        <f t="shared" si="153"/>
        <v>0</v>
      </c>
      <c r="O228" s="284">
        <f t="shared" si="154"/>
        <v>0</v>
      </c>
      <c r="P228" s="284">
        <f t="shared" si="209"/>
        <v>0</v>
      </c>
      <c r="Q228" s="284">
        <f t="shared" si="210"/>
        <v>0</v>
      </c>
      <c r="R228" s="284">
        <f t="shared" si="211"/>
        <v>0</v>
      </c>
      <c r="S228" s="284">
        <f t="shared" si="212"/>
        <v>0</v>
      </c>
      <c r="T228" s="284">
        <f t="shared" si="213"/>
        <v>0</v>
      </c>
      <c r="U228" s="285">
        <f t="shared" si="214"/>
        <v>0</v>
      </c>
      <c r="V228" s="286">
        <f>[1]BDD!A218</f>
        <v>1147</v>
      </c>
      <c r="W228" s="287" t="str">
        <f>[1]BDD!B218</f>
        <v>Pomme de terre rouge BIO</v>
      </c>
      <c r="X228" s="288" t="str">
        <f>IF([1]BDD!F218=0, "", [1]BDD!F218)</f>
        <v/>
      </c>
      <c r="Y228" s="214">
        <f>ROUND([1]BDD!G218+FDP_CMD_KG, 2)</f>
        <v>3.19</v>
      </c>
      <c r="Z228" s="214">
        <f>ROUND([1]BDD!G218+FDP_FACT_KG, 2)</f>
        <v>3.19</v>
      </c>
      <c r="AA228" s="215" t="str">
        <f>[1]BDD!H218</f>
        <v>kg</v>
      </c>
      <c r="AB228" s="225">
        <f>IF(NOT(ISBLANK([1]BDD!I218)), ROUND(SUM(([1]BDD!G218*reduc1),FDP_CMD_KG), 2), "")</f>
        <v>2.96</v>
      </c>
      <c r="AC228" s="225">
        <f>IF(NOT(ISBLANK([1]BDD!J218)), ROUND(SUM(([1]BDD!G218*reduc2),FDP_CMD_KG), 2), "")</f>
        <v>2.73</v>
      </c>
      <c r="AD228" s="225" t="str">
        <f>IF(NOT(ISBLANK([1]BDD!K218)), ROUND(SUM(([1]BDD!G218*reduc3),FDP_CMD_KG), 2), "")</f>
        <v/>
      </c>
      <c r="AE228" s="225">
        <f>IF(NOT(ISBLANK([1]BDD!I218)), ROUND(SUM(([1]BDD!G218*reduc1),FDP_FACT_KG), 2), "")</f>
        <v>2.95</v>
      </c>
      <c r="AF228" s="225">
        <f>IF(NOT(ISBLANK([1]BDD!J218)), ROUND(SUM(([1]BDD!G218*reduc2),FDP_FACT_KG), 2), "")</f>
        <v>2.72</v>
      </c>
      <c r="AG228" s="225" t="str">
        <f>IF(NOT(ISBLANK([1]BDD!K218)), ROUND(SUM(([1]BDD!G218*reduc3),FDP_FACT_KG), 2), "")</f>
        <v/>
      </c>
      <c r="AH228" s="289" t="str">
        <f>[1]BDD!C218</f>
        <v>Grenade</v>
      </c>
      <c r="AI228" s="290">
        <f t="shared" si="215"/>
        <v>0</v>
      </c>
      <c r="AJ228" s="216">
        <f t="shared" si="216"/>
        <v>2.73</v>
      </c>
      <c r="AK228" s="291">
        <f t="shared" si="217"/>
        <v>0</v>
      </c>
      <c r="AL228" s="429"/>
      <c r="AM228" s="292"/>
      <c r="AN228" s="216">
        <f t="shared" si="218"/>
        <v>3.19</v>
      </c>
      <c r="AO228" s="293">
        <f t="shared" si="219"/>
        <v>0</v>
      </c>
      <c r="AP228" s="294"/>
      <c r="AQ228" s="294"/>
      <c r="AR228" s="429"/>
      <c r="AS228" s="295">
        <f t="shared" si="220"/>
        <v>0</v>
      </c>
      <c r="AT228" s="216">
        <f t="shared" si="221"/>
        <v>3.19</v>
      </c>
      <c r="AU228" s="291">
        <f t="shared" si="208"/>
        <v>0</v>
      </c>
      <c r="AV228" s="296">
        <f>[1]COMMANDE!O226</f>
        <v>0</v>
      </c>
      <c r="AW228" s="297" t="str">
        <f t="shared" si="222"/>
        <v>0</v>
      </c>
      <c r="AX228" s="298">
        <f t="shared" si="223"/>
        <v>0</v>
      </c>
      <c r="AY228" s="299">
        <f>[1]COMMANDE!Q226</f>
        <v>0</v>
      </c>
      <c r="AZ228" s="297" t="str">
        <f t="shared" si="224"/>
        <v>0</v>
      </c>
      <c r="BA228" s="300">
        <f t="shared" si="225"/>
        <v>0</v>
      </c>
      <c r="BB228" s="301">
        <f>[1]COMMANDE!S226</f>
        <v>0</v>
      </c>
      <c r="BC228" s="297" t="str">
        <f t="shared" si="226"/>
        <v>0</v>
      </c>
      <c r="BD228" s="298">
        <f t="shared" si="227"/>
        <v>0</v>
      </c>
      <c r="BE228" s="299">
        <f>[1]COMMANDE!U226</f>
        <v>0</v>
      </c>
      <c r="BF228" s="297" t="str">
        <f t="shared" si="228"/>
        <v>0</v>
      </c>
      <c r="BG228" s="300">
        <f t="shared" si="229"/>
        <v>0</v>
      </c>
      <c r="BH228" s="301">
        <f>[1]COMMANDE!W226</f>
        <v>0</v>
      </c>
      <c r="BI228" s="297" t="str">
        <f t="shared" si="230"/>
        <v>0</v>
      </c>
      <c r="BJ228" s="298">
        <f t="shared" si="231"/>
        <v>0</v>
      </c>
      <c r="BK228" s="299">
        <f>[1]COMMANDE!Y226</f>
        <v>0</v>
      </c>
      <c r="BL228" s="297" t="str">
        <f t="shared" si="232"/>
        <v>0</v>
      </c>
      <c r="BM228" s="300">
        <f t="shared" si="233"/>
        <v>0</v>
      </c>
      <c r="BN228" s="301">
        <f>[1]COMMANDE!AA226</f>
        <v>0</v>
      </c>
      <c r="BO228" s="297" t="str">
        <f t="shared" si="234"/>
        <v>0</v>
      </c>
      <c r="BP228" s="298">
        <f t="shared" si="235"/>
        <v>0</v>
      </c>
      <c r="BQ228" s="299">
        <f>[1]COMMANDE!AC226</f>
        <v>0</v>
      </c>
      <c r="BR228" s="297" t="str">
        <f t="shared" si="236"/>
        <v>0</v>
      </c>
      <c r="BS228" s="300">
        <f t="shared" si="237"/>
        <v>0</v>
      </c>
      <c r="BT228" s="301">
        <f>[1]COMMANDE!AE226</f>
        <v>0</v>
      </c>
      <c r="BU228" s="297" t="str">
        <f t="shared" si="238"/>
        <v>0</v>
      </c>
      <c r="BV228" s="298">
        <f t="shared" si="239"/>
        <v>0</v>
      </c>
      <c r="BW228" s="299">
        <f>[1]COMMANDE!AG226</f>
        <v>0</v>
      </c>
      <c r="BX228" s="297" t="str">
        <f t="shared" si="240"/>
        <v>0</v>
      </c>
      <c r="BY228" s="300">
        <f t="shared" si="241"/>
        <v>0</v>
      </c>
      <c r="BZ228" s="301">
        <f>[1]COMMANDE!AI226</f>
        <v>0</v>
      </c>
      <c r="CA228" s="297" t="str">
        <f t="shared" si="242"/>
        <v>0</v>
      </c>
      <c r="CB228" s="298">
        <f t="shared" si="243"/>
        <v>0</v>
      </c>
      <c r="CC228" s="299">
        <f>[1]COMMANDE!AK226</f>
        <v>0</v>
      </c>
      <c r="CD228" s="297" t="str">
        <f t="shared" si="244"/>
        <v>0</v>
      </c>
      <c r="CE228" s="300">
        <f t="shared" si="245"/>
        <v>0</v>
      </c>
      <c r="CF228" s="301">
        <f>[1]COMMANDE!AM226</f>
        <v>0</v>
      </c>
      <c r="CG228" s="297" t="str">
        <f t="shared" si="246"/>
        <v>0</v>
      </c>
      <c r="CH228" s="298">
        <f t="shared" si="247"/>
        <v>0</v>
      </c>
      <c r="CI228" s="299">
        <f>[1]COMMANDE!AO226</f>
        <v>0</v>
      </c>
      <c r="CJ228" s="297" t="str">
        <f t="shared" si="248"/>
        <v>0</v>
      </c>
      <c r="CK228" s="300">
        <f t="shared" si="249"/>
        <v>0</v>
      </c>
      <c r="CL228" s="301">
        <f>[1]COMMANDE!AQ226</f>
        <v>0</v>
      </c>
      <c r="CM228" s="297" t="str">
        <f t="shared" si="250"/>
        <v>0</v>
      </c>
      <c r="CN228" s="298">
        <f t="shared" si="251"/>
        <v>0</v>
      </c>
      <c r="CO228" s="299">
        <f>[1]COMMANDE!AS226</f>
        <v>0</v>
      </c>
      <c r="CP228" s="297" t="str">
        <f t="shared" si="252"/>
        <v>0</v>
      </c>
      <c r="CQ228" s="300">
        <f t="shared" si="253"/>
        <v>0</v>
      </c>
      <c r="CR228" s="301">
        <f>[1]COMMANDE!AU226</f>
        <v>0</v>
      </c>
      <c r="CS228" s="297" t="str">
        <f t="shared" si="254"/>
        <v>0</v>
      </c>
      <c r="CT228" s="298">
        <f t="shared" si="255"/>
        <v>0</v>
      </c>
      <c r="CU228" s="299">
        <f>[1]COMMANDE!AW226</f>
        <v>0</v>
      </c>
      <c r="CV228" s="297" t="str">
        <f t="shared" si="256"/>
        <v>0</v>
      </c>
      <c r="CW228" s="300">
        <f t="shared" si="257"/>
        <v>0</v>
      </c>
      <c r="CX228" s="301">
        <f>[1]COMMANDE!AY226</f>
        <v>0</v>
      </c>
      <c r="CY228" s="297" t="str">
        <f t="shared" si="258"/>
        <v>0</v>
      </c>
      <c r="CZ228" s="298">
        <f t="shared" si="259"/>
        <v>0</v>
      </c>
      <c r="DA228" s="299">
        <f>[1]COMMANDE!BA226</f>
        <v>0</v>
      </c>
      <c r="DB228" s="297" t="str">
        <f t="shared" si="260"/>
        <v>0</v>
      </c>
      <c r="DC228" s="302">
        <f t="shared" si="261"/>
        <v>0</v>
      </c>
      <c r="DD228" s="303"/>
      <c r="DE228" s="304"/>
    </row>
    <row r="229" spans="1:109" ht="39.950000000000003" customHeight="1" x14ac:dyDescent="0.25">
      <c r="A229" s="284">
        <f t="shared" si="140"/>
        <v>0</v>
      </c>
      <c r="B229" s="284">
        <f t="shared" si="141"/>
        <v>0</v>
      </c>
      <c r="C229" s="284">
        <f t="shared" si="142"/>
        <v>0</v>
      </c>
      <c r="D229" s="284">
        <f t="shared" si="143"/>
        <v>0</v>
      </c>
      <c r="E229" s="284">
        <f t="shared" si="144"/>
        <v>0</v>
      </c>
      <c r="F229" s="284">
        <f t="shared" si="145"/>
        <v>0</v>
      </c>
      <c r="G229" s="284">
        <f t="shared" si="146"/>
        <v>0</v>
      </c>
      <c r="H229" s="284">
        <f t="shared" si="147"/>
        <v>0</v>
      </c>
      <c r="I229" s="284">
        <f t="shared" si="148"/>
        <v>0</v>
      </c>
      <c r="J229" s="284">
        <f t="shared" si="149"/>
        <v>0</v>
      </c>
      <c r="K229" s="284">
        <f t="shared" si="150"/>
        <v>0</v>
      </c>
      <c r="L229" s="284">
        <f t="shared" si="151"/>
        <v>0</v>
      </c>
      <c r="M229" s="284">
        <f t="shared" si="152"/>
        <v>0</v>
      </c>
      <c r="N229" s="284">
        <f t="shared" si="153"/>
        <v>0</v>
      </c>
      <c r="O229" s="284">
        <f t="shared" si="154"/>
        <v>0</v>
      </c>
      <c r="P229" s="284">
        <f t="shared" si="209"/>
        <v>0</v>
      </c>
      <c r="Q229" s="284">
        <f t="shared" si="210"/>
        <v>0</v>
      </c>
      <c r="R229" s="284">
        <f t="shared" si="211"/>
        <v>0</v>
      </c>
      <c r="S229" s="284">
        <f t="shared" si="212"/>
        <v>0</v>
      </c>
      <c r="T229" s="284">
        <f t="shared" si="213"/>
        <v>0</v>
      </c>
      <c r="U229" s="285">
        <f t="shared" si="214"/>
        <v>0</v>
      </c>
      <c r="V229" s="286">
        <f>[1]BDD!A219</f>
        <v>3750</v>
      </c>
      <c r="W229" s="287" t="str">
        <f>[1]BDD!B219</f>
        <v>Pomme déshydratée
    - (production Rufino, env. 300g)</v>
      </c>
      <c r="X229" s="288" t="str">
        <f>IF([1]BDD!F219=0, "", [1]BDD!F219)</f>
        <v/>
      </c>
      <c r="Y229" s="214">
        <f>ROUND([1]BDD!G219+FDP_CMD_KG, 2)</f>
        <v>8.39</v>
      </c>
      <c r="Z229" s="214">
        <f>ROUND([1]BDD!G219+FDP_FACT_KG, 2)</f>
        <v>8.39</v>
      </c>
      <c r="AA229" s="215" t="str">
        <f>[1]BDD!H219</f>
        <v>Pièce</v>
      </c>
      <c r="AB229" s="225" t="str">
        <f>IF(NOT(ISBLANK([1]BDD!I219)), ROUND(SUM(([1]BDD!G219*reduc1),FDP_CMD_KG), 2), "")</f>
        <v/>
      </c>
      <c r="AC229" s="225" t="str">
        <f>IF(NOT(ISBLANK([1]BDD!J219)), ROUND(SUM(([1]BDD!G219*reduc2),FDP_CMD_KG), 2), "")</f>
        <v/>
      </c>
      <c r="AD229" s="225" t="str">
        <f>IF(NOT(ISBLANK([1]BDD!K219)), ROUND(SUM(([1]BDD!G219*reduc3),FDP_CMD_KG), 2), "")</f>
        <v/>
      </c>
      <c r="AE229" s="225" t="str">
        <f>IF(NOT(ISBLANK([1]BDD!I219)), ROUND(SUM(([1]BDD!G219*reduc1),FDP_FACT_KG), 2), "")</f>
        <v/>
      </c>
      <c r="AF229" s="225" t="str">
        <f>IF(NOT(ISBLANK([1]BDD!J219)), ROUND(SUM(([1]BDD!G219*reduc2),FDP_FACT_KG), 2), "")</f>
        <v/>
      </c>
      <c r="AG229" s="225" t="str">
        <f>IF(NOT(ISBLANK([1]BDD!K219)), ROUND(SUM(([1]BDD!G219*reduc3),FDP_FACT_KG), 2), "")</f>
        <v/>
      </c>
      <c r="AH229" s="289" t="str">
        <f>[1]BDD!C219</f>
        <v>Grenade</v>
      </c>
      <c r="AI229" s="290">
        <f t="shared" si="215"/>
        <v>0</v>
      </c>
      <c r="AJ229" s="216">
        <f t="shared" si="216"/>
        <v>8.39</v>
      </c>
      <c r="AK229" s="291">
        <f t="shared" si="217"/>
        <v>0</v>
      </c>
      <c r="AL229" s="429"/>
      <c r="AM229" s="292"/>
      <c r="AN229" s="216">
        <f t="shared" si="218"/>
        <v>8.39</v>
      </c>
      <c r="AO229" s="293">
        <f t="shared" si="219"/>
        <v>0</v>
      </c>
      <c r="AP229" s="294"/>
      <c r="AQ229" s="294"/>
      <c r="AR229" s="429"/>
      <c r="AS229" s="295">
        <f t="shared" si="220"/>
        <v>0</v>
      </c>
      <c r="AT229" s="216">
        <f t="shared" si="221"/>
        <v>8.39</v>
      </c>
      <c r="AU229" s="291">
        <f t="shared" si="208"/>
        <v>0</v>
      </c>
      <c r="AV229" s="296">
        <f>[1]COMMANDE!O227</f>
        <v>0</v>
      </c>
      <c r="AW229" s="297" t="str">
        <f t="shared" si="222"/>
        <v>0</v>
      </c>
      <c r="AX229" s="298">
        <f t="shared" si="223"/>
        <v>0</v>
      </c>
      <c r="AY229" s="299">
        <f>[1]COMMANDE!Q227</f>
        <v>0</v>
      </c>
      <c r="AZ229" s="297" t="str">
        <f t="shared" si="224"/>
        <v>0</v>
      </c>
      <c r="BA229" s="300">
        <f t="shared" si="225"/>
        <v>0</v>
      </c>
      <c r="BB229" s="301">
        <f>[1]COMMANDE!S227</f>
        <v>0</v>
      </c>
      <c r="BC229" s="297" t="str">
        <f t="shared" si="226"/>
        <v>0</v>
      </c>
      <c r="BD229" s="298">
        <f t="shared" si="227"/>
        <v>0</v>
      </c>
      <c r="BE229" s="299">
        <f>[1]COMMANDE!U227</f>
        <v>0</v>
      </c>
      <c r="BF229" s="297" t="str">
        <f t="shared" si="228"/>
        <v>0</v>
      </c>
      <c r="BG229" s="300">
        <f t="shared" si="229"/>
        <v>0</v>
      </c>
      <c r="BH229" s="301">
        <f>[1]COMMANDE!W227</f>
        <v>0</v>
      </c>
      <c r="BI229" s="297" t="str">
        <f t="shared" si="230"/>
        <v>0</v>
      </c>
      <c r="BJ229" s="298">
        <f t="shared" si="231"/>
        <v>0</v>
      </c>
      <c r="BK229" s="299">
        <f>[1]COMMANDE!Y227</f>
        <v>0</v>
      </c>
      <c r="BL229" s="297" t="str">
        <f t="shared" si="232"/>
        <v>0</v>
      </c>
      <c r="BM229" s="300">
        <f t="shared" si="233"/>
        <v>0</v>
      </c>
      <c r="BN229" s="301">
        <f>[1]COMMANDE!AA227</f>
        <v>0</v>
      </c>
      <c r="BO229" s="297" t="str">
        <f t="shared" si="234"/>
        <v>0</v>
      </c>
      <c r="BP229" s="298">
        <f t="shared" si="235"/>
        <v>0</v>
      </c>
      <c r="BQ229" s="299">
        <f>[1]COMMANDE!AC227</f>
        <v>0</v>
      </c>
      <c r="BR229" s="297" t="str">
        <f t="shared" si="236"/>
        <v>0</v>
      </c>
      <c r="BS229" s="300">
        <f t="shared" si="237"/>
        <v>0</v>
      </c>
      <c r="BT229" s="301">
        <f>[1]COMMANDE!AE227</f>
        <v>0</v>
      </c>
      <c r="BU229" s="297" t="str">
        <f t="shared" si="238"/>
        <v>0</v>
      </c>
      <c r="BV229" s="298">
        <f t="shared" si="239"/>
        <v>0</v>
      </c>
      <c r="BW229" s="299">
        <f>[1]COMMANDE!AG227</f>
        <v>0</v>
      </c>
      <c r="BX229" s="297" t="str">
        <f t="shared" si="240"/>
        <v>0</v>
      </c>
      <c r="BY229" s="300">
        <f t="shared" si="241"/>
        <v>0</v>
      </c>
      <c r="BZ229" s="301">
        <f>[1]COMMANDE!AI227</f>
        <v>0</v>
      </c>
      <c r="CA229" s="297" t="str">
        <f t="shared" si="242"/>
        <v>0</v>
      </c>
      <c r="CB229" s="298">
        <f t="shared" si="243"/>
        <v>0</v>
      </c>
      <c r="CC229" s="299">
        <f>[1]COMMANDE!AK227</f>
        <v>0</v>
      </c>
      <c r="CD229" s="297" t="str">
        <f t="shared" si="244"/>
        <v>0</v>
      </c>
      <c r="CE229" s="300">
        <f t="shared" si="245"/>
        <v>0</v>
      </c>
      <c r="CF229" s="301">
        <f>[1]COMMANDE!AM227</f>
        <v>0</v>
      </c>
      <c r="CG229" s="297" t="str">
        <f t="shared" si="246"/>
        <v>0</v>
      </c>
      <c r="CH229" s="298">
        <f t="shared" si="247"/>
        <v>0</v>
      </c>
      <c r="CI229" s="299">
        <f>[1]COMMANDE!AO227</f>
        <v>0</v>
      </c>
      <c r="CJ229" s="297" t="str">
        <f t="shared" si="248"/>
        <v>0</v>
      </c>
      <c r="CK229" s="300">
        <f t="shared" si="249"/>
        <v>0</v>
      </c>
      <c r="CL229" s="301">
        <f>[1]COMMANDE!AQ227</f>
        <v>0</v>
      </c>
      <c r="CM229" s="297" t="str">
        <f t="shared" si="250"/>
        <v>0</v>
      </c>
      <c r="CN229" s="298">
        <f t="shared" si="251"/>
        <v>0</v>
      </c>
      <c r="CO229" s="299">
        <f>[1]COMMANDE!AS227</f>
        <v>0</v>
      </c>
      <c r="CP229" s="297" t="str">
        <f t="shared" si="252"/>
        <v>0</v>
      </c>
      <c r="CQ229" s="300">
        <f t="shared" si="253"/>
        <v>0</v>
      </c>
      <c r="CR229" s="301">
        <f>[1]COMMANDE!AU227</f>
        <v>0</v>
      </c>
      <c r="CS229" s="297" t="str">
        <f t="shared" si="254"/>
        <v>0</v>
      </c>
      <c r="CT229" s="298">
        <f t="shared" si="255"/>
        <v>0</v>
      </c>
      <c r="CU229" s="299">
        <f>[1]COMMANDE!AW227</f>
        <v>0</v>
      </c>
      <c r="CV229" s="297" t="str">
        <f t="shared" si="256"/>
        <v>0</v>
      </c>
      <c r="CW229" s="300">
        <f t="shared" si="257"/>
        <v>0</v>
      </c>
      <c r="CX229" s="301">
        <f>[1]COMMANDE!AY227</f>
        <v>0</v>
      </c>
      <c r="CY229" s="297" t="str">
        <f t="shared" si="258"/>
        <v>0</v>
      </c>
      <c r="CZ229" s="298">
        <f t="shared" si="259"/>
        <v>0</v>
      </c>
      <c r="DA229" s="299">
        <f>[1]COMMANDE!BA227</f>
        <v>0</v>
      </c>
      <c r="DB229" s="297" t="str">
        <f t="shared" si="260"/>
        <v>0</v>
      </c>
      <c r="DC229" s="302">
        <f t="shared" si="261"/>
        <v>0</v>
      </c>
      <c r="DD229" s="303"/>
      <c r="DE229" s="304"/>
    </row>
    <row r="230" spans="1:109" ht="39.950000000000003" customHeight="1" x14ac:dyDescent="0.25">
      <c r="A230" s="284">
        <f t="shared" si="140"/>
        <v>0</v>
      </c>
      <c r="B230" s="284">
        <f t="shared" si="141"/>
        <v>0</v>
      </c>
      <c r="C230" s="284">
        <f t="shared" si="142"/>
        <v>0</v>
      </c>
      <c r="D230" s="284">
        <f t="shared" si="143"/>
        <v>0</v>
      </c>
      <c r="E230" s="284">
        <f t="shared" si="144"/>
        <v>0</v>
      </c>
      <c r="F230" s="284">
        <f t="shared" si="145"/>
        <v>0</v>
      </c>
      <c r="G230" s="284">
        <f t="shared" si="146"/>
        <v>0</v>
      </c>
      <c r="H230" s="284">
        <f t="shared" si="147"/>
        <v>0</v>
      </c>
      <c r="I230" s="284">
        <f t="shared" si="148"/>
        <v>0</v>
      </c>
      <c r="J230" s="284">
        <f t="shared" si="149"/>
        <v>0</v>
      </c>
      <c r="K230" s="284">
        <f t="shared" si="150"/>
        <v>0</v>
      </c>
      <c r="L230" s="284">
        <f t="shared" si="151"/>
        <v>0</v>
      </c>
      <c r="M230" s="284">
        <f t="shared" si="152"/>
        <v>0</v>
      </c>
      <c r="N230" s="284">
        <f t="shared" si="153"/>
        <v>0</v>
      </c>
      <c r="O230" s="284">
        <f t="shared" si="154"/>
        <v>0</v>
      </c>
      <c r="P230" s="284">
        <f t="shared" si="209"/>
        <v>0</v>
      </c>
      <c r="Q230" s="284">
        <f t="shared" si="210"/>
        <v>0</v>
      </c>
      <c r="R230" s="284">
        <f t="shared" si="211"/>
        <v>0</v>
      </c>
      <c r="S230" s="284">
        <f t="shared" si="212"/>
        <v>0</v>
      </c>
      <c r="T230" s="284">
        <f t="shared" si="213"/>
        <v>0</v>
      </c>
      <c r="U230" s="285">
        <f t="shared" si="214"/>
        <v>0</v>
      </c>
      <c r="V230" s="286">
        <f>[1]BDD!A220</f>
        <v>3478</v>
      </c>
      <c r="W230" s="287" t="str">
        <f>[1]BDD!B220</f>
        <v>pomme Fuji</v>
      </c>
      <c r="X230" s="288" t="str">
        <f>IF([1]BDD!F220=0, "", [1]BDD!F220)</f>
        <v/>
      </c>
      <c r="Y230" s="214">
        <f>ROUND([1]BDD!G220+FDP_CMD_KG, 2)</f>
        <v>3.73</v>
      </c>
      <c r="Z230" s="214">
        <f>ROUND([1]BDD!G220+FDP_FACT_KG, 2)</f>
        <v>3.73</v>
      </c>
      <c r="AA230" s="215" t="str">
        <f>[1]BDD!H220</f>
        <v>kg</v>
      </c>
      <c r="AB230" s="225">
        <f>IF(NOT(ISBLANK([1]BDD!I220)), ROUND(SUM(([1]BDD!G220*reduc1),FDP_CMD_KG), 2), "")</f>
        <v>3.45</v>
      </c>
      <c r="AC230" s="225">
        <f>IF(NOT(ISBLANK([1]BDD!J220)), ROUND(SUM(([1]BDD!G220*reduc2),FDP_CMD_KG), 2), "")</f>
        <v>3.16</v>
      </c>
      <c r="AD230" s="225" t="str">
        <f>IF(NOT(ISBLANK([1]BDD!K220)), ROUND(SUM(([1]BDD!G220*reduc3),FDP_CMD_KG), 2), "")</f>
        <v/>
      </c>
      <c r="AE230" s="225">
        <f>IF(NOT(ISBLANK([1]BDD!I220)), ROUND(SUM(([1]BDD!G220*reduc1),FDP_FACT_KG), 2), "")</f>
        <v>3.44</v>
      </c>
      <c r="AF230" s="225">
        <f>IF(NOT(ISBLANK([1]BDD!J220)), ROUND(SUM(([1]BDD!G220*reduc2),FDP_FACT_KG), 2), "")</f>
        <v>3.15</v>
      </c>
      <c r="AG230" s="225" t="str">
        <f>IF(NOT(ISBLANK([1]BDD!K220)), ROUND(SUM(([1]BDD!G220*reduc3),FDP_FACT_KG), 2), "")</f>
        <v/>
      </c>
      <c r="AH230" s="289" t="str">
        <f>[1]BDD!C220</f>
        <v>National</v>
      </c>
      <c r="AI230" s="290">
        <f t="shared" si="215"/>
        <v>0</v>
      </c>
      <c r="AJ230" s="216">
        <f t="shared" si="216"/>
        <v>3.16</v>
      </c>
      <c r="AK230" s="291">
        <f t="shared" si="217"/>
        <v>0</v>
      </c>
      <c r="AL230" s="429"/>
      <c r="AM230" s="292"/>
      <c r="AN230" s="216">
        <f t="shared" si="218"/>
        <v>3.73</v>
      </c>
      <c r="AO230" s="293">
        <f t="shared" si="219"/>
        <v>0</v>
      </c>
      <c r="AP230" s="294"/>
      <c r="AQ230" s="294"/>
      <c r="AR230" s="429"/>
      <c r="AS230" s="295">
        <f t="shared" si="220"/>
        <v>0</v>
      </c>
      <c r="AT230" s="216">
        <f t="shared" si="221"/>
        <v>3.73</v>
      </c>
      <c r="AU230" s="291">
        <f t="shared" si="208"/>
        <v>0</v>
      </c>
      <c r="AV230" s="296">
        <f>[1]COMMANDE!O228</f>
        <v>0</v>
      </c>
      <c r="AW230" s="297" t="str">
        <f t="shared" si="222"/>
        <v>0</v>
      </c>
      <c r="AX230" s="298">
        <f t="shared" si="223"/>
        <v>0</v>
      </c>
      <c r="AY230" s="299">
        <f>[1]COMMANDE!Q228</f>
        <v>0</v>
      </c>
      <c r="AZ230" s="297" t="str">
        <f t="shared" si="224"/>
        <v>0</v>
      </c>
      <c r="BA230" s="300">
        <f t="shared" si="225"/>
        <v>0</v>
      </c>
      <c r="BB230" s="301">
        <f>[1]COMMANDE!S228</f>
        <v>0</v>
      </c>
      <c r="BC230" s="297" t="str">
        <f t="shared" si="226"/>
        <v>0</v>
      </c>
      <c r="BD230" s="298">
        <f t="shared" si="227"/>
        <v>0</v>
      </c>
      <c r="BE230" s="299">
        <f>[1]COMMANDE!U228</f>
        <v>0</v>
      </c>
      <c r="BF230" s="297" t="str">
        <f t="shared" si="228"/>
        <v>0</v>
      </c>
      <c r="BG230" s="300">
        <f t="shared" si="229"/>
        <v>0</v>
      </c>
      <c r="BH230" s="301">
        <f>[1]COMMANDE!W228</f>
        <v>0</v>
      </c>
      <c r="BI230" s="297" t="str">
        <f t="shared" si="230"/>
        <v>0</v>
      </c>
      <c r="BJ230" s="298">
        <f t="shared" si="231"/>
        <v>0</v>
      </c>
      <c r="BK230" s="299">
        <f>[1]COMMANDE!Y228</f>
        <v>0</v>
      </c>
      <c r="BL230" s="297" t="str">
        <f t="shared" si="232"/>
        <v>0</v>
      </c>
      <c r="BM230" s="300">
        <f t="shared" si="233"/>
        <v>0</v>
      </c>
      <c r="BN230" s="301">
        <f>[1]COMMANDE!AA228</f>
        <v>0</v>
      </c>
      <c r="BO230" s="297" t="str">
        <f t="shared" si="234"/>
        <v>0</v>
      </c>
      <c r="BP230" s="298">
        <f t="shared" si="235"/>
        <v>0</v>
      </c>
      <c r="BQ230" s="299">
        <f>[1]COMMANDE!AC228</f>
        <v>0</v>
      </c>
      <c r="BR230" s="297" t="str">
        <f t="shared" si="236"/>
        <v>0</v>
      </c>
      <c r="BS230" s="300">
        <f t="shared" si="237"/>
        <v>0</v>
      </c>
      <c r="BT230" s="301">
        <f>[1]COMMANDE!AE228</f>
        <v>0</v>
      </c>
      <c r="BU230" s="297" t="str">
        <f t="shared" si="238"/>
        <v>0</v>
      </c>
      <c r="BV230" s="298">
        <f t="shared" si="239"/>
        <v>0</v>
      </c>
      <c r="BW230" s="299">
        <f>[1]COMMANDE!AG228</f>
        <v>0</v>
      </c>
      <c r="BX230" s="297" t="str">
        <f t="shared" si="240"/>
        <v>0</v>
      </c>
      <c r="BY230" s="300">
        <f t="shared" si="241"/>
        <v>0</v>
      </c>
      <c r="BZ230" s="301">
        <f>[1]COMMANDE!AI228</f>
        <v>0</v>
      </c>
      <c r="CA230" s="297" t="str">
        <f t="shared" si="242"/>
        <v>0</v>
      </c>
      <c r="CB230" s="298">
        <f t="shared" si="243"/>
        <v>0</v>
      </c>
      <c r="CC230" s="299">
        <f>[1]COMMANDE!AK228</f>
        <v>0</v>
      </c>
      <c r="CD230" s="297" t="str">
        <f t="shared" si="244"/>
        <v>0</v>
      </c>
      <c r="CE230" s="300">
        <f t="shared" si="245"/>
        <v>0</v>
      </c>
      <c r="CF230" s="301">
        <f>[1]COMMANDE!AM228</f>
        <v>0</v>
      </c>
      <c r="CG230" s="297" t="str">
        <f t="shared" si="246"/>
        <v>0</v>
      </c>
      <c r="CH230" s="298">
        <f t="shared" si="247"/>
        <v>0</v>
      </c>
      <c r="CI230" s="299">
        <f>[1]COMMANDE!AO228</f>
        <v>0</v>
      </c>
      <c r="CJ230" s="297" t="str">
        <f t="shared" si="248"/>
        <v>0</v>
      </c>
      <c r="CK230" s="300">
        <f t="shared" si="249"/>
        <v>0</v>
      </c>
      <c r="CL230" s="301">
        <f>[1]COMMANDE!AQ228</f>
        <v>0</v>
      </c>
      <c r="CM230" s="297" t="str">
        <f t="shared" si="250"/>
        <v>0</v>
      </c>
      <c r="CN230" s="298">
        <f t="shared" si="251"/>
        <v>0</v>
      </c>
      <c r="CO230" s="299">
        <f>[1]COMMANDE!AS228</f>
        <v>0</v>
      </c>
      <c r="CP230" s="297" t="str">
        <f t="shared" si="252"/>
        <v>0</v>
      </c>
      <c r="CQ230" s="300">
        <f t="shared" si="253"/>
        <v>0</v>
      </c>
      <c r="CR230" s="301">
        <f>[1]COMMANDE!AU228</f>
        <v>0</v>
      </c>
      <c r="CS230" s="297" t="str">
        <f t="shared" si="254"/>
        <v>0</v>
      </c>
      <c r="CT230" s="298">
        <f t="shared" si="255"/>
        <v>0</v>
      </c>
      <c r="CU230" s="299">
        <f>[1]COMMANDE!AW228</f>
        <v>0</v>
      </c>
      <c r="CV230" s="297" t="str">
        <f t="shared" si="256"/>
        <v>0</v>
      </c>
      <c r="CW230" s="300">
        <f t="shared" si="257"/>
        <v>0</v>
      </c>
      <c r="CX230" s="301">
        <f>[1]COMMANDE!AY228</f>
        <v>0</v>
      </c>
      <c r="CY230" s="297" t="str">
        <f t="shared" si="258"/>
        <v>0</v>
      </c>
      <c r="CZ230" s="298">
        <f t="shared" si="259"/>
        <v>0</v>
      </c>
      <c r="DA230" s="299">
        <f>[1]COMMANDE!BA228</f>
        <v>0</v>
      </c>
      <c r="DB230" s="297" t="str">
        <f t="shared" si="260"/>
        <v>0</v>
      </c>
      <c r="DC230" s="302">
        <f t="shared" si="261"/>
        <v>0</v>
      </c>
      <c r="DD230" s="303"/>
      <c r="DE230" s="304"/>
    </row>
    <row r="231" spans="1:109" ht="39.950000000000003" customHeight="1" x14ac:dyDescent="0.25">
      <c r="A231" s="307">
        <f t="shared" si="140"/>
        <v>0</v>
      </c>
      <c r="B231" s="307">
        <f t="shared" si="141"/>
        <v>0</v>
      </c>
      <c r="C231" s="307">
        <f t="shared" si="142"/>
        <v>0</v>
      </c>
      <c r="D231" s="307">
        <f t="shared" si="143"/>
        <v>0</v>
      </c>
      <c r="E231" s="307">
        <f t="shared" si="144"/>
        <v>0</v>
      </c>
      <c r="F231" s="307">
        <f t="shared" si="145"/>
        <v>0</v>
      </c>
      <c r="G231" s="307">
        <f t="shared" si="146"/>
        <v>0</v>
      </c>
      <c r="H231" s="307">
        <f t="shared" si="147"/>
        <v>0</v>
      </c>
      <c r="I231" s="307">
        <f t="shared" si="148"/>
        <v>0</v>
      </c>
      <c r="J231" s="307">
        <f t="shared" si="149"/>
        <v>0</v>
      </c>
      <c r="K231" s="307">
        <f t="shared" si="150"/>
        <v>0</v>
      </c>
      <c r="L231" s="307">
        <f t="shared" si="151"/>
        <v>0</v>
      </c>
      <c r="M231" s="307">
        <f t="shared" si="152"/>
        <v>0</v>
      </c>
      <c r="N231" s="307">
        <f t="shared" si="153"/>
        <v>0</v>
      </c>
      <c r="O231" s="307">
        <f t="shared" si="154"/>
        <v>0</v>
      </c>
      <c r="P231" s="284">
        <f t="shared" si="209"/>
        <v>0</v>
      </c>
      <c r="Q231" s="284">
        <f t="shared" si="210"/>
        <v>0</v>
      </c>
      <c r="R231" s="284">
        <f t="shared" si="211"/>
        <v>0</v>
      </c>
      <c r="S231" s="284">
        <f t="shared" si="212"/>
        <v>0</v>
      </c>
      <c r="T231" s="284">
        <f t="shared" si="213"/>
        <v>0</v>
      </c>
      <c r="U231" s="285">
        <f t="shared" si="214"/>
        <v>0</v>
      </c>
      <c r="V231" s="286" t="str">
        <f>[1]BDD!A221</f>
        <v>5124-3852</v>
      </c>
      <c r="W231" s="287" t="str">
        <f>[1]BDD!B221</f>
        <v>Pomme Golden</v>
      </c>
      <c r="X231" s="288" t="str">
        <f>IF([1]BDD!F221=0, "", [1]BDD!F221)</f>
        <v/>
      </c>
      <c r="Y231" s="214">
        <f>ROUND([1]BDD!G221+FDP_CMD_KG, 2)</f>
        <v>3.05</v>
      </c>
      <c r="Z231" s="214">
        <f>ROUND([1]BDD!G221+FDP_FACT_KG, 2)</f>
        <v>3.05</v>
      </c>
      <c r="AA231" s="215" t="str">
        <f>[1]BDD!H221</f>
        <v>kg</v>
      </c>
      <c r="AB231" s="225">
        <f>IF(NOT(ISBLANK([1]BDD!I221)), ROUND(SUM(([1]BDD!G221*reduc1),FDP_CMD_KG), 2), "")</f>
        <v>2.84</v>
      </c>
      <c r="AC231" s="225">
        <f>IF(NOT(ISBLANK([1]BDD!J221)), ROUND(SUM(([1]BDD!G221*reduc2),FDP_CMD_KG), 2), "")</f>
        <v>2.62</v>
      </c>
      <c r="AD231" s="225">
        <f>IF(NOT(ISBLANK([1]BDD!K221)), ROUND(SUM(([1]BDD!G221*reduc3),FDP_CMD_KG), 2), "")</f>
        <v>2.4</v>
      </c>
      <c r="AE231" s="225">
        <f>IF(NOT(ISBLANK([1]BDD!I221)), ROUND(SUM(([1]BDD!G221*reduc1),FDP_FACT_KG), 2), "")</f>
        <v>2.83</v>
      </c>
      <c r="AF231" s="225">
        <f>IF(NOT(ISBLANK([1]BDD!J221)), ROUND(SUM(([1]BDD!G221*reduc2),FDP_FACT_KG), 2), "")</f>
        <v>2.61</v>
      </c>
      <c r="AG231" s="225">
        <f>IF(NOT(ISBLANK([1]BDD!K221)), ROUND(SUM(([1]BDD!G221*reduc3),FDP_FACT_KG), 2), "")</f>
        <v>2.39</v>
      </c>
      <c r="AH231" s="289" t="str">
        <f>[1]BDD!C221</f>
        <v>Grenade</v>
      </c>
      <c r="AI231" s="290">
        <f t="shared" si="215"/>
        <v>0</v>
      </c>
      <c r="AJ231" s="216">
        <f t="shared" si="216"/>
        <v>2.4</v>
      </c>
      <c r="AK231" s="291">
        <f t="shared" si="217"/>
        <v>0</v>
      </c>
      <c r="AL231" s="429"/>
      <c r="AM231" s="292"/>
      <c r="AN231" s="216">
        <f t="shared" si="218"/>
        <v>3.05</v>
      </c>
      <c r="AO231" s="293">
        <f t="shared" si="219"/>
        <v>0</v>
      </c>
      <c r="AP231" s="294"/>
      <c r="AQ231" s="294"/>
      <c r="AR231" s="429"/>
      <c r="AS231" s="295">
        <f t="shared" si="220"/>
        <v>0</v>
      </c>
      <c r="AT231" s="216">
        <f t="shared" si="221"/>
        <v>3.05</v>
      </c>
      <c r="AU231" s="291">
        <f t="shared" si="208"/>
        <v>0</v>
      </c>
      <c r="AV231" s="296">
        <f>[1]COMMANDE!O229</f>
        <v>0</v>
      </c>
      <c r="AW231" s="297" t="str">
        <f t="shared" si="222"/>
        <v>0</v>
      </c>
      <c r="AX231" s="298">
        <f t="shared" si="223"/>
        <v>0</v>
      </c>
      <c r="AY231" s="299">
        <f>[1]COMMANDE!Q229</f>
        <v>0</v>
      </c>
      <c r="AZ231" s="297" t="str">
        <f t="shared" si="224"/>
        <v>0</v>
      </c>
      <c r="BA231" s="300">
        <f t="shared" si="225"/>
        <v>0</v>
      </c>
      <c r="BB231" s="301">
        <f>[1]COMMANDE!S229</f>
        <v>0</v>
      </c>
      <c r="BC231" s="297" t="str">
        <f t="shared" si="226"/>
        <v>0</v>
      </c>
      <c r="BD231" s="298">
        <f t="shared" si="227"/>
        <v>0</v>
      </c>
      <c r="BE231" s="299">
        <f>[1]COMMANDE!U229</f>
        <v>0</v>
      </c>
      <c r="BF231" s="297" t="str">
        <f t="shared" si="228"/>
        <v>0</v>
      </c>
      <c r="BG231" s="300">
        <f t="shared" si="229"/>
        <v>0</v>
      </c>
      <c r="BH231" s="301">
        <f>[1]COMMANDE!W229</f>
        <v>0</v>
      </c>
      <c r="BI231" s="297" t="str">
        <f t="shared" si="230"/>
        <v>0</v>
      </c>
      <c r="BJ231" s="298">
        <f t="shared" si="231"/>
        <v>0</v>
      </c>
      <c r="BK231" s="299">
        <f>[1]COMMANDE!Y229</f>
        <v>0</v>
      </c>
      <c r="BL231" s="297" t="str">
        <f t="shared" si="232"/>
        <v>0</v>
      </c>
      <c r="BM231" s="300">
        <f t="shared" si="233"/>
        <v>0</v>
      </c>
      <c r="BN231" s="301">
        <f>[1]COMMANDE!AA229</f>
        <v>0</v>
      </c>
      <c r="BO231" s="297" t="str">
        <f t="shared" si="234"/>
        <v>0</v>
      </c>
      <c r="BP231" s="298">
        <f t="shared" si="235"/>
        <v>0</v>
      </c>
      <c r="BQ231" s="299">
        <f>[1]COMMANDE!AC229</f>
        <v>0</v>
      </c>
      <c r="BR231" s="297" t="str">
        <f t="shared" si="236"/>
        <v>0</v>
      </c>
      <c r="BS231" s="300">
        <f t="shared" si="237"/>
        <v>0</v>
      </c>
      <c r="BT231" s="301">
        <f>[1]COMMANDE!AE229</f>
        <v>0</v>
      </c>
      <c r="BU231" s="297" t="str">
        <f t="shared" si="238"/>
        <v>0</v>
      </c>
      <c r="BV231" s="298">
        <f t="shared" si="239"/>
        <v>0</v>
      </c>
      <c r="BW231" s="299">
        <f>[1]COMMANDE!AG229</f>
        <v>0</v>
      </c>
      <c r="BX231" s="297" t="str">
        <f t="shared" si="240"/>
        <v>0</v>
      </c>
      <c r="BY231" s="300">
        <f t="shared" si="241"/>
        <v>0</v>
      </c>
      <c r="BZ231" s="301">
        <f>[1]COMMANDE!AI229</f>
        <v>0</v>
      </c>
      <c r="CA231" s="297" t="str">
        <f t="shared" si="242"/>
        <v>0</v>
      </c>
      <c r="CB231" s="298">
        <f t="shared" si="243"/>
        <v>0</v>
      </c>
      <c r="CC231" s="299">
        <f>[1]COMMANDE!AK229</f>
        <v>0</v>
      </c>
      <c r="CD231" s="297" t="str">
        <f t="shared" si="244"/>
        <v>0</v>
      </c>
      <c r="CE231" s="300">
        <f t="shared" si="245"/>
        <v>0</v>
      </c>
      <c r="CF231" s="301">
        <f>[1]COMMANDE!AM229</f>
        <v>0</v>
      </c>
      <c r="CG231" s="297" t="str">
        <f t="shared" si="246"/>
        <v>0</v>
      </c>
      <c r="CH231" s="298">
        <f t="shared" si="247"/>
        <v>0</v>
      </c>
      <c r="CI231" s="299">
        <f>[1]COMMANDE!AO229</f>
        <v>0</v>
      </c>
      <c r="CJ231" s="297" t="str">
        <f t="shared" si="248"/>
        <v>0</v>
      </c>
      <c r="CK231" s="300">
        <f t="shared" si="249"/>
        <v>0</v>
      </c>
      <c r="CL231" s="301">
        <f>[1]COMMANDE!AQ229</f>
        <v>0</v>
      </c>
      <c r="CM231" s="297" t="str">
        <f t="shared" si="250"/>
        <v>0</v>
      </c>
      <c r="CN231" s="298">
        <f t="shared" si="251"/>
        <v>0</v>
      </c>
      <c r="CO231" s="299">
        <f>[1]COMMANDE!AS229</f>
        <v>0</v>
      </c>
      <c r="CP231" s="297" t="str">
        <f t="shared" si="252"/>
        <v>0</v>
      </c>
      <c r="CQ231" s="300">
        <f t="shared" si="253"/>
        <v>0</v>
      </c>
      <c r="CR231" s="301">
        <f>[1]COMMANDE!AU229</f>
        <v>0</v>
      </c>
      <c r="CS231" s="297" t="str">
        <f t="shared" si="254"/>
        <v>0</v>
      </c>
      <c r="CT231" s="298">
        <f t="shared" si="255"/>
        <v>0</v>
      </c>
      <c r="CU231" s="299">
        <f>[1]COMMANDE!AW229</f>
        <v>0</v>
      </c>
      <c r="CV231" s="297" t="str">
        <f t="shared" si="256"/>
        <v>0</v>
      </c>
      <c r="CW231" s="300">
        <f t="shared" si="257"/>
        <v>0</v>
      </c>
      <c r="CX231" s="301">
        <f>[1]COMMANDE!AY229</f>
        <v>0</v>
      </c>
      <c r="CY231" s="297" t="str">
        <f t="shared" si="258"/>
        <v>0</v>
      </c>
      <c r="CZ231" s="298">
        <f t="shared" si="259"/>
        <v>0</v>
      </c>
      <c r="DA231" s="299">
        <f>[1]COMMANDE!BA229</f>
        <v>0</v>
      </c>
      <c r="DB231" s="297" t="str">
        <f t="shared" si="260"/>
        <v>0</v>
      </c>
      <c r="DC231" s="302">
        <f t="shared" si="261"/>
        <v>0</v>
      </c>
      <c r="DD231" s="303"/>
      <c r="DE231" s="304"/>
    </row>
    <row r="232" spans="1:109" ht="39.950000000000003" customHeight="1" x14ac:dyDescent="0.25">
      <c r="A232" s="307">
        <f t="shared" si="140"/>
        <v>0</v>
      </c>
      <c r="B232" s="307">
        <f t="shared" si="141"/>
        <v>0</v>
      </c>
      <c r="C232" s="307">
        <f t="shared" si="142"/>
        <v>0</v>
      </c>
      <c r="D232" s="307">
        <f t="shared" si="143"/>
        <v>0</v>
      </c>
      <c r="E232" s="307">
        <f t="shared" si="144"/>
        <v>0</v>
      </c>
      <c r="F232" s="307">
        <f t="shared" si="145"/>
        <v>0</v>
      </c>
      <c r="G232" s="307">
        <f t="shared" si="146"/>
        <v>0</v>
      </c>
      <c r="H232" s="307">
        <f t="shared" si="147"/>
        <v>0</v>
      </c>
      <c r="I232" s="307">
        <f t="shared" si="148"/>
        <v>0</v>
      </c>
      <c r="J232" s="307">
        <f t="shared" si="149"/>
        <v>0</v>
      </c>
      <c r="K232" s="307">
        <f t="shared" si="150"/>
        <v>0</v>
      </c>
      <c r="L232" s="307">
        <f t="shared" si="151"/>
        <v>0</v>
      </c>
      <c r="M232" s="307">
        <f t="shared" si="152"/>
        <v>0</v>
      </c>
      <c r="N232" s="307">
        <f t="shared" si="153"/>
        <v>0</v>
      </c>
      <c r="O232" s="307">
        <f t="shared" si="154"/>
        <v>0</v>
      </c>
      <c r="P232" s="284">
        <f t="shared" si="209"/>
        <v>0</v>
      </c>
      <c r="Q232" s="284">
        <f t="shared" si="210"/>
        <v>0</v>
      </c>
      <c r="R232" s="284">
        <f t="shared" si="211"/>
        <v>0</v>
      </c>
      <c r="S232" s="284">
        <f t="shared" si="212"/>
        <v>0</v>
      </c>
      <c r="T232" s="284">
        <f t="shared" si="213"/>
        <v>0</v>
      </c>
      <c r="U232" s="285">
        <f t="shared" si="214"/>
        <v>0</v>
      </c>
      <c r="V232" s="286">
        <f>[1]BDD!A222</f>
        <v>3973</v>
      </c>
      <c r="W232" s="287" t="str">
        <f>[1]BDD!B222</f>
        <v>Pomme Granny Smith</v>
      </c>
      <c r="X232" s="288" t="str">
        <f>IF([1]BDD!F222=0, "", [1]BDD!F222)</f>
        <v/>
      </c>
      <c r="Y232" s="214">
        <f>ROUND([1]BDD!G222+FDP_CMD_KG, 2)</f>
        <v>2.91</v>
      </c>
      <c r="Z232" s="214">
        <f>ROUND([1]BDD!G222+FDP_FACT_KG, 2)</f>
        <v>2.91</v>
      </c>
      <c r="AA232" s="215" t="str">
        <f>[1]BDD!H222</f>
        <v>kg</v>
      </c>
      <c r="AB232" s="225">
        <f>IF(NOT(ISBLANK([1]BDD!I222)), ROUND(SUM(([1]BDD!G222*reduc1),FDP_CMD_KG), 2), "")</f>
        <v>2.71</v>
      </c>
      <c r="AC232" s="225">
        <f>IF(NOT(ISBLANK([1]BDD!J222)), ROUND(SUM(([1]BDD!G222*reduc2),FDP_CMD_KG), 2), "")</f>
        <v>2.5099999999999998</v>
      </c>
      <c r="AD232" s="225">
        <f>IF(NOT(ISBLANK([1]BDD!K222)), ROUND(SUM(([1]BDD!G222*reduc3),FDP_CMD_KG), 2), "")</f>
        <v>2.2999999999999998</v>
      </c>
      <c r="AE232" s="225">
        <f>IF(NOT(ISBLANK([1]BDD!I222)), ROUND(SUM(([1]BDD!G222*reduc1),FDP_FACT_KG), 2), "")</f>
        <v>2.7</v>
      </c>
      <c r="AF232" s="225">
        <f>IF(NOT(ISBLANK([1]BDD!J222)), ROUND(SUM(([1]BDD!G222*reduc2),FDP_FACT_KG), 2), "")</f>
        <v>2.5</v>
      </c>
      <c r="AG232" s="225">
        <f>IF(NOT(ISBLANK([1]BDD!K222)), ROUND(SUM(([1]BDD!G222*reduc3),FDP_FACT_KG), 2), "")</f>
        <v>2.29</v>
      </c>
      <c r="AH232" s="289" t="str">
        <f>[1]BDD!C222</f>
        <v>Grenade</v>
      </c>
      <c r="AI232" s="290">
        <f t="shared" si="215"/>
        <v>0</v>
      </c>
      <c r="AJ232" s="216">
        <f t="shared" si="216"/>
        <v>2.2999999999999998</v>
      </c>
      <c r="AK232" s="291">
        <f t="shared" si="217"/>
        <v>0</v>
      </c>
      <c r="AL232" s="429"/>
      <c r="AM232" s="292"/>
      <c r="AN232" s="216">
        <f t="shared" si="218"/>
        <v>2.91</v>
      </c>
      <c r="AO232" s="293">
        <f t="shared" si="219"/>
        <v>0</v>
      </c>
      <c r="AP232" s="294"/>
      <c r="AQ232" s="294"/>
      <c r="AR232" s="429"/>
      <c r="AS232" s="295">
        <f t="shared" si="220"/>
        <v>0</v>
      </c>
      <c r="AT232" s="216">
        <f t="shared" si="221"/>
        <v>2.91</v>
      </c>
      <c r="AU232" s="291">
        <f t="shared" si="208"/>
        <v>0</v>
      </c>
      <c r="AV232" s="296">
        <f>[1]COMMANDE!O230</f>
        <v>0</v>
      </c>
      <c r="AW232" s="297" t="str">
        <f t="shared" si="222"/>
        <v>0</v>
      </c>
      <c r="AX232" s="298">
        <f t="shared" si="223"/>
        <v>0</v>
      </c>
      <c r="AY232" s="299">
        <f>[1]COMMANDE!Q230</f>
        <v>0</v>
      </c>
      <c r="AZ232" s="297" t="str">
        <f t="shared" si="224"/>
        <v>0</v>
      </c>
      <c r="BA232" s="300">
        <f t="shared" si="225"/>
        <v>0</v>
      </c>
      <c r="BB232" s="301">
        <f>[1]COMMANDE!S230</f>
        <v>0</v>
      </c>
      <c r="BC232" s="297" t="str">
        <f t="shared" si="226"/>
        <v>0</v>
      </c>
      <c r="BD232" s="298">
        <f t="shared" si="227"/>
        <v>0</v>
      </c>
      <c r="BE232" s="299">
        <f>[1]COMMANDE!U230</f>
        <v>0</v>
      </c>
      <c r="BF232" s="297" t="str">
        <f t="shared" si="228"/>
        <v>0</v>
      </c>
      <c r="BG232" s="300">
        <f t="shared" si="229"/>
        <v>0</v>
      </c>
      <c r="BH232" s="301">
        <f>[1]COMMANDE!W230</f>
        <v>0</v>
      </c>
      <c r="BI232" s="297" t="str">
        <f t="shared" si="230"/>
        <v>0</v>
      </c>
      <c r="BJ232" s="298">
        <f t="shared" si="231"/>
        <v>0</v>
      </c>
      <c r="BK232" s="299">
        <f>[1]COMMANDE!Y230</f>
        <v>0</v>
      </c>
      <c r="BL232" s="297" t="str">
        <f t="shared" si="232"/>
        <v>0</v>
      </c>
      <c r="BM232" s="300">
        <f t="shared" si="233"/>
        <v>0</v>
      </c>
      <c r="BN232" s="301">
        <f>[1]COMMANDE!AA230</f>
        <v>0</v>
      </c>
      <c r="BO232" s="297" t="str">
        <f t="shared" si="234"/>
        <v>0</v>
      </c>
      <c r="BP232" s="298">
        <f t="shared" si="235"/>
        <v>0</v>
      </c>
      <c r="BQ232" s="299">
        <f>[1]COMMANDE!AC230</f>
        <v>0</v>
      </c>
      <c r="BR232" s="297" t="str">
        <f t="shared" si="236"/>
        <v>0</v>
      </c>
      <c r="BS232" s="300">
        <f t="shared" si="237"/>
        <v>0</v>
      </c>
      <c r="BT232" s="301">
        <f>[1]COMMANDE!AE230</f>
        <v>0</v>
      </c>
      <c r="BU232" s="297" t="str">
        <f t="shared" si="238"/>
        <v>0</v>
      </c>
      <c r="BV232" s="298">
        <f t="shared" si="239"/>
        <v>0</v>
      </c>
      <c r="BW232" s="299">
        <f>[1]COMMANDE!AG230</f>
        <v>0</v>
      </c>
      <c r="BX232" s="297" t="str">
        <f t="shared" si="240"/>
        <v>0</v>
      </c>
      <c r="BY232" s="300">
        <f t="shared" si="241"/>
        <v>0</v>
      </c>
      <c r="BZ232" s="301">
        <f>[1]COMMANDE!AI230</f>
        <v>0</v>
      </c>
      <c r="CA232" s="297" t="str">
        <f t="shared" si="242"/>
        <v>0</v>
      </c>
      <c r="CB232" s="298">
        <f t="shared" si="243"/>
        <v>0</v>
      </c>
      <c r="CC232" s="299">
        <f>[1]COMMANDE!AK230</f>
        <v>0</v>
      </c>
      <c r="CD232" s="297" t="str">
        <f t="shared" si="244"/>
        <v>0</v>
      </c>
      <c r="CE232" s="300">
        <f t="shared" si="245"/>
        <v>0</v>
      </c>
      <c r="CF232" s="301">
        <f>[1]COMMANDE!AM230</f>
        <v>0</v>
      </c>
      <c r="CG232" s="297" t="str">
        <f t="shared" si="246"/>
        <v>0</v>
      </c>
      <c r="CH232" s="298">
        <f t="shared" si="247"/>
        <v>0</v>
      </c>
      <c r="CI232" s="299">
        <f>[1]COMMANDE!AO230</f>
        <v>0</v>
      </c>
      <c r="CJ232" s="297" t="str">
        <f t="shared" si="248"/>
        <v>0</v>
      </c>
      <c r="CK232" s="300">
        <f t="shared" si="249"/>
        <v>0</v>
      </c>
      <c r="CL232" s="301">
        <f>[1]COMMANDE!AQ230</f>
        <v>0</v>
      </c>
      <c r="CM232" s="297" t="str">
        <f t="shared" si="250"/>
        <v>0</v>
      </c>
      <c r="CN232" s="298">
        <f t="shared" si="251"/>
        <v>0</v>
      </c>
      <c r="CO232" s="299">
        <f>[1]COMMANDE!AS230</f>
        <v>0</v>
      </c>
      <c r="CP232" s="297" t="str">
        <f t="shared" si="252"/>
        <v>0</v>
      </c>
      <c r="CQ232" s="300">
        <f t="shared" si="253"/>
        <v>0</v>
      </c>
      <c r="CR232" s="301">
        <f>[1]COMMANDE!AU230</f>
        <v>0</v>
      </c>
      <c r="CS232" s="297" t="str">
        <f t="shared" si="254"/>
        <v>0</v>
      </c>
      <c r="CT232" s="298">
        <f t="shared" si="255"/>
        <v>0</v>
      </c>
      <c r="CU232" s="299">
        <f>[1]COMMANDE!AW230</f>
        <v>0</v>
      </c>
      <c r="CV232" s="297" t="str">
        <f t="shared" si="256"/>
        <v>0</v>
      </c>
      <c r="CW232" s="300">
        <f t="shared" si="257"/>
        <v>0</v>
      </c>
      <c r="CX232" s="301">
        <f>[1]COMMANDE!AY230</f>
        <v>0</v>
      </c>
      <c r="CY232" s="297" t="str">
        <f t="shared" si="258"/>
        <v>0</v>
      </c>
      <c r="CZ232" s="298">
        <f t="shared" si="259"/>
        <v>0</v>
      </c>
      <c r="DA232" s="299">
        <f>[1]COMMANDE!BA230</f>
        <v>0</v>
      </c>
      <c r="DB232" s="297" t="str">
        <f t="shared" si="260"/>
        <v>0</v>
      </c>
      <c r="DC232" s="302">
        <f t="shared" si="261"/>
        <v>0</v>
      </c>
      <c r="DD232" s="303"/>
      <c r="DE232" s="304"/>
    </row>
    <row r="233" spans="1:109" ht="39.950000000000003" customHeight="1" x14ac:dyDescent="0.25">
      <c r="A233" s="284">
        <f t="shared" si="140"/>
        <v>0</v>
      </c>
      <c r="B233" s="284">
        <f t="shared" si="141"/>
        <v>0</v>
      </c>
      <c r="C233" s="284">
        <f t="shared" si="142"/>
        <v>0</v>
      </c>
      <c r="D233" s="284">
        <f t="shared" si="143"/>
        <v>0</v>
      </c>
      <c r="E233" s="284">
        <f t="shared" si="144"/>
        <v>0</v>
      </c>
      <c r="F233" s="284">
        <f t="shared" si="145"/>
        <v>0</v>
      </c>
      <c r="G233" s="284">
        <f t="shared" si="146"/>
        <v>0</v>
      </c>
      <c r="H233" s="284">
        <f t="shared" si="147"/>
        <v>0</v>
      </c>
      <c r="I233" s="284">
        <f t="shared" si="148"/>
        <v>0</v>
      </c>
      <c r="J233" s="284">
        <f t="shared" si="149"/>
        <v>0</v>
      </c>
      <c r="K233" s="284">
        <f t="shared" si="150"/>
        <v>0</v>
      </c>
      <c r="L233" s="284">
        <f t="shared" si="151"/>
        <v>0</v>
      </c>
      <c r="M233" s="284">
        <f t="shared" si="152"/>
        <v>0</v>
      </c>
      <c r="N233" s="284">
        <f t="shared" si="153"/>
        <v>0</v>
      </c>
      <c r="O233" s="284">
        <f t="shared" si="154"/>
        <v>0</v>
      </c>
      <c r="P233" s="284">
        <f t="shared" si="209"/>
        <v>0</v>
      </c>
      <c r="Q233" s="284">
        <f t="shared" si="210"/>
        <v>0</v>
      </c>
      <c r="R233" s="284">
        <f t="shared" si="211"/>
        <v>0</v>
      </c>
      <c r="S233" s="284">
        <f t="shared" si="212"/>
        <v>0</v>
      </c>
      <c r="T233" s="284">
        <f t="shared" si="213"/>
        <v>0</v>
      </c>
      <c r="U233" s="285">
        <f t="shared" si="214"/>
        <v>0</v>
      </c>
      <c r="V233" s="286">
        <f>[1]BDD!A223</f>
        <v>3706</v>
      </c>
      <c r="W233" s="287" t="str">
        <f>[1]BDD!B223</f>
        <v>Pomme Reineta</v>
      </c>
      <c r="X233" s="288" t="str">
        <f>IF([1]BDD!F223=0, "", [1]BDD!F223)</f>
        <v/>
      </c>
      <c r="Y233" s="214">
        <f>ROUND([1]BDD!G223+FDP_CMD_KG, 2)</f>
        <v>4.95</v>
      </c>
      <c r="Z233" s="214">
        <f>ROUND([1]BDD!G223+FDP_FACT_KG, 2)</f>
        <v>4.95</v>
      </c>
      <c r="AA233" s="215" t="str">
        <f>[1]BDD!H223</f>
        <v>kg</v>
      </c>
      <c r="AB233" s="225">
        <f>IF(NOT(ISBLANK([1]BDD!I223)), ROUND(SUM(([1]BDD!G223*reduc1),FDP_CMD_KG), 2), "")</f>
        <v>4.55</v>
      </c>
      <c r="AC233" s="225" t="str">
        <f>IF(NOT(ISBLANK([1]BDD!J223)), ROUND(SUM(([1]BDD!G223*reduc2),FDP_CMD_KG), 2), "")</f>
        <v/>
      </c>
      <c r="AD233" s="225" t="str">
        <f>IF(NOT(ISBLANK([1]BDD!K223)), ROUND(SUM(([1]BDD!G223*reduc3),FDP_CMD_KG), 2), "")</f>
        <v/>
      </c>
      <c r="AE233" s="225">
        <f>IF(NOT(ISBLANK([1]BDD!I223)), ROUND(SUM(([1]BDD!G223*reduc1),FDP_FACT_KG), 2), "")</f>
        <v>4.54</v>
      </c>
      <c r="AF233" s="225" t="str">
        <f>IF(NOT(ISBLANK([1]BDD!J223)), ROUND(SUM(([1]BDD!G223*reduc2),FDP_FACT_KG), 2), "")</f>
        <v/>
      </c>
      <c r="AG233" s="225" t="str">
        <f>IF(NOT(ISBLANK([1]BDD!K223)), ROUND(SUM(([1]BDD!G223*reduc3),FDP_FACT_KG), 2), "")</f>
        <v/>
      </c>
      <c r="AH233" s="289" t="str">
        <f>[1]BDD!C223</f>
        <v>National</v>
      </c>
      <c r="AI233" s="290">
        <f t="shared" si="215"/>
        <v>0</v>
      </c>
      <c r="AJ233" s="216">
        <f t="shared" si="216"/>
        <v>4.55</v>
      </c>
      <c r="AK233" s="291">
        <f t="shared" si="217"/>
        <v>0</v>
      </c>
      <c r="AL233" s="429"/>
      <c r="AM233" s="292"/>
      <c r="AN233" s="216">
        <f t="shared" si="218"/>
        <v>4.95</v>
      </c>
      <c r="AO233" s="293">
        <f t="shared" si="219"/>
        <v>0</v>
      </c>
      <c r="AP233" s="294"/>
      <c r="AQ233" s="294"/>
      <c r="AR233" s="429"/>
      <c r="AS233" s="295">
        <f t="shared" si="220"/>
        <v>0</v>
      </c>
      <c r="AT233" s="216">
        <f t="shared" si="221"/>
        <v>4.95</v>
      </c>
      <c r="AU233" s="291">
        <f t="shared" si="208"/>
        <v>0</v>
      </c>
      <c r="AV233" s="296">
        <f>[1]COMMANDE!O231</f>
        <v>0</v>
      </c>
      <c r="AW233" s="297" t="str">
        <f t="shared" si="222"/>
        <v>0</v>
      </c>
      <c r="AX233" s="298">
        <f t="shared" si="223"/>
        <v>0</v>
      </c>
      <c r="AY233" s="299">
        <f>[1]COMMANDE!Q231</f>
        <v>0</v>
      </c>
      <c r="AZ233" s="297" t="str">
        <f t="shared" si="224"/>
        <v>0</v>
      </c>
      <c r="BA233" s="300">
        <f t="shared" si="225"/>
        <v>0</v>
      </c>
      <c r="BB233" s="301">
        <f>[1]COMMANDE!S231</f>
        <v>0</v>
      </c>
      <c r="BC233" s="297" t="str">
        <f t="shared" si="226"/>
        <v>0</v>
      </c>
      <c r="BD233" s="298">
        <f t="shared" si="227"/>
        <v>0</v>
      </c>
      <c r="BE233" s="299">
        <f>[1]COMMANDE!U231</f>
        <v>0</v>
      </c>
      <c r="BF233" s="297" t="str">
        <f t="shared" si="228"/>
        <v>0</v>
      </c>
      <c r="BG233" s="300">
        <f t="shared" si="229"/>
        <v>0</v>
      </c>
      <c r="BH233" s="301">
        <f>[1]COMMANDE!W231</f>
        <v>0</v>
      </c>
      <c r="BI233" s="297" t="str">
        <f t="shared" si="230"/>
        <v>0</v>
      </c>
      <c r="BJ233" s="298">
        <f t="shared" si="231"/>
        <v>0</v>
      </c>
      <c r="BK233" s="299">
        <f>[1]COMMANDE!Y231</f>
        <v>0</v>
      </c>
      <c r="BL233" s="297" t="str">
        <f t="shared" si="232"/>
        <v>0</v>
      </c>
      <c r="BM233" s="300">
        <f t="shared" si="233"/>
        <v>0</v>
      </c>
      <c r="BN233" s="301">
        <f>[1]COMMANDE!AA231</f>
        <v>0</v>
      </c>
      <c r="BO233" s="297" t="str">
        <f t="shared" si="234"/>
        <v>0</v>
      </c>
      <c r="BP233" s="298">
        <f t="shared" si="235"/>
        <v>0</v>
      </c>
      <c r="BQ233" s="299">
        <f>[1]COMMANDE!AC231</f>
        <v>0</v>
      </c>
      <c r="BR233" s="297" t="str">
        <f t="shared" si="236"/>
        <v>0</v>
      </c>
      <c r="BS233" s="300">
        <f t="shared" si="237"/>
        <v>0</v>
      </c>
      <c r="BT233" s="301">
        <f>[1]COMMANDE!AE231</f>
        <v>0</v>
      </c>
      <c r="BU233" s="297" t="str">
        <f t="shared" si="238"/>
        <v>0</v>
      </c>
      <c r="BV233" s="298">
        <f t="shared" si="239"/>
        <v>0</v>
      </c>
      <c r="BW233" s="299">
        <f>[1]COMMANDE!AG231</f>
        <v>0</v>
      </c>
      <c r="BX233" s="297" t="str">
        <f t="shared" si="240"/>
        <v>0</v>
      </c>
      <c r="BY233" s="300">
        <f t="shared" si="241"/>
        <v>0</v>
      </c>
      <c r="BZ233" s="301">
        <f>[1]COMMANDE!AI231</f>
        <v>0</v>
      </c>
      <c r="CA233" s="297" t="str">
        <f t="shared" si="242"/>
        <v>0</v>
      </c>
      <c r="CB233" s="298">
        <f t="shared" si="243"/>
        <v>0</v>
      </c>
      <c r="CC233" s="299">
        <f>[1]COMMANDE!AK231</f>
        <v>0</v>
      </c>
      <c r="CD233" s="297" t="str">
        <f t="shared" si="244"/>
        <v>0</v>
      </c>
      <c r="CE233" s="300">
        <f t="shared" si="245"/>
        <v>0</v>
      </c>
      <c r="CF233" s="301">
        <f>[1]COMMANDE!AM231</f>
        <v>0</v>
      </c>
      <c r="CG233" s="297" t="str">
        <f t="shared" si="246"/>
        <v>0</v>
      </c>
      <c r="CH233" s="298">
        <f t="shared" si="247"/>
        <v>0</v>
      </c>
      <c r="CI233" s="299">
        <f>[1]COMMANDE!AO231</f>
        <v>0</v>
      </c>
      <c r="CJ233" s="297" t="str">
        <f t="shared" si="248"/>
        <v>0</v>
      </c>
      <c r="CK233" s="300">
        <f t="shared" si="249"/>
        <v>0</v>
      </c>
      <c r="CL233" s="301">
        <f>[1]COMMANDE!AQ231</f>
        <v>0</v>
      </c>
      <c r="CM233" s="297" t="str">
        <f t="shared" si="250"/>
        <v>0</v>
      </c>
      <c r="CN233" s="298">
        <f t="shared" si="251"/>
        <v>0</v>
      </c>
      <c r="CO233" s="299">
        <f>[1]COMMANDE!AS231</f>
        <v>0</v>
      </c>
      <c r="CP233" s="297" t="str">
        <f t="shared" si="252"/>
        <v>0</v>
      </c>
      <c r="CQ233" s="300">
        <f t="shared" si="253"/>
        <v>0</v>
      </c>
      <c r="CR233" s="301">
        <f>[1]COMMANDE!AU231</f>
        <v>0</v>
      </c>
      <c r="CS233" s="297" t="str">
        <f t="shared" si="254"/>
        <v>0</v>
      </c>
      <c r="CT233" s="298">
        <f t="shared" si="255"/>
        <v>0</v>
      </c>
      <c r="CU233" s="299">
        <f>[1]COMMANDE!AW231</f>
        <v>0</v>
      </c>
      <c r="CV233" s="297" t="str">
        <f t="shared" si="256"/>
        <v>0</v>
      </c>
      <c r="CW233" s="300">
        <f t="shared" si="257"/>
        <v>0</v>
      </c>
      <c r="CX233" s="301">
        <f>[1]COMMANDE!AY231</f>
        <v>0</v>
      </c>
      <c r="CY233" s="297" t="str">
        <f t="shared" si="258"/>
        <v>0</v>
      </c>
      <c r="CZ233" s="298">
        <f t="shared" si="259"/>
        <v>0</v>
      </c>
      <c r="DA233" s="299">
        <f>[1]COMMANDE!BA231</f>
        <v>0</v>
      </c>
      <c r="DB233" s="297" t="str">
        <f t="shared" si="260"/>
        <v>0</v>
      </c>
      <c r="DC233" s="302">
        <f t="shared" si="261"/>
        <v>0</v>
      </c>
      <c r="DD233" s="303"/>
      <c r="DE233" s="304"/>
    </row>
    <row r="234" spans="1:109" ht="39.950000000000003" customHeight="1" x14ac:dyDescent="0.25">
      <c r="A234" s="284">
        <f t="shared" si="140"/>
        <v>1</v>
      </c>
      <c r="B234" s="284">
        <f t="shared" si="141"/>
        <v>0</v>
      </c>
      <c r="C234" s="284">
        <f t="shared" si="142"/>
        <v>0</v>
      </c>
      <c r="D234" s="284">
        <f t="shared" si="143"/>
        <v>0</v>
      </c>
      <c r="E234" s="284">
        <f t="shared" si="144"/>
        <v>0</v>
      </c>
      <c r="F234" s="284">
        <f t="shared" si="145"/>
        <v>0</v>
      </c>
      <c r="G234" s="284">
        <f t="shared" si="146"/>
        <v>0</v>
      </c>
      <c r="H234" s="284">
        <f t="shared" si="147"/>
        <v>0</v>
      </c>
      <c r="I234" s="284">
        <f t="shared" si="148"/>
        <v>0</v>
      </c>
      <c r="J234" s="284">
        <f t="shared" si="149"/>
        <v>0</v>
      </c>
      <c r="K234" s="284">
        <f t="shared" si="150"/>
        <v>0</v>
      </c>
      <c r="L234" s="284">
        <f t="shared" si="151"/>
        <v>0</v>
      </c>
      <c r="M234" s="284">
        <f t="shared" si="152"/>
        <v>0</v>
      </c>
      <c r="N234" s="284">
        <f t="shared" si="153"/>
        <v>0</v>
      </c>
      <c r="O234" s="284">
        <f t="shared" si="154"/>
        <v>0</v>
      </c>
      <c r="P234" s="284">
        <f t="shared" si="209"/>
        <v>0</v>
      </c>
      <c r="Q234" s="284">
        <f t="shared" si="210"/>
        <v>0</v>
      </c>
      <c r="R234" s="284">
        <f t="shared" si="211"/>
        <v>0</v>
      </c>
      <c r="S234" s="284">
        <f t="shared" si="212"/>
        <v>0</v>
      </c>
      <c r="T234" s="284">
        <f t="shared" si="213"/>
        <v>0</v>
      </c>
      <c r="U234" s="285">
        <f t="shared" si="214"/>
        <v>1</v>
      </c>
      <c r="V234" s="286">
        <f>[1]BDD!A224</f>
        <v>3145</v>
      </c>
      <c r="W234" s="287" t="str">
        <f>[1]BDD!B224</f>
        <v>Pomme rouge Starky</v>
      </c>
      <c r="X234" s="288" t="str">
        <f>IF([1]BDD!F224=0, "", [1]BDD!F224)</f>
        <v>❤️</v>
      </c>
      <c r="Y234" s="214">
        <f>ROUND([1]BDD!G224+FDP_CMD_KG, 2)</f>
        <v>3.05</v>
      </c>
      <c r="Z234" s="214">
        <f>ROUND([1]BDD!G224+FDP_FACT_KG, 2)</f>
        <v>3.05</v>
      </c>
      <c r="AA234" s="215" t="str">
        <f>[1]BDD!H224</f>
        <v>kg</v>
      </c>
      <c r="AB234" s="225">
        <f>IF(NOT(ISBLANK([1]BDD!I224)), ROUND(SUM(([1]BDD!G224*reduc1),FDP_CMD_KG), 2), "")</f>
        <v>2.84</v>
      </c>
      <c r="AC234" s="225">
        <f>IF(NOT(ISBLANK([1]BDD!J224)), ROUND(SUM(([1]BDD!G224*reduc2),FDP_CMD_KG), 2), "")</f>
        <v>2.62</v>
      </c>
      <c r="AD234" s="225">
        <f>IF(NOT(ISBLANK([1]BDD!K224)), ROUND(SUM(([1]BDD!G224*reduc3),FDP_CMD_KG), 2), "")</f>
        <v>2.4</v>
      </c>
      <c r="AE234" s="225">
        <f>IF(NOT(ISBLANK([1]BDD!I224)), ROUND(SUM(([1]BDD!G224*reduc1),FDP_FACT_KG), 2), "")</f>
        <v>2.83</v>
      </c>
      <c r="AF234" s="225">
        <f>IF(NOT(ISBLANK([1]BDD!J224)), ROUND(SUM(([1]BDD!G224*reduc2),FDP_FACT_KG), 2), "")</f>
        <v>2.61</v>
      </c>
      <c r="AG234" s="225">
        <f>IF(NOT(ISBLANK([1]BDD!K224)), ROUND(SUM(([1]BDD!G224*reduc3),FDP_FACT_KG), 2), "")</f>
        <v>2.39</v>
      </c>
      <c r="AH234" s="289" t="str">
        <f>[1]BDD!C224</f>
        <v>Grenade</v>
      </c>
      <c r="AI234" s="290">
        <f t="shared" si="215"/>
        <v>5</v>
      </c>
      <c r="AJ234" s="216">
        <f t="shared" si="216"/>
        <v>2.4</v>
      </c>
      <c r="AK234" s="291">
        <f t="shared" si="217"/>
        <v>12</v>
      </c>
      <c r="AL234" s="429"/>
      <c r="AM234" s="292">
        <v>5</v>
      </c>
      <c r="AN234" s="216">
        <f t="shared" si="218"/>
        <v>3.05</v>
      </c>
      <c r="AO234" s="293">
        <f t="shared" si="219"/>
        <v>15.25</v>
      </c>
      <c r="AP234" s="294"/>
      <c r="AQ234" s="294"/>
      <c r="AR234" s="429"/>
      <c r="AS234" s="295">
        <f t="shared" si="220"/>
        <v>5</v>
      </c>
      <c r="AT234" s="216">
        <f t="shared" si="221"/>
        <v>3.05</v>
      </c>
      <c r="AU234" s="291">
        <f t="shared" si="208"/>
        <v>15.25</v>
      </c>
      <c r="AV234" s="296">
        <f>[1]COMMANDE!O232</f>
        <v>5</v>
      </c>
      <c r="AW234" s="297">
        <f t="shared" si="222"/>
        <v>5</v>
      </c>
      <c r="AX234" s="298">
        <f t="shared" si="223"/>
        <v>15.25</v>
      </c>
      <c r="AY234" s="299">
        <f>[1]COMMANDE!Q232</f>
        <v>0</v>
      </c>
      <c r="AZ234" s="297" t="str">
        <f t="shared" si="224"/>
        <v>0</v>
      </c>
      <c r="BA234" s="300">
        <f t="shared" si="225"/>
        <v>0</v>
      </c>
      <c r="BB234" s="301">
        <f>[1]COMMANDE!S232</f>
        <v>0</v>
      </c>
      <c r="BC234" s="297" t="str">
        <f t="shared" si="226"/>
        <v>0</v>
      </c>
      <c r="BD234" s="298">
        <f t="shared" si="227"/>
        <v>0</v>
      </c>
      <c r="BE234" s="299">
        <f>[1]COMMANDE!U232</f>
        <v>0</v>
      </c>
      <c r="BF234" s="297" t="str">
        <f t="shared" si="228"/>
        <v>0</v>
      </c>
      <c r="BG234" s="300">
        <f t="shared" si="229"/>
        <v>0</v>
      </c>
      <c r="BH234" s="301">
        <f>[1]COMMANDE!W232</f>
        <v>0</v>
      </c>
      <c r="BI234" s="297" t="str">
        <f t="shared" si="230"/>
        <v>0</v>
      </c>
      <c r="BJ234" s="298">
        <f t="shared" si="231"/>
        <v>0</v>
      </c>
      <c r="BK234" s="299">
        <f>[1]COMMANDE!Y232</f>
        <v>0</v>
      </c>
      <c r="BL234" s="297" t="str">
        <f t="shared" si="232"/>
        <v>0</v>
      </c>
      <c r="BM234" s="300">
        <f t="shared" si="233"/>
        <v>0</v>
      </c>
      <c r="BN234" s="301">
        <f>[1]COMMANDE!AA232</f>
        <v>0</v>
      </c>
      <c r="BO234" s="297" t="str">
        <f t="shared" si="234"/>
        <v>0</v>
      </c>
      <c r="BP234" s="298">
        <f t="shared" si="235"/>
        <v>0</v>
      </c>
      <c r="BQ234" s="299">
        <f>[1]COMMANDE!AC232</f>
        <v>0</v>
      </c>
      <c r="BR234" s="297" t="str">
        <f t="shared" si="236"/>
        <v>0</v>
      </c>
      <c r="BS234" s="300">
        <f t="shared" si="237"/>
        <v>0</v>
      </c>
      <c r="BT234" s="301">
        <f>[1]COMMANDE!AE232</f>
        <v>0</v>
      </c>
      <c r="BU234" s="297" t="str">
        <f t="shared" si="238"/>
        <v>0</v>
      </c>
      <c r="BV234" s="298">
        <f t="shared" si="239"/>
        <v>0</v>
      </c>
      <c r="BW234" s="299">
        <f>[1]COMMANDE!AG232</f>
        <v>0</v>
      </c>
      <c r="BX234" s="297" t="str">
        <f t="shared" si="240"/>
        <v>0</v>
      </c>
      <c r="BY234" s="300">
        <f t="shared" si="241"/>
        <v>0</v>
      </c>
      <c r="BZ234" s="301">
        <f>[1]COMMANDE!AI232</f>
        <v>0</v>
      </c>
      <c r="CA234" s="297" t="str">
        <f t="shared" si="242"/>
        <v>0</v>
      </c>
      <c r="CB234" s="298">
        <f t="shared" si="243"/>
        <v>0</v>
      </c>
      <c r="CC234" s="299">
        <f>[1]COMMANDE!AK232</f>
        <v>0</v>
      </c>
      <c r="CD234" s="297" t="str">
        <f t="shared" si="244"/>
        <v>0</v>
      </c>
      <c r="CE234" s="300">
        <f t="shared" si="245"/>
        <v>0</v>
      </c>
      <c r="CF234" s="301">
        <f>[1]COMMANDE!AM232</f>
        <v>0</v>
      </c>
      <c r="CG234" s="297" t="str">
        <f t="shared" si="246"/>
        <v>0</v>
      </c>
      <c r="CH234" s="298">
        <f t="shared" si="247"/>
        <v>0</v>
      </c>
      <c r="CI234" s="299">
        <f>[1]COMMANDE!AO232</f>
        <v>0</v>
      </c>
      <c r="CJ234" s="297" t="str">
        <f t="shared" si="248"/>
        <v>0</v>
      </c>
      <c r="CK234" s="300">
        <f t="shared" si="249"/>
        <v>0</v>
      </c>
      <c r="CL234" s="301">
        <f>[1]COMMANDE!AQ232</f>
        <v>0</v>
      </c>
      <c r="CM234" s="297" t="str">
        <f t="shared" si="250"/>
        <v>0</v>
      </c>
      <c r="CN234" s="298">
        <f t="shared" si="251"/>
        <v>0</v>
      </c>
      <c r="CO234" s="299">
        <f>[1]COMMANDE!AS232</f>
        <v>0</v>
      </c>
      <c r="CP234" s="297" t="str">
        <f t="shared" si="252"/>
        <v>0</v>
      </c>
      <c r="CQ234" s="300">
        <f t="shared" si="253"/>
        <v>0</v>
      </c>
      <c r="CR234" s="301">
        <f>[1]COMMANDE!AU232</f>
        <v>0</v>
      </c>
      <c r="CS234" s="297" t="str">
        <f t="shared" si="254"/>
        <v>0</v>
      </c>
      <c r="CT234" s="298">
        <f t="shared" si="255"/>
        <v>0</v>
      </c>
      <c r="CU234" s="299">
        <f>[1]COMMANDE!AW232</f>
        <v>0</v>
      </c>
      <c r="CV234" s="297" t="str">
        <f t="shared" si="256"/>
        <v>0</v>
      </c>
      <c r="CW234" s="300">
        <f t="shared" si="257"/>
        <v>0</v>
      </c>
      <c r="CX234" s="301">
        <f>[1]COMMANDE!AY232</f>
        <v>0</v>
      </c>
      <c r="CY234" s="297" t="str">
        <f t="shared" si="258"/>
        <v>0</v>
      </c>
      <c r="CZ234" s="298">
        <f t="shared" si="259"/>
        <v>0</v>
      </c>
      <c r="DA234" s="299">
        <f>[1]COMMANDE!BA232</f>
        <v>0</v>
      </c>
      <c r="DB234" s="297" t="str">
        <f t="shared" si="260"/>
        <v>0</v>
      </c>
      <c r="DC234" s="302">
        <f t="shared" si="261"/>
        <v>0</v>
      </c>
      <c r="DD234" s="303"/>
      <c r="DE234" s="304"/>
    </row>
    <row r="235" spans="1:109" ht="39.950000000000003" customHeight="1" x14ac:dyDescent="0.25">
      <c r="A235" s="284">
        <f t="shared" si="140"/>
        <v>0</v>
      </c>
      <c r="B235" s="284">
        <f t="shared" si="141"/>
        <v>0</v>
      </c>
      <c r="C235" s="284">
        <f t="shared" si="142"/>
        <v>0</v>
      </c>
      <c r="D235" s="284">
        <f t="shared" si="143"/>
        <v>0</v>
      </c>
      <c r="E235" s="284">
        <f t="shared" si="144"/>
        <v>0</v>
      </c>
      <c r="F235" s="284">
        <f t="shared" si="145"/>
        <v>0</v>
      </c>
      <c r="G235" s="284">
        <f t="shared" si="146"/>
        <v>0</v>
      </c>
      <c r="H235" s="284">
        <f t="shared" si="147"/>
        <v>0</v>
      </c>
      <c r="I235" s="284">
        <f t="shared" si="148"/>
        <v>0</v>
      </c>
      <c r="J235" s="284">
        <f t="shared" si="149"/>
        <v>0</v>
      </c>
      <c r="K235" s="284">
        <f t="shared" si="150"/>
        <v>0</v>
      </c>
      <c r="L235" s="284">
        <f t="shared" si="151"/>
        <v>0</v>
      </c>
      <c r="M235" s="284">
        <f t="shared" si="152"/>
        <v>0</v>
      </c>
      <c r="N235" s="284">
        <f t="shared" si="153"/>
        <v>0</v>
      </c>
      <c r="O235" s="284">
        <f t="shared" si="154"/>
        <v>0</v>
      </c>
      <c r="P235" s="284">
        <f t="shared" si="209"/>
        <v>0</v>
      </c>
      <c r="Q235" s="284">
        <f t="shared" si="210"/>
        <v>0</v>
      </c>
      <c r="R235" s="284">
        <f t="shared" si="211"/>
        <v>0</v>
      </c>
      <c r="S235" s="284">
        <f t="shared" si="212"/>
        <v>0</v>
      </c>
      <c r="T235" s="284">
        <f t="shared" si="213"/>
        <v>0</v>
      </c>
      <c r="U235" s="285">
        <f t="shared" si="214"/>
        <v>0</v>
      </c>
      <c r="V235" s="286">
        <f>[1]BDD!A225</f>
        <v>5149</v>
      </c>
      <c r="W235" s="287" t="str">
        <f>[1]BDD!B225</f>
        <v>Pomme rouge Top Red</v>
      </c>
      <c r="X235" s="288" t="str">
        <f>IF([1]BDD!F225=0, "", [1]BDD!F225)</f>
        <v/>
      </c>
      <c r="Y235" s="214">
        <f>ROUND([1]BDD!G225+FDP_CMD_KG, 2)</f>
        <v>3.32</v>
      </c>
      <c r="Z235" s="214">
        <f>ROUND([1]BDD!G225+FDP_FACT_KG, 2)</f>
        <v>3.32</v>
      </c>
      <c r="AA235" s="215" t="str">
        <f>[1]BDD!H225</f>
        <v>kg</v>
      </c>
      <c r="AB235" s="225">
        <f>IF(NOT(ISBLANK([1]BDD!I225)), ROUND(SUM(([1]BDD!G225*reduc1),FDP_CMD_KG), 2), "")</f>
        <v>3.08</v>
      </c>
      <c r="AC235" s="225" t="str">
        <f>IF(NOT(ISBLANK([1]BDD!J225)), ROUND(SUM(([1]BDD!G225*reduc2),FDP_CMD_KG), 2), "")</f>
        <v/>
      </c>
      <c r="AD235" s="225" t="str">
        <f>IF(NOT(ISBLANK([1]BDD!K225)), ROUND(SUM(([1]BDD!G225*reduc3),FDP_CMD_KG), 2), "")</f>
        <v/>
      </c>
      <c r="AE235" s="225">
        <f>IF(NOT(ISBLANK([1]BDD!I225)), ROUND(SUM(([1]BDD!G225*reduc1),FDP_FACT_KG), 2), "")</f>
        <v>3.07</v>
      </c>
      <c r="AF235" s="225" t="str">
        <f>IF(NOT(ISBLANK([1]BDD!J225)), ROUND(SUM(([1]BDD!G225*reduc2),FDP_FACT_KG), 2), "")</f>
        <v/>
      </c>
      <c r="AG235" s="225" t="str">
        <f>IF(NOT(ISBLANK([1]BDD!K225)), ROUND(SUM(([1]BDD!G225*reduc3),FDP_FACT_KG), 2), "")</f>
        <v/>
      </c>
      <c r="AH235" s="289" t="str">
        <f>[1]BDD!C225</f>
        <v>Grenade</v>
      </c>
      <c r="AI235" s="290">
        <f t="shared" si="215"/>
        <v>0</v>
      </c>
      <c r="AJ235" s="216">
        <f t="shared" si="216"/>
        <v>3.08</v>
      </c>
      <c r="AK235" s="291">
        <f t="shared" si="217"/>
        <v>0</v>
      </c>
      <c r="AL235" s="429"/>
      <c r="AM235" s="292"/>
      <c r="AN235" s="216">
        <f t="shared" si="218"/>
        <v>3.32</v>
      </c>
      <c r="AO235" s="293">
        <f t="shared" si="219"/>
        <v>0</v>
      </c>
      <c r="AP235" s="294"/>
      <c r="AQ235" s="294"/>
      <c r="AR235" s="429"/>
      <c r="AS235" s="295">
        <f t="shared" si="220"/>
        <v>0</v>
      </c>
      <c r="AT235" s="216">
        <f t="shared" si="221"/>
        <v>3.32</v>
      </c>
      <c r="AU235" s="291">
        <f t="shared" si="208"/>
        <v>0</v>
      </c>
      <c r="AV235" s="296">
        <f>[1]COMMANDE!O233</f>
        <v>0</v>
      </c>
      <c r="AW235" s="297" t="str">
        <f t="shared" si="222"/>
        <v>0</v>
      </c>
      <c r="AX235" s="298">
        <f t="shared" si="223"/>
        <v>0</v>
      </c>
      <c r="AY235" s="299">
        <f>[1]COMMANDE!Q233</f>
        <v>0</v>
      </c>
      <c r="AZ235" s="297" t="str">
        <f t="shared" si="224"/>
        <v>0</v>
      </c>
      <c r="BA235" s="300">
        <f t="shared" si="225"/>
        <v>0</v>
      </c>
      <c r="BB235" s="301">
        <f>[1]COMMANDE!S233</f>
        <v>0</v>
      </c>
      <c r="BC235" s="297" t="str">
        <f t="shared" si="226"/>
        <v>0</v>
      </c>
      <c r="BD235" s="298">
        <f t="shared" si="227"/>
        <v>0</v>
      </c>
      <c r="BE235" s="299">
        <f>[1]COMMANDE!U233</f>
        <v>0</v>
      </c>
      <c r="BF235" s="297" t="str">
        <f t="shared" si="228"/>
        <v>0</v>
      </c>
      <c r="BG235" s="300">
        <f t="shared" si="229"/>
        <v>0</v>
      </c>
      <c r="BH235" s="301">
        <f>[1]COMMANDE!W233</f>
        <v>0</v>
      </c>
      <c r="BI235" s="297" t="str">
        <f t="shared" si="230"/>
        <v>0</v>
      </c>
      <c r="BJ235" s="298">
        <f t="shared" si="231"/>
        <v>0</v>
      </c>
      <c r="BK235" s="299">
        <f>[1]COMMANDE!Y233</f>
        <v>0</v>
      </c>
      <c r="BL235" s="297" t="str">
        <f t="shared" si="232"/>
        <v>0</v>
      </c>
      <c r="BM235" s="300">
        <f t="shared" si="233"/>
        <v>0</v>
      </c>
      <c r="BN235" s="301">
        <f>[1]COMMANDE!AA233</f>
        <v>0</v>
      </c>
      <c r="BO235" s="297" t="str">
        <f t="shared" si="234"/>
        <v>0</v>
      </c>
      <c r="BP235" s="298">
        <f t="shared" si="235"/>
        <v>0</v>
      </c>
      <c r="BQ235" s="299">
        <f>[1]COMMANDE!AC233</f>
        <v>0</v>
      </c>
      <c r="BR235" s="297" t="str">
        <f t="shared" si="236"/>
        <v>0</v>
      </c>
      <c r="BS235" s="300">
        <f t="shared" si="237"/>
        <v>0</v>
      </c>
      <c r="BT235" s="301">
        <f>[1]COMMANDE!AE233</f>
        <v>0</v>
      </c>
      <c r="BU235" s="297" t="str">
        <f t="shared" si="238"/>
        <v>0</v>
      </c>
      <c r="BV235" s="298">
        <f t="shared" si="239"/>
        <v>0</v>
      </c>
      <c r="BW235" s="299">
        <f>[1]COMMANDE!AG233</f>
        <v>0</v>
      </c>
      <c r="BX235" s="297" t="str">
        <f t="shared" si="240"/>
        <v>0</v>
      </c>
      <c r="BY235" s="300">
        <f t="shared" si="241"/>
        <v>0</v>
      </c>
      <c r="BZ235" s="301">
        <f>[1]COMMANDE!AI233</f>
        <v>0</v>
      </c>
      <c r="CA235" s="297" t="str">
        <f t="shared" si="242"/>
        <v>0</v>
      </c>
      <c r="CB235" s="298">
        <f t="shared" si="243"/>
        <v>0</v>
      </c>
      <c r="CC235" s="299">
        <f>[1]COMMANDE!AK233</f>
        <v>0</v>
      </c>
      <c r="CD235" s="297" t="str">
        <f t="shared" si="244"/>
        <v>0</v>
      </c>
      <c r="CE235" s="300">
        <f t="shared" si="245"/>
        <v>0</v>
      </c>
      <c r="CF235" s="301">
        <f>[1]COMMANDE!AM233</f>
        <v>0</v>
      </c>
      <c r="CG235" s="297" t="str">
        <f t="shared" si="246"/>
        <v>0</v>
      </c>
      <c r="CH235" s="298">
        <f t="shared" si="247"/>
        <v>0</v>
      </c>
      <c r="CI235" s="299">
        <f>[1]COMMANDE!AO233</f>
        <v>0</v>
      </c>
      <c r="CJ235" s="297" t="str">
        <f t="shared" si="248"/>
        <v>0</v>
      </c>
      <c r="CK235" s="300">
        <f t="shared" si="249"/>
        <v>0</v>
      </c>
      <c r="CL235" s="301">
        <f>[1]COMMANDE!AQ233</f>
        <v>0</v>
      </c>
      <c r="CM235" s="297" t="str">
        <f t="shared" si="250"/>
        <v>0</v>
      </c>
      <c r="CN235" s="298">
        <f t="shared" si="251"/>
        <v>0</v>
      </c>
      <c r="CO235" s="299">
        <f>[1]COMMANDE!AS233</f>
        <v>0</v>
      </c>
      <c r="CP235" s="297" t="str">
        <f t="shared" si="252"/>
        <v>0</v>
      </c>
      <c r="CQ235" s="300">
        <f t="shared" si="253"/>
        <v>0</v>
      </c>
      <c r="CR235" s="301">
        <f>[1]COMMANDE!AU233</f>
        <v>0</v>
      </c>
      <c r="CS235" s="297" t="str">
        <f t="shared" si="254"/>
        <v>0</v>
      </c>
      <c r="CT235" s="298">
        <f t="shared" si="255"/>
        <v>0</v>
      </c>
      <c r="CU235" s="299">
        <f>[1]COMMANDE!AW233</f>
        <v>0</v>
      </c>
      <c r="CV235" s="297" t="str">
        <f t="shared" si="256"/>
        <v>0</v>
      </c>
      <c r="CW235" s="300">
        <f t="shared" si="257"/>
        <v>0</v>
      </c>
      <c r="CX235" s="301">
        <f>[1]COMMANDE!AY233</f>
        <v>0</v>
      </c>
      <c r="CY235" s="297" t="str">
        <f t="shared" si="258"/>
        <v>0</v>
      </c>
      <c r="CZ235" s="298">
        <f t="shared" si="259"/>
        <v>0</v>
      </c>
      <c r="DA235" s="299">
        <f>[1]COMMANDE!BA233</f>
        <v>0</v>
      </c>
      <c r="DB235" s="297" t="str">
        <f t="shared" si="260"/>
        <v>0</v>
      </c>
      <c r="DC235" s="302">
        <f t="shared" si="261"/>
        <v>0</v>
      </c>
      <c r="DD235" s="303"/>
      <c r="DE235" s="304"/>
    </row>
    <row r="236" spans="1:109" ht="39.950000000000003" customHeight="1" x14ac:dyDescent="0.25">
      <c r="A236" s="284">
        <f t="shared" si="140"/>
        <v>0</v>
      </c>
      <c r="B236" s="284">
        <f t="shared" si="141"/>
        <v>0</v>
      </c>
      <c r="C236" s="284">
        <f t="shared" si="142"/>
        <v>0</v>
      </c>
      <c r="D236" s="284">
        <f t="shared" si="143"/>
        <v>0</v>
      </c>
      <c r="E236" s="284">
        <f t="shared" si="144"/>
        <v>0</v>
      </c>
      <c r="F236" s="284">
        <f t="shared" si="145"/>
        <v>0</v>
      </c>
      <c r="G236" s="284">
        <f t="shared" si="146"/>
        <v>0</v>
      </c>
      <c r="H236" s="284">
        <f t="shared" si="147"/>
        <v>0</v>
      </c>
      <c r="I236" s="284">
        <f t="shared" si="148"/>
        <v>0</v>
      </c>
      <c r="J236" s="284">
        <f t="shared" si="149"/>
        <v>0</v>
      </c>
      <c r="K236" s="284">
        <f t="shared" si="150"/>
        <v>0</v>
      </c>
      <c r="L236" s="284">
        <f t="shared" si="151"/>
        <v>0</v>
      </c>
      <c r="M236" s="284">
        <f t="shared" si="152"/>
        <v>0</v>
      </c>
      <c r="N236" s="284">
        <f t="shared" si="153"/>
        <v>0</v>
      </c>
      <c r="O236" s="284">
        <f t="shared" si="154"/>
        <v>0</v>
      </c>
      <c r="P236" s="284">
        <f t="shared" si="209"/>
        <v>0</v>
      </c>
      <c r="Q236" s="284">
        <f t="shared" si="210"/>
        <v>0</v>
      </c>
      <c r="R236" s="284">
        <f t="shared" si="211"/>
        <v>0</v>
      </c>
      <c r="S236" s="284">
        <f t="shared" si="212"/>
        <v>0</v>
      </c>
      <c r="T236" s="284">
        <f t="shared" si="213"/>
        <v>0</v>
      </c>
      <c r="U236" s="285">
        <f t="shared" si="214"/>
        <v>0</v>
      </c>
      <c r="V236" s="286">
        <f>[1]BDD!A226</f>
        <v>3876</v>
      </c>
      <c r="W236" s="287" t="str">
        <f>[1]BDD!B226</f>
        <v>Pomme verte Doncella</v>
      </c>
      <c r="X236" s="288" t="str">
        <f>IF([1]BDD!F226=0, "", [1]BDD!F226)</f>
        <v/>
      </c>
      <c r="Y236" s="214">
        <f>ROUND([1]BDD!G226+FDP_CMD_KG, 2)</f>
        <v>3.32</v>
      </c>
      <c r="Z236" s="214">
        <f>ROUND([1]BDD!G226+FDP_FACT_KG, 2)</f>
        <v>3.32</v>
      </c>
      <c r="AA236" s="215" t="str">
        <f>[1]BDD!H226</f>
        <v>kg</v>
      </c>
      <c r="AB236" s="225">
        <f>IF(NOT(ISBLANK([1]BDD!I226)), ROUND(SUM(([1]BDD!G226*reduc1),FDP_CMD_KG), 2), "")</f>
        <v>3.08</v>
      </c>
      <c r="AC236" s="225">
        <f>IF(NOT(ISBLANK([1]BDD!J226)), ROUND(SUM(([1]BDD!G226*reduc2),FDP_CMD_KG), 2), "")</f>
        <v>2.83</v>
      </c>
      <c r="AD236" s="225" t="str">
        <f>IF(NOT(ISBLANK([1]BDD!K226)), ROUND(SUM(([1]BDD!G226*reduc3),FDP_CMD_KG), 2), "")</f>
        <v/>
      </c>
      <c r="AE236" s="225">
        <f>IF(NOT(ISBLANK([1]BDD!I226)), ROUND(SUM(([1]BDD!G226*reduc1),FDP_FACT_KG), 2), "")</f>
        <v>3.07</v>
      </c>
      <c r="AF236" s="225">
        <f>IF(NOT(ISBLANK([1]BDD!J226)), ROUND(SUM(([1]BDD!G226*reduc2),FDP_FACT_KG), 2), "")</f>
        <v>2.83</v>
      </c>
      <c r="AG236" s="225" t="str">
        <f>IF(NOT(ISBLANK([1]BDD!K226)), ROUND(SUM(([1]BDD!G226*reduc3),FDP_FACT_KG), 2), "")</f>
        <v/>
      </c>
      <c r="AH236" s="289" t="str">
        <f>[1]BDD!C226</f>
        <v>Grenade</v>
      </c>
      <c r="AI236" s="290">
        <f t="shared" si="215"/>
        <v>0</v>
      </c>
      <c r="AJ236" s="216">
        <f t="shared" si="216"/>
        <v>2.83</v>
      </c>
      <c r="AK236" s="291">
        <f t="shared" si="217"/>
        <v>0</v>
      </c>
      <c r="AL236" s="429"/>
      <c r="AM236" s="292"/>
      <c r="AN236" s="216">
        <f t="shared" si="218"/>
        <v>3.32</v>
      </c>
      <c r="AO236" s="293">
        <f t="shared" si="219"/>
        <v>0</v>
      </c>
      <c r="AP236" s="294"/>
      <c r="AQ236" s="294"/>
      <c r="AR236" s="429"/>
      <c r="AS236" s="295">
        <f t="shared" si="220"/>
        <v>0</v>
      </c>
      <c r="AT236" s="216">
        <f t="shared" si="221"/>
        <v>3.32</v>
      </c>
      <c r="AU236" s="291">
        <f t="shared" si="208"/>
        <v>0</v>
      </c>
      <c r="AV236" s="296">
        <f>[1]COMMANDE!O234</f>
        <v>0</v>
      </c>
      <c r="AW236" s="297" t="str">
        <f t="shared" si="222"/>
        <v>0</v>
      </c>
      <c r="AX236" s="298">
        <f t="shared" si="223"/>
        <v>0</v>
      </c>
      <c r="AY236" s="299">
        <f>[1]COMMANDE!Q234</f>
        <v>0</v>
      </c>
      <c r="AZ236" s="297" t="str">
        <f t="shared" si="224"/>
        <v>0</v>
      </c>
      <c r="BA236" s="300">
        <f t="shared" si="225"/>
        <v>0</v>
      </c>
      <c r="BB236" s="301">
        <f>[1]COMMANDE!S234</f>
        <v>0</v>
      </c>
      <c r="BC236" s="297" t="str">
        <f t="shared" si="226"/>
        <v>0</v>
      </c>
      <c r="BD236" s="298">
        <f t="shared" si="227"/>
        <v>0</v>
      </c>
      <c r="BE236" s="299">
        <f>[1]COMMANDE!U234</f>
        <v>0</v>
      </c>
      <c r="BF236" s="297" t="str">
        <f t="shared" si="228"/>
        <v>0</v>
      </c>
      <c r="BG236" s="300">
        <f t="shared" si="229"/>
        <v>0</v>
      </c>
      <c r="BH236" s="301">
        <f>[1]COMMANDE!W234</f>
        <v>0</v>
      </c>
      <c r="BI236" s="297" t="str">
        <f t="shared" si="230"/>
        <v>0</v>
      </c>
      <c r="BJ236" s="298">
        <f t="shared" si="231"/>
        <v>0</v>
      </c>
      <c r="BK236" s="299">
        <f>[1]COMMANDE!Y234</f>
        <v>0</v>
      </c>
      <c r="BL236" s="297" t="str">
        <f t="shared" si="232"/>
        <v>0</v>
      </c>
      <c r="BM236" s="300">
        <f t="shared" si="233"/>
        <v>0</v>
      </c>
      <c r="BN236" s="301">
        <f>[1]COMMANDE!AA234</f>
        <v>0</v>
      </c>
      <c r="BO236" s="297" t="str">
        <f t="shared" si="234"/>
        <v>0</v>
      </c>
      <c r="BP236" s="298">
        <f t="shared" si="235"/>
        <v>0</v>
      </c>
      <c r="BQ236" s="299">
        <f>[1]COMMANDE!AC234</f>
        <v>0</v>
      </c>
      <c r="BR236" s="297" t="str">
        <f t="shared" si="236"/>
        <v>0</v>
      </c>
      <c r="BS236" s="300">
        <f t="shared" si="237"/>
        <v>0</v>
      </c>
      <c r="BT236" s="301">
        <f>[1]COMMANDE!AE234</f>
        <v>0</v>
      </c>
      <c r="BU236" s="297" t="str">
        <f t="shared" si="238"/>
        <v>0</v>
      </c>
      <c r="BV236" s="298">
        <f t="shared" si="239"/>
        <v>0</v>
      </c>
      <c r="BW236" s="299">
        <f>[1]COMMANDE!AG234</f>
        <v>0</v>
      </c>
      <c r="BX236" s="297" t="str">
        <f t="shared" si="240"/>
        <v>0</v>
      </c>
      <c r="BY236" s="300">
        <f t="shared" si="241"/>
        <v>0</v>
      </c>
      <c r="BZ236" s="301">
        <f>[1]COMMANDE!AI234</f>
        <v>0</v>
      </c>
      <c r="CA236" s="297" t="str">
        <f t="shared" si="242"/>
        <v>0</v>
      </c>
      <c r="CB236" s="298">
        <f t="shared" si="243"/>
        <v>0</v>
      </c>
      <c r="CC236" s="299">
        <f>[1]COMMANDE!AK234</f>
        <v>0</v>
      </c>
      <c r="CD236" s="297" t="str">
        <f t="shared" si="244"/>
        <v>0</v>
      </c>
      <c r="CE236" s="300">
        <f t="shared" si="245"/>
        <v>0</v>
      </c>
      <c r="CF236" s="301">
        <f>[1]COMMANDE!AM234</f>
        <v>0</v>
      </c>
      <c r="CG236" s="297" t="str">
        <f t="shared" si="246"/>
        <v>0</v>
      </c>
      <c r="CH236" s="298">
        <f t="shared" si="247"/>
        <v>0</v>
      </c>
      <c r="CI236" s="299">
        <f>[1]COMMANDE!AO234</f>
        <v>0</v>
      </c>
      <c r="CJ236" s="297" t="str">
        <f t="shared" si="248"/>
        <v>0</v>
      </c>
      <c r="CK236" s="300">
        <f t="shared" si="249"/>
        <v>0</v>
      </c>
      <c r="CL236" s="301">
        <f>[1]COMMANDE!AQ234</f>
        <v>0</v>
      </c>
      <c r="CM236" s="297" t="str">
        <f t="shared" si="250"/>
        <v>0</v>
      </c>
      <c r="CN236" s="298">
        <f t="shared" si="251"/>
        <v>0</v>
      </c>
      <c r="CO236" s="299">
        <f>[1]COMMANDE!AS234</f>
        <v>0</v>
      </c>
      <c r="CP236" s="297" t="str">
        <f t="shared" si="252"/>
        <v>0</v>
      </c>
      <c r="CQ236" s="300">
        <f t="shared" si="253"/>
        <v>0</v>
      </c>
      <c r="CR236" s="301">
        <f>[1]COMMANDE!AU234</f>
        <v>0</v>
      </c>
      <c r="CS236" s="297" t="str">
        <f t="shared" si="254"/>
        <v>0</v>
      </c>
      <c r="CT236" s="298">
        <f t="shared" si="255"/>
        <v>0</v>
      </c>
      <c r="CU236" s="299">
        <f>[1]COMMANDE!AW234</f>
        <v>0</v>
      </c>
      <c r="CV236" s="297" t="str">
        <f t="shared" si="256"/>
        <v>0</v>
      </c>
      <c r="CW236" s="300">
        <f t="shared" si="257"/>
        <v>0</v>
      </c>
      <c r="CX236" s="301">
        <f>[1]COMMANDE!AY234</f>
        <v>0</v>
      </c>
      <c r="CY236" s="297" t="str">
        <f t="shared" si="258"/>
        <v>0</v>
      </c>
      <c r="CZ236" s="298">
        <f t="shared" si="259"/>
        <v>0</v>
      </c>
      <c r="DA236" s="299">
        <f>[1]COMMANDE!BA234</f>
        <v>0</v>
      </c>
      <c r="DB236" s="297" t="str">
        <f t="shared" si="260"/>
        <v>0</v>
      </c>
      <c r="DC236" s="302">
        <f t="shared" si="261"/>
        <v>0</v>
      </c>
      <c r="DD236" s="303"/>
      <c r="DE236" s="304"/>
    </row>
    <row r="237" spans="1:109" ht="39.950000000000003" customHeight="1" x14ac:dyDescent="0.25">
      <c r="A237" s="284">
        <f t="shared" si="140"/>
        <v>0</v>
      </c>
      <c r="B237" s="284">
        <f t="shared" si="141"/>
        <v>0</v>
      </c>
      <c r="C237" s="284">
        <f t="shared" si="142"/>
        <v>0</v>
      </c>
      <c r="D237" s="284">
        <f t="shared" si="143"/>
        <v>0</v>
      </c>
      <c r="E237" s="284">
        <f t="shared" si="144"/>
        <v>0</v>
      </c>
      <c r="F237" s="284">
        <f t="shared" si="145"/>
        <v>0</v>
      </c>
      <c r="G237" s="284">
        <f t="shared" si="146"/>
        <v>0</v>
      </c>
      <c r="H237" s="284">
        <f t="shared" si="147"/>
        <v>0</v>
      </c>
      <c r="I237" s="284">
        <f t="shared" si="148"/>
        <v>0</v>
      </c>
      <c r="J237" s="284">
        <f t="shared" si="149"/>
        <v>0</v>
      </c>
      <c r="K237" s="284">
        <f t="shared" si="150"/>
        <v>0</v>
      </c>
      <c r="L237" s="284">
        <f t="shared" si="151"/>
        <v>0</v>
      </c>
      <c r="M237" s="284">
        <f t="shared" si="152"/>
        <v>0</v>
      </c>
      <c r="N237" s="284">
        <f t="shared" si="153"/>
        <v>0</v>
      </c>
      <c r="O237" s="284">
        <f t="shared" si="154"/>
        <v>0</v>
      </c>
      <c r="P237" s="284">
        <f t="shared" si="209"/>
        <v>0</v>
      </c>
      <c r="Q237" s="284">
        <f t="shared" si="210"/>
        <v>0</v>
      </c>
      <c r="R237" s="284">
        <f t="shared" si="211"/>
        <v>0</v>
      </c>
      <c r="S237" s="284">
        <f t="shared" si="212"/>
        <v>0</v>
      </c>
      <c r="T237" s="284">
        <f t="shared" si="213"/>
        <v>0</v>
      </c>
      <c r="U237" s="285">
        <f t="shared" si="214"/>
        <v>0</v>
      </c>
      <c r="V237" s="286">
        <f>[1]BDD!A227</f>
        <v>1825</v>
      </c>
      <c r="W237" s="287" t="str">
        <f>[1]BDD!B227</f>
        <v>Quinoa blanc BIO</v>
      </c>
      <c r="X237" s="288" t="str">
        <f>IF([1]BDD!F227=0, "", [1]BDD!F227)</f>
        <v/>
      </c>
      <c r="Y237" s="214">
        <f>ROUND([1]BDD!G227+FDP_CMD_KG, 2)</f>
        <v>9.9</v>
      </c>
      <c r="Z237" s="214">
        <f>ROUND([1]BDD!G227+FDP_FACT_KG, 2)</f>
        <v>9.9</v>
      </c>
      <c r="AA237" s="215" t="str">
        <f>[1]BDD!H227</f>
        <v>kg</v>
      </c>
      <c r="AB237" s="225">
        <f>IF(NOT(ISBLANK([1]BDD!I227)), ROUND(SUM(([1]BDD!G227*reduc1),FDP_CMD_KG), 2), "")</f>
        <v>9</v>
      </c>
      <c r="AC237" s="225" t="str">
        <f>IF(NOT(ISBLANK([1]BDD!J227)), ROUND(SUM(([1]BDD!G227*reduc2),FDP_CMD_KG), 2), "")</f>
        <v/>
      </c>
      <c r="AD237" s="225" t="str">
        <f>IF(NOT(ISBLANK([1]BDD!K227)), ROUND(SUM(([1]BDD!G227*reduc3),FDP_CMD_KG), 2), "")</f>
        <v/>
      </c>
      <c r="AE237" s="225">
        <f>IF(NOT(ISBLANK([1]BDD!I227)), ROUND(SUM(([1]BDD!G227*reduc1),FDP_FACT_KG), 2), "")</f>
        <v>8.99</v>
      </c>
      <c r="AF237" s="225" t="str">
        <f>IF(NOT(ISBLANK([1]BDD!J227)), ROUND(SUM(([1]BDD!G227*reduc2),FDP_FACT_KG), 2), "")</f>
        <v/>
      </c>
      <c r="AG237" s="225" t="str">
        <f>IF(NOT(ISBLANK([1]BDD!K227)), ROUND(SUM(([1]BDD!G227*reduc3),FDP_FACT_KG), 2), "")</f>
        <v/>
      </c>
      <c r="AH237" s="289" t="str">
        <f>[1]BDD!C227</f>
        <v>Import</v>
      </c>
      <c r="AI237" s="290">
        <f t="shared" si="215"/>
        <v>0</v>
      </c>
      <c r="AJ237" s="216">
        <f t="shared" si="216"/>
        <v>9</v>
      </c>
      <c r="AK237" s="291">
        <f t="shared" si="217"/>
        <v>0</v>
      </c>
      <c r="AL237" s="429"/>
      <c r="AM237" s="292"/>
      <c r="AN237" s="216">
        <f t="shared" si="218"/>
        <v>9.9</v>
      </c>
      <c r="AO237" s="293">
        <f t="shared" si="219"/>
        <v>0</v>
      </c>
      <c r="AP237" s="294"/>
      <c r="AQ237" s="294"/>
      <c r="AR237" s="429"/>
      <c r="AS237" s="295">
        <f t="shared" si="220"/>
        <v>0</v>
      </c>
      <c r="AT237" s="216">
        <f t="shared" si="221"/>
        <v>9.9</v>
      </c>
      <c r="AU237" s="291">
        <f t="shared" si="208"/>
        <v>0</v>
      </c>
      <c r="AV237" s="296">
        <f>[1]COMMANDE!O235</f>
        <v>0</v>
      </c>
      <c r="AW237" s="297" t="str">
        <f t="shared" si="222"/>
        <v>0</v>
      </c>
      <c r="AX237" s="298">
        <f t="shared" si="223"/>
        <v>0</v>
      </c>
      <c r="AY237" s="299">
        <f>[1]COMMANDE!Q235</f>
        <v>0</v>
      </c>
      <c r="AZ237" s="297" t="str">
        <f t="shared" si="224"/>
        <v>0</v>
      </c>
      <c r="BA237" s="300">
        <f t="shared" si="225"/>
        <v>0</v>
      </c>
      <c r="BB237" s="301">
        <f>[1]COMMANDE!S235</f>
        <v>0</v>
      </c>
      <c r="BC237" s="297" t="str">
        <f t="shared" si="226"/>
        <v>0</v>
      </c>
      <c r="BD237" s="298">
        <f t="shared" si="227"/>
        <v>0</v>
      </c>
      <c r="BE237" s="299">
        <f>[1]COMMANDE!U235</f>
        <v>0</v>
      </c>
      <c r="BF237" s="297" t="str">
        <f t="shared" si="228"/>
        <v>0</v>
      </c>
      <c r="BG237" s="300">
        <f t="shared" si="229"/>
        <v>0</v>
      </c>
      <c r="BH237" s="301">
        <f>[1]COMMANDE!W235</f>
        <v>0</v>
      </c>
      <c r="BI237" s="297" t="str">
        <f t="shared" si="230"/>
        <v>0</v>
      </c>
      <c r="BJ237" s="298">
        <f t="shared" si="231"/>
        <v>0</v>
      </c>
      <c r="BK237" s="299">
        <f>[1]COMMANDE!Y235</f>
        <v>0</v>
      </c>
      <c r="BL237" s="297" t="str">
        <f t="shared" si="232"/>
        <v>0</v>
      </c>
      <c r="BM237" s="300">
        <f t="shared" si="233"/>
        <v>0</v>
      </c>
      <c r="BN237" s="301">
        <f>[1]COMMANDE!AA235</f>
        <v>0</v>
      </c>
      <c r="BO237" s="297" t="str">
        <f t="shared" si="234"/>
        <v>0</v>
      </c>
      <c r="BP237" s="298">
        <f t="shared" si="235"/>
        <v>0</v>
      </c>
      <c r="BQ237" s="299">
        <f>[1]COMMANDE!AC235</f>
        <v>0</v>
      </c>
      <c r="BR237" s="297" t="str">
        <f t="shared" si="236"/>
        <v>0</v>
      </c>
      <c r="BS237" s="300">
        <f t="shared" si="237"/>
        <v>0</v>
      </c>
      <c r="BT237" s="301">
        <f>[1]COMMANDE!AE235</f>
        <v>0</v>
      </c>
      <c r="BU237" s="297" t="str">
        <f t="shared" si="238"/>
        <v>0</v>
      </c>
      <c r="BV237" s="298">
        <f t="shared" si="239"/>
        <v>0</v>
      </c>
      <c r="BW237" s="299">
        <f>[1]COMMANDE!AG235</f>
        <v>0</v>
      </c>
      <c r="BX237" s="297" t="str">
        <f t="shared" si="240"/>
        <v>0</v>
      </c>
      <c r="BY237" s="300">
        <f t="shared" si="241"/>
        <v>0</v>
      </c>
      <c r="BZ237" s="301">
        <f>[1]COMMANDE!AI235</f>
        <v>0</v>
      </c>
      <c r="CA237" s="297" t="str">
        <f t="shared" si="242"/>
        <v>0</v>
      </c>
      <c r="CB237" s="298">
        <f t="shared" si="243"/>
        <v>0</v>
      </c>
      <c r="CC237" s="299">
        <f>[1]COMMANDE!AK235</f>
        <v>0</v>
      </c>
      <c r="CD237" s="297" t="str">
        <f t="shared" si="244"/>
        <v>0</v>
      </c>
      <c r="CE237" s="300">
        <f t="shared" si="245"/>
        <v>0</v>
      </c>
      <c r="CF237" s="301">
        <f>[1]COMMANDE!AM235</f>
        <v>0</v>
      </c>
      <c r="CG237" s="297" t="str">
        <f t="shared" si="246"/>
        <v>0</v>
      </c>
      <c r="CH237" s="298">
        <f t="shared" si="247"/>
        <v>0</v>
      </c>
      <c r="CI237" s="299">
        <f>[1]COMMANDE!AO235</f>
        <v>0</v>
      </c>
      <c r="CJ237" s="297" t="str">
        <f t="shared" si="248"/>
        <v>0</v>
      </c>
      <c r="CK237" s="300">
        <f t="shared" si="249"/>
        <v>0</v>
      </c>
      <c r="CL237" s="301">
        <f>[1]COMMANDE!AQ235</f>
        <v>0</v>
      </c>
      <c r="CM237" s="297" t="str">
        <f t="shared" si="250"/>
        <v>0</v>
      </c>
      <c r="CN237" s="298">
        <f t="shared" si="251"/>
        <v>0</v>
      </c>
      <c r="CO237" s="299">
        <f>[1]COMMANDE!AS235</f>
        <v>0</v>
      </c>
      <c r="CP237" s="297" t="str">
        <f t="shared" si="252"/>
        <v>0</v>
      </c>
      <c r="CQ237" s="300">
        <f t="shared" si="253"/>
        <v>0</v>
      </c>
      <c r="CR237" s="301">
        <f>[1]COMMANDE!AU235</f>
        <v>0</v>
      </c>
      <c r="CS237" s="297" t="str">
        <f t="shared" si="254"/>
        <v>0</v>
      </c>
      <c r="CT237" s="298">
        <f t="shared" si="255"/>
        <v>0</v>
      </c>
      <c r="CU237" s="299">
        <f>[1]COMMANDE!AW235</f>
        <v>0</v>
      </c>
      <c r="CV237" s="297" t="str">
        <f t="shared" si="256"/>
        <v>0</v>
      </c>
      <c r="CW237" s="300">
        <f t="shared" si="257"/>
        <v>0</v>
      </c>
      <c r="CX237" s="301">
        <f>[1]COMMANDE!AY235</f>
        <v>0</v>
      </c>
      <c r="CY237" s="297" t="str">
        <f t="shared" si="258"/>
        <v>0</v>
      </c>
      <c r="CZ237" s="298">
        <f t="shared" si="259"/>
        <v>0</v>
      </c>
      <c r="DA237" s="299">
        <f>[1]COMMANDE!BA235</f>
        <v>0</v>
      </c>
      <c r="DB237" s="297" t="str">
        <f t="shared" si="260"/>
        <v>0</v>
      </c>
      <c r="DC237" s="302">
        <f t="shared" si="261"/>
        <v>0</v>
      </c>
      <c r="DD237" s="303"/>
      <c r="DE237" s="304"/>
    </row>
    <row r="238" spans="1:109" ht="39.950000000000003" customHeight="1" x14ac:dyDescent="0.25">
      <c r="A238" s="307">
        <f t="shared" si="140"/>
        <v>0</v>
      </c>
      <c r="B238" s="307">
        <f t="shared" si="141"/>
        <v>0</v>
      </c>
      <c r="C238" s="307">
        <f t="shared" si="142"/>
        <v>0</v>
      </c>
      <c r="D238" s="307">
        <f t="shared" si="143"/>
        <v>0</v>
      </c>
      <c r="E238" s="307">
        <f t="shared" si="144"/>
        <v>0</v>
      </c>
      <c r="F238" s="307">
        <f t="shared" si="145"/>
        <v>0</v>
      </c>
      <c r="G238" s="307">
        <f t="shared" si="146"/>
        <v>0</v>
      </c>
      <c r="H238" s="307">
        <f t="shared" si="147"/>
        <v>0</v>
      </c>
      <c r="I238" s="307">
        <f t="shared" si="148"/>
        <v>0</v>
      </c>
      <c r="J238" s="307">
        <f t="shared" si="149"/>
        <v>0</v>
      </c>
      <c r="K238" s="307">
        <f t="shared" si="150"/>
        <v>0</v>
      </c>
      <c r="L238" s="307">
        <f t="shared" si="151"/>
        <v>0</v>
      </c>
      <c r="M238" s="307">
        <f t="shared" si="152"/>
        <v>0</v>
      </c>
      <c r="N238" s="307">
        <f t="shared" si="153"/>
        <v>0</v>
      </c>
      <c r="O238" s="307">
        <f t="shared" si="154"/>
        <v>0</v>
      </c>
      <c r="P238" s="284">
        <f t="shared" si="209"/>
        <v>0</v>
      </c>
      <c r="Q238" s="284">
        <f t="shared" si="210"/>
        <v>0</v>
      </c>
      <c r="R238" s="284">
        <f t="shared" si="211"/>
        <v>0</v>
      </c>
      <c r="S238" s="284">
        <f t="shared" si="212"/>
        <v>0</v>
      </c>
      <c r="T238" s="284">
        <f t="shared" si="213"/>
        <v>0</v>
      </c>
      <c r="U238" s="285">
        <f t="shared" si="214"/>
        <v>0</v>
      </c>
      <c r="V238" s="286">
        <f>[1]BDD!A228</f>
        <v>3824</v>
      </c>
      <c r="W238" s="287" t="str">
        <f>[1]BDD!B228</f>
        <v>Radis Daikon</v>
      </c>
      <c r="X238" s="288" t="str">
        <f>IF([1]BDD!F228=0, "", [1]BDD!F228)</f>
        <v>❤️</v>
      </c>
      <c r="Y238" s="214">
        <f>ROUND([1]BDD!G228+FDP_CMD_KG, 2)</f>
        <v>3.32</v>
      </c>
      <c r="Z238" s="214">
        <f>ROUND([1]BDD!G228+FDP_FACT_KG, 2)</f>
        <v>3.32</v>
      </c>
      <c r="AA238" s="215" t="str">
        <f>[1]BDD!H228</f>
        <v>kg</v>
      </c>
      <c r="AB238" s="225">
        <f>IF(NOT(ISBLANK([1]BDD!I228)), ROUND(SUM(([1]BDD!G228*reduc1),FDP_CMD_KG), 2), "")</f>
        <v>3.08</v>
      </c>
      <c r="AC238" s="225" t="str">
        <f>IF(NOT(ISBLANK([1]BDD!J228)), ROUND(SUM(([1]BDD!G228*reduc2),FDP_CMD_KG), 2), "")</f>
        <v/>
      </c>
      <c r="AD238" s="225" t="str">
        <f>IF(NOT(ISBLANK([1]BDD!K228)), ROUND(SUM(([1]BDD!G228*reduc3),FDP_CMD_KG), 2), "")</f>
        <v/>
      </c>
      <c r="AE238" s="225">
        <f>IF(NOT(ISBLANK([1]BDD!I228)), ROUND(SUM(([1]BDD!G228*reduc1),FDP_FACT_KG), 2), "")</f>
        <v>3.07</v>
      </c>
      <c r="AF238" s="225" t="str">
        <f>IF(NOT(ISBLANK([1]BDD!J228)), ROUND(SUM(([1]BDD!G228*reduc2),FDP_FACT_KG), 2), "")</f>
        <v/>
      </c>
      <c r="AG238" s="225" t="str">
        <f>IF(NOT(ISBLANK([1]BDD!K228)), ROUND(SUM(([1]BDD!G228*reduc3),FDP_FACT_KG), 2), "")</f>
        <v/>
      </c>
      <c r="AH238" s="289" t="str">
        <f>[1]BDD!C228</f>
        <v>Espagne</v>
      </c>
      <c r="AI238" s="290">
        <f t="shared" si="215"/>
        <v>0</v>
      </c>
      <c r="AJ238" s="216">
        <f t="shared" si="216"/>
        <v>3.08</v>
      </c>
      <c r="AK238" s="291">
        <f t="shared" si="217"/>
        <v>0</v>
      </c>
      <c r="AL238" s="429"/>
      <c r="AM238" s="292"/>
      <c r="AN238" s="216">
        <f t="shared" si="218"/>
        <v>3.32</v>
      </c>
      <c r="AO238" s="293">
        <f t="shared" si="219"/>
        <v>0</v>
      </c>
      <c r="AP238" s="294"/>
      <c r="AQ238" s="294"/>
      <c r="AR238" s="429"/>
      <c r="AS238" s="295">
        <f t="shared" si="220"/>
        <v>0</v>
      </c>
      <c r="AT238" s="216">
        <f t="shared" si="221"/>
        <v>3.32</v>
      </c>
      <c r="AU238" s="291">
        <f t="shared" si="208"/>
        <v>0</v>
      </c>
      <c r="AV238" s="296">
        <f>[1]COMMANDE!O236</f>
        <v>0</v>
      </c>
      <c r="AW238" s="297" t="str">
        <f t="shared" si="222"/>
        <v>0</v>
      </c>
      <c r="AX238" s="298">
        <f t="shared" si="223"/>
        <v>0</v>
      </c>
      <c r="AY238" s="299">
        <f>[1]COMMANDE!Q236</f>
        <v>0</v>
      </c>
      <c r="AZ238" s="297" t="str">
        <f t="shared" si="224"/>
        <v>0</v>
      </c>
      <c r="BA238" s="300">
        <f t="shared" si="225"/>
        <v>0</v>
      </c>
      <c r="BB238" s="301">
        <f>[1]COMMANDE!S236</f>
        <v>0</v>
      </c>
      <c r="BC238" s="297" t="str">
        <f t="shared" si="226"/>
        <v>0</v>
      </c>
      <c r="BD238" s="298">
        <f t="shared" si="227"/>
        <v>0</v>
      </c>
      <c r="BE238" s="299">
        <f>[1]COMMANDE!U236</f>
        <v>0</v>
      </c>
      <c r="BF238" s="297" t="str">
        <f t="shared" si="228"/>
        <v>0</v>
      </c>
      <c r="BG238" s="300">
        <f t="shared" si="229"/>
        <v>0</v>
      </c>
      <c r="BH238" s="301">
        <f>[1]COMMANDE!W236</f>
        <v>0</v>
      </c>
      <c r="BI238" s="297" t="str">
        <f t="shared" si="230"/>
        <v>0</v>
      </c>
      <c r="BJ238" s="298">
        <f t="shared" si="231"/>
        <v>0</v>
      </c>
      <c r="BK238" s="299">
        <f>[1]COMMANDE!Y236</f>
        <v>0</v>
      </c>
      <c r="BL238" s="297" t="str">
        <f t="shared" si="232"/>
        <v>0</v>
      </c>
      <c r="BM238" s="300">
        <f t="shared" si="233"/>
        <v>0</v>
      </c>
      <c r="BN238" s="301">
        <f>[1]COMMANDE!AA236</f>
        <v>0</v>
      </c>
      <c r="BO238" s="297" t="str">
        <f t="shared" si="234"/>
        <v>0</v>
      </c>
      <c r="BP238" s="298">
        <f t="shared" si="235"/>
        <v>0</v>
      </c>
      <c r="BQ238" s="299">
        <f>[1]COMMANDE!AC236</f>
        <v>0</v>
      </c>
      <c r="BR238" s="297" t="str">
        <f t="shared" si="236"/>
        <v>0</v>
      </c>
      <c r="BS238" s="300">
        <f t="shared" si="237"/>
        <v>0</v>
      </c>
      <c r="BT238" s="301">
        <f>[1]COMMANDE!AE236</f>
        <v>0</v>
      </c>
      <c r="BU238" s="297" t="str">
        <f t="shared" si="238"/>
        <v>0</v>
      </c>
      <c r="BV238" s="298">
        <f t="shared" si="239"/>
        <v>0</v>
      </c>
      <c r="BW238" s="299">
        <f>[1]COMMANDE!AG236</f>
        <v>0</v>
      </c>
      <c r="BX238" s="297" t="str">
        <f t="shared" si="240"/>
        <v>0</v>
      </c>
      <c r="BY238" s="300">
        <f t="shared" si="241"/>
        <v>0</v>
      </c>
      <c r="BZ238" s="301">
        <f>[1]COMMANDE!AI236</f>
        <v>0</v>
      </c>
      <c r="CA238" s="297" t="str">
        <f t="shared" si="242"/>
        <v>0</v>
      </c>
      <c r="CB238" s="298">
        <f t="shared" si="243"/>
        <v>0</v>
      </c>
      <c r="CC238" s="299">
        <f>[1]COMMANDE!AK236</f>
        <v>0</v>
      </c>
      <c r="CD238" s="297" t="str">
        <f t="shared" si="244"/>
        <v>0</v>
      </c>
      <c r="CE238" s="300">
        <f t="shared" si="245"/>
        <v>0</v>
      </c>
      <c r="CF238" s="301">
        <f>[1]COMMANDE!AM236</f>
        <v>0</v>
      </c>
      <c r="CG238" s="297" t="str">
        <f t="shared" si="246"/>
        <v>0</v>
      </c>
      <c r="CH238" s="298">
        <f t="shared" si="247"/>
        <v>0</v>
      </c>
      <c r="CI238" s="299">
        <f>[1]COMMANDE!AO236</f>
        <v>0</v>
      </c>
      <c r="CJ238" s="297" t="str">
        <f t="shared" si="248"/>
        <v>0</v>
      </c>
      <c r="CK238" s="300">
        <f t="shared" si="249"/>
        <v>0</v>
      </c>
      <c r="CL238" s="301">
        <f>[1]COMMANDE!AQ236</f>
        <v>0</v>
      </c>
      <c r="CM238" s="297" t="str">
        <f t="shared" si="250"/>
        <v>0</v>
      </c>
      <c r="CN238" s="298">
        <f t="shared" si="251"/>
        <v>0</v>
      </c>
      <c r="CO238" s="299">
        <f>[1]COMMANDE!AS236</f>
        <v>0</v>
      </c>
      <c r="CP238" s="297" t="str">
        <f t="shared" si="252"/>
        <v>0</v>
      </c>
      <c r="CQ238" s="300">
        <f t="shared" si="253"/>
        <v>0</v>
      </c>
      <c r="CR238" s="301">
        <f>[1]COMMANDE!AU236</f>
        <v>0</v>
      </c>
      <c r="CS238" s="297" t="str">
        <f t="shared" si="254"/>
        <v>0</v>
      </c>
      <c r="CT238" s="298">
        <f t="shared" si="255"/>
        <v>0</v>
      </c>
      <c r="CU238" s="299">
        <f>[1]COMMANDE!AW236</f>
        <v>0</v>
      </c>
      <c r="CV238" s="297" t="str">
        <f t="shared" si="256"/>
        <v>0</v>
      </c>
      <c r="CW238" s="300">
        <f t="shared" si="257"/>
        <v>0</v>
      </c>
      <c r="CX238" s="301">
        <f>[1]COMMANDE!AY236</f>
        <v>0</v>
      </c>
      <c r="CY238" s="297" t="str">
        <f t="shared" si="258"/>
        <v>0</v>
      </c>
      <c r="CZ238" s="298">
        <f t="shared" si="259"/>
        <v>0</v>
      </c>
      <c r="DA238" s="299">
        <f>[1]COMMANDE!BA236</f>
        <v>0</v>
      </c>
      <c r="DB238" s="297" t="str">
        <f t="shared" si="260"/>
        <v>0</v>
      </c>
      <c r="DC238" s="302">
        <f t="shared" si="261"/>
        <v>0</v>
      </c>
      <c r="DD238" s="303"/>
      <c r="DE238" s="304"/>
    </row>
    <row r="239" spans="1:109" ht="39.950000000000003" customHeight="1" x14ac:dyDescent="0.25">
      <c r="A239" s="307">
        <f t="shared" si="140"/>
        <v>0</v>
      </c>
      <c r="B239" s="307">
        <f t="shared" si="141"/>
        <v>0</v>
      </c>
      <c r="C239" s="307">
        <f t="shared" si="142"/>
        <v>0</v>
      </c>
      <c r="D239" s="307">
        <f t="shared" si="143"/>
        <v>0</v>
      </c>
      <c r="E239" s="307">
        <f t="shared" si="144"/>
        <v>0</v>
      </c>
      <c r="F239" s="307">
        <f t="shared" si="145"/>
        <v>0</v>
      </c>
      <c r="G239" s="307">
        <f t="shared" si="146"/>
        <v>0</v>
      </c>
      <c r="H239" s="307">
        <f t="shared" si="147"/>
        <v>0</v>
      </c>
      <c r="I239" s="307">
        <f t="shared" si="148"/>
        <v>0</v>
      </c>
      <c r="J239" s="307">
        <f t="shared" si="149"/>
        <v>0</v>
      </c>
      <c r="K239" s="307">
        <f t="shared" si="150"/>
        <v>0</v>
      </c>
      <c r="L239" s="307">
        <f t="shared" si="151"/>
        <v>0</v>
      </c>
      <c r="M239" s="307">
        <f t="shared" si="152"/>
        <v>0</v>
      </c>
      <c r="N239" s="307">
        <f t="shared" si="153"/>
        <v>0</v>
      </c>
      <c r="O239" s="307">
        <f t="shared" si="154"/>
        <v>0</v>
      </c>
      <c r="P239" s="284">
        <f t="shared" si="209"/>
        <v>0</v>
      </c>
      <c r="Q239" s="284">
        <f t="shared" si="210"/>
        <v>0</v>
      </c>
      <c r="R239" s="284">
        <f t="shared" si="211"/>
        <v>0</v>
      </c>
      <c r="S239" s="284">
        <f t="shared" si="212"/>
        <v>0</v>
      </c>
      <c r="T239" s="284">
        <f t="shared" si="213"/>
        <v>0</v>
      </c>
      <c r="U239" s="285">
        <f t="shared" si="214"/>
        <v>0</v>
      </c>
      <c r="V239" s="286">
        <f>[1]BDD!A229</f>
        <v>1073</v>
      </c>
      <c r="W239" s="287" t="str">
        <f>[1]BDD!B229</f>
        <v>Raisin sec Sultana BIO
    - (env. 1kg)</v>
      </c>
      <c r="X239" s="288" t="str">
        <f>IF([1]BDD!F229=0, "", [1]BDD!F229)</f>
        <v>❤️</v>
      </c>
      <c r="Y239" s="214">
        <f>ROUND([1]BDD!G229+FDP_CMD_KG, 2)</f>
        <v>7.69</v>
      </c>
      <c r="Z239" s="214">
        <f>ROUND([1]BDD!G229+FDP_FACT_KG, 2)</f>
        <v>7.69</v>
      </c>
      <c r="AA239" s="215" t="str">
        <f>[1]BDD!H229</f>
        <v>Pièce</v>
      </c>
      <c r="AB239" s="225">
        <f>IF(NOT(ISBLANK([1]BDD!I229)), ROUND(SUM(([1]BDD!G229*reduc1),FDP_CMD_KG), 2), "")</f>
        <v>7.01</v>
      </c>
      <c r="AC239" s="225">
        <f>IF(NOT(ISBLANK([1]BDD!J229)), ROUND(SUM(([1]BDD!G229*reduc2),FDP_CMD_KG), 2), "")</f>
        <v>6.33</v>
      </c>
      <c r="AD239" s="225" t="str">
        <f>IF(NOT(ISBLANK([1]BDD!K229)), ROUND(SUM(([1]BDD!G229*reduc3),FDP_CMD_KG), 2), "")</f>
        <v/>
      </c>
      <c r="AE239" s="225">
        <f>IF(NOT(ISBLANK([1]BDD!I229)), ROUND(SUM(([1]BDD!G229*reduc1),FDP_FACT_KG), 2), "")</f>
        <v>7</v>
      </c>
      <c r="AF239" s="225">
        <f>IF(NOT(ISBLANK([1]BDD!J229)), ROUND(SUM(([1]BDD!G229*reduc2),FDP_FACT_KG), 2), "")</f>
        <v>6.32</v>
      </c>
      <c r="AG239" s="225" t="str">
        <f>IF(NOT(ISBLANK([1]BDD!K229)), ROUND(SUM(([1]BDD!G229*reduc3),FDP_FACT_KG), 2), "")</f>
        <v/>
      </c>
      <c r="AH239" s="289" t="str">
        <f>[1]BDD!C229</f>
        <v>Turquie</v>
      </c>
      <c r="AI239" s="290">
        <f t="shared" si="215"/>
        <v>0</v>
      </c>
      <c r="AJ239" s="216">
        <f t="shared" si="216"/>
        <v>6.33</v>
      </c>
      <c r="AK239" s="291">
        <f t="shared" si="217"/>
        <v>0</v>
      </c>
      <c r="AL239" s="429"/>
      <c r="AM239" s="292"/>
      <c r="AN239" s="216">
        <f t="shared" si="218"/>
        <v>7.69</v>
      </c>
      <c r="AO239" s="293">
        <f t="shared" si="219"/>
        <v>0</v>
      </c>
      <c r="AP239" s="294"/>
      <c r="AQ239" s="294"/>
      <c r="AR239" s="429"/>
      <c r="AS239" s="295">
        <f t="shared" si="220"/>
        <v>0</v>
      </c>
      <c r="AT239" s="216">
        <f t="shared" si="221"/>
        <v>7.69</v>
      </c>
      <c r="AU239" s="291">
        <f t="shared" si="208"/>
        <v>0</v>
      </c>
      <c r="AV239" s="296">
        <f>[1]COMMANDE!O237</f>
        <v>0</v>
      </c>
      <c r="AW239" s="297" t="str">
        <f t="shared" si="222"/>
        <v>0</v>
      </c>
      <c r="AX239" s="298">
        <f t="shared" si="223"/>
        <v>0</v>
      </c>
      <c r="AY239" s="299">
        <f>[1]COMMANDE!Q237</f>
        <v>0</v>
      </c>
      <c r="AZ239" s="297" t="str">
        <f t="shared" si="224"/>
        <v>0</v>
      </c>
      <c r="BA239" s="300">
        <f t="shared" si="225"/>
        <v>0</v>
      </c>
      <c r="BB239" s="301">
        <f>[1]COMMANDE!S237</f>
        <v>0</v>
      </c>
      <c r="BC239" s="297" t="str">
        <f t="shared" si="226"/>
        <v>0</v>
      </c>
      <c r="BD239" s="298">
        <f t="shared" si="227"/>
        <v>0</v>
      </c>
      <c r="BE239" s="299">
        <f>[1]COMMANDE!U237</f>
        <v>0</v>
      </c>
      <c r="BF239" s="297" t="str">
        <f t="shared" si="228"/>
        <v>0</v>
      </c>
      <c r="BG239" s="300">
        <f t="shared" si="229"/>
        <v>0</v>
      </c>
      <c r="BH239" s="301">
        <f>[1]COMMANDE!W237</f>
        <v>0</v>
      </c>
      <c r="BI239" s="297" t="str">
        <f t="shared" si="230"/>
        <v>0</v>
      </c>
      <c r="BJ239" s="298">
        <f t="shared" si="231"/>
        <v>0</v>
      </c>
      <c r="BK239" s="299">
        <f>[1]COMMANDE!Y237</f>
        <v>0</v>
      </c>
      <c r="BL239" s="297" t="str">
        <f t="shared" si="232"/>
        <v>0</v>
      </c>
      <c r="BM239" s="300">
        <f t="shared" si="233"/>
        <v>0</v>
      </c>
      <c r="BN239" s="301">
        <f>[1]COMMANDE!AA237</f>
        <v>0</v>
      </c>
      <c r="BO239" s="297" t="str">
        <f t="shared" si="234"/>
        <v>0</v>
      </c>
      <c r="BP239" s="298">
        <f t="shared" si="235"/>
        <v>0</v>
      </c>
      <c r="BQ239" s="299">
        <f>[1]COMMANDE!AC237</f>
        <v>0</v>
      </c>
      <c r="BR239" s="297" t="str">
        <f t="shared" si="236"/>
        <v>0</v>
      </c>
      <c r="BS239" s="300">
        <f t="shared" si="237"/>
        <v>0</v>
      </c>
      <c r="BT239" s="301">
        <f>[1]COMMANDE!AE237</f>
        <v>0</v>
      </c>
      <c r="BU239" s="297" t="str">
        <f t="shared" si="238"/>
        <v>0</v>
      </c>
      <c r="BV239" s="298">
        <f t="shared" si="239"/>
        <v>0</v>
      </c>
      <c r="BW239" s="299">
        <f>[1]COMMANDE!AG237</f>
        <v>0</v>
      </c>
      <c r="BX239" s="297" t="str">
        <f t="shared" si="240"/>
        <v>0</v>
      </c>
      <c r="BY239" s="300">
        <f t="shared" si="241"/>
        <v>0</v>
      </c>
      <c r="BZ239" s="301">
        <f>[1]COMMANDE!AI237</f>
        <v>0</v>
      </c>
      <c r="CA239" s="297" t="str">
        <f t="shared" si="242"/>
        <v>0</v>
      </c>
      <c r="CB239" s="298">
        <f t="shared" si="243"/>
        <v>0</v>
      </c>
      <c r="CC239" s="299">
        <f>[1]COMMANDE!AK237</f>
        <v>0</v>
      </c>
      <c r="CD239" s="297" t="str">
        <f t="shared" si="244"/>
        <v>0</v>
      </c>
      <c r="CE239" s="300">
        <f t="shared" si="245"/>
        <v>0</v>
      </c>
      <c r="CF239" s="301">
        <f>[1]COMMANDE!AM237</f>
        <v>0</v>
      </c>
      <c r="CG239" s="297" t="str">
        <f t="shared" si="246"/>
        <v>0</v>
      </c>
      <c r="CH239" s="298">
        <f t="shared" si="247"/>
        <v>0</v>
      </c>
      <c r="CI239" s="299">
        <f>[1]COMMANDE!AO237</f>
        <v>0</v>
      </c>
      <c r="CJ239" s="297" t="str">
        <f t="shared" si="248"/>
        <v>0</v>
      </c>
      <c r="CK239" s="300">
        <f t="shared" si="249"/>
        <v>0</v>
      </c>
      <c r="CL239" s="301">
        <f>[1]COMMANDE!AQ237</f>
        <v>0</v>
      </c>
      <c r="CM239" s="297" t="str">
        <f t="shared" si="250"/>
        <v>0</v>
      </c>
      <c r="CN239" s="298">
        <f t="shared" si="251"/>
        <v>0</v>
      </c>
      <c r="CO239" s="299">
        <f>[1]COMMANDE!AS237</f>
        <v>0</v>
      </c>
      <c r="CP239" s="297" t="str">
        <f t="shared" si="252"/>
        <v>0</v>
      </c>
      <c r="CQ239" s="300">
        <f t="shared" si="253"/>
        <v>0</v>
      </c>
      <c r="CR239" s="301">
        <f>[1]COMMANDE!AU237</f>
        <v>0</v>
      </c>
      <c r="CS239" s="297" t="str">
        <f t="shared" si="254"/>
        <v>0</v>
      </c>
      <c r="CT239" s="298">
        <f t="shared" si="255"/>
        <v>0</v>
      </c>
      <c r="CU239" s="299">
        <f>[1]COMMANDE!AW237</f>
        <v>0</v>
      </c>
      <c r="CV239" s="297" t="str">
        <f t="shared" si="256"/>
        <v>0</v>
      </c>
      <c r="CW239" s="300">
        <f t="shared" si="257"/>
        <v>0</v>
      </c>
      <c r="CX239" s="301">
        <f>[1]COMMANDE!AY237</f>
        <v>0</v>
      </c>
      <c r="CY239" s="297" t="str">
        <f t="shared" si="258"/>
        <v>0</v>
      </c>
      <c r="CZ239" s="298">
        <f t="shared" si="259"/>
        <v>0</v>
      </c>
      <c r="DA239" s="299">
        <f>[1]COMMANDE!BA237</f>
        <v>0</v>
      </c>
      <c r="DB239" s="297" t="str">
        <f t="shared" si="260"/>
        <v>0</v>
      </c>
      <c r="DC239" s="302">
        <f t="shared" si="261"/>
        <v>0</v>
      </c>
      <c r="DD239" s="303"/>
      <c r="DE239" s="304"/>
    </row>
    <row r="240" spans="1:109" ht="39.950000000000003" customHeight="1" x14ac:dyDescent="0.25">
      <c r="A240" s="284">
        <f t="shared" si="140"/>
        <v>0</v>
      </c>
      <c r="B240" s="284">
        <f t="shared" si="141"/>
        <v>0</v>
      </c>
      <c r="C240" s="284">
        <f t="shared" si="142"/>
        <v>0</v>
      </c>
      <c r="D240" s="284">
        <f t="shared" si="143"/>
        <v>0</v>
      </c>
      <c r="E240" s="284">
        <f t="shared" si="144"/>
        <v>0</v>
      </c>
      <c r="F240" s="284">
        <f t="shared" si="145"/>
        <v>0</v>
      </c>
      <c r="G240" s="284">
        <f t="shared" si="146"/>
        <v>0</v>
      </c>
      <c r="H240" s="284">
        <f t="shared" si="147"/>
        <v>0</v>
      </c>
      <c r="I240" s="284">
        <f t="shared" si="148"/>
        <v>0</v>
      </c>
      <c r="J240" s="284">
        <f t="shared" si="149"/>
        <v>0</v>
      </c>
      <c r="K240" s="284">
        <f t="shared" si="150"/>
        <v>0</v>
      </c>
      <c r="L240" s="284">
        <f t="shared" si="151"/>
        <v>0</v>
      </c>
      <c r="M240" s="284">
        <f t="shared" si="152"/>
        <v>0</v>
      </c>
      <c r="N240" s="284">
        <f t="shared" si="153"/>
        <v>0</v>
      </c>
      <c r="O240" s="284">
        <f t="shared" si="154"/>
        <v>0</v>
      </c>
      <c r="P240" s="284">
        <f t="shared" si="209"/>
        <v>0</v>
      </c>
      <c r="Q240" s="284">
        <f t="shared" si="210"/>
        <v>0</v>
      </c>
      <c r="R240" s="284">
        <f t="shared" si="211"/>
        <v>0</v>
      </c>
      <c r="S240" s="284">
        <f t="shared" si="212"/>
        <v>0</v>
      </c>
      <c r="T240" s="284">
        <f t="shared" si="213"/>
        <v>0</v>
      </c>
      <c r="U240" s="285">
        <f t="shared" si="214"/>
        <v>0</v>
      </c>
      <c r="V240" s="286">
        <f>[1]BDD!A230</f>
        <v>3752</v>
      </c>
      <c r="W240" s="287" t="str">
        <f>[1]BDD!B230</f>
        <v>Raisins semi -secs Muscat en grains 
    - séchage passif naturel (env. 500g)</v>
      </c>
      <c r="X240" s="288" t="str">
        <f>IF([1]BDD!F230=0, "", [1]BDD!F230)</f>
        <v>❤️</v>
      </c>
      <c r="Y240" s="214">
        <f>ROUND([1]BDD!G230+FDP_CMD_KG, 2)</f>
        <v>6.75</v>
      </c>
      <c r="Z240" s="214">
        <f>ROUND([1]BDD!G230+FDP_FACT_KG, 2)</f>
        <v>6.75</v>
      </c>
      <c r="AA240" s="215" t="str">
        <f>[1]BDD!H230</f>
        <v>Pièce</v>
      </c>
      <c r="AB240" s="225" t="str">
        <f>IF(NOT(ISBLANK([1]BDD!I230)), ROUND(SUM(([1]BDD!G230*reduc1),FDP_CMD_KG), 2), "")</f>
        <v/>
      </c>
      <c r="AC240" s="225" t="str">
        <f>IF(NOT(ISBLANK([1]BDD!J230)), ROUND(SUM(([1]BDD!G230*reduc2),FDP_CMD_KG), 2), "")</f>
        <v/>
      </c>
      <c r="AD240" s="225" t="str">
        <f>IF(NOT(ISBLANK([1]BDD!K230)), ROUND(SUM(([1]BDD!G230*reduc3),FDP_CMD_KG), 2), "")</f>
        <v/>
      </c>
      <c r="AE240" s="225" t="str">
        <f>IF(NOT(ISBLANK([1]BDD!I230)), ROUND(SUM(([1]BDD!G230*reduc1),FDP_FACT_KG), 2), "")</f>
        <v/>
      </c>
      <c r="AF240" s="225" t="str">
        <f>IF(NOT(ISBLANK([1]BDD!J230)), ROUND(SUM(([1]BDD!G230*reduc2),FDP_FACT_KG), 2), "")</f>
        <v/>
      </c>
      <c r="AG240" s="225" t="str">
        <f>IF(NOT(ISBLANK([1]BDD!K230)), ROUND(SUM(([1]BDD!G230*reduc3),FDP_FACT_KG), 2), "")</f>
        <v/>
      </c>
      <c r="AH240" s="289" t="str">
        <f>[1]BDD!C230</f>
        <v>Malaga</v>
      </c>
      <c r="AI240" s="290">
        <f t="shared" si="215"/>
        <v>0</v>
      </c>
      <c r="AJ240" s="216">
        <f t="shared" si="216"/>
        <v>6.75</v>
      </c>
      <c r="AK240" s="291">
        <f t="shared" si="217"/>
        <v>0</v>
      </c>
      <c r="AL240" s="429"/>
      <c r="AM240" s="292"/>
      <c r="AN240" s="216">
        <f t="shared" si="218"/>
        <v>6.75</v>
      </c>
      <c r="AO240" s="293">
        <f t="shared" si="219"/>
        <v>0</v>
      </c>
      <c r="AP240" s="294"/>
      <c r="AQ240" s="294"/>
      <c r="AR240" s="429"/>
      <c r="AS240" s="295">
        <f t="shared" si="220"/>
        <v>0</v>
      </c>
      <c r="AT240" s="216">
        <f t="shared" si="221"/>
        <v>6.75</v>
      </c>
      <c r="AU240" s="291">
        <f t="shared" si="208"/>
        <v>0</v>
      </c>
      <c r="AV240" s="296">
        <f>[1]COMMANDE!O238</f>
        <v>0</v>
      </c>
      <c r="AW240" s="297" t="str">
        <f t="shared" si="222"/>
        <v>0</v>
      </c>
      <c r="AX240" s="298">
        <f t="shared" si="223"/>
        <v>0</v>
      </c>
      <c r="AY240" s="299">
        <f>[1]COMMANDE!Q238</f>
        <v>0</v>
      </c>
      <c r="AZ240" s="297" t="str">
        <f t="shared" si="224"/>
        <v>0</v>
      </c>
      <c r="BA240" s="300">
        <f t="shared" si="225"/>
        <v>0</v>
      </c>
      <c r="BB240" s="301">
        <f>[1]COMMANDE!S238</f>
        <v>0</v>
      </c>
      <c r="BC240" s="297" t="str">
        <f t="shared" si="226"/>
        <v>0</v>
      </c>
      <c r="BD240" s="298">
        <f t="shared" si="227"/>
        <v>0</v>
      </c>
      <c r="BE240" s="299">
        <f>[1]COMMANDE!U238</f>
        <v>0</v>
      </c>
      <c r="BF240" s="297" t="str">
        <f t="shared" si="228"/>
        <v>0</v>
      </c>
      <c r="BG240" s="300">
        <f t="shared" si="229"/>
        <v>0</v>
      </c>
      <c r="BH240" s="301">
        <f>[1]COMMANDE!W238</f>
        <v>0</v>
      </c>
      <c r="BI240" s="297" t="str">
        <f t="shared" si="230"/>
        <v>0</v>
      </c>
      <c r="BJ240" s="298">
        <f t="shared" si="231"/>
        <v>0</v>
      </c>
      <c r="BK240" s="299">
        <f>[1]COMMANDE!Y238</f>
        <v>0</v>
      </c>
      <c r="BL240" s="297" t="str">
        <f t="shared" si="232"/>
        <v>0</v>
      </c>
      <c r="BM240" s="300">
        <f t="shared" si="233"/>
        <v>0</v>
      </c>
      <c r="BN240" s="301">
        <f>[1]COMMANDE!AA238</f>
        <v>0</v>
      </c>
      <c r="BO240" s="297" t="str">
        <f t="shared" si="234"/>
        <v>0</v>
      </c>
      <c r="BP240" s="298">
        <f t="shared" si="235"/>
        <v>0</v>
      </c>
      <c r="BQ240" s="299">
        <f>[1]COMMANDE!AC238</f>
        <v>0</v>
      </c>
      <c r="BR240" s="297" t="str">
        <f t="shared" si="236"/>
        <v>0</v>
      </c>
      <c r="BS240" s="300">
        <f t="shared" si="237"/>
        <v>0</v>
      </c>
      <c r="BT240" s="301">
        <f>[1]COMMANDE!AE238</f>
        <v>0</v>
      </c>
      <c r="BU240" s="297" t="str">
        <f t="shared" si="238"/>
        <v>0</v>
      </c>
      <c r="BV240" s="298">
        <f t="shared" si="239"/>
        <v>0</v>
      </c>
      <c r="BW240" s="299">
        <f>[1]COMMANDE!AG238</f>
        <v>0</v>
      </c>
      <c r="BX240" s="297" t="str">
        <f t="shared" si="240"/>
        <v>0</v>
      </c>
      <c r="BY240" s="300">
        <f t="shared" si="241"/>
        <v>0</v>
      </c>
      <c r="BZ240" s="301">
        <f>[1]COMMANDE!AI238</f>
        <v>0</v>
      </c>
      <c r="CA240" s="297" t="str">
        <f t="shared" si="242"/>
        <v>0</v>
      </c>
      <c r="CB240" s="298">
        <f t="shared" si="243"/>
        <v>0</v>
      </c>
      <c r="CC240" s="299">
        <f>[1]COMMANDE!AK238</f>
        <v>0</v>
      </c>
      <c r="CD240" s="297" t="str">
        <f t="shared" si="244"/>
        <v>0</v>
      </c>
      <c r="CE240" s="300">
        <f t="shared" si="245"/>
        <v>0</v>
      </c>
      <c r="CF240" s="301">
        <f>[1]COMMANDE!AM238</f>
        <v>0</v>
      </c>
      <c r="CG240" s="297" t="str">
        <f t="shared" si="246"/>
        <v>0</v>
      </c>
      <c r="CH240" s="298">
        <f t="shared" si="247"/>
        <v>0</v>
      </c>
      <c r="CI240" s="299">
        <f>[1]COMMANDE!AO238</f>
        <v>0</v>
      </c>
      <c r="CJ240" s="297" t="str">
        <f t="shared" si="248"/>
        <v>0</v>
      </c>
      <c r="CK240" s="300">
        <f t="shared" si="249"/>
        <v>0</v>
      </c>
      <c r="CL240" s="301">
        <f>[1]COMMANDE!AQ238</f>
        <v>0</v>
      </c>
      <c r="CM240" s="297" t="str">
        <f t="shared" si="250"/>
        <v>0</v>
      </c>
      <c r="CN240" s="298">
        <f t="shared" si="251"/>
        <v>0</v>
      </c>
      <c r="CO240" s="299">
        <f>[1]COMMANDE!AS238</f>
        <v>0</v>
      </c>
      <c r="CP240" s="297" t="str">
        <f t="shared" si="252"/>
        <v>0</v>
      </c>
      <c r="CQ240" s="300">
        <f t="shared" si="253"/>
        <v>0</v>
      </c>
      <c r="CR240" s="301">
        <f>[1]COMMANDE!AU238</f>
        <v>0</v>
      </c>
      <c r="CS240" s="297" t="str">
        <f t="shared" si="254"/>
        <v>0</v>
      </c>
      <c r="CT240" s="298">
        <f t="shared" si="255"/>
        <v>0</v>
      </c>
      <c r="CU240" s="299">
        <f>[1]COMMANDE!AW238</f>
        <v>0</v>
      </c>
      <c r="CV240" s="297" t="str">
        <f t="shared" si="256"/>
        <v>0</v>
      </c>
      <c r="CW240" s="300">
        <f t="shared" si="257"/>
        <v>0</v>
      </c>
      <c r="CX240" s="301">
        <f>[1]COMMANDE!AY238</f>
        <v>0</v>
      </c>
      <c r="CY240" s="297" t="str">
        <f t="shared" si="258"/>
        <v>0</v>
      </c>
      <c r="CZ240" s="298">
        <f t="shared" si="259"/>
        <v>0</v>
      </c>
      <c r="DA240" s="299">
        <f>[1]COMMANDE!BA238</f>
        <v>0</v>
      </c>
      <c r="DB240" s="297" t="str">
        <f t="shared" si="260"/>
        <v>0</v>
      </c>
      <c r="DC240" s="302">
        <f t="shared" si="261"/>
        <v>0</v>
      </c>
      <c r="DD240" s="303"/>
      <c r="DE240" s="304"/>
    </row>
    <row r="241" spans="1:109" ht="39.950000000000003" customHeight="1" x14ac:dyDescent="0.25">
      <c r="A241" s="284">
        <f t="shared" si="140"/>
        <v>0</v>
      </c>
      <c r="B241" s="284">
        <f t="shared" si="141"/>
        <v>0</v>
      </c>
      <c r="C241" s="284">
        <f t="shared" si="142"/>
        <v>0</v>
      </c>
      <c r="D241" s="284">
        <f t="shared" si="143"/>
        <v>0</v>
      </c>
      <c r="E241" s="284">
        <f t="shared" si="144"/>
        <v>0</v>
      </c>
      <c r="F241" s="284">
        <f t="shared" si="145"/>
        <v>0</v>
      </c>
      <c r="G241" s="284">
        <f t="shared" si="146"/>
        <v>0</v>
      </c>
      <c r="H241" s="284">
        <f t="shared" si="147"/>
        <v>0</v>
      </c>
      <c r="I241" s="284">
        <f t="shared" si="148"/>
        <v>0</v>
      </c>
      <c r="J241" s="284">
        <f t="shared" si="149"/>
        <v>0</v>
      </c>
      <c r="K241" s="284">
        <f t="shared" si="150"/>
        <v>0</v>
      </c>
      <c r="L241" s="284">
        <f t="shared" si="151"/>
        <v>0</v>
      </c>
      <c r="M241" s="284">
        <f t="shared" si="152"/>
        <v>0</v>
      </c>
      <c r="N241" s="284">
        <f t="shared" si="153"/>
        <v>0</v>
      </c>
      <c r="O241" s="284">
        <f t="shared" si="154"/>
        <v>0</v>
      </c>
      <c r="P241" s="284">
        <f t="shared" si="209"/>
        <v>0</v>
      </c>
      <c r="Q241" s="284">
        <f t="shared" si="210"/>
        <v>0</v>
      </c>
      <c r="R241" s="284">
        <f t="shared" si="211"/>
        <v>0</v>
      </c>
      <c r="S241" s="284">
        <f t="shared" si="212"/>
        <v>0</v>
      </c>
      <c r="T241" s="284">
        <f t="shared" si="213"/>
        <v>0</v>
      </c>
      <c r="U241" s="285">
        <f t="shared" si="214"/>
        <v>0</v>
      </c>
      <c r="V241" s="286">
        <f>[1]BDD!A231</f>
        <v>1694</v>
      </c>
      <c r="W241" s="287" t="str">
        <f>[1]BDD!B231</f>
        <v>Reishi en poudre CRU BIO (env. 200g)</v>
      </c>
      <c r="X241" s="288" t="str">
        <f>IF([1]BDD!F231=0, "", [1]BDD!F231)</f>
        <v/>
      </c>
      <c r="Y241" s="214">
        <f>ROUND([1]BDD!G231+FDP_CMD_KG, 2)</f>
        <v>21.39</v>
      </c>
      <c r="Z241" s="214">
        <f>ROUND([1]BDD!G231+FDP_FACT_KG, 2)</f>
        <v>21.39</v>
      </c>
      <c r="AA241" s="215" t="str">
        <f>[1]BDD!H231</f>
        <v>Pièce</v>
      </c>
      <c r="AB241" s="225">
        <f>IF(NOT(ISBLANK([1]BDD!I231)), ROUND(SUM(([1]BDD!G231*reduc1),FDP_CMD_KG), 2), "")</f>
        <v>19.34</v>
      </c>
      <c r="AC241" s="225" t="str">
        <f>IF(NOT(ISBLANK([1]BDD!J231)), ROUND(SUM(([1]BDD!G231*reduc2),FDP_CMD_KG), 2), "")</f>
        <v/>
      </c>
      <c r="AD241" s="225" t="str">
        <f>IF(NOT(ISBLANK([1]BDD!K231)), ROUND(SUM(([1]BDD!G231*reduc3),FDP_CMD_KG), 2), "")</f>
        <v/>
      </c>
      <c r="AE241" s="225">
        <f>IF(NOT(ISBLANK([1]BDD!I231)), ROUND(SUM(([1]BDD!G231*reduc1),FDP_FACT_KG), 2), "")</f>
        <v>19.329999999999998</v>
      </c>
      <c r="AF241" s="225" t="str">
        <f>IF(NOT(ISBLANK([1]BDD!J231)), ROUND(SUM(([1]BDD!G231*reduc2),FDP_FACT_KG), 2), "")</f>
        <v/>
      </c>
      <c r="AG241" s="225" t="str">
        <f>IF(NOT(ISBLANK([1]BDD!K231)), ROUND(SUM(([1]BDD!G231*reduc3),FDP_FACT_KG), 2), "")</f>
        <v/>
      </c>
      <c r="AH241" s="289" t="str">
        <f>[1]BDD!C231</f>
        <v>Import</v>
      </c>
      <c r="AI241" s="290">
        <f t="shared" si="215"/>
        <v>0</v>
      </c>
      <c r="AJ241" s="216">
        <f t="shared" si="216"/>
        <v>19.34</v>
      </c>
      <c r="AK241" s="291">
        <f t="shared" si="217"/>
        <v>0</v>
      </c>
      <c r="AL241" s="429"/>
      <c r="AM241" s="292"/>
      <c r="AN241" s="216">
        <f t="shared" si="218"/>
        <v>21.39</v>
      </c>
      <c r="AO241" s="293">
        <f t="shared" si="219"/>
        <v>0</v>
      </c>
      <c r="AP241" s="294"/>
      <c r="AQ241" s="294"/>
      <c r="AR241" s="429"/>
      <c r="AS241" s="295">
        <f t="shared" si="220"/>
        <v>0</v>
      </c>
      <c r="AT241" s="216">
        <f t="shared" si="221"/>
        <v>21.39</v>
      </c>
      <c r="AU241" s="291">
        <f t="shared" si="208"/>
        <v>0</v>
      </c>
      <c r="AV241" s="296">
        <f>[1]COMMANDE!O239</f>
        <v>0</v>
      </c>
      <c r="AW241" s="297" t="str">
        <f t="shared" si="222"/>
        <v>0</v>
      </c>
      <c r="AX241" s="298">
        <f t="shared" si="223"/>
        <v>0</v>
      </c>
      <c r="AY241" s="299">
        <f>[1]COMMANDE!Q239</f>
        <v>0</v>
      </c>
      <c r="AZ241" s="297" t="str">
        <f t="shared" si="224"/>
        <v>0</v>
      </c>
      <c r="BA241" s="300">
        <f t="shared" si="225"/>
        <v>0</v>
      </c>
      <c r="BB241" s="301">
        <f>[1]COMMANDE!S239</f>
        <v>0</v>
      </c>
      <c r="BC241" s="297" t="str">
        <f t="shared" si="226"/>
        <v>0</v>
      </c>
      <c r="BD241" s="298">
        <f t="shared" si="227"/>
        <v>0</v>
      </c>
      <c r="BE241" s="299">
        <f>[1]COMMANDE!U239</f>
        <v>0</v>
      </c>
      <c r="BF241" s="297" t="str">
        <f t="shared" si="228"/>
        <v>0</v>
      </c>
      <c r="BG241" s="300">
        <f t="shared" si="229"/>
        <v>0</v>
      </c>
      <c r="BH241" s="301">
        <f>[1]COMMANDE!W239</f>
        <v>0</v>
      </c>
      <c r="BI241" s="297" t="str">
        <f t="shared" si="230"/>
        <v>0</v>
      </c>
      <c r="BJ241" s="298">
        <f t="shared" si="231"/>
        <v>0</v>
      </c>
      <c r="BK241" s="299">
        <f>[1]COMMANDE!Y239</f>
        <v>0</v>
      </c>
      <c r="BL241" s="297" t="str">
        <f t="shared" si="232"/>
        <v>0</v>
      </c>
      <c r="BM241" s="300">
        <f t="shared" si="233"/>
        <v>0</v>
      </c>
      <c r="BN241" s="301">
        <f>[1]COMMANDE!AA239</f>
        <v>0</v>
      </c>
      <c r="BO241" s="297" t="str">
        <f t="shared" si="234"/>
        <v>0</v>
      </c>
      <c r="BP241" s="298">
        <f t="shared" si="235"/>
        <v>0</v>
      </c>
      <c r="BQ241" s="299">
        <f>[1]COMMANDE!AC239</f>
        <v>0</v>
      </c>
      <c r="BR241" s="297" t="str">
        <f t="shared" si="236"/>
        <v>0</v>
      </c>
      <c r="BS241" s="300">
        <f t="shared" si="237"/>
        <v>0</v>
      </c>
      <c r="BT241" s="301">
        <f>[1]COMMANDE!AE239</f>
        <v>0</v>
      </c>
      <c r="BU241" s="297" t="str">
        <f t="shared" si="238"/>
        <v>0</v>
      </c>
      <c r="BV241" s="298">
        <f t="shared" si="239"/>
        <v>0</v>
      </c>
      <c r="BW241" s="299">
        <f>[1]COMMANDE!AG239</f>
        <v>0</v>
      </c>
      <c r="BX241" s="297" t="str">
        <f t="shared" si="240"/>
        <v>0</v>
      </c>
      <c r="BY241" s="300">
        <f t="shared" si="241"/>
        <v>0</v>
      </c>
      <c r="BZ241" s="301">
        <f>[1]COMMANDE!AI239</f>
        <v>0</v>
      </c>
      <c r="CA241" s="297" t="str">
        <f t="shared" si="242"/>
        <v>0</v>
      </c>
      <c r="CB241" s="298">
        <f t="shared" si="243"/>
        <v>0</v>
      </c>
      <c r="CC241" s="299">
        <f>[1]COMMANDE!AK239</f>
        <v>0</v>
      </c>
      <c r="CD241" s="297" t="str">
        <f t="shared" si="244"/>
        <v>0</v>
      </c>
      <c r="CE241" s="300">
        <f t="shared" si="245"/>
        <v>0</v>
      </c>
      <c r="CF241" s="301">
        <f>[1]COMMANDE!AM239</f>
        <v>0</v>
      </c>
      <c r="CG241" s="297" t="str">
        <f t="shared" si="246"/>
        <v>0</v>
      </c>
      <c r="CH241" s="298">
        <f t="shared" si="247"/>
        <v>0</v>
      </c>
      <c r="CI241" s="299">
        <f>[1]COMMANDE!AO239</f>
        <v>0</v>
      </c>
      <c r="CJ241" s="297" t="str">
        <f t="shared" si="248"/>
        <v>0</v>
      </c>
      <c r="CK241" s="300">
        <f t="shared" si="249"/>
        <v>0</v>
      </c>
      <c r="CL241" s="301">
        <f>[1]COMMANDE!AQ239</f>
        <v>0</v>
      </c>
      <c r="CM241" s="297" t="str">
        <f t="shared" si="250"/>
        <v>0</v>
      </c>
      <c r="CN241" s="298">
        <f t="shared" si="251"/>
        <v>0</v>
      </c>
      <c r="CO241" s="299">
        <f>[1]COMMANDE!AS239</f>
        <v>0</v>
      </c>
      <c r="CP241" s="297" t="str">
        <f t="shared" si="252"/>
        <v>0</v>
      </c>
      <c r="CQ241" s="300">
        <f t="shared" si="253"/>
        <v>0</v>
      </c>
      <c r="CR241" s="301">
        <f>[1]COMMANDE!AU239</f>
        <v>0</v>
      </c>
      <c r="CS241" s="297" t="str">
        <f t="shared" si="254"/>
        <v>0</v>
      </c>
      <c r="CT241" s="298">
        <f t="shared" si="255"/>
        <v>0</v>
      </c>
      <c r="CU241" s="299">
        <f>[1]COMMANDE!AW239</f>
        <v>0</v>
      </c>
      <c r="CV241" s="297" t="str">
        <f t="shared" si="256"/>
        <v>0</v>
      </c>
      <c r="CW241" s="300">
        <f t="shared" si="257"/>
        <v>0</v>
      </c>
      <c r="CX241" s="301">
        <f>[1]COMMANDE!AY239</f>
        <v>0</v>
      </c>
      <c r="CY241" s="297" t="str">
        <f t="shared" si="258"/>
        <v>0</v>
      </c>
      <c r="CZ241" s="298">
        <f t="shared" si="259"/>
        <v>0</v>
      </c>
      <c r="DA241" s="299">
        <f>[1]COMMANDE!BA239</f>
        <v>0</v>
      </c>
      <c r="DB241" s="297" t="str">
        <f t="shared" si="260"/>
        <v>0</v>
      </c>
      <c r="DC241" s="302">
        <f t="shared" si="261"/>
        <v>0</v>
      </c>
      <c r="DD241" s="303"/>
      <c r="DE241" s="304"/>
    </row>
    <row r="242" spans="1:109" ht="39.950000000000003" customHeight="1" x14ac:dyDescent="0.25">
      <c r="A242" s="284">
        <f t="shared" si="140"/>
        <v>0</v>
      </c>
      <c r="B242" s="284">
        <f t="shared" si="141"/>
        <v>0</v>
      </c>
      <c r="C242" s="284">
        <f t="shared" si="142"/>
        <v>0</v>
      </c>
      <c r="D242" s="284">
        <f t="shared" si="143"/>
        <v>0</v>
      </c>
      <c r="E242" s="284">
        <f t="shared" si="144"/>
        <v>0</v>
      </c>
      <c r="F242" s="284">
        <f t="shared" si="145"/>
        <v>0</v>
      </c>
      <c r="G242" s="284">
        <f t="shared" si="146"/>
        <v>0</v>
      </c>
      <c r="H242" s="284">
        <f t="shared" si="147"/>
        <v>0</v>
      </c>
      <c r="I242" s="284">
        <f t="shared" si="148"/>
        <v>0</v>
      </c>
      <c r="J242" s="284">
        <f t="shared" si="149"/>
        <v>0</v>
      </c>
      <c r="K242" s="284">
        <f t="shared" si="150"/>
        <v>0</v>
      </c>
      <c r="L242" s="284">
        <f t="shared" si="151"/>
        <v>0</v>
      </c>
      <c r="M242" s="284">
        <f t="shared" si="152"/>
        <v>0</v>
      </c>
      <c r="N242" s="284">
        <f t="shared" si="153"/>
        <v>0</v>
      </c>
      <c r="O242" s="284">
        <f t="shared" si="154"/>
        <v>0</v>
      </c>
      <c r="P242" s="284">
        <f t="shared" si="209"/>
        <v>0</v>
      </c>
      <c r="Q242" s="284">
        <f t="shared" si="210"/>
        <v>0</v>
      </c>
      <c r="R242" s="284">
        <f t="shared" si="211"/>
        <v>0</v>
      </c>
      <c r="S242" s="284">
        <f t="shared" si="212"/>
        <v>0</v>
      </c>
      <c r="T242" s="284">
        <f t="shared" si="213"/>
        <v>0</v>
      </c>
      <c r="U242" s="285">
        <f t="shared" si="214"/>
        <v>0</v>
      </c>
      <c r="V242" s="286">
        <f>[1]BDD!A232</f>
        <v>3713</v>
      </c>
      <c r="W242" s="287" t="str">
        <f>[1]BDD!B232</f>
        <v>Sel rose de l'Himalaya moulu
    - (sous vide, env. 1kg)</v>
      </c>
      <c r="X242" s="288" t="str">
        <f>IF([1]BDD!F232=0, "", [1]BDD!F232)</f>
        <v>❤️</v>
      </c>
      <c r="Y242" s="214">
        <f>ROUND([1]BDD!G232+FDP_CMD_KG, 2)</f>
        <v>3.58</v>
      </c>
      <c r="Z242" s="214">
        <f>ROUND([1]BDD!G232+FDP_FACT_KG, 2)</f>
        <v>3.58</v>
      </c>
      <c r="AA242" s="215" t="str">
        <f>[1]BDD!H232</f>
        <v>kg</v>
      </c>
      <c r="AB242" s="225">
        <f>IF(NOT(ISBLANK([1]BDD!I232)), ROUND(SUM(([1]BDD!G232*reduc1),FDP_CMD_KG), 2), "")</f>
        <v>3.31</v>
      </c>
      <c r="AC242" s="225" t="str">
        <f>IF(NOT(ISBLANK([1]BDD!J232)), ROUND(SUM(([1]BDD!G232*reduc2),FDP_CMD_KG), 2), "")</f>
        <v/>
      </c>
      <c r="AD242" s="225" t="str">
        <f>IF(NOT(ISBLANK([1]BDD!K232)), ROUND(SUM(([1]BDD!G232*reduc3),FDP_CMD_KG), 2), "")</f>
        <v/>
      </c>
      <c r="AE242" s="225">
        <f>IF(NOT(ISBLANK([1]BDD!I232)), ROUND(SUM(([1]BDD!G232*reduc1),FDP_FACT_KG), 2), "")</f>
        <v>3.31</v>
      </c>
      <c r="AF242" s="225" t="str">
        <f>IF(NOT(ISBLANK([1]BDD!J232)), ROUND(SUM(([1]BDD!G232*reduc2),FDP_FACT_KG), 2), "")</f>
        <v/>
      </c>
      <c r="AG242" s="225" t="str">
        <f>IF(NOT(ISBLANK([1]BDD!K232)), ROUND(SUM(([1]BDD!G232*reduc3),FDP_FACT_KG), 2), "")</f>
        <v/>
      </c>
      <c r="AH242" s="289" t="str">
        <f>[1]BDD!C232</f>
        <v>Pakistan</v>
      </c>
      <c r="AI242" s="290">
        <f t="shared" si="215"/>
        <v>0</v>
      </c>
      <c r="AJ242" s="216">
        <f t="shared" si="216"/>
        <v>3.31</v>
      </c>
      <c r="AK242" s="291">
        <f t="shared" si="217"/>
        <v>0</v>
      </c>
      <c r="AL242" s="429"/>
      <c r="AM242" s="292"/>
      <c r="AN242" s="216">
        <f t="shared" si="218"/>
        <v>3.58</v>
      </c>
      <c r="AO242" s="293">
        <f t="shared" si="219"/>
        <v>0</v>
      </c>
      <c r="AP242" s="294"/>
      <c r="AQ242" s="294"/>
      <c r="AR242" s="429"/>
      <c r="AS242" s="295">
        <f t="shared" si="220"/>
        <v>0</v>
      </c>
      <c r="AT242" s="216">
        <f t="shared" si="221"/>
        <v>3.58</v>
      </c>
      <c r="AU242" s="291">
        <f t="shared" si="208"/>
        <v>0</v>
      </c>
      <c r="AV242" s="296">
        <f>[1]COMMANDE!O240</f>
        <v>0</v>
      </c>
      <c r="AW242" s="297" t="str">
        <f t="shared" si="222"/>
        <v>0</v>
      </c>
      <c r="AX242" s="298">
        <f t="shared" si="223"/>
        <v>0</v>
      </c>
      <c r="AY242" s="299">
        <f>[1]COMMANDE!Q240</f>
        <v>0</v>
      </c>
      <c r="AZ242" s="297" t="str">
        <f t="shared" si="224"/>
        <v>0</v>
      </c>
      <c r="BA242" s="300">
        <f t="shared" si="225"/>
        <v>0</v>
      </c>
      <c r="BB242" s="301">
        <f>[1]COMMANDE!S240</f>
        <v>0</v>
      </c>
      <c r="BC242" s="297" t="str">
        <f t="shared" si="226"/>
        <v>0</v>
      </c>
      <c r="BD242" s="298">
        <f t="shared" si="227"/>
        <v>0</v>
      </c>
      <c r="BE242" s="299">
        <f>[1]COMMANDE!U240</f>
        <v>0</v>
      </c>
      <c r="BF242" s="297" t="str">
        <f t="shared" si="228"/>
        <v>0</v>
      </c>
      <c r="BG242" s="300">
        <f t="shared" si="229"/>
        <v>0</v>
      </c>
      <c r="BH242" s="301">
        <f>[1]COMMANDE!W240</f>
        <v>0</v>
      </c>
      <c r="BI242" s="297" t="str">
        <f t="shared" si="230"/>
        <v>0</v>
      </c>
      <c r="BJ242" s="298">
        <f t="shared" si="231"/>
        <v>0</v>
      </c>
      <c r="BK242" s="299">
        <f>[1]COMMANDE!Y240</f>
        <v>0</v>
      </c>
      <c r="BL242" s="297" t="str">
        <f t="shared" si="232"/>
        <v>0</v>
      </c>
      <c r="BM242" s="300">
        <f t="shared" si="233"/>
        <v>0</v>
      </c>
      <c r="BN242" s="301">
        <f>[1]COMMANDE!AA240</f>
        <v>0</v>
      </c>
      <c r="BO242" s="297" t="str">
        <f t="shared" si="234"/>
        <v>0</v>
      </c>
      <c r="BP242" s="298">
        <f t="shared" si="235"/>
        <v>0</v>
      </c>
      <c r="BQ242" s="299">
        <f>[1]COMMANDE!AC240</f>
        <v>0</v>
      </c>
      <c r="BR242" s="297" t="str">
        <f t="shared" si="236"/>
        <v>0</v>
      </c>
      <c r="BS242" s="300">
        <f t="shared" si="237"/>
        <v>0</v>
      </c>
      <c r="BT242" s="301">
        <f>[1]COMMANDE!AE240</f>
        <v>0</v>
      </c>
      <c r="BU242" s="297" t="str">
        <f t="shared" si="238"/>
        <v>0</v>
      </c>
      <c r="BV242" s="298">
        <f t="shared" si="239"/>
        <v>0</v>
      </c>
      <c r="BW242" s="299">
        <f>[1]COMMANDE!AG240</f>
        <v>0</v>
      </c>
      <c r="BX242" s="297" t="str">
        <f t="shared" si="240"/>
        <v>0</v>
      </c>
      <c r="BY242" s="300">
        <f t="shared" si="241"/>
        <v>0</v>
      </c>
      <c r="BZ242" s="301">
        <f>[1]COMMANDE!AI240</f>
        <v>0</v>
      </c>
      <c r="CA242" s="297" t="str">
        <f t="shared" si="242"/>
        <v>0</v>
      </c>
      <c r="CB242" s="298">
        <f t="shared" si="243"/>
        <v>0</v>
      </c>
      <c r="CC242" s="299">
        <f>[1]COMMANDE!AK240</f>
        <v>0</v>
      </c>
      <c r="CD242" s="297" t="str">
        <f t="shared" si="244"/>
        <v>0</v>
      </c>
      <c r="CE242" s="300">
        <f t="shared" si="245"/>
        <v>0</v>
      </c>
      <c r="CF242" s="301">
        <f>[1]COMMANDE!AM240</f>
        <v>0</v>
      </c>
      <c r="CG242" s="297" t="str">
        <f t="shared" si="246"/>
        <v>0</v>
      </c>
      <c r="CH242" s="298">
        <f t="shared" si="247"/>
        <v>0</v>
      </c>
      <c r="CI242" s="299">
        <f>[1]COMMANDE!AO240</f>
        <v>0</v>
      </c>
      <c r="CJ242" s="297" t="str">
        <f t="shared" si="248"/>
        <v>0</v>
      </c>
      <c r="CK242" s="300">
        <f t="shared" si="249"/>
        <v>0</v>
      </c>
      <c r="CL242" s="301">
        <f>[1]COMMANDE!AQ240</f>
        <v>0</v>
      </c>
      <c r="CM242" s="297" t="str">
        <f t="shared" si="250"/>
        <v>0</v>
      </c>
      <c r="CN242" s="298">
        <f t="shared" si="251"/>
        <v>0</v>
      </c>
      <c r="CO242" s="299">
        <f>[1]COMMANDE!AS240</f>
        <v>0</v>
      </c>
      <c r="CP242" s="297" t="str">
        <f t="shared" si="252"/>
        <v>0</v>
      </c>
      <c r="CQ242" s="300">
        <f t="shared" si="253"/>
        <v>0</v>
      </c>
      <c r="CR242" s="301">
        <f>[1]COMMANDE!AU240</f>
        <v>0</v>
      </c>
      <c r="CS242" s="297" t="str">
        <f t="shared" si="254"/>
        <v>0</v>
      </c>
      <c r="CT242" s="298">
        <f t="shared" si="255"/>
        <v>0</v>
      </c>
      <c r="CU242" s="299">
        <f>[1]COMMANDE!AW240</f>
        <v>0</v>
      </c>
      <c r="CV242" s="297" t="str">
        <f t="shared" si="256"/>
        <v>0</v>
      </c>
      <c r="CW242" s="300">
        <f t="shared" si="257"/>
        <v>0</v>
      </c>
      <c r="CX242" s="301">
        <f>[1]COMMANDE!AY240</f>
        <v>0</v>
      </c>
      <c r="CY242" s="297" t="str">
        <f t="shared" si="258"/>
        <v>0</v>
      </c>
      <c r="CZ242" s="298">
        <f t="shared" si="259"/>
        <v>0</v>
      </c>
      <c r="DA242" s="299">
        <f>[1]COMMANDE!BA240</f>
        <v>0</v>
      </c>
      <c r="DB242" s="297" t="str">
        <f t="shared" si="260"/>
        <v>0</v>
      </c>
      <c r="DC242" s="302">
        <f t="shared" si="261"/>
        <v>0</v>
      </c>
      <c r="DD242" s="303"/>
      <c r="DE242" s="304"/>
    </row>
    <row r="243" spans="1:109" ht="39.950000000000003" customHeight="1" x14ac:dyDescent="0.25">
      <c r="A243" s="284">
        <f t="shared" si="140"/>
        <v>0</v>
      </c>
      <c r="B243" s="284">
        <f t="shared" si="141"/>
        <v>0</v>
      </c>
      <c r="C243" s="284">
        <f t="shared" si="142"/>
        <v>0</v>
      </c>
      <c r="D243" s="284">
        <f t="shared" si="143"/>
        <v>0</v>
      </c>
      <c r="E243" s="284">
        <f t="shared" si="144"/>
        <v>0</v>
      </c>
      <c r="F243" s="284">
        <f t="shared" si="145"/>
        <v>0</v>
      </c>
      <c r="G243" s="284">
        <f t="shared" si="146"/>
        <v>0</v>
      </c>
      <c r="H243" s="284">
        <f t="shared" si="147"/>
        <v>0</v>
      </c>
      <c r="I243" s="284">
        <f t="shared" si="148"/>
        <v>0</v>
      </c>
      <c r="J243" s="284">
        <f t="shared" si="149"/>
        <v>0</v>
      </c>
      <c r="K243" s="284">
        <f t="shared" si="150"/>
        <v>0</v>
      </c>
      <c r="L243" s="284">
        <f t="shared" si="151"/>
        <v>0</v>
      </c>
      <c r="M243" s="284">
        <f t="shared" si="152"/>
        <v>0</v>
      </c>
      <c r="N243" s="284">
        <f t="shared" si="153"/>
        <v>0</v>
      </c>
      <c r="O243" s="284">
        <f t="shared" si="154"/>
        <v>0</v>
      </c>
      <c r="P243" s="284">
        <f t="shared" si="209"/>
        <v>0</v>
      </c>
      <c r="Q243" s="284">
        <f t="shared" si="210"/>
        <v>0</v>
      </c>
      <c r="R243" s="284">
        <f t="shared" si="211"/>
        <v>0</v>
      </c>
      <c r="S243" s="284">
        <f t="shared" si="212"/>
        <v>0</v>
      </c>
      <c r="T243" s="284">
        <f t="shared" si="213"/>
        <v>0</v>
      </c>
      <c r="U243" s="285">
        <f t="shared" si="214"/>
        <v>0</v>
      </c>
      <c r="V243" s="286">
        <f>[1]BDD!A233</f>
        <v>1358</v>
      </c>
      <c r="W243" s="287" t="str">
        <f>[1]BDD!B233</f>
        <v>Sésame CRU BIO (env. 1kg)</v>
      </c>
      <c r="X243" s="288" t="str">
        <f>IF([1]BDD!F233=0, "", [1]BDD!F233)</f>
        <v>❤️</v>
      </c>
      <c r="Y243" s="214">
        <f>ROUND([1]BDD!G233+FDP_CMD_KG, 2)</f>
        <v>7.69</v>
      </c>
      <c r="Z243" s="214">
        <f>ROUND([1]BDD!G233+FDP_FACT_KG, 2)</f>
        <v>7.69</v>
      </c>
      <c r="AA243" s="215" t="str">
        <f>[1]BDD!H233</f>
        <v>Pièce</v>
      </c>
      <c r="AB243" s="225">
        <f>IF(NOT(ISBLANK([1]BDD!I233)), ROUND(SUM(([1]BDD!G233*reduc1),FDP_CMD_KG), 2), "")</f>
        <v>7.01</v>
      </c>
      <c r="AC243" s="225" t="str">
        <f>IF(NOT(ISBLANK([1]BDD!J233)), ROUND(SUM(([1]BDD!G233*reduc2),FDP_CMD_KG), 2), "")</f>
        <v/>
      </c>
      <c r="AD243" s="225" t="str">
        <f>IF(NOT(ISBLANK([1]BDD!K233)), ROUND(SUM(([1]BDD!G233*reduc3),FDP_CMD_KG), 2), "")</f>
        <v/>
      </c>
      <c r="AE243" s="225">
        <f>IF(NOT(ISBLANK([1]BDD!I233)), ROUND(SUM(([1]BDD!G233*reduc1),FDP_FACT_KG), 2), "")</f>
        <v>7</v>
      </c>
      <c r="AF243" s="225" t="str">
        <f>IF(NOT(ISBLANK([1]BDD!J233)), ROUND(SUM(([1]BDD!G233*reduc2),FDP_FACT_KG), 2), "")</f>
        <v/>
      </c>
      <c r="AG243" s="225" t="str">
        <f>IF(NOT(ISBLANK([1]BDD!K233)), ROUND(SUM(([1]BDD!G233*reduc3),FDP_FACT_KG), 2), "")</f>
        <v/>
      </c>
      <c r="AH243" s="289" t="str">
        <f>[1]BDD!C233</f>
        <v>Paraguay
Egypte</v>
      </c>
      <c r="AI243" s="290">
        <f t="shared" si="215"/>
        <v>0</v>
      </c>
      <c r="AJ243" s="216">
        <f t="shared" si="216"/>
        <v>7.01</v>
      </c>
      <c r="AK243" s="291">
        <f t="shared" si="217"/>
        <v>0</v>
      </c>
      <c r="AL243" s="429"/>
      <c r="AM243" s="292"/>
      <c r="AN243" s="216">
        <f t="shared" si="218"/>
        <v>7.69</v>
      </c>
      <c r="AO243" s="293">
        <f t="shared" si="219"/>
        <v>0</v>
      </c>
      <c r="AP243" s="294"/>
      <c r="AQ243" s="294"/>
      <c r="AR243" s="429"/>
      <c r="AS243" s="295">
        <f t="shared" si="220"/>
        <v>0</v>
      </c>
      <c r="AT243" s="216">
        <f t="shared" si="221"/>
        <v>7.69</v>
      </c>
      <c r="AU243" s="291">
        <f t="shared" si="208"/>
        <v>0</v>
      </c>
      <c r="AV243" s="296">
        <f>[1]COMMANDE!O241</f>
        <v>0</v>
      </c>
      <c r="AW243" s="297" t="str">
        <f t="shared" si="222"/>
        <v>0</v>
      </c>
      <c r="AX243" s="298">
        <f t="shared" si="223"/>
        <v>0</v>
      </c>
      <c r="AY243" s="299">
        <f>[1]COMMANDE!Q241</f>
        <v>0</v>
      </c>
      <c r="AZ243" s="297" t="str">
        <f t="shared" si="224"/>
        <v>0</v>
      </c>
      <c r="BA243" s="300">
        <f t="shared" si="225"/>
        <v>0</v>
      </c>
      <c r="BB243" s="301">
        <f>[1]COMMANDE!S241</f>
        <v>0</v>
      </c>
      <c r="BC243" s="297" t="str">
        <f t="shared" si="226"/>
        <v>0</v>
      </c>
      <c r="BD243" s="298">
        <f t="shared" si="227"/>
        <v>0</v>
      </c>
      <c r="BE243" s="299">
        <f>[1]COMMANDE!U241</f>
        <v>0</v>
      </c>
      <c r="BF243" s="297" t="str">
        <f t="shared" si="228"/>
        <v>0</v>
      </c>
      <c r="BG243" s="300">
        <f t="shared" si="229"/>
        <v>0</v>
      </c>
      <c r="BH243" s="301">
        <f>[1]COMMANDE!W241</f>
        <v>0</v>
      </c>
      <c r="BI243" s="297" t="str">
        <f t="shared" si="230"/>
        <v>0</v>
      </c>
      <c r="BJ243" s="298">
        <f t="shared" si="231"/>
        <v>0</v>
      </c>
      <c r="BK243" s="299">
        <f>[1]COMMANDE!Y241</f>
        <v>0</v>
      </c>
      <c r="BL243" s="297" t="str">
        <f t="shared" si="232"/>
        <v>0</v>
      </c>
      <c r="BM243" s="300">
        <f t="shared" si="233"/>
        <v>0</v>
      </c>
      <c r="BN243" s="301">
        <f>[1]COMMANDE!AA241</f>
        <v>0</v>
      </c>
      <c r="BO243" s="297" t="str">
        <f t="shared" si="234"/>
        <v>0</v>
      </c>
      <c r="BP243" s="298">
        <f t="shared" si="235"/>
        <v>0</v>
      </c>
      <c r="BQ243" s="299">
        <f>[1]COMMANDE!AC241</f>
        <v>0</v>
      </c>
      <c r="BR243" s="297" t="str">
        <f t="shared" si="236"/>
        <v>0</v>
      </c>
      <c r="BS243" s="300">
        <f t="shared" si="237"/>
        <v>0</v>
      </c>
      <c r="BT243" s="301">
        <f>[1]COMMANDE!AE241</f>
        <v>0</v>
      </c>
      <c r="BU243" s="297" t="str">
        <f t="shared" si="238"/>
        <v>0</v>
      </c>
      <c r="BV243" s="298">
        <f t="shared" si="239"/>
        <v>0</v>
      </c>
      <c r="BW243" s="299">
        <f>[1]COMMANDE!AG241</f>
        <v>0</v>
      </c>
      <c r="BX243" s="297" t="str">
        <f t="shared" si="240"/>
        <v>0</v>
      </c>
      <c r="BY243" s="300">
        <f t="shared" si="241"/>
        <v>0</v>
      </c>
      <c r="BZ243" s="301">
        <f>[1]COMMANDE!AI241</f>
        <v>0</v>
      </c>
      <c r="CA243" s="297" t="str">
        <f t="shared" si="242"/>
        <v>0</v>
      </c>
      <c r="CB243" s="298">
        <f t="shared" si="243"/>
        <v>0</v>
      </c>
      <c r="CC243" s="299">
        <f>[1]COMMANDE!AK241</f>
        <v>0</v>
      </c>
      <c r="CD243" s="297" t="str">
        <f t="shared" si="244"/>
        <v>0</v>
      </c>
      <c r="CE243" s="300">
        <f t="shared" si="245"/>
        <v>0</v>
      </c>
      <c r="CF243" s="301">
        <f>[1]COMMANDE!AM241</f>
        <v>0</v>
      </c>
      <c r="CG243" s="297" t="str">
        <f t="shared" si="246"/>
        <v>0</v>
      </c>
      <c r="CH243" s="298">
        <f t="shared" si="247"/>
        <v>0</v>
      </c>
      <c r="CI243" s="299">
        <f>[1]COMMANDE!AO241</f>
        <v>0</v>
      </c>
      <c r="CJ243" s="297" t="str">
        <f t="shared" si="248"/>
        <v>0</v>
      </c>
      <c r="CK243" s="300">
        <f t="shared" si="249"/>
        <v>0</v>
      </c>
      <c r="CL243" s="301">
        <f>[1]COMMANDE!AQ241</f>
        <v>0</v>
      </c>
      <c r="CM243" s="297" t="str">
        <f t="shared" si="250"/>
        <v>0</v>
      </c>
      <c r="CN243" s="298">
        <f t="shared" si="251"/>
        <v>0</v>
      </c>
      <c r="CO243" s="299">
        <f>[1]COMMANDE!AS241</f>
        <v>0</v>
      </c>
      <c r="CP243" s="297" t="str">
        <f t="shared" si="252"/>
        <v>0</v>
      </c>
      <c r="CQ243" s="300">
        <f t="shared" si="253"/>
        <v>0</v>
      </c>
      <c r="CR243" s="301">
        <f>[1]COMMANDE!AU241</f>
        <v>0</v>
      </c>
      <c r="CS243" s="297" t="str">
        <f t="shared" si="254"/>
        <v>0</v>
      </c>
      <c r="CT243" s="298">
        <f t="shared" si="255"/>
        <v>0</v>
      </c>
      <c r="CU243" s="299">
        <f>[1]COMMANDE!AW241</f>
        <v>0</v>
      </c>
      <c r="CV243" s="297" t="str">
        <f t="shared" si="256"/>
        <v>0</v>
      </c>
      <c r="CW243" s="300">
        <f t="shared" si="257"/>
        <v>0</v>
      </c>
      <c r="CX243" s="301">
        <f>[1]COMMANDE!AY241</f>
        <v>0</v>
      </c>
      <c r="CY243" s="297" t="str">
        <f t="shared" si="258"/>
        <v>0</v>
      </c>
      <c r="CZ243" s="298">
        <f t="shared" si="259"/>
        <v>0</v>
      </c>
      <c r="DA243" s="299">
        <f>[1]COMMANDE!BA241</f>
        <v>0</v>
      </c>
      <c r="DB243" s="297" t="str">
        <f t="shared" si="260"/>
        <v>0</v>
      </c>
      <c r="DC243" s="302">
        <f t="shared" si="261"/>
        <v>0</v>
      </c>
      <c r="DD243" s="303"/>
      <c r="DE243" s="304"/>
    </row>
    <row r="244" spans="1:109" ht="39.950000000000003" customHeight="1" x14ac:dyDescent="0.25">
      <c r="A244" s="284">
        <f t="shared" si="140"/>
        <v>0</v>
      </c>
      <c r="B244" s="284">
        <f t="shared" si="141"/>
        <v>0</v>
      </c>
      <c r="C244" s="284">
        <f t="shared" si="142"/>
        <v>0</v>
      </c>
      <c r="D244" s="284">
        <f t="shared" si="143"/>
        <v>0</v>
      </c>
      <c r="E244" s="284">
        <f t="shared" si="144"/>
        <v>0</v>
      </c>
      <c r="F244" s="284">
        <f t="shared" si="145"/>
        <v>0</v>
      </c>
      <c r="G244" s="284">
        <f t="shared" si="146"/>
        <v>0</v>
      </c>
      <c r="H244" s="284">
        <f t="shared" si="147"/>
        <v>0</v>
      </c>
      <c r="I244" s="284">
        <f t="shared" si="148"/>
        <v>0</v>
      </c>
      <c r="J244" s="284">
        <f t="shared" si="149"/>
        <v>0</v>
      </c>
      <c r="K244" s="284">
        <f t="shared" si="150"/>
        <v>0</v>
      </c>
      <c r="L244" s="284">
        <f t="shared" si="151"/>
        <v>0</v>
      </c>
      <c r="M244" s="284">
        <f t="shared" si="152"/>
        <v>0</v>
      </c>
      <c r="N244" s="284">
        <f t="shared" si="153"/>
        <v>0</v>
      </c>
      <c r="O244" s="284">
        <f t="shared" si="154"/>
        <v>0</v>
      </c>
      <c r="P244" s="284">
        <f t="shared" si="209"/>
        <v>0</v>
      </c>
      <c r="Q244" s="284">
        <f t="shared" si="210"/>
        <v>0</v>
      </c>
      <c r="R244" s="284">
        <f t="shared" si="211"/>
        <v>0</v>
      </c>
      <c r="S244" s="284">
        <f t="shared" si="212"/>
        <v>0</v>
      </c>
      <c r="T244" s="284">
        <f t="shared" si="213"/>
        <v>0</v>
      </c>
      <c r="U244" s="285">
        <f t="shared" si="214"/>
        <v>0</v>
      </c>
      <c r="V244" s="286">
        <f>[1]BDD!A234</f>
        <v>1860</v>
      </c>
      <c r="W244" s="287" t="str">
        <f>[1]BDD!B234</f>
        <v>Souchet BIO (env. 1kg)</v>
      </c>
      <c r="X244" s="288" t="str">
        <f>IF([1]BDD!F234=0, "", [1]BDD!F234)</f>
        <v>❤️</v>
      </c>
      <c r="Y244" s="214">
        <f>ROUND([1]BDD!G234+FDP_CMD_KG, 2)</f>
        <v>9.06</v>
      </c>
      <c r="Z244" s="214">
        <f>ROUND([1]BDD!G234+FDP_FACT_KG, 2)</f>
        <v>9.06</v>
      </c>
      <c r="AA244" s="215" t="str">
        <f>[1]BDD!H234</f>
        <v>Pièce</v>
      </c>
      <c r="AB244" s="225">
        <f>IF(NOT(ISBLANK([1]BDD!I234)), ROUND(SUM(([1]BDD!G234*reduc1),FDP_CMD_KG), 2), "")</f>
        <v>8.24</v>
      </c>
      <c r="AC244" s="225">
        <f>IF(NOT(ISBLANK([1]BDD!J234)), ROUND(SUM(([1]BDD!G234*reduc2),FDP_CMD_KG), 2), "")</f>
        <v>7.43</v>
      </c>
      <c r="AD244" s="225" t="str">
        <f>IF(NOT(ISBLANK([1]BDD!K234)), ROUND(SUM(([1]BDD!G234*reduc3),FDP_CMD_KG), 2), "")</f>
        <v/>
      </c>
      <c r="AE244" s="225">
        <f>IF(NOT(ISBLANK([1]BDD!I234)), ROUND(SUM(([1]BDD!G234*reduc1),FDP_FACT_KG), 2), "")</f>
        <v>8.24</v>
      </c>
      <c r="AF244" s="225">
        <f>IF(NOT(ISBLANK([1]BDD!J234)), ROUND(SUM(([1]BDD!G234*reduc2),FDP_FACT_KG), 2), "")</f>
        <v>7.42</v>
      </c>
      <c r="AG244" s="225" t="str">
        <f>IF(NOT(ISBLANK([1]BDD!K234)), ROUND(SUM(([1]BDD!G234*reduc3),FDP_FACT_KG), 2), "")</f>
        <v/>
      </c>
      <c r="AH244" s="289" t="str">
        <f>[1]BDD!C234</f>
        <v>Import</v>
      </c>
      <c r="AI244" s="290">
        <f t="shared" si="215"/>
        <v>0</v>
      </c>
      <c r="AJ244" s="216">
        <f t="shared" si="216"/>
        <v>7.43</v>
      </c>
      <c r="AK244" s="291">
        <f t="shared" si="217"/>
        <v>0</v>
      </c>
      <c r="AL244" s="429"/>
      <c r="AM244" s="292"/>
      <c r="AN244" s="216">
        <f t="shared" si="218"/>
        <v>9.06</v>
      </c>
      <c r="AO244" s="293">
        <f t="shared" si="219"/>
        <v>0</v>
      </c>
      <c r="AP244" s="294"/>
      <c r="AQ244" s="294"/>
      <c r="AR244" s="429"/>
      <c r="AS244" s="295">
        <f t="shared" si="220"/>
        <v>0</v>
      </c>
      <c r="AT244" s="216">
        <f t="shared" si="221"/>
        <v>9.06</v>
      </c>
      <c r="AU244" s="291">
        <f t="shared" si="208"/>
        <v>0</v>
      </c>
      <c r="AV244" s="296">
        <f>[1]COMMANDE!O242</f>
        <v>0</v>
      </c>
      <c r="AW244" s="297" t="str">
        <f t="shared" si="222"/>
        <v>0</v>
      </c>
      <c r="AX244" s="298">
        <f t="shared" si="223"/>
        <v>0</v>
      </c>
      <c r="AY244" s="299">
        <f>[1]COMMANDE!Q242</f>
        <v>0</v>
      </c>
      <c r="AZ244" s="297" t="str">
        <f t="shared" si="224"/>
        <v>0</v>
      </c>
      <c r="BA244" s="300">
        <f t="shared" si="225"/>
        <v>0</v>
      </c>
      <c r="BB244" s="301">
        <f>[1]COMMANDE!S242</f>
        <v>0</v>
      </c>
      <c r="BC244" s="297" t="str">
        <f t="shared" si="226"/>
        <v>0</v>
      </c>
      <c r="BD244" s="298">
        <f t="shared" si="227"/>
        <v>0</v>
      </c>
      <c r="BE244" s="299">
        <f>[1]COMMANDE!U242</f>
        <v>0</v>
      </c>
      <c r="BF244" s="297" t="str">
        <f t="shared" si="228"/>
        <v>0</v>
      </c>
      <c r="BG244" s="300">
        <f t="shared" si="229"/>
        <v>0</v>
      </c>
      <c r="BH244" s="301">
        <f>[1]COMMANDE!W242</f>
        <v>0</v>
      </c>
      <c r="BI244" s="297" t="str">
        <f t="shared" si="230"/>
        <v>0</v>
      </c>
      <c r="BJ244" s="298">
        <f t="shared" si="231"/>
        <v>0</v>
      </c>
      <c r="BK244" s="299">
        <f>[1]COMMANDE!Y242</f>
        <v>0</v>
      </c>
      <c r="BL244" s="297" t="str">
        <f t="shared" si="232"/>
        <v>0</v>
      </c>
      <c r="BM244" s="300">
        <f t="shared" si="233"/>
        <v>0</v>
      </c>
      <c r="BN244" s="301">
        <f>[1]COMMANDE!AA242</f>
        <v>0</v>
      </c>
      <c r="BO244" s="297" t="str">
        <f t="shared" si="234"/>
        <v>0</v>
      </c>
      <c r="BP244" s="298">
        <f t="shared" si="235"/>
        <v>0</v>
      </c>
      <c r="BQ244" s="299">
        <f>[1]COMMANDE!AC242</f>
        <v>0</v>
      </c>
      <c r="BR244" s="297" t="str">
        <f t="shared" si="236"/>
        <v>0</v>
      </c>
      <c r="BS244" s="300">
        <f t="shared" si="237"/>
        <v>0</v>
      </c>
      <c r="BT244" s="301">
        <f>[1]COMMANDE!AE242</f>
        <v>0</v>
      </c>
      <c r="BU244" s="297" t="str">
        <f t="shared" si="238"/>
        <v>0</v>
      </c>
      <c r="BV244" s="298">
        <f t="shared" si="239"/>
        <v>0</v>
      </c>
      <c r="BW244" s="299">
        <f>[1]COMMANDE!AG242</f>
        <v>0</v>
      </c>
      <c r="BX244" s="297" t="str">
        <f t="shared" si="240"/>
        <v>0</v>
      </c>
      <c r="BY244" s="300">
        <f t="shared" si="241"/>
        <v>0</v>
      </c>
      <c r="BZ244" s="301">
        <f>[1]COMMANDE!AI242</f>
        <v>0</v>
      </c>
      <c r="CA244" s="297" t="str">
        <f t="shared" si="242"/>
        <v>0</v>
      </c>
      <c r="CB244" s="298">
        <f t="shared" si="243"/>
        <v>0</v>
      </c>
      <c r="CC244" s="299">
        <f>[1]COMMANDE!AK242</f>
        <v>0</v>
      </c>
      <c r="CD244" s="297" t="str">
        <f t="shared" si="244"/>
        <v>0</v>
      </c>
      <c r="CE244" s="300">
        <f t="shared" si="245"/>
        <v>0</v>
      </c>
      <c r="CF244" s="301">
        <f>[1]COMMANDE!AM242</f>
        <v>0</v>
      </c>
      <c r="CG244" s="297" t="str">
        <f t="shared" si="246"/>
        <v>0</v>
      </c>
      <c r="CH244" s="298">
        <f t="shared" si="247"/>
        <v>0</v>
      </c>
      <c r="CI244" s="299">
        <f>[1]COMMANDE!AO242</f>
        <v>0</v>
      </c>
      <c r="CJ244" s="297" t="str">
        <f t="shared" si="248"/>
        <v>0</v>
      </c>
      <c r="CK244" s="300">
        <f t="shared" si="249"/>
        <v>0</v>
      </c>
      <c r="CL244" s="301">
        <f>[1]COMMANDE!AQ242</f>
        <v>0</v>
      </c>
      <c r="CM244" s="297" t="str">
        <f t="shared" si="250"/>
        <v>0</v>
      </c>
      <c r="CN244" s="298">
        <f t="shared" si="251"/>
        <v>0</v>
      </c>
      <c r="CO244" s="299">
        <f>[1]COMMANDE!AS242</f>
        <v>0</v>
      </c>
      <c r="CP244" s="297" t="str">
        <f t="shared" si="252"/>
        <v>0</v>
      </c>
      <c r="CQ244" s="300">
        <f t="shared" si="253"/>
        <v>0</v>
      </c>
      <c r="CR244" s="301">
        <f>[1]COMMANDE!AU242</f>
        <v>0</v>
      </c>
      <c r="CS244" s="297" t="str">
        <f t="shared" si="254"/>
        <v>0</v>
      </c>
      <c r="CT244" s="298">
        <f t="shared" si="255"/>
        <v>0</v>
      </c>
      <c r="CU244" s="299">
        <f>[1]COMMANDE!AW242</f>
        <v>0</v>
      </c>
      <c r="CV244" s="297" t="str">
        <f t="shared" si="256"/>
        <v>0</v>
      </c>
      <c r="CW244" s="300">
        <f t="shared" si="257"/>
        <v>0</v>
      </c>
      <c r="CX244" s="301">
        <f>[1]COMMANDE!AY242</f>
        <v>0</v>
      </c>
      <c r="CY244" s="297" t="str">
        <f t="shared" si="258"/>
        <v>0</v>
      </c>
      <c r="CZ244" s="298">
        <f t="shared" si="259"/>
        <v>0</v>
      </c>
      <c r="DA244" s="299">
        <f>[1]COMMANDE!BA242</f>
        <v>0</v>
      </c>
      <c r="DB244" s="297" t="str">
        <f t="shared" si="260"/>
        <v>0</v>
      </c>
      <c r="DC244" s="302">
        <f t="shared" si="261"/>
        <v>0</v>
      </c>
      <c r="DD244" s="303"/>
      <c r="DE244" s="304"/>
    </row>
    <row r="245" spans="1:109" ht="39.950000000000003" customHeight="1" x14ac:dyDescent="0.25">
      <c r="A245" s="307">
        <f t="shared" si="140"/>
        <v>0</v>
      </c>
      <c r="B245" s="307">
        <f t="shared" si="141"/>
        <v>0</v>
      </c>
      <c r="C245" s="307">
        <f t="shared" si="142"/>
        <v>0</v>
      </c>
      <c r="D245" s="307">
        <f t="shared" si="143"/>
        <v>0</v>
      </c>
      <c r="E245" s="307">
        <f t="shared" si="144"/>
        <v>0</v>
      </c>
      <c r="F245" s="307">
        <f t="shared" si="145"/>
        <v>0</v>
      </c>
      <c r="G245" s="307">
        <f t="shared" si="146"/>
        <v>0</v>
      </c>
      <c r="H245" s="307">
        <f t="shared" si="147"/>
        <v>0</v>
      </c>
      <c r="I245" s="307">
        <f t="shared" si="148"/>
        <v>0</v>
      </c>
      <c r="J245" s="307">
        <f t="shared" si="149"/>
        <v>0</v>
      </c>
      <c r="K245" s="307">
        <f t="shared" si="150"/>
        <v>0</v>
      </c>
      <c r="L245" s="307">
        <f t="shared" si="151"/>
        <v>0</v>
      </c>
      <c r="M245" s="307">
        <f t="shared" si="152"/>
        <v>0</v>
      </c>
      <c r="N245" s="307">
        <f t="shared" si="153"/>
        <v>0</v>
      </c>
      <c r="O245" s="307">
        <f t="shared" si="154"/>
        <v>0</v>
      </c>
      <c r="P245" s="284">
        <f t="shared" si="209"/>
        <v>0</v>
      </c>
      <c r="Q245" s="284">
        <f t="shared" si="210"/>
        <v>0</v>
      </c>
      <c r="R245" s="284">
        <f t="shared" si="211"/>
        <v>0</v>
      </c>
      <c r="S245" s="284">
        <f t="shared" si="212"/>
        <v>0</v>
      </c>
      <c r="T245" s="284">
        <f t="shared" si="213"/>
        <v>0</v>
      </c>
      <c r="U245" s="285">
        <f t="shared" si="214"/>
        <v>0</v>
      </c>
      <c r="V245" s="286">
        <f>[1]BDD!A235</f>
        <v>1496</v>
      </c>
      <c r="W245" s="287" t="str">
        <f>[1]BDD!B235</f>
        <v>Spaguetti de mer déshydraté BIO (env. 1kg)</v>
      </c>
      <c r="X245" s="288" t="str">
        <f>IF([1]BDD!F235=0, "", [1]BDD!F235)</f>
        <v>❤️</v>
      </c>
      <c r="Y245" s="214">
        <f>ROUND([1]BDD!G235+FDP_CMD_KG, 2)</f>
        <v>38.53</v>
      </c>
      <c r="Z245" s="214">
        <f>ROUND([1]BDD!G235+FDP_FACT_KG, 2)</f>
        <v>38.53</v>
      </c>
      <c r="AA245" s="215" t="str">
        <f>[1]BDD!H235</f>
        <v>Pièce</v>
      </c>
      <c r="AB245" s="225" t="str">
        <f>IF(NOT(ISBLANK([1]BDD!I235)), ROUND(SUM(([1]BDD!G235*reduc1),FDP_CMD_KG), 2), "")</f>
        <v/>
      </c>
      <c r="AC245" s="225" t="str">
        <f>IF(NOT(ISBLANK([1]BDD!J235)), ROUND(SUM(([1]BDD!G235*reduc2),FDP_CMD_KG), 2), "")</f>
        <v/>
      </c>
      <c r="AD245" s="225" t="str">
        <f>IF(NOT(ISBLANK([1]BDD!K235)), ROUND(SUM(([1]BDD!G235*reduc3),FDP_CMD_KG), 2), "")</f>
        <v/>
      </c>
      <c r="AE245" s="225" t="str">
        <f>IF(NOT(ISBLANK([1]BDD!I235)), ROUND(SUM(([1]BDD!G235*reduc1),FDP_FACT_KG), 2), "")</f>
        <v/>
      </c>
      <c r="AF245" s="225" t="str">
        <f>IF(NOT(ISBLANK([1]BDD!J235)), ROUND(SUM(([1]BDD!G235*reduc2),FDP_FACT_KG), 2), "")</f>
        <v/>
      </c>
      <c r="AG245" s="225" t="str">
        <f>IF(NOT(ISBLANK([1]BDD!K235)), ROUND(SUM(([1]BDD!G235*reduc3),FDP_FACT_KG), 2), "")</f>
        <v/>
      </c>
      <c r="AH245" s="289" t="str">
        <f>[1]BDD!C235</f>
        <v>Galice</v>
      </c>
      <c r="AI245" s="290">
        <f t="shared" si="215"/>
        <v>0</v>
      </c>
      <c r="AJ245" s="216">
        <f t="shared" si="216"/>
        <v>38.53</v>
      </c>
      <c r="AK245" s="291">
        <f t="shared" si="217"/>
        <v>0</v>
      </c>
      <c r="AL245" s="429"/>
      <c r="AM245" s="292"/>
      <c r="AN245" s="216">
        <f t="shared" si="218"/>
        <v>38.53</v>
      </c>
      <c r="AO245" s="293">
        <f t="shared" si="219"/>
        <v>0</v>
      </c>
      <c r="AP245" s="294"/>
      <c r="AQ245" s="294"/>
      <c r="AR245" s="429"/>
      <c r="AS245" s="295">
        <f t="shared" si="220"/>
        <v>0</v>
      </c>
      <c r="AT245" s="216">
        <f t="shared" si="221"/>
        <v>38.53</v>
      </c>
      <c r="AU245" s="291">
        <f t="shared" si="208"/>
        <v>0</v>
      </c>
      <c r="AV245" s="296">
        <f>[1]COMMANDE!O243</f>
        <v>0</v>
      </c>
      <c r="AW245" s="297" t="str">
        <f t="shared" si="222"/>
        <v>0</v>
      </c>
      <c r="AX245" s="298">
        <f t="shared" si="223"/>
        <v>0</v>
      </c>
      <c r="AY245" s="299">
        <f>[1]COMMANDE!Q243</f>
        <v>0</v>
      </c>
      <c r="AZ245" s="297" t="str">
        <f t="shared" si="224"/>
        <v>0</v>
      </c>
      <c r="BA245" s="300">
        <f t="shared" si="225"/>
        <v>0</v>
      </c>
      <c r="BB245" s="301">
        <f>[1]COMMANDE!S243</f>
        <v>0</v>
      </c>
      <c r="BC245" s="297" t="str">
        <f t="shared" si="226"/>
        <v>0</v>
      </c>
      <c r="BD245" s="298">
        <f t="shared" si="227"/>
        <v>0</v>
      </c>
      <c r="BE245" s="299">
        <f>[1]COMMANDE!U243</f>
        <v>0</v>
      </c>
      <c r="BF245" s="297" t="str">
        <f t="shared" si="228"/>
        <v>0</v>
      </c>
      <c r="BG245" s="300">
        <f t="shared" si="229"/>
        <v>0</v>
      </c>
      <c r="BH245" s="301">
        <f>[1]COMMANDE!W243</f>
        <v>0</v>
      </c>
      <c r="BI245" s="297" t="str">
        <f t="shared" si="230"/>
        <v>0</v>
      </c>
      <c r="BJ245" s="298">
        <f t="shared" si="231"/>
        <v>0</v>
      </c>
      <c r="BK245" s="299">
        <f>[1]COMMANDE!Y243</f>
        <v>0</v>
      </c>
      <c r="BL245" s="297" t="str">
        <f t="shared" si="232"/>
        <v>0</v>
      </c>
      <c r="BM245" s="300">
        <f t="shared" si="233"/>
        <v>0</v>
      </c>
      <c r="BN245" s="301">
        <f>[1]COMMANDE!AA243</f>
        <v>0</v>
      </c>
      <c r="BO245" s="297" t="str">
        <f t="shared" si="234"/>
        <v>0</v>
      </c>
      <c r="BP245" s="298">
        <f t="shared" si="235"/>
        <v>0</v>
      </c>
      <c r="BQ245" s="299">
        <f>[1]COMMANDE!AC243</f>
        <v>0</v>
      </c>
      <c r="BR245" s="297" t="str">
        <f t="shared" si="236"/>
        <v>0</v>
      </c>
      <c r="BS245" s="300">
        <f t="shared" si="237"/>
        <v>0</v>
      </c>
      <c r="BT245" s="301">
        <f>[1]COMMANDE!AE243</f>
        <v>0</v>
      </c>
      <c r="BU245" s="297" t="str">
        <f t="shared" si="238"/>
        <v>0</v>
      </c>
      <c r="BV245" s="298">
        <f t="shared" si="239"/>
        <v>0</v>
      </c>
      <c r="BW245" s="299">
        <f>[1]COMMANDE!AG243</f>
        <v>0</v>
      </c>
      <c r="BX245" s="297" t="str">
        <f t="shared" si="240"/>
        <v>0</v>
      </c>
      <c r="BY245" s="300">
        <f t="shared" si="241"/>
        <v>0</v>
      </c>
      <c r="BZ245" s="301">
        <f>[1]COMMANDE!AI243</f>
        <v>0</v>
      </c>
      <c r="CA245" s="297" t="str">
        <f t="shared" si="242"/>
        <v>0</v>
      </c>
      <c r="CB245" s="298">
        <f t="shared" si="243"/>
        <v>0</v>
      </c>
      <c r="CC245" s="299">
        <f>[1]COMMANDE!AK243</f>
        <v>0</v>
      </c>
      <c r="CD245" s="297" t="str">
        <f t="shared" si="244"/>
        <v>0</v>
      </c>
      <c r="CE245" s="300">
        <f t="shared" si="245"/>
        <v>0</v>
      </c>
      <c r="CF245" s="301">
        <f>[1]COMMANDE!AM243</f>
        <v>0</v>
      </c>
      <c r="CG245" s="297" t="str">
        <f t="shared" si="246"/>
        <v>0</v>
      </c>
      <c r="CH245" s="298">
        <f t="shared" si="247"/>
        <v>0</v>
      </c>
      <c r="CI245" s="299">
        <f>[1]COMMANDE!AO243</f>
        <v>0</v>
      </c>
      <c r="CJ245" s="297" t="str">
        <f t="shared" si="248"/>
        <v>0</v>
      </c>
      <c r="CK245" s="300">
        <f t="shared" si="249"/>
        <v>0</v>
      </c>
      <c r="CL245" s="301">
        <f>[1]COMMANDE!AQ243</f>
        <v>0</v>
      </c>
      <c r="CM245" s="297" t="str">
        <f t="shared" si="250"/>
        <v>0</v>
      </c>
      <c r="CN245" s="298">
        <f t="shared" si="251"/>
        <v>0</v>
      </c>
      <c r="CO245" s="299">
        <f>[1]COMMANDE!AS243</f>
        <v>0</v>
      </c>
      <c r="CP245" s="297" t="str">
        <f t="shared" si="252"/>
        <v>0</v>
      </c>
      <c r="CQ245" s="300">
        <f t="shared" si="253"/>
        <v>0</v>
      </c>
      <c r="CR245" s="301">
        <f>[1]COMMANDE!AU243</f>
        <v>0</v>
      </c>
      <c r="CS245" s="297" t="str">
        <f t="shared" si="254"/>
        <v>0</v>
      </c>
      <c r="CT245" s="298">
        <f t="shared" si="255"/>
        <v>0</v>
      </c>
      <c r="CU245" s="299">
        <f>[1]COMMANDE!AW243</f>
        <v>0</v>
      </c>
      <c r="CV245" s="297" t="str">
        <f t="shared" si="256"/>
        <v>0</v>
      </c>
      <c r="CW245" s="300">
        <f t="shared" si="257"/>
        <v>0</v>
      </c>
      <c r="CX245" s="301">
        <f>[1]COMMANDE!AY243</f>
        <v>0</v>
      </c>
      <c r="CY245" s="297" t="str">
        <f t="shared" si="258"/>
        <v>0</v>
      </c>
      <c r="CZ245" s="298">
        <f t="shared" si="259"/>
        <v>0</v>
      </c>
      <c r="DA245" s="299">
        <f>[1]COMMANDE!BA243</f>
        <v>0</v>
      </c>
      <c r="DB245" s="297" t="str">
        <f t="shared" si="260"/>
        <v>0</v>
      </c>
      <c r="DC245" s="302">
        <f t="shared" si="261"/>
        <v>0</v>
      </c>
      <c r="DD245" s="303"/>
      <c r="DE245" s="304"/>
    </row>
    <row r="246" spans="1:109" ht="39.950000000000003" customHeight="1" x14ac:dyDescent="0.25">
      <c r="A246" s="307">
        <f t="shared" si="140"/>
        <v>0</v>
      </c>
      <c r="B246" s="307">
        <f t="shared" si="141"/>
        <v>0</v>
      </c>
      <c r="C246" s="307">
        <f t="shared" si="142"/>
        <v>0</v>
      </c>
      <c r="D246" s="307">
        <f t="shared" si="143"/>
        <v>0</v>
      </c>
      <c r="E246" s="307">
        <f t="shared" si="144"/>
        <v>0</v>
      </c>
      <c r="F246" s="307">
        <f t="shared" si="145"/>
        <v>0</v>
      </c>
      <c r="G246" s="307">
        <f t="shared" si="146"/>
        <v>0</v>
      </c>
      <c r="H246" s="307">
        <f t="shared" si="147"/>
        <v>0</v>
      </c>
      <c r="I246" s="307">
        <f t="shared" si="148"/>
        <v>0</v>
      </c>
      <c r="J246" s="307">
        <f t="shared" si="149"/>
        <v>0</v>
      </c>
      <c r="K246" s="307">
        <f t="shared" si="150"/>
        <v>0</v>
      </c>
      <c r="L246" s="307">
        <f t="shared" si="151"/>
        <v>0</v>
      </c>
      <c r="M246" s="307">
        <f t="shared" si="152"/>
        <v>0</v>
      </c>
      <c r="N246" s="307">
        <f t="shared" si="153"/>
        <v>0</v>
      </c>
      <c r="O246" s="307">
        <f t="shared" si="154"/>
        <v>0</v>
      </c>
      <c r="P246" s="284">
        <f t="shared" si="209"/>
        <v>0</v>
      </c>
      <c r="Q246" s="284">
        <f t="shared" si="210"/>
        <v>0</v>
      </c>
      <c r="R246" s="284">
        <f t="shared" si="211"/>
        <v>0</v>
      </c>
      <c r="S246" s="284">
        <f t="shared" si="212"/>
        <v>0</v>
      </c>
      <c r="T246" s="284">
        <f t="shared" si="213"/>
        <v>0</v>
      </c>
      <c r="U246" s="285">
        <f t="shared" si="214"/>
        <v>0</v>
      </c>
      <c r="V246" s="286">
        <f>[1]BDD!A236</f>
        <v>1496</v>
      </c>
      <c r="W246" s="287" t="str">
        <f>[1]BDD!B236</f>
        <v>Spaguetti de mer déshydraté BIO (env. 500g)</v>
      </c>
      <c r="X246" s="288" t="str">
        <f>IF([1]BDD!F236=0, "", [1]BDD!F236)</f>
        <v>❤️</v>
      </c>
      <c r="Y246" s="214">
        <f>ROUND([1]BDD!G236+FDP_CMD_KG, 2)</f>
        <v>20.45</v>
      </c>
      <c r="Z246" s="214">
        <f>ROUND([1]BDD!G236+FDP_FACT_KG, 2)</f>
        <v>20.45</v>
      </c>
      <c r="AA246" s="215" t="str">
        <f>[1]BDD!H236</f>
        <v>Pièce</v>
      </c>
      <c r="AB246" s="225" t="str">
        <f>IF(NOT(ISBLANK([1]BDD!I236)), ROUND(SUM(([1]BDD!G236*reduc1),FDP_CMD_KG), 2), "")</f>
        <v/>
      </c>
      <c r="AC246" s="225" t="str">
        <f>IF(NOT(ISBLANK([1]BDD!J236)), ROUND(SUM(([1]BDD!G236*reduc2),FDP_CMD_KG), 2), "")</f>
        <v/>
      </c>
      <c r="AD246" s="225" t="str">
        <f>IF(NOT(ISBLANK([1]BDD!K236)), ROUND(SUM(([1]BDD!G236*reduc3),FDP_CMD_KG), 2), "")</f>
        <v/>
      </c>
      <c r="AE246" s="225" t="str">
        <f>IF(NOT(ISBLANK([1]BDD!I236)), ROUND(SUM(([1]BDD!G236*reduc1),FDP_FACT_KG), 2), "")</f>
        <v/>
      </c>
      <c r="AF246" s="225" t="str">
        <f>IF(NOT(ISBLANK([1]BDD!J236)), ROUND(SUM(([1]BDD!G236*reduc2),FDP_FACT_KG), 2), "")</f>
        <v/>
      </c>
      <c r="AG246" s="225" t="str">
        <f>IF(NOT(ISBLANK([1]BDD!K236)), ROUND(SUM(([1]BDD!G236*reduc3),FDP_FACT_KG), 2), "")</f>
        <v/>
      </c>
      <c r="AH246" s="289" t="str">
        <f>[1]BDD!C236</f>
        <v>Galice</v>
      </c>
      <c r="AI246" s="290">
        <f t="shared" si="215"/>
        <v>0</v>
      </c>
      <c r="AJ246" s="216">
        <f t="shared" si="216"/>
        <v>20.45</v>
      </c>
      <c r="AK246" s="291">
        <f t="shared" si="217"/>
        <v>0</v>
      </c>
      <c r="AL246" s="429"/>
      <c r="AM246" s="292"/>
      <c r="AN246" s="216">
        <f t="shared" si="218"/>
        <v>20.45</v>
      </c>
      <c r="AO246" s="293">
        <f t="shared" si="219"/>
        <v>0</v>
      </c>
      <c r="AP246" s="294"/>
      <c r="AQ246" s="294"/>
      <c r="AR246" s="429"/>
      <c r="AS246" s="295">
        <f t="shared" si="220"/>
        <v>0</v>
      </c>
      <c r="AT246" s="216">
        <f t="shared" si="221"/>
        <v>20.45</v>
      </c>
      <c r="AU246" s="291">
        <f t="shared" si="208"/>
        <v>0</v>
      </c>
      <c r="AV246" s="296">
        <f>[1]COMMANDE!O244</f>
        <v>0</v>
      </c>
      <c r="AW246" s="297" t="str">
        <f t="shared" si="222"/>
        <v>0</v>
      </c>
      <c r="AX246" s="298">
        <f t="shared" si="223"/>
        <v>0</v>
      </c>
      <c r="AY246" s="299">
        <f>[1]COMMANDE!Q244</f>
        <v>0</v>
      </c>
      <c r="AZ246" s="297" t="str">
        <f t="shared" si="224"/>
        <v>0</v>
      </c>
      <c r="BA246" s="300">
        <f t="shared" si="225"/>
        <v>0</v>
      </c>
      <c r="BB246" s="301">
        <f>[1]COMMANDE!S244</f>
        <v>0</v>
      </c>
      <c r="BC246" s="297" t="str">
        <f t="shared" si="226"/>
        <v>0</v>
      </c>
      <c r="BD246" s="298">
        <f t="shared" si="227"/>
        <v>0</v>
      </c>
      <c r="BE246" s="299">
        <f>[1]COMMANDE!U244</f>
        <v>0</v>
      </c>
      <c r="BF246" s="297" t="str">
        <f t="shared" si="228"/>
        <v>0</v>
      </c>
      <c r="BG246" s="300">
        <f t="shared" si="229"/>
        <v>0</v>
      </c>
      <c r="BH246" s="301">
        <f>[1]COMMANDE!W244</f>
        <v>0</v>
      </c>
      <c r="BI246" s="297" t="str">
        <f t="shared" si="230"/>
        <v>0</v>
      </c>
      <c r="BJ246" s="298">
        <f t="shared" si="231"/>
        <v>0</v>
      </c>
      <c r="BK246" s="299">
        <f>[1]COMMANDE!Y244</f>
        <v>0</v>
      </c>
      <c r="BL246" s="297" t="str">
        <f t="shared" si="232"/>
        <v>0</v>
      </c>
      <c r="BM246" s="300">
        <f t="shared" si="233"/>
        <v>0</v>
      </c>
      <c r="BN246" s="301">
        <f>[1]COMMANDE!AA244</f>
        <v>0</v>
      </c>
      <c r="BO246" s="297" t="str">
        <f t="shared" si="234"/>
        <v>0</v>
      </c>
      <c r="BP246" s="298">
        <f t="shared" si="235"/>
        <v>0</v>
      </c>
      <c r="BQ246" s="299">
        <f>[1]COMMANDE!AC244</f>
        <v>0</v>
      </c>
      <c r="BR246" s="297" t="str">
        <f t="shared" si="236"/>
        <v>0</v>
      </c>
      <c r="BS246" s="300">
        <f t="shared" si="237"/>
        <v>0</v>
      </c>
      <c r="BT246" s="301">
        <f>[1]COMMANDE!AE244</f>
        <v>0</v>
      </c>
      <c r="BU246" s="297" t="str">
        <f t="shared" si="238"/>
        <v>0</v>
      </c>
      <c r="BV246" s="298">
        <f t="shared" si="239"/>
        <v>0</v>
      </c>
      <c r="BW246" s="299">
        <f>[1]COMMANDE!AG244</f>
        <v>0</v>
      </c>
      <c r="BX246" s="297" t="str">
        <f t="shared" si="240"/>
        <v>0</v>
      </c>
      <c r="BY246" s="300">
        <f t="shared" si="241"/>
        <v>0</v>
      </c>
      <c r="BZ246" s="301">
        <f>[1]COMMANDE!AI244</f>
        <v>0</v>
      </c>
      <c r="CA246" s="297" t="str">
        <f t="shared" si="242"/>
        <v>0</v>
      </c>
      <c r="CB246" s="298">
        <f t="shared" si="243"/>
        <v>0</v>
      </c>
      <c r="CC246" s="299">
        <f>[1]COMMANDE!AK244</f>
        <v>0</v>
      </c>
      <c r="CD246" s="297" t="str">
        <f t="shared" si="244"/>
        <v>0</v>
      </c>
      <c r="CE246" s="300">
        <f t="shared" si="245"/>
        <v>0</v>
      </c>
      <c r="CF246" s="301">
        <f>[1]COMMANDE!AM244</f>
        <v>0</v>
      </c>
      <c r="CG246" s="297" t="str">
        <f t="shared" si="246"/>
        <v>0</v>
      </c>
      <c r="CH246" s="298">
        <f t="shared" si="247"/>
        <v>0</v>
      </c>
      <c r="CI246" s="299">
        <f>[1]COMMANDE!AO244</f>
        <v>0</v>
      </c>
      <c r="CJ246" s="297" t="str">
        <f t="shared" si="248"/>
        <v>0</v>
      </c>
      <c r="CK246" s="300">
        <f t="shared" si="249"/>
        <v>0</v>
      </c>
      <c r="CL246" s="301">
        <f>[1]COMMANDE!AQ244</f>
        <v>0</v>
      </c>
      <c r="CM246" s="297" t="str">
        <f t="shared" si="250"/>
        <v>0</v>
      </c>
      <c r="CN246" s="298">
        <f t="shared" si="251"/>
        <v>0</v>
      </c>
      <c r="CO246" s="299">
        <f>[1]COMMANDE!AS244</f>
        <v>0</v>
      </c>
      <c r="CP246" s="297" t="str">
        <f t="shared" si="252"/>
        <v>0</v>
      </c>
      <c r="CQ246" s="300">
        <f t="shared" si="253"/>
        <v>0</v>
      </c>
      <c r="CR246" s="301">
        <f>[1]COMMANDE!AU244</f>
        <v>0</v>
      </c>
      <c r="CS246" s="297" t="str">
        <f t="shared" si="254"/>
        <v>0</v>
      </c>
      <c r="CT246" s="298">
        <f t="shared" si="255"/>
        <v>0</v>
      </c>
      <c r="CU246" s="299">
        <f>[1]COMMANDE!AW244</f>
        <v>0</v>
      </c>
      <c r="CV246" s="297" t="str">
        <f t="shared" si="256"/>
        <v>0</v>
      </c>
      <c r="CW246" s="300">
        <f t="shared" si="257"/>
        <v>0</v>
      </c>
      <c r="CX246" s="301">
        <f>[1]COMMANDE!AY244</f>
        <v>0</v>
      </c>
      <c r="CY246" s="297" t="str">
        <f t="shared" si="258"/>
        <v>0</v>
      </c>
      <c r="CZ246" s="298">
        <f t="shared" si="259"/>
        <v>0</v>
      </c>
      <c r="DA246" s="299">
        <f>[1]COMMANDE!BA244</f>
        <v>0</v>
      </c>
      <c r="DB246" s="297" t="str">
        <f t="shared" si="260"/>
        <v>0</v>
      </c>
      <c r="DC246" s="302">
        <f t="shared" si="261"/>
        <v>0</v>
      </c>
      <c r="DD246" s="303"/>
      <c r="DE246" s="304"/>
    </row>
    <row r="247" spans="1:109" ht="39.950000000000003" customHeight="1" x14ac:dyDescent="0.25">
      <c r="A247" s="284">
        <f t="shared" si="140"/>
        <v>0</v>
      </c>
      <c r="B247" s="284">
        <f t="shared" si="141"/>
        <v>0</v>
      </c>
      <c r="C247" s="284">
        <f t="shared" si="142"/>
        <v>0</v>
      </c>
      <c r="D247" s="284">
        <f t="shared" si="143"/>
        <v>0</v>
      </c>
      <c r="E247" s="284">
        <f t="shared" si="144"/>
        <v>0</v>
      </c>
      <c r="F247" s="284">
        <f t="shared" si="145"/>
        <v>0</v>
      </c>
      <c r="G247" s="284">
        <f t="shared" si="146"/>
        <v>0</v>
      </c>
      <c r="H247" s="284">
        <f t="shared" si="147"/>
        <v>0</v>
      </c>
      <c r="I247" s="284">
        <f t="shared" si="148"/>
        <v>0</v>
      </c>
      <c r="J247" s="284">
        <f t="shared" si="149"/>
        <v>0</v>
      </c>
      <c r="K247" s="284">
        <f t="shared" si="150"/>
        <v>0</v>
      </c>
      <c r="L247" s="284">
        <f t="shared" si="151"/>
        <v>0</v>
      </c>
      <c r="M247" s="284">
        <f t="shared" si="152"/>
        <v>0</v>
      </c>
      <c r="N247" s="284">
        <f t="shared" si="153"/>
        <v>0</v>
      </c>
      <c r="O247" s="284">
        <f t="shared" si="154"/>
        <v>0</v>
      </c>
      <c r="P247" s="284">
        <f t="shared" si="209"/>
        <v>0</v>
      </c>
      <c r="Q247" s="284">
        <f t="shared" si="210"/>
        <v>0</v>
      </c>
      <c r="R247" s="284">
        <f t="shared" si="211"/>
        <v>0</v>
      </c>
      <c r="S247" s="284">
        <f t="shared" si="212"/>
        <v>0</v>
      </c>
      <c r="T247" s="284">
        <f t="shared" si="213"/>
        <v>0</v>
      </c>
      <c r="U247" s="285">
        <f t="shared" si="214"/>
        <v>0</v>
      </c>
      <c r="V247" s="286">
        <f>[1]BDD!A237</f>
        <v>1612</v>
      </c>
      <c r="W247" s="287" t="str">
        <f>[1]BDD!B237</f>
        <v>Spiruline en poudre BIO (env. 1kg)</v>
      </c>
      <c r="X247" s="288" t="str">
        <f>IF([1]BDD!F237=0, "", [1]BDD!F237)</f>
        <v>❤️</v>
      </c>
      <c r="Y247" s="214">
        <f>ROUND([1]BDD!G237+FDP_CMD_KG, 2)</f>
        <v>35.090000000000003</v>
      </c>
      <c r="Z247" s="214">
        <f>ROUND([1]BDD!G237+FDP_FACT_KG, 2)</f>
        <v>35.090000000000003</v>
      </c>
      <c r="AA247" s="215" t="str">
        <f>[1]BDD!H237</f>
        <v>Pièce</v>
      </c>
      <c r="AB247" s="225" t="str">
        <f>IF(NOT(ISBLANK([1]BDD!I237)), ROUND(SUM(([1]BDD!G237*reduc1),FDP_CMD_KG), 2), "")</f>
        <v/>
      </c>
      <c r="AC247" s="225" t="str">
        <f>IF(NOT(ISBLANK([1]BDD!J237)), ROUND(SUM(([1]BDD!G237*reduc2),FDP_CMD_KG), 2), "")</f>
        <v/>
      </c>
      <c r="AD247" s="225" t="str">
        <f>IF(NOT(ISBLANK([1]BDD!K237)), ROUND(SUM(([1]BDD!G237*reduc3),FDP_CMD_KG), 2), "")</f>
        <v/>
      </c>
      <c r="AE247" s="225" t="str">
        <f>IF(NOT(ISBLANK([1]BDD!I237)), ROUND(SUM(([1]BDD!G237*reduc1),FDP_FACT_KG), 2), "")</f>
        <v/>
      </c>
      <c r="AF247" s="225" t="str">
        <f>IF(NOT(ISBLANK([1]BDD!J237)), ROUND(SUM(([1]BDD!G237*reduc2),FDP_FACT_KG), 2), "")</f>
        <v/>
      </c>
      <c r="AG247" s="225" t="str">
        <f>IF(NOT(ISBLANK([1]BDD!K237)), ROUND(SUM(([1]BDD!G237*reduc3),FDP_FACT_KG), 2), "")</f>
        <v/>
      </c>
      <c r="AH247" s="289" t="str">
        <f>[1]BDD!C237</f>
        <v>Inde</v>
      </c>
      <c r="AI247" s="290">
        <f t="shared" si="215"/>
        <v>0</v>
      </c>
      <c r="AJ247" s="216">
        <f t="shared" si="216"/>
        <v>35.090000000000003</v>
      </c>
      <c r="AK247" s="291">
        <f t="shared" si="217"/>
        <v>0</v>
      </c>
      <c r="AL247" s="429"/>
      <c r="AM247" s="292"/>
      <c r="AN247" s="216">
        <f t="shared" si="218"/>
        <v>35.090000000000003</v>
      </c>
      <c r="AO247" s="293">
        <f t="shared" si="219"/>
        <v>0</v>
      </c>
      <c r="AP247" s="294"/>
      <c r="AQ247" s="294"/>
      <c r="AR247" s="429"/>
      <c r="AS247" s="295">
        <f t="shared" si="220"/>
        <v>0</v>
      </c>
      <c r="AT247" s="216">
        <f t="shared" si="221"/>
        <v>35.090000000000003</v>
      </c>
      <c r="AU247" s="291">
        <f t="shared" si="208"/>
        <v>0</v>
      </c>
      <c r="AV247" s="296">
        <f>[1]COMMANDE!O245</f>
        <v>0</v>
      </c>
      <c r="AW247" s="297" t="str">
        <f t="shared" si="222"/>
        <v>0</v>
      </c>
      <c r="AX247" s="298">
        <f t="shared" si="223"/>
        <v>0</v>
      </c>
      <c r="AY247" s="299">
        <f>[1]COMMANDE!Q245</f>
        <v>0</v>
      </c>
      <c r="AZ247" s="297" t="str">
        <f t="shared" si="224"/>
        <v>0</v>
      </c>
      <c r="BA247" s="300">
        <f t="shared" si="225"/>
        <v>0</v>
      </c>
      <c r="BB247" s="301">
        <f>[1]COMMANDE!S245</f>
        <v>0</v>
      </c>
      <c r="BC247" s="297" t="str">
        <f t="shared" si="226"/>
        <v>0</v>
      </c>
      <c r="BD247" s="298">
        <f t="shared" si="227"/>
        <v>0</v>
      </c>
      <c r="BE247" s="299">
        <f>[1]COMMANDE!U245</f>
        <v>0</v>
      </c>
      <c r="BF247" s="297" t="str">
        <f t="shared" si="228"/>
        <v>0</v>
      </c>
      <c r="BG247" s="300">
        <f t="shared" si="229"/>
        <v>0</v>
      </c>
      <c r="BH247" s="301">
        <f>[1]COMMANDE!W245</f>
        <v>0</v>
      </c>
      <c r="BI247" s="297" t="str">
        <f t="shared" si="230"/>
        <v>0</v>
      </c>
      <c r="BJ247" s="298">
        <f t="shared" si="231"/>
        <v>0</v>
      </c>
      <c r="BK247" s="299">
        <f>[1]COMMANDE!Y245</f>
        <v>0</v>
      </c>
      <c r="BL247" s="297" t="str">
        <f t="shared" si="232"/>
        <v>0</v>
      </c>
      <c r="BM247" s="300">
        <f t="shared" si="233"/>
        <v>0</v>
      </c>
      <c r="BN247" s="301">
        <f>[1]COMMANDE!AA245</f>
        <v>0</v>
      </c>
      <c r="BO247" s="297" t="str">
        <f t="shared" si="234"/>
        <v>0</v>
      </c>
      <c r="BP247" s="298">
        <f t="shared" si="235"/>
        <v>0</v>
      </c>
      <c r="BQ247" s="299">
        <f>[1]COMMANDE!AC245</f>
        <v>0</v>
      </c>
      <c r="BR247" s="297" t="str">
        <f t="shared" si="236"/>
        <v>0</v>
      </c>
      <c r="BS247" s="300">
        <f t="shared" si="237"/>
        <v>0</v>
      </c>
      <c r="BT247" s="301">
        <f>[1]COMMANDE!AE245</f>
        <v>0</v>
      </c>
      <c r="BU247" s="297" t="str">
        <f t="shared" si="238"/>
        <v>0</v>
      </c>
      <c r="BV247" s="298">
        <f t="shared" si="239"/>
        <v>0</v>
      </c>
      <c r="BW247" s="299">
        <f>[1]COMMANDE!AG245</f>
        <v>0</v>
      </c>
      <c r="BX247" s="297" t="str">
        <f t="shared" si="240"/>
        <v>0</v>
      </c>
      <c r="BY247" s="300">
        <f t="shared" si="241"/>
        <v>0</v>
      </c>
      <c r="BZ247" s="301">
        <f>[1]COMMANDE!AI245</f>
        <v>0</v>
      </c>
      <c r="CA247" s="297" t="str">
        <f t="shared" si="242"/>
        <v>0</v>
      </c>
      <c r="CB247" s="298">
        <f t="shared" si="243"/>
        <v>0</v>
      </c>
      <c r="CC247" s="299">
        <f>[1]COMMANDE!AK245</f>
        <v>0</v>
      </c>
      <c r="CD247" s="297" t="str">
        <f t="shared" si="244"/>
        <v>0</v>
      </c>
      <c r="CE247" s="300">
        <f t="shared" si="245"/>
        <v>0</v>
      </c>
      <c r="CF247" s="301">
        <f>[1]COMMANDE!AM245</f>
        <v>0</v>
      </c>
      <c r="CG247" s="297" t="str">
        <f t="shared" si="246"/>
        <v>0</v>
      </c>
      <c r="CH247" s="298">
        <f t="shared" si="247"/>
        <v>0</v>
      </c>
      <c r="CI247" s="299">
        <f>[1]COMMANDE!AO245</f>
        <v>0</v>
      </c>
      <c r="CJ247" s="297" t="str">
        <f t="shared" si="248"/>
        <v>0</v>
      </c>
      <c r="CK247" s="300">
        <f t="shared" si="249"/>
        <v>0</v>
      </c>
      <c r="CL247" s="301">
        <f>[1]COMMANDE!AQ245</f>
        <v>0</v>
      </c>
      <c r="CM247" s="297" t="str">
        <f t="shared" si="250"/>
        <v>0</v>
      </c>
      <c r="CN247" s="298">
        <f t="shared" si="251"/>
        <v>0</v>
      </c>
      <c r="CO247" s="299">
        <f>[1]COMMANDE!AS245</f>
        <v>0</v>
      </c>
      <c r="CP247" s="297" t="str">
        <f t="shared" si="252"/>
        <v>0</v>
      </c>
      <c r="CQ247" s="300">
        <f t="shared" si="253"/>
        <v>0</v>
      </c>
      <c r="CR247" s="301">
        <f>[1]COMMANDE!AU245</f>
        <v>0</v>
      </c>
      <c r="CS247" s="297" t="str">
        <f t="shared" si="254"/>
        <v>0</v>
      </c>
      <c r="CT247" s="298">
        <f t="shared" si="255"/>
        <v>0</v>
      </c>
      <c r="CU247" s="299">
        <f>[1]COMMANDE!AW245</f>
        <v>0</v>
      </c>
      <c r="CV247" s="297" t="str">
        <f t="shared" si="256"/>
        <v>0</v>
      </c>
      <c r="CW247" s="300">
        <f t="shared" si="257"/>
        <v>0</v>
      </c>
      <c r="CX247" s="301">
        <f>[1]COMMANDE!AY245</f>
        <v>0</v>
      </c>
      <c r="CY247" s="297" t="str">
        <f t="shared" si="258"/>
        <v>0</v>
      </c>
      <c r="CZ247" s="298">
        <f t="shared" si="259"/>
        <v>0</v>
      </c>
      <c r="DA247" s="299">
        <f>[1]COMMANDE!BA245</f>
        <v>0</v>
      </c>
      <c r="DB247" s="297" t="str">
        <f t="shared" si="260"/>
        <v>0</v>
      </c>
      <c r="DC247" s="302">
        <f t="shared" si="261"/>
        <v>0</v>
      </c>
      <c r="DD247" s="303"/>
      <c r="DE247" s="304"/>
    </row>
    <row r="248" spans="1:109" ht="39.950000000000003" customHeight="1" x14ac:dyDescent="0.25">
      <c r="A248" s="284">
        <f t="shared" si="140"/>
        <v>0</v>
      </c>
      <c r="B248" s="284">
        <f t="shared" si="141"/>
        <v>0</v>
      </c>
      <c r="C248" s="284">
        <f t="shared" si="142"/>
        <v>0</v>
      </c>
      <c r="D248" s="284">
        <f t="shared" si="143"/>
        <v>0</v>
      </c>
      <c r="E248" s="284">
        <f t="shared" si="144"/>
        <v>0</v>
      </c>
      <c r="F248" s="284">
        <f t="shared" si="145"/>
        <v>0</v>
      </c>
      <c r="G248" s="284">
        <f t="shared" si="146"/>
        <v>0</v>
      </c>
      <c r="H248" s="284">
        <f t="shared" si="147"/>
        <v>0</v>
      </c>
      <c r="I248" s="284">
        <f t="shared" si="148"/>
        <v>0</v>
      </c>
      <c r="J248" s="284">
        <f t="shared" si="149"/>
        <v>0</v>
      </c>
      <c r="K248" s="284">
        <f t="shared" si="150"/>
        <v>0</v>
      </c>
      <c r="L248" s="284">
        <f t="shared" si="151"/>
        <v>0</v>
      </c>
      <c r="M248" s="284">
        <f t="shared" si="152"/>
        <v>0</v>
      </c>
      <c r="N248" s="284">
        <f t="shared" si="153"/>
        <v>0</v>
      </c>
      <c r="O248" s="284">
        <f t="shared" si="154"/>
        <v>0</v>
      </c>
      <c r="P248" s="284">
        <f t="shared" si="209"/>
        <v>0</v>
      </c>
      <c r="Q248" s="284">
        <f t="shared" si="210"/>
        <v>0</v>
      </c>
      <c r="R248" s="284">
        <f t="shared" si="211"/>
        <v>0</v>
      </c>
      <c r="S248" s="284">
        <f t="shared" si="212"/>
        <v>0</v>
      </c>
      <c r="T248" s="284">
        <f t="shared" si="213"/>
        <v>0</v>
      </c>
      <c r="U248" s="285">
        <f t="shared" si="214"/>
        <v>0</v>
      </c>
      <c r="V248" s="286">
        <f>[1]BDD!A238</f>
        <v>3931</v>
      </c>
      <c r="W248" s="287" t="str">
        <f>[1]BDD!B238</f>
        <v>Sucre de canne à sucre (env. 550g, bocal en verre)</v>
      </c>
      <c r="X248" s="288" t="str">
        <f>IF([1]BDD!F238=0, "", [1]BDD!F238)</f>
        <v/>
      </c>
      <c r="Y248" s="214">
        <f>ROUND([1]BDD!G238+FDP_CMD_KG, 2)</f>
        <v>5.93</v>
      </c>
      <c r="Z248" s="214">
        <f>ROUND([1]BDD!G238+FDP_FACT_KG, 2)</f>
        <v>5.93</v>
      </c>
      <c r="AA248" s="215" t="str">
        <f>[1]BDD!H238</f>
        <v>Pièce</v>
      </c>
      <c r="AB248" s="225" t="str">
        <f>IF(NOT(ISBLANK([1]BDD!I238)), ROUND(SUM(([1]BDD!G238*reduc1),FDP_CMD_KG), 2), "")</f>
        <v/>
      </c>
      <c r="AC248" s="225" t="str">
        <f>IF(NOT(ISBLANK([1]BDD!J238)), ROUND(SUM(([1]BDD!G238*reduc2),FDP_CMD_KG), 2), "")</f>
        <v/>
      </c>
      <c r="AD248" s="225" t="str">
        <f>IF(NOT(ISBLANK([1]BDD!K238)), ROUND(SUM(([1]BDD!G238*reduc3),FDP_CMD_KG), 2), "")</f>
        <v/>
      </c>
      <c r="AE248" s="225" t="str">
        <f>IF(NOT(ISBLANK([1]BDD!I238)), ROUND(SUM(([1]BDD!G238*reduc1),FDP_FACT_KG), 2), "")</f>
        <v/>
      </c>
      <c r="AF248" s="225" t="str">
        <f>IF(NOT(ISBLANK([1]BDD!J238)), ROUND(SUM(([1]BDD!G238*reduc2),FDP_FACT_KG), 2), "")</f>
        <v/>
      </c>
      <c r="AG248" s="225" t="str">
        <f>IF(NOT(ISBLANK([1]BDD!K238)), ROUND(SUM(([1]BDD!G238*reduc3),FDP_FACT_KG), 2), "")</f>
        <v/>
      </c>
      <c r="AH248" s="289" t="str">
        <f>[1]BDD!C238</f>
        <v>National</v>
      </c>
      <c r="AI248" s="290">
        <f t="shared" si="215"/>
        <v>0</v>
      </c>
      <c r="AJ248" s="216">
        <f t="shared" si="216"/>
        <v>5.93</v>
      </c>
      <c r="AK248" s="291">
        <f t="shared" si="217"/>
        <v>0</v>
      </c>
      <c r="AL248" s="429"/>
      <c r="AM248" s="292"/>
      <c r="AN248" s="216">
        <f t="shared" si="218"/>
        <v>5.93</v>
      </c>
      <c r="AO248" s="293">
        <f t="shared" si="219"/>
        <v>0</v>
      </c>
      <c r="AP248" s="294"/>
      <c r="AQ248" s="294"/>
      <c r="AR248" s="429"/>
      <c r="AS248" s="295">
        <f t="shared" si="220"/>
        <v>0</v>
      </c>
      <c r="AT248" s="216">
        <f t="shared" si="221"/>
        <v>5.93</v>
      </c>
      <c r="AU248" s="291">
        <f t="shared" si="208"/>
        <v>0</v>
      </c>
      <c r="AV248" s="296">
        <f>[1]COMMANDE!O246</f>
        <v>0</v>
      </c>
      <c r="AW248" s="297" t="str">
        <f t="shared" si="222"/>
        <v>0</v>
      </c>
      <c r="AX248" s="298">
        <f t="shared" si="223"/>
        <v>0</v>
      </c>
      <c r="AY248" s="299">
        <f>[1]COMMANDE!Q246</f>
        <v>0</v>
      </c>
      <c r="AZ248" s="297" t="str">
        <f t="shared" si="224"/>
        <v>0</v>
      </c>
      <c r="BA248" s="300">
        <f t="shared" si="225"/>
        <v>0</v>
      </c>
      <c r="BB248" s="301">
        <f>[1]COMMANDE!S246</f>
        <v>0</v>
      </c>
      <c r="BC248" s="297" t="str">
        <f t="shared" si="226"/>
        <v>0</v>
      </c>
      <c r="BD248" s="298">
        <f t="shared" si="227"/>
        <v>0</v>
      </c>
      <c r="BE248" s="299">
        <f>[1]COMMANDE!U246</f>
        <v>0</v>
      </c>
      <c r="BF248" s="297" t="str">
        <f t="shared" si="228"/>
        <v>0</v>
      </c>
      <c r="BG248" s="300">
        <f t="shared" si="229"/>
        <v>0</v>
      </c>
      <c r="BH248" s="301">
        <f>[1]COMMANDE!W246</f>
        <v>0</v>
      </c>
      <c r="BI248" s="297" t="str">
        <f t="shared" si="230"/>
        <v>0</v>
      </c>
      <c r="BJ248" s="298">
        <f t="shared" si="231"/>
        <v>0</v>
      </c>
      <c r="BK248" s="299">
        <f>[1]COMMANDE!Y246</f>
        <v>0</v>
      </c>
      <c r="BL248" s="297" t="str">
        <f t="shared" si="232"/>
        <v>0</v>
      </c>
      <c r="BM248" s="300">
        <f t="shared" si="233"/>
        <v>0</v>
      </c>
      <c r="BN248" s="301">
        <f>[1]COMMANDE!AA246</f>
        <v>0</v>
      </c>
      <c r="BO248" s="297" t="str">
        <f t="shared" si="234"/>
        <v>0</v>
      </c>
      <c r="BP248" s="298">
        <f t="shared" si="235"/>
        <v>0</v>
      </c>
      <c r="BQ248" s="299">
        <f>[1]COMMANDE!AC246</f>
        <v>0</v>
      </c>
      <c r="BR248" s="297" t="str">
        <f t="shared" si="236"/>
        <v>0</v>
      </c>
      <c r="BS248" s="300">
        <f t="shared" si="237"/>
        <v>0</v>
      </c>
      <c r="BT248" s="301">
        <f>[1]COMMANDE!AE246</f>
        <v>0</v>
      </c>
      <c r="BU248" s="297" t="str">
        <f t="shared" si="238"/>
        <v>0</v>
      </c>
      <c r="BV248" s="298">
        <f t="shared" si="239"/>
        <v>0</v>
      </c>
      <c r="BW248" s="299">
        <f>[1]COMMANDE!AG246</f>
        <v>0</v>
      </c>
      <c r="BX248" s="297" t="str">
        <f t="shared" si="240"/>
        <v>0</v>
      </c>
      <c r="BY248" s="300">
        <f t="shared" si="241"/>
        <v>0</v>
      </c>
      <c r="BZ248" s="301">
        <f>[1]COMMANDE!AI246</f>
        <v>0</v>
      </c>
      <c r="CA248" s="297" t="str">
        <f t="shared" si="242"/>
        <v>0</v>
      </c>
      <c r="CB248" s="298">
        <f t="shared" si="243"/>
        <v>0</v>
      </c>
      <c r="CC248" s="299">
        <f>[1]COMMANDE!AK246</f>
        <v>0</v>
      </c>
      <c r="CD248" s="297" t="str">
        <f t="shared" si="244"/>
        <v>0</v>
      </c>
      <c r="CE248" s="300">
        <f t="shared" si="245"/>
        <v>0</v>
      </c>
      <c r="CF248" s="301">
        <f>[1]COMMANDE!AM246</f>
        <v>0</v>
      </c>
      <c r="CG248" s="297" t="str">
        <f t="shared" si="246"/>
        <v>0</v>
      </c>
      <c r="CH248" s="298">
        <f t="shared" si="247"/>
        <v>0</v>
      </c>
      <c r="CI248" s="299">
        <f>[1]COMMANDE!AO246</f>
        <v>0</v>
      </c>
      <c r="CJ248" s="297" t="str">
        <f t="shared" si="248"/>
        <v>0</v>
      </c>
      <c r="CK248" s="300">
        <f t="shared" si="249"/>
        <v>0</v>
      </c>
      <c r="CL248" s="301">
        <f>[1]COMMANDE!AQ246</f>
        <v>0</v>
      </c>
      <c r="CM248" s="297" t="str">
        <f t="shared" si="250"/>
        <v>0</v>
      </c>
      <c r="CN248" s="298">
        <f t="shared" si="251"/>
        <v>0</v>
      </c>
      <c r="CO248" s="299">
        <f>[1]COMMANDE!AS246</f>
        <v>0</v>
      </c>
      <c r="CP248" s="297" t="str">
        <f t="shared" si="252"/>
        <v>0</v>
      </c>
      <c r="CQ248" s="300">
        <f t="shared" si="253"/>
        <v>0</v>
      </c>
      <c r="CR248" s="301">
        <f>[1]COMMANDE!AU246</f>
        <v>0</v>
      </c>
      <c r="CS248" s="297" t="str">
        <f t="shared" si="254"/>
        <v>0</v>
      </c>
      <c r="CT248" s="298">
        <f t="shared" si="255"/>
        <v>0</v>
      </c>
      <c r="CU248" s="299">
        <f>[1]COMMANDE!AW246</f>
        <v>0</v>
      </c>
      <c r="CV248" s="297" t="str">
        <f t="shared" si="256"/>
        <v>0</v>
      </c>
      <c r="CW248" s="300">
        <f t="shared" si="257"/>
        <v>0</v>
      </c>
      <c r="CX248" s="301">
        <f>[1]COMMANDE!AY246</f>
        <v>0</v>
      </c>
      <c r="CY248" s="297" t="str">
        <f t="shared" si="258"/>
        <v>0</v>
      </c>
      <c r="CZ248" s="298">
        <f t="shared" si="259"/>
        <v>0</v>
      </c>
      <c r="DA248" s="299">
        <f>[1]COMMANDE!BA246</f>
        <v>0</v>
      </c>
      <c r="DB248" s="297" t="str">
        <f t="shared" si="260"/>
        <v>0</v>
      </c>
      <c r="DC248" s="302">
        <f t="shared" si="261"/>
        <v>0</v>
      </c>
      <c r="DD248" s="303"/>
      <c r="DE248" s="304"/>
    </row>
    <row r="249" spans="1:109" ht="39.950000000000003" customHeight="1" x14ac:dyDescent="0.25">
      <c r="A249" s="284">
        <f t="shared" si="140"/>
        <v>0</v>
      </c>
      <c r="B249" s="284">
        <f t="shared" si="141"/>
        <v>0</v>
      </c>
      <c r="C249" s="284">
        <f t="shared" si="142"/>
        <v>0</v>
      </c>
      <c r="D249" s="284">
        <f t="shared" si="143"/>
        <v>0</v>
      </c>
      <c r="E249" s="284">
        <f t="shared" si="144"/>
        <v>0</v>
      </c>
      <c r="F249" s="284">
        <f t="shared" si="145"/>
        <v>0</v>
      </c>
      <c r="G249" s="284">
        <f t="shared" si="146"/>
        <v>0</v>
      </c>
      <c r="H249" s="284">
        <f t="shared" si="147"/>
        <v>0</v>
      </c>
      <c r="I249" s="284">
        <f t="shared" si="148"/>
        <v>0</v>
      </c>
      <c r="J249" s="284">
        <f t="shared" si="149"/>
        <v>0</v>
      </c>
      <c r="K249" s="284">
        <f t="shared" si="150"/>
        <v>0</v>
      </c>
      <c r="L249" s="284">
        <f t="shared" si="151"/>
        <v>0</v>
      </c>
      <c r="M249" s="284">
        <f t="shared" si="152"/>
        <v>0</v>
      </c>
      <c r="N249" s="284">
        <f t="shared" si="153"/>
        <v>0</v>
      </c>
      <c r="O249" s="284">
        <f t="shared" si="154"/>
        <v>0</v>
      </c>
      <c r="P249" s="284">
        <f t="shared" si="209"/>
        <v>0</v>
      </c>
      <c r="Q249" s="284">
        <f t="shared" si="210"/>
        <v>0</v>
      </c>
      <c r="R249" s="284">
        <f t="shared" si="211"/>
        <v>0</v>
      </c>
      <c r="S249" s="284">
        <f t="shared" si="212"/>
        <v>0</v>
      </c>
      <c r="T249" s="284">
        <f t="shared" si="213"/>
        <v>0</v>
      </c>
      <c r="U249" s="285">
        <f t="shared" si="214"/>
        <v>0</v>
      </c>
      <c r="V249" s="286">
        <f>[1]BDD!A239</f>
        <v>1575</v>
      </c>
      <c r="W249" s="287" t="str">
        <f>[1]BDD!B239</f>
        <v>Sucre de coco BIO (env. 1kg)</v>
      </c>
      <c r="X249" s="288" t="str">
        <f>IF([1]BDD!F239=0, "", [1]BDD!F239)</f>
        <v>❤️</v>
      </c>
      <c r="Y249" s="214">
        <f>ROUND([1]BDD!G239+FDP_CMD_KG, 2)</f>
        <v>12.78</v>
      </c>
      <c r="Z249" s="214">
        <f>ROUND([1]BDD!G239+FDP_FACT_KG, 2)</f>
        <v>12.78</v>
      </c>
      <c r="AA249" s="215" t="str">
        <f>[1]BDD!H239</f>
        <v>Pièce</v>
      </c>
      <c r="AB249" s="225">
        <f>IF(NOT(ISBLANK([1]BDD!I239)), ROUND(SUM(([1]BDD!G239*reduc1),FDP_CMD_KG), 2), "")</f>
        <v>11.59</v>
      </c>
      <c r="AC249" s="225" t="str">
        <f>IF(NOT(ISBLANK([1]BDD!J239)), ROUND(SUM(([1]BDD!G239*reduc2),FDP_CMD_KG), 2), "")</f>
        <v/>
      </c>
      <c r="AD249" s="225" t="str">
        <f>IF(NOT(ISBLANK([1]BDD!K239)), ROUND(SUM(([1]BDD!G239*reduc3),FDP_CMD_KG), 2), "")</f>
        <v/>
      </c>
      <c r="AE249" s="225">
        <f>IF(NOT(ISBLANK([1]BDD!I239)), ROUND(SUM(([1]BDD!G239*reduc1),FDP_FACT_KG), 2), "")</f>
        <v>11.59</v>
      </c>
      <c r="AF249" s="225" t="str">
        <f>IF(NOT(ISBLANK([1]BDD!J239)), ROUND(SUM(([1]BDD!G239*reduc2),FDP_FACT_KG), 2), "")</f>
        <v/>
      </c>
      <c r="AG249" s="225" t="str">
        <f>IF(NOT(ISBLANK([1]BDD!K239)), ROUND(SUM(([1]BDD!G239*reduc3),FDP_FACT_KG), 2), "")</f>
        <v/>
      </c>
      <c r="AH249" s="289" t="str">
        <f>[1]BDD!C239</f>
        <v>Indonésie</v>
      </c>
      <c r="AI249" s="290">
        <f t="shared" si="215"/>
        <v>0</v>
      </c>
      <c r="AJ249" s="216">
        <f t="shared" si="216"/>
        <v>11.59</v>
      </c>
      <c r="AK249" s="291">
        <f t="shared" si="217"/>
        <v>0</v>
      </c>
      <c r="AL249" s="429"/>
      <c r="AM249" s="292"/>
      <c r="AN249" s="216">
        <f t="shared" si="218"/>
        <v>12.78</v>
      </c>
      <c r="AO249" s="293">
        <f t="shared" si="219"/>
        <v>0</v>
      </c>
      <c r="AP249" s="294"/>
      <c r="AQ249" s="294"/>
      <c r="AR249" s="429"/>
      <c r="AS249" s="295">
        <f t="shared" si="220"/>
        <v>0</v>
      </c>
      <c r="AT249" s="216">
        <f t="shared" si="221"/>
        <v>12.78</v>
      </c>
      <c r="AU249" s="291">
        <f t="shared" si="208"/>
        <v>0</v>
      </c>
      <c r="AV249" s="296">
        <f>[1]COMMANDE!O247</f>
        <v>0</v>
      </c>
      <c r="AW249" s="297" t="str">
        <f t="shared" si="222"/>
        <v>0</v>
      </c>
      <c r="AX249" s="298">
        <f t="shared" si="223"/>
        <v>0</v>
      </c>
      <c r="AY249" s="299">
        <f>[1]COMMANDE!Q247</f>
        <v>0</v>
      </c>
      <c r="AZ249" s="297" t="str">
        <f t="shared" si="224"/>
        <v>0</v>
      </c>
      <c r="BA249" s="300">
        <f t="shared" si="225"/>
        <v>0</v>
      </c>
      <c r="BB249" s="301">
        <f>[1]COMMANDE!S247</f>
        <v>0</v>
      </c>
      <c r="BC249" s="297" t="str">
        <f t="shared" si="226"/>
        <v>0</v>
      </c>
      <c r="BD249" s="298">
        <f t="shared" si="227"/>
        <v>0</v>
      </c>
      <c r="BE249" s="299">
        <f>[1]COMMANDE!U247</f>
        <v>0</v>
      </c>
      <c r="BF249" s="297" t="str">
        <f t="shared" si="228"/>
        <v>0</v>
      </c>
      <c r="BG249" s="300">
        <f t="shared" si="229"/>
        <v>0</v>
      </c>
      <c r="BH249" s="301">
        <f>[1]COMMANDE!W247</f>
        <v>0</v>
      </c>
      <c r="BI249" s="297" t="str">
        <f t="shared" si="230"/>
        <v>0</v>
      </c>
      <c r="BJ249" s="298">
        <f t="shared" si="231"/>
        <v>0</v>
      </c>
      <c r="BK249" s="299">
        <f>[1]COMMANDE!Y247</f>
        <v>0</v>
      </c>
      <c r="BL249" s="297" t="str">
        <f t="shared" si="232"/>
        <v>0</v>
      </c>
      <c r="BM249" s="300">
        <f t="shared" si="233"/>
        <v>0</v>
      </c>
      <c r="BN249" s="301">
        <f>[1]COMMANDE!AA247</f>
        <v>0</v>
      </c>
      <c r="BO249" s="297" t="str">
        <f t="shared" si="234"/>
        <v>0</v>
      </c>
      <c r="BP249" s="298">
        <f t="shared" si="235"/>
        <v>0</v>
      </c>
      <c r="BQ249" s="299">
        <f>[1]COMMANDE!AC247</f>
        <v>0</v>
      </c>
      <c r="BR249" s="297" t="str">
        <f t="shared" si="236"/>
        <v>0</v>
      </c>
      <c r="BS249" s="300">
        <f t="shared" si="237"/>
        <v>0</v>
      </c>
      <c r="BT249" s="301">
        <f>[1]COMMANDE!AE247</f>
        <v>0</v>
      </c>
      <c r="BU249" s="297" t="str">
        <f t="shared" si="238"/>
        <v>0</v>
      </c>
      <c r="BV249" s="298">
        <f t="shared" si="239"/>
        <v>0</v>
      </c>
      <c r="BW249" s="299">
        <f>[1]COMMANDE!AG247</f>
        <v>0</v>
      </c>
      <c r="BX249" s="297" t="str">
        <f t="shared" si="240"/>
        <v>0</v>
      </c>
      <c r="BY249" s="300">
        <f t="shared" si="241"/>
        <v>0</v>
      </c>
      <c r="BZ249" s="301">
        <f>[1]COMMANDE!AI247</f>
        <v>0</v>
      </c>
      <c r="CA249" s="297" t="str">
        <f t="shared" si="242"/>
        <v>0</v>
      </c>
      <c r="CB249" s="298">
        <f t="shared" si="243"/>
        <v>0</v>
      </c>
      <c r="CC249" s="299">
        <f>[1]COMMANDE!AK247</f>
        <v>0</v>
      </c>
      <c r="CD249" s="297" t="str">
        <f t="shared" si="244"/>
        <v>0</v>
      </c>
      <c r="CE249" s="300">
        <f t="shared" si="245"/>
        <v>0</v>
      </c>
      <c r="CF249" s="301">
        <f>[1]COMMANDE!AM247</f>
        <v>0</v>
      </c>
      <c r="CG249" s="297" t="str">
        <f t="shared" si="246"/>
        <v>0</v>
      </c>
      <c r="CH249" s="298">
        <f t="shared" si="247"/>
        <v>0</v>
      </c>
      <c r="CI249" s="299">
        <f>[1]COMMANDE!AO247</f>
        <v>0</v>
      </c>
      <c r="CJ249" s="297" t="str">
        <f t="shared" si="248"/>
        <v>0</v>
      </c>
      <c r="CK249" s="300">
        <f t="shared" si="249"/>
        <v>0</v>
      </c>
      <c r="CL249" s="301">
        <f>[1]COMMANDE!AQ247</f>
        <v>0</v>
      </c>
      <c r="CM249" s="297" t="str">
        <f t="shared" si="250"/>
        <v>0</v>
      </c>
      <c r="CN249" s="298">
        <f t="shared" si="251"/>
        <v>0</v>
      </c>
      <c r="CO249" s="299">
        <f>[1]COMMANDE!AS247</f>
        <v>0</v>
      </c>
      <c r="CP249" s="297" t="str">
        <f t="shared" si="252"/>
        <v>0</v>
      </c>
      <c r="CQ249" s="300">
        <f t="shared" si="253"/>
        <v>0</v>
      </c>
      <c r="CR249" s="301">
        <f>[1]COMMANDE!AU247</f>
        <v>0</v>
      </c>
      <c r="CS249" s="297" t="str">
        <f t="shared" si="254"/>
        <v>0</v>
      </c>
      <c r="CT249" s="298">
        <f t="shared" si="255"/>
        <v>0</v>
      </c>
      <c r="CU249" s="299">
        <f>[1]COMMANDE!AW247</f>
        <v>0</v>
      </c>
      <c r="CV249" s="297" t="str">
        <f t="shared" si="256"/>
        <v>0</v>
      </c>
      <c r="CW249" s="300">
        <f t="shared" si="257"/>
        <v>0</v>
      </c>
      <c r="CX249" s="301">
        <f>[1]COMMANDE!AY247</f>
        <v>0</v>
      </c>
      <c r="CY249" s="297" t="str">
        <f t="shared" si="258"/>
        <v>0</v>
      </c>
      <c r="CZ249" s="298">
        <f t="shared" si="259"/>
        <v>0</v>
      </c>
      <c r="DA249" s="299">
        <f>[1]COMMANDE!BA247</f>
        <v>0</v>
      </c>
      <c r="DB249" s="297" t="str">
        <f t="shared" si="260"/>
        <v>0</v>
      </c>
      <c r="DC249" s="302">
        <f t="shared" si="261"/>
        <v>0</v>
      </c>
      <c r="DD249" s="303"/>
      <c r="DE249" s="304"/>
    </row>
    <row r="250" spans="1:109" ht="39.950000000000003" customHeight="1" x14ac:dyDescent="0.25">
      <c r="A250" s="284">
        <f t="shared" si="140"/>
        <v>0</v>
      </c>
      <c r="B250" s="284">
        <f t="shared" si="141"/>
        <v>0</v>
      </c>
      <c r="C250" s="284">
        <f t="shared" si="142"/>
        <v>0</v>
      </c>
      <c r="D250" s="284">
        <f t="shared" si="143"/>
        <v>0</v>
      </c>
      <c r="E250" s="284">
        <f t="shared" si="144"/>
        <v>0</v>
      </c>
      <c r="F250" s="284">
        <f t="shared" si="145"/>
        <v>0</v>
      </c>
      <c r="G250" s="284">
        <f t="shared" si="146"/>
        <v>0</v>
      </c>
      <c r="H250" s="284">
        <f t="shared" si="147"/>
        <v>0</v>
      </c>
      <c r="I250" s="284">
        <f t="shared" si="148"/>
        <v>0</v>
      </c>
      <c r="J250" s="284">
        <f t="shared" si="149"/>
        <v>0</v>
      </c>
      <c r="K250" s="284">
        <f t="shared" si="150"/>
        <v>0</v>
      </c>
      <c r="L250" s="284">
        <f t="shared" si="151"/>
        <v>0</v>
      </c>
      <c r="M250" s="284">
        <f t="shared" si="152"/>
        <v>0</v>
      </c>
      <c r="N250" s="284">
        <f t="shared" si="153"/>
        <v>0</v>
      </c>
      <c r="O250" s="284">
        <f t="shared" si="154"/>
        <v>0</v>
      </c>
      <c r="P250" s="284">
        <f t="shared" si="209"/>
        <v>0</v>
      </c>
      <c r="Q250" s="284">
        <f t="shared" si="210"/>
        <v>0</v>
      </c>
      <c r="R250" s="284">
        <f t="shared" si="211"/>
        <v>0</v>
      </c>
      <c r="S250" s="284">
        <f t="shared" si="212"/>
        <v>0</v>
      </c>
      <c r="T250" s="284">
        <f t="shared" si="213"/>
        <v>0</v>
      </c>
      <c r="U250" s="285">
        <f t="shared" si="214"/>
        <v>0</v>
      </c>
      <c r="V250" s="286">
        <f>[1]BDD!A240</f>
        <v>6110</v>
      </c>
      <c r="W250" s="287" t="str">
        <f>[1]BDD!B240</f>
        <v>Tomate déshydratée en lamelle fine CRU BIO (env. 1kg, 35ºC, qualité supérieure)</v>
      </c>
      <c r="X250" s="288" t="str">
        <f>IF([1]BDD!F240=0, "", [1]BDD!F240)</f>
        <v>❤️</v>
      </c>
      <c r="Y250" s="214">
        <f>ROUND([1]BDD!G240+FDP_CMD_KG, 2)</f>
        <v>33.72</v>
      </c>
      <c r="Z250" s="214">
        <f>ROUND([1]BDD!G240+FDP_FACT_KG, 2)</f>
        <v>33.72</v>
      </c>
      <c r="AA250" s="215" t="str">
        <f>[1]BDD!H240</f>
        <v>Pièce</v>
      </c>
      <c r="AB250" s="225" t="str">
        <f>IF(NOT(ISBLANK([1]BDD!I240)), ROUND(SUM(([1]BDD!G240*reduc1),FDP_CMD_KG), 2), "")</f>
        <v/>
      </c>
      <c r="AC250" s="225" t="str">
        <f>IF(NOT(ISBLANK([1]BDD!J240)), ROUND(SUM(([1]BDD!G240*reduc2),FDP_CMD_KG), 2), "")</f>
        <v/>
      </c>
      <c r="AD250" s="225" t="str">
        <f>IF(NOT(ISBLANK([1]BDD!K240)), ROUND(SUM(([1]BDD!G240*reduc3),FDP_CMD_KG), 2), "")</f>
        <v/>
      </c>
      <c r="AE250" s="225" t="str">
        <f>IF(NOT(ISBLANK([1]BDD!I240)), ROUND(SUM(([1]BDD!G240*reduc1),FDP_FACT_KG), 2), "")</f>
        <v/>
      </c>
      <c r="AF250" s="225" t="str">
        <f>IF(NOT(ISBLANK([1]BDD!J240)), ROUND(SUM(([1]BDD!G240*reduc2),FDP_FACT_KG), 2), "")</f>
        <v/>
      </c>
      <c r="AG250" s="225" t="str">
        <f>IF(NOT(ISBLANK([1]BDD!K240)), ROUND(SUM(([1]BDD!G240*reduc3),FDP_FACT_KG), 2), "")</f>
        <v/>
      </c>
      <c r="AH250" s="289" t="str">
        <f>[1]BDD!C240</f>
        <v>Espagne</v>
      </c>
      <c r="AI250" s="290">
        <f t="shared" si="215"/>
        <v>0</v>
      </c>
      <c r="AJ250" s="216">
        <f t="shared" si="216"/>
        <v>33.72</v>
      </c>
      <c r="AK250" s="291">
        <f t="shared" si="217"/>
        <v>0</v>
      </c>
      <c r="AL250" s="429"/>
      <c r="AM250" s="292"/>
      <c r="AN250" s="216">
        <f t="shared" si="218"/>
        <v>33.72</v>
      </c>
      <c r="AO250" s="293">
        <f t="shared" si="219"/>
        <v>0</v>
      </c>
      <c r="AP250" s="294"/>
      <c r="AQ250" s="294"/>
      <c r="AR250" s="429"/>
      <c r="AS250" s="295">
        <f t="shared" si="220"/>
        <v>0</v>
      </c>
      <c r="AT250" s="216">
        <f t="shared" si="221"/>
        <v>33.72</v>
      </c>
      <c r="AU250" s="291">
        <f t="shared" si="208"/>
        <v>0</v>
      </c>
      <c r="AV250" s="296">
        <f>[1]COMMANDE!O248</f>
        <v>0</v>
      </c>
      <c r="AW250" s="297" t="str">
        <f t="shared" si="222"/>
        <v>0</v>
      </c>
      <c r="AX250" s="298">
        <f t="shared" si="223"/>
        <v>0</v>
      </c>
      <c r="AY250" s="299">
        <f>[1]COMMANDE!Q248</f>
        <v>0</v>
      </c>
      <c r="AZ250" s="297" t="str">
        <f t="shared" si="224"/>
        <v>0</v>
      </c>
      <c r="BA250" s="300">
        <f t="shared" si="225"/>
        <v>0</v>
      </c>
      <c r="BB250" s="301">
        <f>[1]COMMANDE!S248</f>
        <v>0</v>
      </c>
      <c r="BC250" s="297" t="str">
        <f t="shared" si="226"/>
        <v>0</v>
      </c>
      <c r="BD250" s="298">
        <f t="shared" si="227"/>
        <v>0</v>
      </c>
      <c r="BE250" s="299">
        <f>[1]COMMANDE!U248</f>
        <v>0</v>
      </c>
      <c r="BF250" s="297" t="str">
        <f t="shared" si="228"/>
        <v>0</v>
      </c>
      <c r="BG250" s="300">
        <f t="shared" si="229"/>
        <v>0</v>
      </c>
      <c r="BH250" s="301">
        <f>[1]COMMANDE!W248</f>
        <v>0</v>
      </c>
      <c r="BI250" s="297" t="str">
        <f t="shared" si="230"/>
        <v>0</v>
      </c>
      <c r="BJ250" s="298">
        <f t="shared" si="231"/>
        <v>0</v>
      </c>
      <c r="BK250" s="299">
        <f>[1]COMMANDE!Y248</f>
        <v>0</v>
      </c>
      <c r="BL250" s="297" t="str">
        <f t="shared" si="232"/>
        <v>0</v>
      </c>
      <c r="BM250" s="300">
        <f t="shared" si="233"/>
        <v>0</v>
      </c>
      <c r="BN250" s="301">
        <f>[1]COMMANDE!AA248</f>
        <v>0</v>
      </c>
      <c r="BO250" s="297" t="str">
        <f t="shared" si="234"/>
        <v>0</v>
      </c>
      <c r="BP250" s="298">
        <f t="shared" si="235"/>
        <v>0</v>
      </c>
      <c r="BQ250" s="299">
        <f>[1]COMMANDE!AC248</f>
        <v>0</v>
      </c>
      <c r="BR250" s="297" t="str">
        <f t="shared" si="236"/>
        <v>0</v>
      </c>
      <c r="BS250" s="300">
        <f t="shared" si="237"/>
        <v>0</v>
      </c>
      <c r="BT250" s="301">
        <f>[1]COMMANDE!AE248</f>
        <v>0</v>
      </c>
      <c r="BU250" s="297" t="str">
        <f t="shared" si="238"/>
        <v>0</v>
      </c>
      <c r="BV250" s="298">
        <f t="shared" si="239"/>
        <v>0</v>
      </c>
      <c r="BW250" s="299">
        <f>[1]COMMANDE!AG248</f>
        <v>0</v>
      </c>
      <c r="BX250" s="297" t="str">
        <f t="shared" si="240"/>
        <v>0</v>
      </c>
      <c r="BY250" s="300">
        <f t="shared" si="241"/>
        <v>0</v>
      </c>
      <c r="BZ250" s="301">
        <f>[1]COMMANDE!AI248</f>
        <v>0</v>
      </c>
      <c r="CA250" s="297" t="str">
        <f t="shared" si="242"/>
        <v>0</v>
      </c>
      <c r="CB250" s="298">
        <f t="shared" si="243"/>
        <v>0</v>
      </c>
      <c r="CC250" s="299">
        <f>[1]COMMANDE!AK248</f>
        <v>0</v>
      </c>
      <c r="CD250" s="297" t="str">
        <f t="shared" si="244"/>
        <v>0</v>
      </c>
      <c r="CE250" s="300">
        <f t="shared" si="245"/>
        <v>0</v>
      </c>
      <c r="CF250" s="301">
        <f>[1]COMMANDE!AM248</f>
        <v>0</v>
      </c>
      <c r="CG250" s="297" t="str">
        <f t="shared" si="246"/>
        <v>0</v>
      </c>
      <c r="CH250" s="298">
        <f t="shared" si="247"/>
        <v>0</v>
      </c>
      <c r="CI250" s="299">
        <f>[1]COMMANDE!AO248</f>
        <v>0</v>
      </c>
      <c r="CJ250" s="297" t="str">
        <f t="shared" si="248"/>
        <v>0</v>
      </c>
      <c r="CK250" s="300">
        <f t="shared" si="249"/>
        <v>0</v>
      </c>
      <c r="CL250" s="301">
        <f>[1]COMMANDE!AQ248</f>
        <v>0</v>
      </c>
      <c r="CM250" s="297" t="str">
        <f t="shared" si="250"/>
        <v>0</v>
      </c>
      <c r="CN250" s="298">
        <f t="shared" si="251"/>
        <v>0</v>
      </c>
      <c r="CO250" s="299">
        <f>[1]COMMANDE!AS248</f>
        <v>0</v>
      </c>
      <c r="CP250" s="297" t="str">
        <f t="shared" si="252"/>
        <v>0</v>
      </c>
      <c r="CQ250" s="300">
        <f t="shared" si="253"/>
        <v>0</v>
      </c>
      <c r="CR250" s="301">
        <f>[1]COMMANDE!AU248</f>
        <v>0</v>
      </c>
      <c r="CS250" s="297" t="str">
        <f t="shared" si="254"/>
        <v>0</v>
      </c>
      <c r="CT250" s="298">
        <f t="shared" si="255"/>
        <v>0</v>
      </c>
      <c r="CU250" s="299">
        <f>[1]COMMANDE!AW248</f>
        <v>0</v>
      </c>
      <c r="CV250" s="297" t="str">
        <f t="shared" si="256"/>
        <v>0</v>
      </c>
      <c r="CW250" s="300">
        <f t="shared" si="257"/>
        <v>0</v>
      </c>
      <c r="CX250" s="301">
        <f>[1]COMMANDE!AY248</f>
        <v>0</v>
      </c>
      <c r="CY250" s="297" t="str">
        <f t="shared" si="258"/>
        <v>0</v>
      </c>
      <c r="CZ250" s="298">
        <f t="shared" si="259"/>
        <v>0</v>
      </c>
      <c r="DA250" s="299">
        <f>[1]COMMANDE!BA248</f>
        <v>0</v>
      </c>
      <c r="DB250" s="297" t="str">
        <f t="shared" si="260"/>
        <v>0</v>
      </c>
      <c r="DC250" s="302">
        <f t="shared" si="261"/>
        <v>0</v>
      </c>
      <c r="DD250" s="303"/>
      <c r="DE250" s="304"/>
    </row>
    <row r="251" spans="1:109" ht="39.950000000000003" customHeight="1" x14ac:dyDescent="0.25">
      <c r="A251" s="284">
        <f t="shared" si="140"/>
        <v>0</v>
      </c>
      <c r="B251" s="284">
        <f t="shared" si="141"/>
        <v>0</v>
      </c>
      <c r="C251" s="284">
        <f t="shared" si="142"/>
        <v>0</v>
      </c>
      <c r="D251" s="284">
        <f t="shared" si="143"/>
        <v>0</v>
      </c>
      <c r="E251" s="284">
        <f t="shared" si="144"/>
        <v>0</v>
      </c>
      <c r="F251" s="284">
        <f t="shared" si="145"/>
        <v>0</v>
      </c>
      <c r="G251" s="284">
        <f t="shared" si="146"/>
        <v>0</v>
      </c>
      <c r="H251" s="284">
        <f t="shared" si="147"/>
        <v>0</v>
      </c>
      <c r="I251" s="284">
        <f t="shared" si="148"/>
        <v>0</v>
      </c>
      <c r="J251" s="284">
        <f t="shared" si="149"/>
        <v>0</v>
      </c>
      <c r="K251" s="284">
        <f t="shared" si="150"/>
        <v>0</v>
      </c>
      <c r="L251" s="284">
        <f t="shared" si="151"/>
        <v>0</v>
      </c>
      <c r="M251" s="284">
        <f t="shared" si="152"/>
        <v>0</v>
      </c>
      <c r="N251" s="284">
        <f t="shared" si="153"/>
        <v>0</v>
      </c>
      <c r="O251" s="284">
        <f t="shared" si="154"/>
        <v>0</v>
      </c>
      <c r="P251" s="284">
        <f t="shared" si="209"/>
        <v>0</v>
      </c>
      <c r="Q251" s="284">
        <f t="shared" si="210"/>
        <v>0</v>
      </c>
      <c r="R251" s="284">
        <f t="shared" si="211"/>
        <v>0</v>
      </c>
      <c r="S251" s="284">
        <f t="shared" si="212"/>
        <v>0</v>
      </c>
      <c r="T251" s="284">
        <f t="shared" si="213"/>
        <v>0</v>
      </c>
      <c r="U251" s="285">
        <f t="shared" si="214"/>
        <v>0</v>
      </c>
      <c r="V251" s="286">
        <f>[1]BDD!A241</f>
        <v>6110</v>
      </c>
      <c r="W251" s="287" t="str">
        <f>[1]BDD!B241</f>
        <v>Tomate déshydratée en lamelle fine CRU BIO (env. 200g, 35ºC, qualité supérieure)</v>
      </c>
      <c r="X251" s="288" t="str">
        <f>IF([1]BDD!F241=0, "", [1]BDD!F241)</f>
        <v>❤️</v>
      </c>
      <c r="Y251" s="214">
        <f>ROUND([1]BDD!G241+FDP_CMD_KG, 2)</f>
        <v>8.1199999999999992</v>
      </c>
      <c r="Z251" s="214">
        <f>ROUND([1]BDD!G241+FDP_FACT_KG, 2)</f>
        <v>8.1199999999999992</v>
      </c>
      <c r="AA251" s="215" t="str">
        <f>[1]BDD!H241</f>
        <v>Pièce</v>
      </c>
      <c r="AB251" s="225" t="str">
        <f>IF(NOT(ISBLANK([1]BDD!I241)), ROUND(SUM(([1]BDD!G241*reduc1),FDP_CMD_KG), 2), "")</f>
        <v/>
      </c>
      <c r="AC251" s="225" t="str">
        <f>IF(NOT(ISBLANK([1]BDD!J241)), ROUND(SUM(([1]BDD!G241*reduc2),FDP_CMD_KG), 2), "")</f>
        <v/>
      </c>
      <c r="AD251" s="225" t="str">
        <f>IF(NOT(ISBLANK([1]BDD!K241)), ROUND(SUM(([1]BDD!G241*reduc3),FDP_CMD_KG), 2), "")</f>
        <v/>
      </c>
      <c r="AE251" s="225" t="str">
        <f>IF(NOT(ISBLANK([1]BDD!I241)), ROUND(SUM(([1]BDD!G241*reduc1),FDP_FACT_KG), 2), "")</f>
        <v/>
      </c>
      <c r="AF251" s="225" t="str">
        <f>IF(NOT(ISBLANK([1]BDD!J241)), ROUND(SUM(([1]BDD!G241*reduc2),FDP_FACT_KG), 2), "")</f>
        <v/>
      </c>
      <c r="AG251" s="225" t="str">
        <f>IF(NOT(ISBLANK([1]BDD!K241)), ROUND(SUM(([1]BDD!G241*reduc3),FDP_FACT_KG), 2), "")</f>
        <v/>
      </c>
      <c r="AH251" s="289" t="str">
        <f>[1]BDD!C241</f>
        <v>Espagne</v>
      </c>
      <c r="AI251" s="290">
        <f t="shared" si="215"/>
        <v>0</v>
      </c>
      <c r="AJ251" s="216">
        <f t="shared" si="216"/>
        <v>8.1199999999999992</v>
      </c>
      <c r="AK251" s="291">
        <f t="shared" si="217"/>
        <v>0</v>
      </c>
      <c r="AL251" s="429"/>
      <c r="AM251" s="292"/>
      <c r="AN251" s="216">
        <f t="shared" si="218"/>
        <v>8.1199999999999992</v>
      </c>
      <c r="AO251" s="293">
        <f t="shared" si="219"/>
        <v>0</v>
      </c>
      <c r="AP251" s="294"/>
      <c r="AQ251" s="294"/>
      <c r="AR251" s="429"/>
      <c r="AS251" s="295">
        <f t="shared" si="220"/>
        <v>0</v>
      </c>
      <c r="AT251" s="216">
        <f t="shared" si="221"/>
        <v>8.1199999999999992</v>
      </c>
      <c r="AU251" s="291">
        <f t="shared" si="208"/>
        <v>0</v>
      </c>
      <c r="AV251" s="296">
        <f>[1]COMMANDE!O249</f>
        <v>0</v>
      </c>
      <c r="AW251" s="297" t="str">
        <f t="shared" si="222"/>
        <v>0</v>
      </c>
      <c r="AX251" s="298">
        <f t="shared" si="223"/>
        <v>0</v>
      </c>
      <c r="AY251" s="299">
        <f>[1]COMMANDE!Q249</f>
        <v>0</v>
      </c>
      <c r="AZ251" s="297" t="str">
        <f t="shared" si="224"/>
        <v>0</v>
      </c>
      <c r="BA251" s="300">
        <f t="shared" si="225"/>
        <v>0</v>
      </c>
      <c r="BB251" s="301">
        <f>[1]COMMANDE!S249</f>
        <v>0</v>
      </c>
      <c r="BC251" s="297" t="str">
        <f t="shared" si="226"/>
        <v>0</v>
      </c>
      <c r="BD251" s="298">
        <f t="shared" si="227"/>
        <v>0</v>
      </c>
      <c r="BE251" s="299">
        <f>[1]COMMANDE!U249</f>
        <v>0</v>
      </c>
      <c r="BF251" s="297" t="str">
        <f t="shared" si="228"/>
        <v>0</v>
      </c>
      <c r="BG251" s="300">
        <f t="shared" si="229"/>
        <v>0</v>
      </c>
      <c r="BH251" s="301">
        <f>[1]COMMANDE!W249</f>
        <v>0</v>
      </c>
      <c r="BI251" s="297" t="str">
        <f t="shared" si="230"/>
        <v>0</v>
      </c>
      <c r="BJ251" s="298">
        <f t="shared" si="231"/>
        <v>0</v>
      </c>
      <c r="BK251" s="299">
        <f>[1]COMMANDE!Y249</f>
        <v>0</v>
      </c>
      <c r="BL251" s="297" t="str">
        <f t="shared" si="232"/>
        <v>0</v>
      </c>
      <c r="BM251" s="300">
        <f t="shared" si="233"/>
        <v>0</v>
      </c>
      <c r="BN251" s="301">
        <f>[1]COMMANDE!AA249</f>
        <v>0</v>
      </c>
      <c r="BO251" s="297" t="str">
        <f t="shared" si="234"/>
        <v>0</v>
      </c>
      <c r="BP251" s="298">
        <f t="shared" si="235"/>
        <v>0</v>
      </c>
      <c r="BQ251" s="299">
        <f>[1]COMMANDE!AC249</f>
        <v>0</v>
      </c>
      <c r="BR251" s="297" t="str">
        <f t="shared" si="236"/>
        <v>0</v>
      </c>
      <c r="BS251" s="300">
        <f t="shared" si="237"/>
        <v>0</v>
      </c>
      <c r="BT251" s="301">
        <f>[1]COMMANDE!AE249</f>
        <v>0</v>
      </c>
      <c r="BU251" s="297" t="str">
        <f t="shared" si="238"/>
        <v>0</v>
      </c>
      <c r="BV251" s="298">
        <f t="shared" si="239"/>
        <v>0</v>
      </c>
      <c r="BW251" s="299">
        <f>[1]COMMANDE!AG249</f>
        <v>0</v>
      </c>
      <c r="BX251" s="297" t="str">
        <f t="shared" si="240"/>
        <v>0</v>
      </c>
      <c r="BY251" s="300">
        <f t="shared" si="241"/>
        <v>0</v>
      </c>
      <c r="BZ251" s="301">
        <f>[1]COMMANDE!AI249</f>
        <v>0</v>
      </c>
      <c r="CA251" s="297" t="str">
        <f t="shared" si="242"/>
        <v>0</v>
      </c>
      <c r="CB251" s="298">
        <f t="shared" si="243"/>
        <v>0</v>
      </c>
      <c r="CC251" s="299">
        <f>[1]COMMANDE!AK249</f>
        <v>0</v>
      </c>
      <c r="CD251" s="297" t="str">
        <f t="shared" si="244"/>
        <v>0</v>
      </c>
      <c r="CE251" s="300">
        <f t="shared" si="245"/>
        <v>0</v>
      </c>
      <c r="CF251" s="301">
        <f>[1]COMMANDE!AM249</f>
        <v>0</v>
      </c>
      <c r="CG251" s="297" t="str">
        <f t="shared" si="246"/>
        <v>0</v>
      </c>
      <c r="CH251" s="298">
        <f t="shared" si="247"/>
        <v>0</v>
      </c>
      <c r="CI251" s="299">
        <f>[1]COMMANDE!AO249</f>
        <v>0</v>
      </c>
      <c r="CJ251" s="297" t="str">
        <f t="shared" si="248"/>
        <v>0</v>
      </c>
      <c r="CK251" s="300">
        <f t="shared" si="249"/>
        <v>0</v>
      </c>
      <c r="CL251" s="301">
        <f>[1]COMMANDE!AQ249</f>
        <v>0</v>
      </c>
      <c r="CM251" s="297" t="str">
        <f t="shared" si="250"/>
        <v>0</v>
      </c>
      <c r="CN251" s="298">
        <f t="shared" si="251"/>
        <v>0</v>
      </c>
      <c r="CO251" s="299">
        <f>[1]COMMANDE!AS249</f>
        <v>0</v>
      </c>
      <c r="CP251" s="297" t="str">
        <f t="shared" si="252"/>
        <v>0</v>
      </c>
      <c r="CQ251" s="300">
        <f t="shared" si="253"/>
        <v>0</v>
      </c>
      <c r="CR251" s="301">
        <f>[1]COMMANDE!AU249</f>
        <v>0</v>
      </c>
      <c r="CS251" s="297" t="str">
        <f t="shared" si="254"/>
        <v>0</v>
      </c>
      <c r="CT251" s="298">
        <f t="shared" si="255"/>
        <v>0</v>
      </c>
      <c r="CU251" s="299">
        <f>[1]COMMANDE!AW249</f>
        <v>0</v>
      </c>
      <c r="CV251" s="297" t="str">
        <f t="shared" si="256"/>
        <v>0</v>
      </c>
      <c r="CW251" s="300">
        <f t="shared" si="257"/>
        <v>0</v>
      </c>
      <c r="CX251" s="301">
        <f>[1]COMMANDE!AY249</f>
        <v>0</v>
      </c>
      <c r="CY251" s="297" t="str">
        <f t="shared" si="258"/>
        <v>0</v>
      </c>
      <c r="CZ251" s="298">
        <f t="shared" si="259"/>
        <v>0</v>
      </c>
      <c r="DA251" s="299">
        <f>[1]COMMANDE!BA249</f>
        <v>0</v>
      </c>
      <c r="DB251" s="297" t="str">
        <f t="shared" si="260"/>
        <v>0</v>
      </c>
      <c r="DC251" s="302">
        <f t="shared" si="261"/>
        <v>0</v>
      </c>
      <c r="DD251" s="303"/>
      <c r="DE251" s="304"/>
    </row>
    <row r="252" spans="1:109" ht="39.950000000000003" customHeight="1" x14ac:dyDescent="0.25">
      <c r="A252" s="307">
        <f t="shared" si="140"/>
        <v>0</v>
      </c>
      <c r="B252" s="307">
        <f t="shared" si="141"/>
        <v>0</v>
      </c>
      <c r="C252" s="307">
        <f t="shared" si="142"/>
        <v>0</v>
      </c>
      <c r="D252" s="307">
        <f t="shared" si="143"/>
        <v>0</v>
      </c>
      <c r="E252" s="307">
        <f t="shared" si="144"/>
        <v>0</v>
      </c>
      <c r="F252" s="307">
        <f t="shared" si="145"/>
        <v>0</v>
      </c>
      <c r="G252" s="307">
        <f t="shared" si="146"/>
        <v>0</v>
      </c>
      <c r="H252" s="307">
        <f t="shared" si="147"/>
        <v>0</v>
      </c>
      <c r="I252" s="307">
        <f t="shared" si="148"/>
        <v>0</v>
      </c>
      <c r="J252" s="307">
        <f t="shared" si="149"/>
        <v>0</v>
      </c>
      <c r="K252" s="307">
        <f t="shared" si="150"/>
        <v>0</v>
      </c>
      <c r="L252" s="307">
        <f t="shared" si="151"/>
        <v>0</v>
      </c>
      <c r="M252" s="307">
        <f t="shared" si="152"/>
        <v>0</v>
      </c>
      <c r="N252" s="307">
        <f t="shared" si="153"/>
        <v>0</v>
      </c>
      <c r="O252" s="307">
        <f t="shared" si="154"/>
        <v>0</v>
      </c>
      <c r="P252" s="284">
        <f t="shared" si="209"/>
        <v>0</v>
      </c>
      <c r="Q252" s="284">
        <f t="shared" si="210"/>
        <v>0</v>
      </c>
      <c r="R252" s="284">
        <f t="shared" si="211"/>
        <v>0</v>
      </c>
      <c r="S252" s="284">
        <f t="shared" si="212"/>
        <v>0</v>
      </c>
      <c r="T252" s="284">
        <f t="shared" si="213"/>
        <v>0</v>
      </c>
      <c r="U252" s="285">
        <f t="shared" si="214"/>
        <v>0</v>
      </c>
      <c r="V252" s="286" t="str">
        <f>[1]BDD!A242</f>
        <v>3870- 3828- 3890</v>
      </c>
      <c r="W252" s="287" t="str">
        <f>[1]BDD!B242</f>
        <v>Tomate Raf (Puri) rayée noire</v>
      </c>
      <c r="X252" s="288" t="str">
        <f>IF([1]BDD!F242=0, "", [1]BDD!F242)</f>
        <v/>
      </c>
      <c r="Y252" s="214">
        <f>ROUND([1]BDD!G242+FDP_CMD_KG, 2)</f>
        <v>4.01</v>
      </c>
      <c r="Z252" s="214">
        <f>ROUND([1]BDD!G242+FDP_FACT_KG, 2)</f>
        <v>4.01</v>
      </c>
      <c r="AA252" s="215" t="str">
        <f>[1]BDD!H242</f>
        <v>kg</v>
      </c>
      <c r="AB252" s="225">
        <f>IF(NOT(ISBLANK([1]BDD!I242)), ROUND(SUM(([1]BDD!G242*reduc1),FDP_CMD_KG), 2), "")</f>
        <v>3.7</v>
      </c>
      <c r="AC252" s="225">
        <f>IF(NOT(ISBLANK([1]BDD!J242)), ROUND(SUM(([1]BDD!G242*reduc2),FDP_CMD_KG), 2), "")</f>
        <v>3.39</v>
      </c>
      <c r="AD252" s="225" t="str">
        <f>IF(NOT(ISBLANK([1]BDD!K242)), ROUND(SUM(([1]BDD!G242*reduc3),FDP_CMD_KG), 2), "")</f>
        <v/>
      </c>
      <c r="AE252" s="225">
        <f>IF(NOT(ISBLANK([1]BDD!I242)), ROUND(SUM(([1]BDD!G242*reduc1),FDP_FACT_KG), 2), "")</f>
        <v>3.69</v>
      </c>
      <c r="AF252" s="225">
        <f>IF(NOT(ISBLANK([1]BDD!J242)), ROUND(SUM(([1]BDD!G242*reduc2),FDP_FACT_KG), 2), "")</f>
        <v>3.38</v>
      </c>
      <c r="AG252" s="225" t="str">
        <f>IF(NOT(ISBLANK([1]BDD!K242)), ROUND(SUM(([1]BDD!G242*reduc3),FDP_FACT_KG), 2), "")</f>
        <v/>
      </c>
      <c r="AH252" s="289" t="str">
        <f>[1]BDD!C242</f>
        <v>Grenade</v>
      </c>
      <c r="AI252" s="290">
        <f t="shared" si="215"/>
        <v>0</v>
      </c>
      <c r="AJ252" s="216">
        <f t="shared" si="216"/>
        <v>3.39</v>
      </c>
      <c r="AK252" s="291">
        <f t="shared" si="217"/>
        <v>0</v>
      </c>
      <c r="AL252" s="429"/>
      <c r="AM252" s="292"/>
      <c r="AN252" s="216">
        <f t="shared" si="218"/>
        <v>4.01</v>
      </c>
      <c r="AO252" s="293">
        <f t="shared" si="219"/>
        <v>0</v>
      </c>
      <c r="AP252" s="294"/>
      <c r="AQ252" s="294"/>
      <c r="AR252" s="429"/>
      <c r="AS252" s="295">
        <f t="shared" si="220"/>
        <v>0</v>
      </c>
      <c r="AT252" s="216">
        <f t="shared" si="221"/>
        <v>4.01</v>
      </c>
      <c r="AU252" s="291">
        <f t="shared" si="208"/>
        <v>0</v>
      </c>
      <c r="AV252" s="296">
        <f>[1]COMMANDE!O250</f>
        <v>0</v>
      </c>
      <c r="AW252" s="297" t="str">
        <f t="shared" si="222"/>
        <v>0</v>
      </c>
      <c r="AX252" s="298">
        <f t="shared" si="223"/>
        <v>0</v>
      </c>
      <c r="AY252" s="299">
        <f>[1]COMMANDE!Q250</f>
        <v>0</v>
      </c>
      <c r="AZ252" s="297" t="str">
        <f t="shared" si="224"/>
        <v>0</v>
      </c>
      <c r="BA252" s="300">
        <f t="shared" si="225"/>
        <v>0</v>
      </c>
      <c r="BB252" s="301">
        <f>[1]COMMANDE!S250</f>
        <v>0</v>
      </c>
      <c r="BC252" s="297" t="str">
        <f t="shared" si="226"/>
        <v>0</v>
      </c>
      <c r="BD252" s="298">
        <f t="shared" si="227"/>
        <v>0</v>
      </c>
      <c r="BE252" s="299">
        <f>[1]COMMANDE!U250</f>
        <v>0</v>
      </c>
      <c r="BF252" s="297" t="str">
        <f t="shared" si="228"/>
        <v>0</v>
      </c>
      <c r="BG252" s="300">
        <f t="shared" si="229"/>
        <v>0</v>
      </c>
      <c r="BH252" s="301">
        <f>[1]COMMANDE!W250</f>
        <v>0</v>
      </c>
      <c r="BI252" s="297" t="str">
        <f t="shared" si="230"/>
        <v>0</v>
      </c>
      <c r="BJ252" s="298">
        <f t="shared" si="231"/>
        <v>0</v>
      </c>
      <c r="BK252" s="299">
        <f>[1]COMMANDE!Y250</f>
        <v>0</v>
      </c>
      <c r="BL252" s="297" t="str">
        <f t="shared" si="232"/>
        <v>0</v>
      </c>
      <c r="BM252" s="300">
        <f t="shared" si="233"/>
        <v>0</v>
      </c>
      <c r="BN252" s="301">
        <f>[1]COMMANDE!AA250</f>
        <v>0</v>
      </c>
      <c r="BO252" s="297" t="str">
        <f t="shared" si="234"/>
        <v>0</v>
      </c>
      <c r="BP252" s="298">
        <f t="shared" si="235"/>
        <v>0</v>
      </c>
      <c r="BQ252" s="299">
        <f>[1]COMMANDE!AC250</f>
        <v>0</v>
      </c>
      <c r="BR252" s="297" t="str">
        <f t="shared" si="236"/>
        <v>0</v>
      </c>
      <c r="BS252" s="300">
        <f t="shared" si="237"/>
        <v>0</v>
      </c>
      <c r="BT252" s="301">
        <f>[1]COMMANDE!AE250</f>
        <v>0</v>
      </c>
      <c r="BU252" s="297" t="str">
        <f t="shared" si="238"/>
        <v>0</v>
      </c>
      <c r="BV252" s="298">
        <f t="shared" si="239"/>
        <v>0</v>
      </c>
      <c r="BW252" s="299">
        <f>[1]COMMANDE!AG250</f>
        <v>0</v>
      </c>
      <c r="BX252" s="297" t="str">
        <f t="shared" si="240"/>
        <v>0</v>
      </c>
      <c r="BY252" s="300">
        <f t="shared" si="241"/>
        <v>0</v>
      </c>
      <c r="BZ252" s="301">
        <f>[1]COMMANDE!AI250</f>
        <v>0</v>
      </c>
      <c r="CA252" s="297" t="str">
        <f t="shared" si="242"/>
        <v>0</v>
      </c>
      <c r="CB252" s="298">
        <f t="shared" si="243"/>
        <v>0</v>
      </c>
      <c r="CC252" s="299">
        <f>[1]COMMANDE!AK250</f>
        <v>0</v>
      </c>
      <c r="CD252" s="297" t="str">
        <f t="shared" si="244"/>
        <v>0</v>
      </c>
      <c r="CE252" s="300">
        <f t="shared" si="245"/>
        <v>0</v>
      </c>
      <c r="CF252" s="301">
        <f>[1]COMMANDE!AM250</f>
        <v>0</v>
      </c>
      <c r="CG252" s="297" t="str">
        <f t="shared" si="246"/>
        <v>0</v>
      </c>
      <c r="CH252" s="298">
        <f t="shared" si="247"/>
        <v>0</v>
      </c>
      <c r="CI252" s="299">
        <f>[1]COMMANDE!AO250</f>
        <v>0</v>
      </c>
      <c r="CJ252" s="297" t="str">
        <f t="shared" si="248"/>
        <v>0</v>
      </c>
      <c r="CK252" s="300">
        <f t="shared" si="249"/>
        <v>0</v>
      </c>
      <c r="CL252" s="301">
        <f>[1]COMMANDE!AQ250</f>
        <v>0</v>
      </c>
      <c r="CM252" s="297" t="str">
        <f t="shared" si="250"/>
        <v>0</v>
      </c>
      <c r="CN252" s="298">
        <f t="shared" si="251"/>
        <v>0</v>
      </c>
      <c r="CO252" s="299">
        <f>[1]COMMANDE!AS250</f>
        <v>0</v>
      </c>
      <c r="CP252" s="297" t="str">
        <f t="shared" si="252"/>
        <v>0</v>
      </c>
      <c r="CQ252" s="300">
        <f t="shared" si="253"/>
        <v>0</v>
      </c>
      <c r="CR252" s="301">
        <f>[1]COMMANDE!AU250</f>
        <v>0</v>
      </c>
      <c r="CS252" s="297" t="str">
        <f t="shared" si="254"/>
        <v>0</v>
      </c>
      <c r="CT252" s="298">
        <f t="shared" si="255"/>
        <v>0</v>
      </c>
      <c r="CU252" s="299">
        <f>[1]COMMANDE!AW250</f>
        <v>0</v>
      </c>
      <c r="CV252" s="297" t="str">
        <f t="shared" si="256"/>
        <v>0</v>
      </c>
      <c r="CW252" s="300">
        <f t="shared" si="257"/>
        <v>0</v>
      </c>
      <c r="CX252" s="301">
        <f>[1]COMMANDE!AY250</f>
        <v>0</v>
      </c>
      <c r="CY252" s="297" t="str">
        <f t="shared" si="258"/>
        <v>0</v>
      </c>
      <c r="CZ252" s="298">
        <f t="shared" si="259"/>
        <v>0</v>
      </c>
      <c r="DA252" s="299">
        <f>[1]COMMANDE!BA250</f>
        <v>0</v>
      </c>
      <c r="DB252" s="297" t="str">
        <f t="shared" si="260"/>
        <v>0</v>
      </c>
      <c r="DC252" s="302">
        <f t="shared" si="261"/>
        <v>0</v>
      </c>
      <c r="DD252" s="303"/>
      <c r="DE252" s="304"/>
    </row>
    <row r="253" spans="1:109" ht="39.950000000000003" customHeight="1" x14ac:dyDescent="0.25">
      <c r="A253" s="307">
        <f t="shared" si="140"/>
        <v>0</v>
      </c>
      <c r="B253" s="307">
        <f t="shared" si="141"/>
        <v>0</v>
      </c>
      <c r="C253" s="307">
        <f t="shared" si="142"/>
        <v>0</v>
      </c>
      <c r="D253" s="307">
        <f t="shared" si="143"/>
        <v>0</v>
      </c>
      <c r="E253" s="307">
        <f t="shared" si="144"/>
        <v>0</v>
      </c>
      <c r="F253" s="307">
        <f t="shared" si="145"/>
        <v>0</v>
      </c>
      <c r="G253" s="307">
        <f t="shared" si="146"/>
        <v>0</v>
      </c>
      <c r="H253" s="307">
        <f t="shared" si="147"/>
        <v>0</v>
      </c>
      <c r="I253" s="307">
        <f t="shared" si="148"/>
        <v>0</v>
      </c>
      <c r="J253" s="307">
        <f t="shared" si="149"/>
        <v>0</v>
      </c>
      <c r="K253" s="307">
        <f t="shared" si="150"/>
        <v>0</v>
      </c>
      <c r="L253" s="307">
        <f t="shared" si="151"/>
        <v>0</v>
      </c>
      <c r="M253" s="307">
        <f t="shared" si="152"/>
        <v>0</v>
      </c>
      <c r="N253" s="307">
        <f t="shared" si="153"/>
        <v>0</v>
      </c>
      <c r="O253" s="307">
        <f t="shared" si="154"/>
        <v>0</v>
      </c>
      <c r="P253" s="284">
        <f t="shared" si="209"/>
        <v>0</v>
      </c>
      <c r="Q253" s="284">
        <f t="shared" si="210"/>
        <v>0</v>
      </c>
      <c r="R253" s="284">
        <f t="shared" si="211"/>
        <v>0</v>
      </c>
      <c r="S253" s="284">
        <f t="shared" si="212"/>
        <v>0</v>
      </c>
      <c r="T253" s="284">
        <f t="shared" si="213"/>
        <v>0</v>
      </c>
      <c r="U253" s="285">
        <f t="shared" si="214"/>
        <v>0</v>
      </c>
      <c r="V253" s="286">
        <f>[1]BDD!A243</f>
        <v>3783</v>
      </c>
      <c r="W253" s="287" t="str">
        <f>[1]BDD!B243</f>
        <v>Xylitol (sucre de bouleau) (env. 1kg)</v>
      </c>
      <c r="X253" s="288" t="str">
        <f>IF([1]BDD!F243=0, "", [1]BDD!F243)</f>
        <v/>
      </c>
      <c r="Y253" s="214">
        <f>ROUND([1]BDD!G243+FDP_CMD_KG, 2)</f>
        <v>25.5</v>
      </c>
      <c r="Z253" s="214">
        <f>ROUND([1]BDD!G243+FDP_FACT_KG, 2)</f>
        <v>25.5</v>
      </c>
      <c r="AA253" s="215" t="str">
        <f>[1]BDD!H243</f>
        <v>Pièce</v>
      </c>
      <c r="AB253" s="225">
        <f>IF(NOT(ISBLANK([1]BDD!I243)), ROUND(SUM(([1]BDD!G243*reduc1),FDP_CMD_KG), 2), "")</f>
        <v>23.04</v>
      </c>
      <c r="AC253" s="225" t="str">
        <f>IF(NOT(ISBLANK([1]BDD!J243)), ROUND(SUM(([1]BDD!G243*reduc2),FDP_CMD_KG), 2), "")</f>
        <v/>
      </c>
      <c r="AD253" s="225" t="str">
        <f>IF(NOT(ISBLANK([1]BDD!K243)), ROUND(SUM(([1]BDD!G243*reduc3),FDP_CMD_KG), 2), "")</f>
        <v/>
      </c>
      <c r="AE253" s="225">
        <f>IF(NOT(ISBLANK([1]BDD!I243)), ROUND(SUM(([1]BDD!G243*reduc1),FDP_FACT_KG), 2), "")</f>
        <v>23.03</v>
      </c>
      <c r="AF253" s="225" t="str">
        <f>IF(NOT(ISBLANK([1]BDD!J243)), ROUND(SUM(([1]BDD!G243*reduc2),FDP_FACT_KG), 2), "")</f>
        <v/>
      </c>
      <c r="AG253" s="225" t="str">
        <f>IF(NOT(ISBLANK([1]BDD!K243)), ROUND(SUM(([1]BDD!G243*reduc3),FDP_FACT_KG), 2), "")</f>
        <v/>
      </c>
      <c r="AH253" s="289" t="str">
        <f>[1]BDD!C243</f>
        <v>Pérou</v>
      </c>
      <c r="AI253" s="290">
        <f t="shared" si="215"/>
        <v>0</v>
      </c>
      <c r="AJ253" s="216">
        <f t="shared" si="216"/>
        <v>23.04</v>
      </c>
      <c r="AK253" s="291">
        <f t="shared" si="217"/>
        <v>0</v>
      </c>
      <c r="AL253" s="429"/>
      <c r="AM253" s="292"/>
      <c r="AN253" s="216">
        <f t="shared" si="218"/>
        <v>25.5</v>
      </c>
      <c r="AO253" s="293">
        <f t="shared" si="219"/>
        <v>0</v>
      </c>
      <c r="AP253" s="294"/>
      <c r="AQ253" s="294"/>
      <c r="AR253" s="429"/>
      <c r="AS253" s="295">
        <f t="shared" si="220"/>
        <v>0</v>
      </c>
      <c r="AT253" s="216">
        <f t="shared" si="221"/>
        <v>25.5</v>
      </c>
      <c r="AU253" s="291">
        <f t="shared" si="208"/>
        <v>0</v>
      </c>
      <c r="AV253" s="296">
        <f>[1]COMMANDE!O251</f>
        <v>0</v>
      </c>
      <c r="AW253" s="297" t="str">
        <f t="shared" si="222"/>
        <v>0</v>
      </c>
      <c r="AX253" s="298">
        <f t="shared" si="223"/>
        <v>0</v>
      </c>
      <c r="AY253" s="299">
        <f>[1]COMMANDE!Q251</f>
        <v>0</v>
      </c>
      <c r="AZ253" s="297" t="str">
        <f t="shared" si="224"/>
        <v>0</v>
      </c>
      <c r="BA253" s="300">
        <f t="shared" si="225"/>
        <v>0</v>
      </c>
      <c r="BB253" s="301">
        <f>[1]COMMANDE!S251</f>
        <v>0</v>
      </c>
      <c r="BC253" s="297" t="str">
        <f t="shared" si="226"/>
        <v>0</v>
      </c>
      <c r="BD253" s="298">
        <f t="shared" si="227"/>
        <v>0</v>
      </c>
      <c r="BE253" s="299">
        <f>[1]COMMANDE!U251</f>
        <v>0</v>
      </c>
      <c r="BF253" s="297" t="str">
        <f t="shared" si="228"/>
        <v>0</v>
      </c>
      <c r="BG253" s="300">
        <f t="shared" si="229"/>
        <v>0</v>
      </c>
      <c r="BH253" s="301">
        <f>[1]COMMANDE!W251</f>
        <v>0</v>
      </c>
      <c r="BI253" s="297" t="str">
        <f t="shared" si="230"/>
        <v>0</v>
      </c>
      <c r="BJ253" s="298">
        <f t="shared" si="231"/>
        <v>0</v>
      </c>
      <c r="BK253" s="299">
        <f>[1]COMMANDE!Y251</f>
        <v>0</v>
      </c>
      <c r="BL253" s="297" t="str">
        <f t="shared" si="232"/>
        <v>0</v>
      </c>
      <c r="BM253" s="300">
        <f t="shared" si="233"/>
        <v>0</v>
      </c>
      <c r="BN253" s="301">
        <f>[1]COMMANDE!AA251</f>
        <v>0</v>
      </c>
      <c r="BO253" s="297" t="str">
        <f t="shared" si="234"/>
        <v>0</v>
      </c>
      <c r="BP253" s="298">
        <f t="shared" si="235"/>
        <v>0</v>
      </c>
      <c r="BQ253" s="299">
        <f>[1]COMMANDE!AC251</f>
        <v>0</v>
      </c>
      <c r="BR253" s="297" t="str">
        <f t="shared" si="236"/>
        <v>0</v>
      </c>
      <c r="BS253" s="300">
        <f t="shared" si="237"/>
        <v>0</v>
      </c>
      <c r="BT253" s="301">
        <f>[1]COMMANDE!AE251</f>
        <v>0</v>
      </c>
      <c r="BU253" s="297" t="str">
        <f t="shared" si="238"/>
        <v>0</v>
      </c>
      <c r="BV253" s="298">
        <f t="shared" si="239"/>
        <v>0</v>
      </c>
      <c r="BW253" s="299">
        <f>[1]COMMANDE!AG251</f>
        <v>0</v>
      </c>
      <c r="BX253" s="297" t="str">
        <f t="shared" si="240"/>
        <v>0</v>
      </c>
      <c r="BY253" s="300">
        <f t="shared" si="241"/>
        <v>0</v>
      </c>
      <c r="BZ253" s="301">
        <f>[1]COMMANDE!AI251</f>
        <v>0</v>
      </c>
      <c r="CA253" s="297" t="str">
        <f t="shared" si="242"/>
        <v>0</v>
      </c>
      <c r="CB253" s="298">
        <f t="shared" si="243"/>
        <v>0</v>
      </c>
      <c r="CC253" s="299">
        <f>[1]COMMANDE!AK251</f>
        <v>0</v>
      </c>
      <c r="CD253" s="297" t="str">
        <f t="shared" si="244"/>
        <v>0</v>
      </c>
      <c r="CE253" s="300">
        <f t="shared" si="245"/>
        <v>0</v>
      </c>
      <c r="CF253" s="301">
        <f>[1]COMMANDE!AM251</f>
        <v>0</v>
      </c>
      <c r="CG253" s="297" t="str">
        <f t="shared" si="246"/>
        <v>0</v>
      </c>
      <c r="CH253" s="298">
        <f t="shared" si="247"/>
        <v>0</v>
      </c>
      <c r="CI253" s="299">
        <f>[1]COMMANDE!AO251</f>
        <v>0</v>
      </c>
      <c r="CJ253" s="297" t="str">
        <f t="shared" si="248"/>
        <v>0</v>
      </c>
      <c r="CK253" s="300">
        <f t="shared" si="249"/>
        <v>0</v>
      </c>
      <c r="CL253" s="301">
        <f>[1]COMMANDE!AQ251</f>
        <v>0</v>
      </c>
      <c r="CM253" s="297" t="str">
        <f t="shared" si="250"/>
        <v>0</v>
      </c>
      <c r="CN253" s="298">
        <f t="shared" si="251"/>
        <v>0</v>
      </c>
      <c r="CO253" s="299">
        <f>[1]COMMANDE!AS251</f>
        <v>0</v>
      </c>
      <c r="CP253" s="297" t="str">
        <f t="shared" si="252"/>
        <v>0</v>
      </c>
      <c r="CQ253" s="300">
        <f t="shared" si="253"/>
        <v>0</v>
      </c>
      <c r="CR253" s="301">
        <f>[1]COMMANDE!AU251</f>
        <v>0</v>
      </c>
      <c r="CS253" s="297" t="str">
        <f t="shared" si="254"/>
        <v>0</v>
      </c>
      <c r="CT253" s="298">
        <f t="shared" si="255"/>
        <v>0</v>
      </c>
      <c r="CU253" s="299">
        <f>[1]COMMANDE!AW251</f>
        <v>0</v>
      </c>
      <c r="CV253" s="297" t="str">
        <f t="shared" si="256"/>
        <v>0</v>
      </c>
      <c r="CW253" s="300">
        <f t="shared" si="257"/>
        <v>0</v>
      </c>
      <c r="CX253" s="301">
        <f>[1]COMMANDE!AY251</f>
        <v>0</v>
      </c>
      <c r="CY253" s="297" t="str">
        <f t="shared" si="258"/>
        <v>0</v>
      </c>
      <c r="CZ253" s="298">
        <f t="shared" si="259"/>
        <v>0</v>
      </c>
      <c r="DA253" s="299">
        <f>[1]COMMANDE!BA251</f>
        <v>0</v>
      </c>
      <c r="DB253" s="297" t="str">
        <f t="shared" si="260"/>
        <v>0</v>
      </c>
      <c r="DC253" s="302">
        <f t="shared" si="261"/>
        <v>0</v>
      </c>
      <c r="DD253" s="303"/>
      <c r="DE253" s="304"/>
    </row>
    <row r="254" spans="1:109" ht="39.950000000000003" customHeight="1" x14ac:dyDescent="0.25">
      <c r="A254" s="284">
        <f t="shared" si="140"/>
        <v>0</v>
      </c>
      <c r="B254" s="284">
        <f t="shared" si="141"/>
        <v>0</v>
      </c>
      <c r="C254" s="284">
        <f t="shared" si="142"/>
        <v>0</v>
      </c>
      <c r="D254" s="284">
        <f t="shared" si="143"/>
        <v>0</v>
      </c>
      <c r="E254" s="284">
        <f t="shared" si="144"/>
        <v>0</v>
      </c>
      <c r="F254" s="284">
        <f t="shared" si="145"/>
        <v>0</v>
      </c>
      <c r="G254" s="284">
        <f t="shared" si="146"/>
        <v>0</v>
      </c>
      <c r="H254" s="284">
        <f t="shared" si="147"/>
        <v>0</v>
      </c>
      <c r="I254" s="284">
        <f t="shared" si="148"/>
        <v>0</v>
      </c>
      <c r="J254" s="284">
        <f t="shared" si="149"/>
        <v>0</v>
      </c>
      <c r="K254" s="284">
        <f t="shared" si="150"/>
        <v>0</v>
      </c>
      <c r="L254" s="284">
        <f t="shared" si="151"/>
        <v>0</v>
      </c>
      <c r="M254" s="284">
        <f t="shared" si="152"/>
        <v>0</v>
      </c>
      <c r="N254" s="284">
        <f t="shared" si="153"/>
        <v>0</v>
      </c>
      <c r="O254" s="284">
        <f t="shared" si="154"/>
        <v>0</v>
      </c>
      <c r="P254" s="284">
        <f t="shared" si="209"/>
        <v>0</v>
      </c>
      <c r="Q254" s="284">
        <f t="shared" si="210"/>
        <v>0</v>
      </c>
      <c r="R254" s="284">
        <f t="shared" si="211"/>
        <v>0</v>
      </c>
      <c r="S254" s="284">
        <f t="shared" si="212"/>
        <v>0</v>
      </c>
      <c r="T254" s="284">
        <f t="shared" si="213"/>
        <v>0</v>
      </c>
      <c r="U254" s="285">
        <f t="shared" si="214"/>
        <v>0</v>
      </c>
      <c r="V254" s="286">
        <f>[1]BDD!A244</f>
        <v>0</v>
      </c>
      <c r="W254" s="287">
        <f>[1]BDD!B244</f>
        <v>0</v>
      </c>
      <c r="X254" s="288" t="str">
        <f>IF([1]BDD!F244=0, "", [1]BDD!F244)</f>
        <v/>
      </c>
      <c r="Y254" s="214">
        <f>ROUND([1]BDD!G244+FDP_CMD_KG, 2)</f>
        <v>0.87</v>
      </c>
      <c r="Z254" s="214">
        <f>ROUND([1]BDD!G244+FDP_FACT_KG, 2)</f>
        <v>0.87</v>
      </c>
      <c r="AA254" s="215">
        <f>[1]BDD!H244</f>
        <v>0</v>
      </c>
      <c r="AB254" s="225" t="str">
        <f>IF(NOT(ISBLANK([1]BDD!I244)), ROUND(SUM(([1]BDD!G244*reduc1),FDP_CMD_KG), 2), "")</f>
        <v/>
      </c>
      <c r="AC254" s="225" t="str">
        <f>IF(NOT(ISBLANK([1]BDD!J244)), ROUND(SUM(([1]BDD!G244*reduc2),FDP_CMD_KG), 2), "")</f>
        <v/>
      </c>
      <c r="AD254" s="225" t="str">
        <f>IF(NOT(ISBLANK([1]BDD!K244)), ROUND(SUM(([1]BDD!G244*reduc3),FDP_CMD_KG), 2), "")</f>
        <v/>
      </c>
      <c r="AE254" s="225" t="str">
        <f>IF(NOT(ISBLANK([1]BDD!I244)), ROUND(SUM(([1]BDD!G244*reduc1),FDP_FACT_KG), 2), "")</f>
        <v/>
      </c>
      <c r="AF254" s="225" t="str">
        <f>IF(NOT(ISBLANK([1]BDD!J244)), ROUND(SUM(([1]BDD!G244*reduc2),FDP_FACT_KG), 2), "")</f>
        <v/>
      </c>
      <c r="AG254" s="225" t="str">
        <f>IF(NOT(ISBLANK([1]BDD!K244)), ROUND(SUM(([1]BDD!G244*reduc3),FDP_FACT_KG), 2), "")</f>
        <v/>
      </c>
      <c r="AH254" s="289">
        <f>[1]BDD!C244</f>
        <v>0</v>
      </c>
      <c r="AI254" s="290">
        <f t="shared" si="215"/>
        <v>0</v>
      </c>
      <c r="AJ254" s="216">
        <f t="shared" si="216"/>
        <v>0.87</v>
      </c>
      <c r="AK254" s="291">
        <f t="shared" si="217"/>
        <v>0</v>
      </c>
      <c r="AL254" s="429"/>
      <c r="AM254" s="292"/>
      <c r="AN254" s="216">
        <f t="shared" si="218"/>
        <v>0.87</v>
      </c>
      <c r="AO254" s="293">
        <f t="shared" si="219"/>
        <v>0</v>
      </c>
      <c r="AP254" s="294"/>
      <c r="AQ254" s="294"/>
      <c r="AR254" s="429"/>
      <c r="AS254" s="295">
        <f t="shared" si="220"/>
        <v>0</v>
      </c>
      <c r="AT254" s="216">
        <f t="shared" si="221"/>
        <v>0.87</v>
      </c>
      <c r="AU254" s="291">
        <f t="shared" si="208"/>
        <v>0</v>
      </c>
      <c r="AV254" s="296">
        <f>[1]COMMANDE!O252</f>
        <v>0</v>
      </c>
      <c r="AW254" s="297" t="str">
        <f t="shared" si="222"/>
        <v>0</v>
      </c>
      <c r="AX254" s="298">
        <f t="shared" si="223"/>
        <v>0</v>
      </c>
      <c r="AY254" s="299">
        <f>[1]COMMANDE!Q252</f>
        <v>0</v>
      </c>
      <c r="AZ254" s="297" t="str">
        <f t="shared" si="224"/>
        <v>0</v>
      </c>
      <c r="BA254" s="300">
        <f t="shared" si="225"/>
        <v>0</v>
      </c>
      <c r="BB254" s="301">
        <f>[1]COMMANDE!S252</f>
        <v>0</v>
      </c>
      <c r="BC254" s="297" t="str">
        <f t="shared" si="226"/>
        <v>0</v>
      </c>
      <c r="BD254" s="298">
        <f t="shared" si="227"/>
        <v>0</v>
      </c>
      <c r="BE254" s="299">
        <f>[1]COMMANDE!U252</f>
        <v>0</v>
      </c>
      <c r="BF254" s="297" t="str">
        <f t="shared" si="228"/>
        <v>0</v>
      </c>
      <c r="BG254" s="300">
        <f t="shared" si="229"/>
        <v>0</v>
      </c>
      <c r="BH254" s="301">
        <f>[1]COMMANDE!W252</f>
        <v>0</v>
      </c>
      <c r="BI254" s="297" t="str">
        <f t="shared" si="230"/>
        <v>0</v>
      </c>
      <c r="BJ254" s="298">
        <f t="shared" si="231"/>
        <v>0</v>
      </c>
      <c r="BK254" s="299">
        <f>[1]COMMANDE!Y252</f>
        <v>0</v>
      </c>
      <c r="BL254" s="297" t="str">
        <f t="shared" si="232"/>
        <v>0</v>
      </c>
      <c r="BM254" s="300">
        <f t="shared" si="233"/>
        <v>0</v>
      </c>
      <c r="BN254" s="301">
        <f>[1]COMMANDE!AA252</f>
        <v>0</v>
      </c>
      <c r="BO254" s="297" t="str">
        <f t="shared" si="234"/>
        <v>0</v>
      </c>
      <c r="BP254" s="298">
        <f t="shared" si="235"/>
        <v>0</v>
      </c>
      <c r="BQ254" s="299">
        <f>[1]COMMANDE!AC252</f>
        <v>0</v>
      </c>
      <c r="BR254" s="297" t="str">
        <f t="shared" si="236"/>
        <v>0</v>
      </c>
      <c r="BS254" s="300">
        <f t="shared" si="237"/>
        <v>0</v>
      </c>
      <c r="BT254" s="301">
        <f>[1]COMMANDE!AE252</f>
        <v>0</v>
      </c>
      <c r="BU254" s="297" t="str">
        <f t="shared" si="238"/>
        <v>0</v>
      </c>
      <c r="BV254" s="298">
        <f t="shared" si="239"/>
        <v>0</v>
      </c>
      <c r="BW254" s="299">
        <f>[1]COMMANDE!AG252</f>
        <v>0</v>
      </c>
      <c r="BX254" s="297" t="str">
        <f t="shared" si="240"/>
        <v>0</v>
      </c>
      <c r="BY254" s="300">
        <f t="shared" si="241"/>
        <v>0</v>
      </c>
      <c r="BZ254" s="301">
        <f>[1]COMMANDE!AI252</f>
        <v>0</v>
      </c>
      <c r="CA254" s="297" t="str">
        <f t="shared" si="242"/>
        <v>0</v>
      </c>
      <c r="CB254" s="298">
        <f t="shared" si="243"/>
        <v>0</v>
      </c>
      <c r="CC254" s="299">
        <f>[1]COMMANDE!AK252</f>
        <v>0</v>
      </c>
      <c r="CD254" s="297" t="str">
        <f t="shared" si="244"/>
        <v>0</v>
      </c>
      <c r="CE254" s="300">
        <f t="shared" si="245"/>
        <v>0</v>
      </c>
      <c r="CF254" s="301">
        <f>[1]COMMANDE!AM252</f>
        <v>0</v>
      </c>
      <c r="CG254" s="297" t="str">
        <f t="shared" si="246"/>
        <v>0</v>
      </c>
      <c r="CH254" s="298">
        <f t="shared" si="247"/>
        <v>0</v>
      </c>
      <c r="CI254" s="299">
        <f>[1]COMMANDE!AO252</f>
        <v>0</v>
      </c>
      <c r="CJ254" s="297" t="str">
        <f t="shared" si="248"/>
        <v>0</v>
      </c>
      <c r="CK254" s="300">
        <f t="shared" si="249"/>
        <v>0</v>
      </c>
      <c r="CL254" s="301">
        <f>[1]COMMANDE!AQ252</f>
        <v>0</v>
      </c>
      <c r="CM254" s="297" t="str">
        <f t="shared" si="250"/>
        <v>0</v>
      </c>
      <c r="CN254" s="298">
        <f t="shared" si="251"/>
        <v>0</v>
      </c>
      <c r="CO254" s="299">
        <f>[1]COMMANDE!AS252</f>
        <v>0</v>
      </c>
      <c r="CP254" s="297" t="str">
        <f t="shared" si="252"/>
        <v>0</v>
      </c>
      <c r="CQ254" s="300">
        <f t="shared" si="253"/>
        <v>0</v>
      </c>
      <c r="CR254" s="301">
        <f>[1]COMMANDE!AU252</f>
        <v>0</v>
      </c>
      <c r="CS254" s="297" t="str">
        <f t="shared" si="254"/>
        <v>0</v>
      </c>
      <c r="CT254" s="298">
        <f t="shared" si="255"/>
        <v>0</v>
      </c>
      <c r="CU254" s="299">
        <f>[1]COMMANDE!AW252</f>
        <v>0</v>
      </c>
      <c r="CV254" s="297" t="str">
        <f t="shared" si="256"/>
        <v>0</v>
      </c>
      <c r="CW254" s="300">
        <f t="shared" si="257"/>
        <v>0</v>
      </c>
      <c r="CX254" s="301">
        <f>[1]COMMANDE!AY252</f>
        <v>0</v>
      </c>
      <c r="CY254" s="297" t="str">
        <f t="shared" si="258"/>
        <v>0</v>
      </c>
      <c r="CZ254" s="298">
        <f t="shared" si="259"/>
        <v>0</v>
      </c>
      <c r="DA254" s="299">
        <f>[1]COMMANDE!BA252</f>
        <v>0</v>
      </c>
      <c r="DB254" s="297" t="str">
        <f t="shared" si="260"/>
        <v>0</v>
      </c>
      <c r="DC254" s="302">
        <f t="shared" si="261"/>
        <v>0</v>
      </c>
      <c r="DD254" s="303"/>
      <c r="DE254" s="304"/>
    </row>
    <row r="255" spans="1:109" ht="39.950000000000003" customHeight="1" x14ac:dyDescent="0.25">
      <c r="A255" s="307">
        <f t="shared" si="140"/>
        <v>0</v>
      </c>
      <c r="B255" s="307">
        <f t="shared" si="141"/>
        <v>0</v>
      </c>
      <c r="C255" s="307">
        <f t="shared" si="142"/>
        <v>0</v>
      </c>
      <c r="D255" s="307">
        <f t="shared" si="143"/>
        <v>0</v>
      </c>
      <c r="E255" s="307">
        <f t="shared" si="144"/>
        <v>0</v>
      </c>
      <c r="F255" s="307">
        <f t="shared" si="145"/>
        <v>0</v>
      </c>
      <c r="G255" s="307">
        <f t="shared" si="146"/>
        <v>0</v>
      </c>
      <c r="H255" s="307">
        <f t="shared" si="147"/>
        <v>0</v>
      </c>
      <c r="I255" s="307">
        <f t="shared" si="148"/>
        <v>0</v>
      </c>
      <c r="J255" s="307">
        <f t="shared" si="149"/>
        <v>0</v>
      </c>
      <c r="K255" s="307">
        <f t="shared" si="150"/>
        <v>0</v>
      </c>
      <c r="L255" s="307">
        <f t="shared" si="151"/>
        <v>0</v>
      </c>
      <c r="M255" s="307">
        <f t="shared" si="152"/>
        <v>0</v>
      </c>
      <c r="N255" s="307">
        <f t="shared" si="153"/>
        <v>0</v>
      </c>
      <c r="O255" s="307">
        <f t="shared" si="154"/>
        <v>0</v>
      </c>
      <c r="P255" s="284">
        <f t="shared" si="209"/>
        <v>0</v>
      </c>
      <c r="Q255" s="284">
        <f t="shared" si="210"/>
        <v>0</v>
      </c>
      <c r="R255" s="284">
        <f t="shared" si="211"/>
        <v>0</v>
      </c>
      <c r="S255" s="284">
        <f t="shared" si="212"/>
        <v>0</v>
      </c>
      <c r="T255" s="284">
        <f t="shared" si="213"/>
        <v>0</v>
      </c>
      <c r="U255" s="285">
        <f t="shared" si="214"/>
        <v>0</v>
      </c>
      <c r="V255" s="286">
        <f>[1]BDD!A245</f>
        <v>0</v>
      </c>
      <c r="W255" s="287">
        <f>[1]BDD!B245</f>
        <v>0</v>
      </c>
      <c r="X255" s="288" t="str">
        <f>IF([1]BDD!F245=0, "", [1]BDD!F245)</f>
        <v/>
      </c>
      <c r="Y255" s="214">
        <f>ROUND([1]BDD!G245+FDP_CMD_KG, 2)</f>
        <v>0.87</v>
      </c>
      <c r="Z255" s="214">
        <f>ROUND([1]BDD!G245+FDP_FACT_KG, 2)</f>
        <v>0.87</v>
      </c>
      <c r="AA255" s="215">
        <f>[1]BDD!H245</f>
        <v>0</v>
      </c>
      <c r="AB255" s="225" t="str">
        <f>IF(NOT(ISBLANK([1]BDD!I245)), ROUND(SUM(([1]BDD!G245*reduc1),FDP_CMD_KG), 2), "")</f>
        <v/>
      </c>
      <c r="AC255" s="225" t="str">
        <f>IF(NOT(ISBLANK([1]BDD!J245)), ROUND(SUM(([1]BDD!G245*reduc2),FDP_CMD_KG), 2), "")</f>
        <v/>
      </c>
      <c r="AD255" s="225" t="str">
        <f>IF(NOT(ISBLANK([1]BDD!K245)), ROUND(SUM(([1]BDD!G245*reduc3),FDP_CMD_KG), 2), "")</f>
        <v/>
      </c>
      <c r="AE255" s="225" t="str">
        <f>IF(NOT(ISBLANK([1]BDD!I245)), ROUND(SUM(([1]BDD!G245*reduc1),FDP_FACT_KG), 2), "")</f>
        <v/>
      </c>
      <c r="AF255" s="225" t="str">
        <f>IF(NOT(ISBLANK([1]BDD!J245)), ROUND(SUM(([1]BDD!G245*reduc2),FDP_FACT_KG), 2), "")</f>
        <v/>
      </c>
      <c r="AG255" s="225" t="str">
        <f>IF(NOT(ISBLANK([1]BDD!K245)), ROUND(SUM(([1]BDD!G245*reduc3),FDP_FACT_KG), 2), "")</f>
        <v/>
      </c>
      <c r="AH255" s="289">
        <f>[1]BDD!C245</f>
        <v>0</v>
      </c>
      <c r="AI255" s="290">
        <f t="shared" si="215"/>
        <v>0</v>
      </c>
      <c r="AJ255" s="216">
        <f t="shared" si="216"/>
        <v>0.87</v>
      </c>
      <c r="AK255" s="291">
        <f t="shared" si="217"/>
        <v>0</v>
      </c>
      <c r="AL255" s="429"/>
      <c r="AM255" s="292"/>
      <c r="AN255" s="216">
        <f t="shared" si="218"/>
        <v>0.87</v>
      </c>
      <c r="AO255" s="293">
        <f t="shared" si="219"/>
        <v>0</v>
      </c>
      <c r="AP255" s="294"/>
      <c r="AQ255" s="294"/>
      <c r="AR255" s="429"/>
      <c r="AS255" s="295">
        <f t="shared" si="220"/>
        <v>0</v>
      </c>
      <c r="AT255" s="216">
        <f t="shared" si="221"/>
        <v>0.87</v>
      </c>
      <c r="AU255" s="291">
        <f t="shared" si="208"/>
        <v>0</v>
      </c>
      <c r="AV255" s="296">
        <f>[1]COMMANDE!O253</f>
        <v>0</v>
      </c>
      <c r="AW255" s="297" t="str">
        <f t="shared" si="222"/>
        <v>0</v>
      </c>
      <c r="AX255" s="298">
        <f t="shared" si="223"/>
        <v>0</v>
      </c>
      <c r="AY255" s="299">
        <f>[1]COMMANDE!Q253</f>
        <v>0</v>
      </c>
      <c r="AZ255" s="297" t="str">
        <f t="shared" si="224"/>
        <v>0</v>
      </c>
      <c r="BA255" s="300">
        <f t="shared" si="225"/>
        <v>0</v>
      </c>
      <c r="BB255" s="301">
        <f>[1]COMMANDE!S253</f>
        <v>0</v>
      </c>
      <c r="BC255" s="297" t="str">
        <f t="shared" si="226"/>
        <v>0</v>
      </c>
      <c r="BD255" s="298">
        <f t="shared" si="227"/>
        <v>0</v>
      </c>
      <c r="BE255" s="299">
        <f>[1]COMMANDE!U253</f>
        <v>0</v>
      </c>
      <c r="BF255" s="297" t="str">
        <f t="shared" si="228"/>
        <v>0</v>
      </c>
      <c r="BG255" s="300">
        <f t="shared" si="229"/>
        <v>0</v>
      </c>
      <c r="BH255" s="301">
        <f>[1]COMMANDE!W253</f>
        <v>0</v>
      </c>
      <c r="BI255" s="297" t="str">
        <f t="shared" si="230"/>
        <v>0</v>
      </c>
      <c r="BJ255" s="298">
        <f t="shared" si="231"/>
        <v>0</v>
      </c>
      <c r="BK255" s="299">
        <f>[1]COMMANDE!Y253</f>
        <v>0</v>
      </c>
      <c r="BL255" s="297" t="str">
        <f t="shared" si="232"/>
        <v>0</v>
      </c>
      <c r="BM255" s="300">
        <f t="shared" si="233"/>
        <v>0</v>
      </c>
      <c r="BN255" s="301">
        <f>[1]COMMANDE!AA253</f>
        <v>0</v>
      </c>
      <c r="BO255" s="297" t="str">
        <f t="shared" si="234"/>
        <v>0</v>
      </c>
      <c r="BP255" s="298">
        <f t="shared" si="235"/>
        <v>0</v>
      </c>
      <c r="BQ255" s="299">
        <f>[1]COMMANDE!AC253</f>
        <v>0</v>
      </c>
      <c r="BR255" s="297" t="str">
        <f t="shared" si="236"/>
        <v>0</v>
      </c>
      <c r="BS255" s="300">
        <f t="shared" si="237"/>
        <v>0</v>
      </c>
      <c r="BT255" s="301">
        <f>[1]COMMANDE!AE253</f>
        <v>0</v>
      </c>
      <c r="BU255" s="297" t="str">
        <f t="shared" si="238"/>
        <v>0</v>
      </c>
      <c r="BV255" s="298">
        <f t="shared" si="239"/>
        <v>0</v>
      </c>
      <c r="BW255" s="299">
        <f>[1]COMMANDE!AG253</f>
        <v>0</v>
      </c>
      <c r="BX255" s="297" t="str">
        <f t="shared" si="240"/>
        <v>0</v>
      </c>
      <c r="BY255" s="300">
        <f t="shared" si="241"/>
        <v>0</v>
      </c>
      <c r="BZ255" s="301">
        <f>[1]COMMANDE!AI253</f>
        <v>0</v>
      </c>
      <c r="CA255" s="297" t="str">
        <f t="shared" si="242"/>
        <v>0</v>
      </c>
      <c r="CB255" s="298">
        <f t="shared" si="243"/>
        <v>0</v>
      </c>
      <c r="CC255" s="299">
        <f>[1]COMMANDE!AK253</f>
        <v>0</v>
      </c>
      <c r="CD255" s="297" t="str">
        <f t="shared" si="244"/>
        <v>0</v>
      </c>
      <c r="CE255" s="300">
        <f t="shared" si="245"/>
        <v>0</v>
      </c>
      <c r="CF255" s="301">
        <f>[1]COMMANDE!AM253</f>
        <v>0</v>
      </c>
      <c r="CG255" s="297" t="str">
        <f t="shared" si="246"/>
        <v>0</v>
      </c>
      <c r="CH255" s="298">
        <f t="shared" si="247"/>
        <v>0</v>
      </c>
      <c r="CI255" s="299">
        <f>[1]COMMANDE!AO253</f>
        <v>0</v>
      </c>
      <c r="CJ255" s="297" t="str">
        <f t="shared" si="248"/>
        <v>0</v>
      </c>
      <c r="CK255" s="300">
        <f t="shared" si="249"/>
        <v>0</v>
      </c>
      <c r="CL255" s="301">
        <f>[1]COMMANDE!AQ253</f>
        <v>0</v>
      </c>
      <c r="CM255" s="297" t="str">
        <f t="shared" si="250"/>
        <v>0</v>
      </c>
      <c r="CN255" s="298">
        <f t="shared" si="251"/>
        <v>0</v>
      </c>
      <c r="CO255" s="299">
        <f>[1]COMMANDE!AS253</f>
        <v>0</v>
      </c>
      <c r="CP255" s="297" t="str">
        <f t="shared" si="252"/>
        <v>0</v>
      </c>
      <c r="CQ255" s="300">
        <f t="shared" si="253"/>
        <v>0</v>
      </c>
      <c r="CR255" s="301">
        <f>[1]COMMANDE!AU253</f>
        <v>0</v>
      </c>
      <c r="CS255" s="297" t="str">
        <f t="shared" si="254"/>
        <v>0</v>
      </c>
      <c r="CT255" s="298">
        <f t="shared" si="255"/>
        <v>0</v>
      </c>
      <c r="CU255" s="299">
        <f>[1]COMMANDE!AW253</f>
        <v>0</v>
      </c>
      <c r="CV255" s="297" t="str">
        <f t="shared" si="256"/>
        <v>0</v>
      </c>
      <c r="CW255" s="300">
        <f t="shared" si="257"/>
        <v>0</v>
      </c>
      <c r="CX255" s="301">
        <f>[1]COMMANDE!AY253</f>
        <v>0</v>
      </c>
      <c r="CY255" s="297" t="str">
        <f t="shared" si="258"/>
        <v>0</v>
      </c>
      <c r="CZ255" s="298">
        <f t="shared" si="259"/>
        <v>0</v>
      </c>
      <c r="DA255" s="299">
        <f>[1]COMMANDE!BA253</f>
        <v>0</v>
      </c>
      <c r="DB255" s="297" t="str">
        <f t="shared" si="260"/>
        <v>0</v>
      </c>
      <c r="DC255" s="302">
        <f t="shared" si="261"/>
        <v>0</v>
      </c>
      <c r="DD255" s="303"/>
      <c r="DE255" s="304"/>
    </row>
    <row r="256" spans="1:109" ht="39.950000000000003" customHeight="1" x14ac:dyDescent="0.25">
      <c r="A256" s="307">
        <f t="shared" si="140"/>
        <v>0</v>
      </c>
      <c r="B256" s="307">
        <f t="shared" si="141"/>
        <v>0</v>
      </c>
      <c r="C256" s="307">
        <f t="shared" si="142"/>
        <v>0</v>
      </c>
      <c r="D256" s="307">
        <f t="shared" si="143"/>
        <v>0</v>
      </c>
      <c r="E256" s="307">
        <f t="shared" si="144"/>
        <v>0</v>
      </c>
      <c r="F256" s="307">
        <f t="shared" si="145"/>
        <v>0</v>
      </c>
      <c r="G256" s="307">
        <f t="shared" si="146"/>
        <v>0</v>
      </c>
      <c r="H256" s="307">
        <f t="shared" si="147"/>
        <v>0</v>
      </c>
      <c r="I256" s="307">
        <f t="shared" si="148"/>
        <v>0</v>
      </c>
      <c r="J256" s="307">
        <f t="shared" si="149"/>
        <v>0</v>
      </c>
      <c r="K256" s="307">
        <f t="shared" si="150"/>
        <v>0</v>
      </c>
      <c r="L256" s="307">
        <f t="shared" si="151"/>
        <v>0</v>
      </c>
      <c r="M256" s="307">
        <f t="shared" si="152"/>
        <v>0</v>
      </c>
      <c r="N256" s="307">
        <f t="shared" si="153"/>
        <v>0</v>
      </c>
      <c r="O256" s="307">
        <f t="shared" si="154"/>
        <v>0</v>
      </c>
      <c r="P256" s="284">
        <f t="shared" si="209"/>
        <v>0</v>
      </c>
      <c r="Q256" s="284">
        <f t="shared" si="210"/>
        <v>0</v>
      </c>
      <c r="R256" s="284">
        <f t="shared" si="211"/>
        <v>0</v>
      </c>
      <c r="S256" s="284">
        <f t="shared" si="212"/>
        <v>0</v>
      </c>
      <c r="T256" s="284">
        <f t="shared" si="213"/>
        <v>0</v>
      </c>
      <c r="U256" s="285">
        <f t="shared" si="214"/>
        <v>0</v>
      </c>
      <c r="V256" s="286">
        <f>[1]BDD!A246</f>
        <v>0</v>
      </c>
      <c r="W256" s="287">
        <f>[1]BDD!B246</f>
        <v>0</v>
      </c>
      <c r="X256" s="288" t="str">
        <f>IF([1]BDD!F246=0, "", [1]BDD!F246)</f>
        <v/>
      </c>
      <c r="Y256" s="214">
        <f>ROUND([1]BDD!G246+FDP_CMD_KG, 2)</f>
        <v>0.87</v>
      </c>
      <c r="Z256" s="214">
        <f>ROUND([1]BDD!G246+FDP_FACT_KG, 2)</f>
        <v>0.87</v>
      </c>
      <c r="AA256" s="215">
        <f>[1]BDD!H246</f>
        <v>0</v>
      </c>
      <c r="AB256" s="225" t="str">
        <f>IF(NOT(ISBLANK([1]BDD!I246)), ROUND(SUM(([1]BDD!G246*reduc1),FDP_CMD_KG), 2), "")</f>
        <v/>
      </c>
      <c r="AC256" s="225" t="str">
        <f>IF(NOT(ISBLANK([1]BDD!J246)), ROUND(SUM(([1]BDD!G246*reduc2),FDP_CMD_KG), 2), "")</f>
        <v/>
      </c>
      <c r="AD256" s="225" t="str">
        <f>IF(NOT(ISBLANK([1]BDD!K246)), ROUND(SUM(([1]BDD!G246*reduc3),FDP_CMD_KG), 2), "")</f>
        <v/>
      </c>
      <c r="AE256" s="225" t="str">
        <f>IF(NOT(ISBLANK([1]BDD!I246)), ROUND(SUM(([1]BDD!G246*reduc1),FDP_FACT_KG), 2), "")</f>
        <v/>
      </c>
      <c r="AF256" s="225" t="str">
        <f>IF(NOT(ISBLANK([1]BDD!J246)), ROUND(SUM(([1]BDD!G246*reduc2),FDP_FACT_KG), 2), "")</f>
        <v/>
      </c>
      <c r="AG256" s="225" t="str">
        <f>IF(NOT(ISBLANK([1]BDD!K246)), ROUND(SUM(([1]BDD!G246*reduc3),FDP_FACT_KG), 2), "")</f>
        <v/>
      </c>
      <c r="AH256" s="289">
        <f>[1]BDD!C246</f>
        <v>0</v>
      </c>
      <c r="AI256" s="290">
        <f t="shared" si="215"/>
        <v>0</v>
      </c>
      <c r="AJ256" s="216">
        <f t="shared" si="216"/>
        <v>0.87</v>
      </c>
      <c r="AK256" s="291">
        <f t="shared" si="217"/>
        <v>0</v>
      </c>
      <c r="AL256" s="429"/>
      <c r="AM256" s="292"/>
      <c r="AN256" s="216">
        <f t="shared" si="218"/>
        <v>0.87</v>
      </c>
      <c r="AO256" s="293">
        <f t="shared" si="219"/>
        <v>0</v>
      </c>
      <c r="AP256" s="294"/>
      <c r="AQ256" s="294"/>
      <c r="AR256" s="429"/>
      <c r="AS256" s="295">
        <f t="shared" si="220"/>
        <v>0</v>
      </c>
      <c r="AT256" s="216">
        <f t="shared" si="221"/>
        <v>0.87</v>
      </c>
      <c r="AU256" s="291">
        <f t="shared" si="208"/>
        <v>0</v>
      </c>
      <c r="AV256" s="296">
        <f>[1]COMMANDE!O254</f>
        <v>0</v>
      </c>
      <c r="AW256" s="297" t="str">
        <f t="shared" si="222"/>
        <v>0</v>
      </c>
      <c r="AX256" s="298">
        <f t="shared" si="223"/>
        <v>0</v>
      </c>
      <c r="AY256" s="299">
        <f>[1]COMMANDE!Q254</f>
        <v>0</v>
      </c>
      <c r="AZ256" s="297" t="str">
        <f t="shared" si="224"/>
        <v>0</v>
      </c>
      <c r="BA256" s="300">
        <f t="shared" si="225"/>
        <v>0</v>
      </c>
      <c r="BB256" s="301">
        <f>[1]COMMANDE!S254</f>
        <v>0</v>
      </c>
      <c r="BC256" s="297" t="str">
        <f t="shared" si="226"/>
        <v>0</v>
      </c>
      <c r="BD256" s="298">
        <f t="shared" si="227"/>
        <v>0</v>
      </c>
      <c r="BE256" s="299">
        <f>[1]COMMANDE!U254</f>
        <v>0</v>
      </c>
      <c r="BF256" s="297" t="str">
        <f t="shared" si="228"/>
        <v>0</v>
      </c>
      <c r="BG256" s="300">
        <f t="shared" si="229"/>
        <v>0</v>
      </c>
      <c r="BH256" s="301">
        <f>[1]COMMANDE!W254</f>
        <v>0</v>
      </c>
      <c r="BI256" s="297" t="str">
        <f t="shared" si="230"/>
        <v>0</v>
      </c>
      <c r="BJ256" s="298">
        <f t="shared" si="231"/>
        <v>0</v>
      </c>
      <c r="BK256" s="299">
        <f>[1]COMMANDE!Y254</f>
        <v>0</v>
      </c>
      <c r="BL256" s="297" t="str">
        <f t="shared" si="232"/>
        <v>0</v>
      </c>
      <c r="BM256" s="300">
        <f t="shared" si="233"/>
        <v>0</v>
      </c>
      <c r="BN256" s="301">
        <f>[1]COMMANDE!AA254</f>
        <v>0</v>
      </c>
      <c r="BO256" s="297" t="str">
        <f t="shared" si="234"/>
        <v>0</v>
      </c>
      <c r="BP256" s="298">
        <f t="shared" si="235"/>
        <v>0</v>
      </c>
      <c r="BQ256" s="299">
        <f>[1]COMMANDE!AC254</f>
        <v>0</v>
      </c>
      <c r="BR256" s="297" t="str">
        <f t="shared" si="236"/>
        <v>0</v>
      </c>
      <c r="BS256" s="300">
        <f t="shared" si="237"/>
        <v>0</v>
      </c>
      <c r="BT256" s="301">
        <f>[1]COMMANDE!AE254</f>
        <v>0</v>
      </c>
      <c r="BU256" s="297" t="str">
        <f t="shared" si="238"/>
        <v>0</v>
      </c>
      <c r="BV256" s="298">
        <f t="shared" si="239"/>
        <v>0</v>
      </c>
      <c r="BW256" s="299">
        <f>[1]COMMANDE!AG254</f>
        <v>0</v>
      </c>
      <c r="BX256" s="297" t="str">
        <f t="shared" si="240"/>
        <v>0</v>
      </c>
      <c r="BY256" s="300">
        <f t="shared" si="241"/>
        <v>0</v>
      </c>
      <c r="BZ256" s="301">
        <f>[1]COMMANDE!AI254</f>
        <v>0</v>
      </c>
      <c r="CA256" s="297" t="str">
        <f t="shared" si="242"/>
        <v>0</v>
      </c>
      <c r="CB256" s="298">
        <f t="shared" si="243"/>
        <v>0</v>
      </c>
      <c r="CC256" s="299">
        <f>[1]COMMANDE!AK254</f>
        <v>0</v>
      </c>
      <c r="CD256" s="297" t="str">
        <f t="shared" si="244"/>
        <v>0</v>
      </c>
      <c r="CE256" s="300">
        <f t="shared" si="245"/>
        <v>0</v>
      </c>
      <c r="CF256" s="301">
        <f>[1]COMMANDE!AM254</f>
        <v>0</v>
      </c>
      <c r="CG256" s="297" t="str">
        <f t="shared" si="246"/>
        <v>0</v>
      </c>
      <c r="CH256" s="298">
        <f t="shared" si="247"/>
        <v>0</v>
      </c>
      <c r="CI256" s="299">
        <f>[1]COMMANDE!AO254</f>
        <v>0</v>
      </c>
      <c r="CJ256" s="297" t="str">
        <f t="shared" si="248"/>
        <v>0</v>
      </c>
      <c r="CK256" s="300">
        <f t="shared" si="249"/>
        <v>0</v>
      </c>
      <c r="CL256" s="301">
        <f>[1]COMMANDE!AQ254</f>
        <v>0</v>
      </c>
      <c r="CM256" s="297" t="str">
        <f t="shared" si="250"/>
        <v>0</v>
      </c>
      <c r="CN256" s="298">
        <f t="shared" si="251"/>
        <v>0</v>
      </c>
      <c r="CO256" s="299">
        <f>[1]COMMANDE!AS254</f>
        <v>0</v>
      </c>
      <c r="CP256" s="297" t="str">
        <f t="shared" si="252"/>
        <v>0</v>
      </c>
      <c r="CQ256" s="300">
        <f t="shared" si="253"/>
        <v>0</v>
      </c>
      <c r="CR256" s="301">
        <f>[1]COMMANDE!AU254</f>
        <v>0</v>
      </c>
      <c r="CS256" s="297" t="str">
        <f t="shared" si="254"/>
        <v>0</v>
      </c>
      <c r="CT256" s="298">
        <f t="shared" si="255"/>
        <v>0</v>
      </c>
      <c r="CU256" s="299">
        <f>[1]COMMANDE!AW254</f>
        <v>0</v>
      </c>
      <c r="CV256" s="297" t="str">
        <f t="shared" si="256"/>
        <v>0</v>
      </c>
      <c r="CW256" s="300">
        <f t="shared" si="257"/>
        <v>0</v>
      </c>
      <c r="CX256" s="301">
        <f>[1]COMMANDE!AY254</f>
        <v>0</v>
      </c>
      <c r="CY256" s="297" t="str">
        <f t="shared" si="258"/>
        <v>0</v>
      </c>
      <c r="CZ256" s="298">
        <f t="shared" si="259"/>
        <v>0</v>
      </c>
      <c r="DA256" s="299">
        <f>[1]COMMANDE!BA254</f>
        <v>0</v>
      </c>
      <c r="DB256" s="297" t="str">
        <f t="shared" si="260"/>
        <v>0</v>
      </c>
      <c r="DC256" s="302">
        <f t="shared" si="261"/>
        <v>0</v>
      </c>
      <c r="DD256" s="303"/>
      <c r="DE256" s="304"/>
    </row>
    <row r="257" spans="1:109" ht="39.950000000000003" customHeight="1" x14ac:dyDescent="0.25">
      <c r="A257" s="284">
        <f t="shared" si="140"/>
        <v>0</v>
      </c>
      <c r="B257" s="284">
        <f t="shared" si="141"/>
        <v>0</v>
      </c>
      <c r="C257" s="284">
        <f t="shared" si="142"/>
        <v>0</v>
      </c>
      <c r="D257" s="284">
        <f t="shared" si="143"/>
        <v>0</v>
      </c>
      <c r="E257" s="284">
        <f t="shared" si="144"/>
        <v>0</v>
      </c>
      <c r="F257" s="284">
        <f t="shared" si="145"/>
        <v>0</v>
      </c>
      <c r="G257" s="284">
        <f t="shared" si="146"/>
        <v>0</v>
      </c>
      <c r="H257" s="284">
        <f t="shared" si="147"/>
        <v>0</v>
      </c>
      <c r="I257" s="284">
        <f t="shared" si="148"/>
        <v>0</v>
      </c>
      <c r="J257" s="284">
        <f t="shared" si="149"/>
        <v>0</v>
      </c>
      <c r="K257" s="284">
        <f t="shared" si="150"/>
        <v>0</v>
      </c>
      <c r="L257" s="284">
        <f t="shared" si="151"/>
        <v>0</v>
      </c>
      <c r="M257" s="284">
        <f t="shared" si="152"/>
        <v>0</v>
      </c>
      <c r="N257" s="284">
        <f t="shared" si="153"/>
        <v>0</v>
      </c>
      <c r="O257" s="284">
        <f t="shared" si="154"/>
        <v>0</v>
      </c>
      <c r="P257" s="284">
        <f t="shared" si="209"/>
        <v>0</v>
      </c>
      <c r="Q257" s="284">
        <f t="shared" si="210"/>
        <v>0</v>
      </c>
      <c r="R257" s="284">
        <f t="shared" si="211"/>
        <v>0</v>
      </c>
      <c r="S257" s="284">
        <f t="shared" si="212"/>
        <v>0</v>
      </c>
      <c r="T257" s="284">
        <f t="shared" si="213"/>
        <v>0</v>
      </c>
      <c r="U257" s="285">
        <f t="shared" si="214"/>
        <v>0</v>
      </c>
      <c r="V257" s="286">
        <f>[1]BDD!A247</f>
        <v>0</v>
      </c>
      <c r="W257" s="287">
        <f>[1]BDD!B247</f>
        <v>0</v>
      </c>
      <c r="X257" s="288" t="str">
        <f>IF([1]BDD!F247=0, "", [1]BDD!F247)</f>
        <v/>
      </c>
      <c r="Y257" s="214">
        <f>ROUND([1]BDD!G247+FDP_CMD_KG, 2)</f>
        <v>0.87</v>
      </c>
      <c r="Z257" s="214">
        <f>ROUND([1]BDD!G247+FDP_FACT_KG, 2)</f>
        <v>0.87</v>
      </c>
      <c r="AA257" s="215">
        <f>[1]BDD!H247</f>
        <v>0</v>
      </c>
      <c r="AB257" s="225" t="str">
        <f>IF(NOT(ISBLANK([1]BDD!I247)), ROUND(SUM(([1]BDD!G247*reduc1),FDP_CMD_KG), 2), "")</f>
        <v/>
      </c>
      <c r="AC257" s="225" t="str">
        <f>IF(NOT(ISBLANK([1]BDD!J247)), ROUND(SUM(([1]BDD!G247*reduc2),FDP_CMD_KG), 2), "")</f>
        <v/>
      </c>
      <c r="AD257" s="225" t="str">
        <f>IF(NOT(ISBLANK([1]BDD!K247)), ROUND(SUM(([1]BDD!G247*reduc3),FDP_CMD_KG), 2), "")</f>
        <v/>
      </c>
      <c r="AE257" s="225" t="str">
        <f>IF(NOT(ISBLANK([1]BDD!I247)), ROUND(SUM(([1]BDD!G247*reduc1),FDP_FACT_KG), 2), "")</f>
        <v/>
      </c>
      <c r="AF257" s="225" t="str">
        <f>IF(NOT(ISBLANK([1]BDD!J247)), ROUND(SUM(([1]BDD!G247*reduc2),FDP_FACT_KG), 2), "")</f>
        <v/>
      </c>
      <c r="AG257" s="225" t="str">
        <f>IF(NOT(ISBLANK([1]BDD!K247)), ROUND(SUM(([1]BDD!G247*reduc3),FDP_FACT_KG), 2), "")</f>
        <v/>
      </c>
      <c r="AH257" s="289">
        <f>[1]BDD!C247</f>
        <v>0</v>
      </c>
      <c r="AI257" s="290">
        <f t="shared" si="215"/>
        <v>0</v>
      </c>
      <c r="AJ257" s="216">
        <f t="shared" si="216"/>
        <v>0.87</v>
      </c>
      <c r="AK257" s="291">
        <f t="shared" si="217"/>
        <v>0</v>
      </c>
      <c r="AL257" s="429"/>
      <c r="AM257" s="292"/>
      <c r="AN257" s="216">
        <f t="shared" si="218"/>
        <v>0.87</v>
      </c>
      <c r="AO257" s="293">
        <f t="shared" si="219"/>
        <v>0</v>
      </c>
      <c r="AP257" s="294"/>
      <c r="AQ257" s="294"/>
      <c r="AR257" s="429"/>
      <c r="AS257" s="295">
        <f t="shared" si="220"/>
        <v>0</v>
      </c>
      <c r="AT257" s="216">
        <f t="shared" si="221"/>
        <v>0.87</v>
      </c>
      <c r="AU257" s="291">
        <f t="shared" si="208"/>
        <v>0</v>
      </c>
      <c r="AV257" s="296">
        <f>[1]COMMANDE!O255</f>
        <v>0</v>
      </c>
      <c r="AW257" s="297" t="str">
        <f t="shared" si="222"/>
        <v>0</v>
      </c>
      <c r="AX257" s="298">
        <f t="shared" si="223"/>
        <v>0</v>
      </c>
      <c r="AY257" s="299">
        <f>[1]COMMANDE!Q255</f>
        <v>0</v>
      </c>
      <c r="AZ257" s="297" t="str">
        <f t="shared" si="224"/>
        <v>0</v>
      </c>
      <c r="BA257" s="300">
        <f t="shared" si="225"/>
        <v>0</v>
      </c>
      <c r="BB257" s="301">
        <f>[1]COMMANDE!S255</f>
        <v>0</v>
      </c>
      <c r="BC257" s="297" t="str">
        <f t="shared" si="226"/>
        <v>0</v>
      </c>
      <c r="BD257" s="298">
        <f t="shared" si="227"/>
        <v>0</v>
      </c>
      <c r="BE257" s="299">
        <f>[1]COMMANDE!U255</f>
        <v>0</v>
      </c>
      <c r="BF257" s="297" t="str">
        <f t="shared" si="228"/>
        <v>0</v>
      </c>
      <c r="BG257" s="300">
        <f t="shared" si="229"/>
        <v>0</v>
      </c>
      <c r="BH257" s="301">
        <f>[1]COMMANDE!W255</f>
        <v>0</v>
      </c>
      <c r="BI257" s="297" t="str">
        <f t="shared" si="230"/>
        <v>0</v>
      </c>
      <c r="BJ257" s="298">
        <f t="shared" si="231"/>
        <v>0</v>
      </c>
      <c r="BK257" s="299">
        <f>[1]COMMANDE!Y255</f>
        <v>0</v>
      </c>
      <c r="BL257" s="297" t="str">
        <f t="shared" si="232"/>
        <v>0</v>
      </c>
      <c r="BM257" s="300">
        <f t="shared" si="233"/>
        <v>0</v>
      </c>
      <c r="BN257" s="301">
        <f>[1]COMMANDE!AA255</f>
        <v>0</v>
      </c>
      <c r="BO257" s="297" t="str">
        <f t="shared" si="234"/>
        <v>0</v>
      </c>
      <c r="BP257" s="298">
        <f t="shared" si="235"/>
        <v>0</v>
      </c>
      <c r="BQ257" s="299">
        <f>[1]COMMANDE!AC255</f>
        <v>0</v>
      </c>
      <c r="BR257" s="297" t="str">
        <f t="shared" si="236"/>
        <v>0</v>
      </c>
      <c r="BS257" s="300">
        <f t="shared" si="237"/>
        <v>0</v>
      </c>
      <c r="BT257" s="301">
        <f>[1]COMMANDE!AE255</f>
        <v>0</v>
      </c>
      <c r="BU257" s="297" t="str">
        <f t="shared" si="238"/>
        <v>0</v>
      </c>
      <c r="BV257" s="298">
        <f t="shared" si="239"/>
        <v>0</v>
      </c>
      <c r="BW257" s="299">
        <f>[1]COMMANDE!AG255</f>
        <v>0</v>
      </c>
      <c r="BX257" s="297" t="str">
        <f t="shared" si="240"/>
        <v>0</v>
      </c>
      <c r="BY257" s="300">
        <f t="shared" si="241"/>
        <v>0</v>
      </c>
      <c r="BZ257" s="301">
        <f>[1]COMMANDE!AI255</f>
        <v>0</v>
      </c>
      <c r="CA257" s="297" t="str">
        <f t="shared" si="242"/>
        <v>0</v>
      </c>
      <c r="CB257" s="298">
        <f t="shared" si="243"/>
        <v>0</v>
      </c>
      <c r="CC257" s="299">
        <f>[1]COMMANDE!AK255</f>
        <v>0</v>
      </c>
      <c r="CD257" s="297" t="str">
        <f t="shared" si="244"/>
        <v>0</v>
      </c>
      <c r="CE257" s="300">
        <f t="shared" si="245"/>
        <v>0</v>
      </c>
      <c r="CF257" s="301">
        <f>[1]COMMANDE!AM255</f>
        <v>0</v>
      </c>
      <c r="CG257" s="297" t="str">
        <f t="shared" si="246"/>
        <v>0</v>
      </c>
      <c r="CH257" s="298">
        <f t="shared" si="247"/>
        <v>0</v>
      </c>
      <c r="CI257" s="299">
        <f>[1]COMMANDE!AO255</f>
        <v>0</v>
      </c>
      <c r="CJ257" s="297" t="str">
        <f t="shared" si="248"/>
        <v>0</v>
      </c>
      <c r="CK257" s="300">
        <f t="shared" si="249"/>
        <v>0</v>
      </c>
      <c r="CL257" s="301">
        <f>[1]COMMANDE!AQ255</f>
        <v>0</v>
      </c>
      <c r="CM257" s="297" t="str">
        <f t="shared" si="250"/>
        <v>0</v>
      </c>
      <c r="CN257" s="298">
        <f t="shared" si="251"/>
        <v>0</v>
      </c>
      <c r="CO257" s="299">
        <f>[1]COMMANDE!AS255</f>
        <v>0</v>
      </c>
      <c r="CP257" s="297" t="str">
        <f t="shared" si="252"/>
        <v>0</v>
      </c>
      <c r="CQ257" s="300">
        <f t="shared" si="253"/>
        <v>0</v>
      </c>
      <c r="CR257" s="301">
        <f>[1]COMMANDE!AU255</f>
        <v>0</v>
      </c>
      <c r="CS257" s="297" t="str">
        <f t="shared" si="254"/>
        <v>0</v>
      </c>
      <c r="CT257" s="298">
        <f t="shared" si="255"/>
        <v>0</v>
      </c>
      <c r="CU257" s="299">
        <f>[1]COMMANDE!AW255</f>
        <v>0</v>
      </c>
      <c r="CV257" s="297" t="str">
        <f t="shared" si="256"/>
        <v>0</v>
      </c>
      <c r="CW257" s="300">
        <f t="shared" si="257"/>
        <v>0</v>
      </c>
      <c r="CX257" s="301">
        <f>[1]COMMANDE!AY255</f>
        <v>0</v>
      </c>
      <c r="CY257" s="297" t="str">
        <f t="shared" si="258"/>
        <v>0</v>
      </c>
      <c r="CZ257" s="298">
        <f t="shared" si="259"/>
        <v>0</v>
      </c>
      <c r="DA257" s="299">
        <f>[1]COMMANDE!BA255</f>
        <v>0</v>
      </c>
      <c r="DB257" s="297" t="str">
        <f t="shared" si="260"/>
        <v>0</v>
      </c>
      <c r="DC257" s="302">
        <f t="shared" si="261"/>
        <v>0</v>
      </c>
      <c r="DD257" s="303"/>
      <c r="DE257" s="304"/>
    </row>
    <row r="258" spans="1:109" ht="39.950000000000003" customHeight="1" x14ac:dyDescent="0.25">
      <c r="A258" s="284">
        <f t="shared" si="140"/>
        <v>0</v>
      </c>
      <c r="B258" s="284">
        <f t="shared" si="141"/>
        <v>0</v>
      </c>
      <c r="C258" s="284">
        <f t="shared" si="142"/>
        <v>0</v>
      </c>
      <c r="D258" s="284">
        <f t="shared" si="143"/>
        <v>0</v>
      </c>
      <c r="E258" s="284">
        <f t="shared" si="144"/>
        <v>0</v>
      </c>
      <c r="F258" s="284">
        <f t="shared" si="145"/>
        <v>0</v>
      </c>
      <c r="G258" s="284">
        <f t="shared" si="146"/>
        <v>0</v>
      </c>
      <c r="H258" s="284">
        <f t="shared" si="147"/>
        <v>0</v>
      </c>
      <c r="I258" s="284">
        <f t="shared" si="148"/>
        <v>0</v>
      </c>
      <c r="J258" s="284">
        <f t="shared" si="149"/>
        <v>0</v>
      </c>
      <c r="K258" s="284">
        <f t="shared" si="150"/>
        <v>0</v>
      </c>
      <c r="L258" s="284">
        <f t="shared" si="151"/>
        <v>0</v>
      </c>
      <c r="M258" s="284">
        <f t="shared" si="152"/>
        <v>0</v>
      </c>
      <c r="N258" s="284">
        <f t="shared" si="153"/>
        <v>0</v>
      </c>
      <c r="O258" s="284">
        <f t="shared" si="154"/>
        <v>0</v>
      </c>
      <c r="P258" s="284">
        <f t="shared" si="209"/>
        <v>0</v>
      </c>
      <c r="Q258" s="284">
        <f t="shared" si="210"/>
        <v>0</v>
      </c>
      <c r="R258" s="284">
        <f t="shared" si="211"/>
        <v>0</v>
      </c>
      <c r="S258" s="284">
        <f t="shared" si="212"/>
        <v>0</v>
      </c>
      <c r="T258" s="284">
        <f t="shared" si="213"/>
        <v>0</v>
      </c>
      <c r="U258" s="285">
        <f t="shared" si="214"/>
        <v>0</v>
      </c>
      <c r="V258" s="286">
        <f>[1]BDD!A248</f>
        <v>0</v>
      </c>
      <c r="W258" s="287">
        <f>[1]BDD!B248</f>
        <v>0</v>
      </c>
      <c r="X258" s="288" t="str">
        <f>IF([1]BDD!F248=0, "", [1]BDD!F248)</f>
        <v/>
      </c>
      <c r="Y258" s="214">
        <f>ROUND([1]BDD!G248+FDP_CMD_KG, 2)</f>
        <v>0.87</v>
      </c>
      <c r="Z258" s="214">
        <f>ROUND([1]BDD!G248+FDP_FACT_KG, 2)</f>
        <v>0.87</v>
      </c>
      <c r="AA258" s="215">
        <f>[1]BDD!H248</f>
        <v>0</v>
      </c>
      <c r="AB258" s="225" t="str">
        <f>IF(NOT(ISBLANK([1]BDD!I248)), ROUND(SUM(([1]BDD!G248*reduc1),FDP_CMD_KG), 2), "")</f>
        <v/>
      </c>
      <c r="AC258" s="225" t="str">
        <f>IF(NOT(ISBLANK([1]BDD!J248)), ROUND(SUM(([1]BDD!G248*reduc2),FDP_CMD_KG), 2), "")</f>
        <v/>
      </c>
      <c r="AD258" s="225" t="str">
        <f>IF(NOT(ISBLANK([1]BDD!K248)), ROUND(SUM(([1]BDD!G248*reduc3),FDP_CMD_KG), 2), "")</f>
        <v/>
      </c>
      <c r="AE258" s="225" t="str">
        <f>IF(NOT(ISBLANK([1]BDD!I248)), ROUND(SUM(([1]BDD!G248*reduc1),FDP_FACT_KG), 2), "")</f>
        <v/>
      </c>
      <c r="AF258" s="225" t="str">
        <f>IF(NOT(ISBLANK([1]BDD!J248)), ROUND(SUM(([1]BDD!G248*reduc2),FDP_FACT_KG), 2), "")</f>
        <v/>
      </c>
      <c r="AG258" s="225" t="str">
        <f>IF(NOT(ISBLANK([1]BDD!K248)), ROUND(SUM(([1]BDD!G248*reduc3),FDP_FACT_KG), 2), "")</f>
        <v/>
      </c>
      <c r="AH258" s="289">
        <f>[1]BDD!C248</f>
        <v>0</v>
      </c>
      <c r="AI258" s="290">
        <f t="shared" si="215"/>
        <v>0</v>
      </c>
      <c r="AJ258" s="216">
        <f t="shared" si="216"/>
        <v>0.87</v>
      </c>
      <c r="AK258" s="291">
        <f t="shared" si="217"/>
        <v>0</v>
      </c>
      <c r="AL258" s="429"/>
      <c r="AM258" s="292"/>
      <c r="AN258" s="216">
        <f t="shared" si="218"/>
        <v>0.87</v>
      </c>
      <c r="AO258" s="293">
        <f t="shared" si="219"/>
        <v>0</v>
      </c>
      <c r="AP258" s="294"/>
      <c r="AQ258" s="294"/>
      <c r="AR258" s="429"/>
      <c r="AS258" s="295">
        <f t="shared" si="220"/>
        <v>0</v>
      </c>
      <c r="AT258" s="216">
        <f t="shared" si="221"/>
        <v>0.87</v>
      </c>
      <c r="AU258" s="291">
        <f t="shared" si="208"/>
        <v>0</v>
      </c>
      <c r="AV258" s="296">
        <f>[1]COMMANDE!O256</f>
        <v>0</v>
      </c>
      <c r="AW258" s="297" t="str">
        <f t="shared" si="222"/>
        <v>0</v>
      </c>
      <c r="AX258" s="298">
        <f t="shared" si="223"/>
        <v>0</v>
      </c>
      <c r="AY258" s="299">
        <f>[1]COMMANDE!Q256</f>
        <v>0</v>
      </c>
      <c r="AZ258" s="297" t="str">
        <f t="shared" si="224"/>
        <v>0</v>
      </c>
      <c r="BA258" s="300">
        <f t="shared" si="225"/>
        <v>0</v>
      </c>
      <c r="BB258" s="301">
        <f>[1]COMMANDE!S256</f>
        <v>0</v>
      </c>
      <c r="BC258" s="297" t="str">
        <f t="shared" si="226"/>
        <v>0</v>
      </c>
      <c r="BD258" s="298">
        <f t="shared" si="227"/>
        <v>0</v>
      </c>
      <c r="BE258" s="299">
        <f>[1]COMMANDE!U256</f>
        <v>0</v>
      </c>
      <c r="BF258" s="297" t="str">
        <f t="shared" si="228"/>
        <v>0</v>
      </c>
      <c r="BG258" s="300">
        <f t="shared" si="229"/>
        <v>0</v>
      </c>
      <c r="BH258" s="301">
        <f>[1]COMMANDE!W256</f>
        <v>0</v>
      </c>
      <c r="BI258" s="297" t="str">
        <f t="shared" si="230"/>
        <v>0</v>
      </c>
      <c r="BJ258" s="298">
        <f t="shared" si="231"/>
        <v>0</v>
      </c>
      <c r="BK258" s="299">
        <f>[1]COMMANDE!Y256</f>
        <v>0</v>
      </c>
      <c r="BL258" s="297" t="str">
        <f t="shared" si="232"/>
        <v>0</v>
      </c>
      <c r="BM258" s="300">
        <f t="shared" si="233"/>
        <v>0</v>
      </c>
      <c r="BN258" s="301">
        <f>[1]COMMANDE!AA256</f>
        <v>0</v>
      </c>
      <c r="BO258" s="297" t="str">
        <f t="shared" si="234"/>
        <v>0</v>
      </c>
      <c r="BP258" s="298">
        <f t="shared" si="235"/>
        <v>0</v>
      </c>
      <c r="BQ258" s="299">
        <f>[1]COMMANDE!AC256</f>
        <v>0</v>
      </c>
      <c r="BR258" s="297" t="str">
        <f t="shared" si="236"/>
        <v>0</v>
      </c>
      <c r="BS258" s="300">
        <f t="shared" si="237"/>
        <v>0</v>
      </c>
      <c r="BT258" s="301">
        <f>[1]COMMANDE!AE256</f>
        <v>0</v>
      </c>
      <c r="BU258" s="297" t="str">
        <f t="shared" si="238"/>
        <v>0</v>
      </c>
      <c r="BV258" s="298">
        <f t="shared" si="239"/>
        <v>0</v>
      </c>
      <c r="BW258" s="299">
        <f>[1]COMMANDE!AG256</f>
        <v>0</v>
      </c>
      <c r="BX258" s="297" t="str">
        <f t="shared" si="240"/>
        <v>0</v>
      </c>
      <c r="BY258" s="300">
        <f t="shared" si="241"/>
        <v>0</v>
      </c>
      <c r="BZ258" s="301">
        <f>[1]COMMANDE!AI256</f>
        <v>0</v>
      </c>
      <c r="CA258" s="297" t="str">
        <f t="shared" si="242"/>
        <v>0</v>
      </c>
      <c r="CB258" s="298">
        <f t="shared" si="243"/>
        <v>0</v>
      </c>
      <c r="CC258" s="299">
        <f>[1]COMMANDE!AK256</f>
        <v>0</v>
      </c>
      <c r="CD258" s="297" t="str">
        <f t="shared" si="244"/>
        <v>0</v>
      </c>
      <c r="CE258" s="300">
        <f t="shared" si="245"/>
        <v>0</v>
      </c>
      <c r="CF258" s="301">
        <f>[1]COMMANDE!AM256</f>
        <v>0</v>
      </c>
      <c r="CG258" s="297" t="str">
        <f t="shared" si="246"/>
        <v>0</v>
      </c>
      <c r="CH258" s="298">
        <f t="shared" si="247"/>
        <v>0</v>
      </c>
      <c r="CI258" s="299">
        <f>[1]COMMANDE!AO256</f>
        <v>0</v>
      </c>
      <c r="CJ258" s="297" t="str">
        <f t="shared" si="248"/>
        <v>0</v>
      </c>
      <c r="CK258" s="300">
        <f t="shared" si="249"/>
        <v>0</v>
      </c>
      <c r="CL258" s="301">
        <f>[1]COMMANDE!AQ256</f>
        <v>0</v>
      </c>
      <c r="CM258" s="297" t="str">
        <f t="shared" si="250"/>
        <v>0</v>
      </c>
      <c r="CN258" s="298">
        <f t="shared" si="251"/>
        <v>0</v>
      </c>
      <c r="CO258" s="299">
        <f>[1]COMMANDE!AS256</f>
        <v>0</v>
      </c>
      <c r="CP258" s="297" t="str">
        <f t="shared" si="252"/>
        <v>0</v>
      </c>
      <c r="CQ258" s="300">
        <f t="shared" si="253"/>
        <v>0</v>
      </c>
      <c r="CR258" s="301">
        <f>[1]COMMANDE!AU256</f>
        <v>0</v>
      </c>
      <c r="CS258" s="297" t="str">
        <f t="shared" si="254"/>
        <v>0</v>
      </c>
      <c r="CT258" s="298">
        <f t="shared" si="255"/>
        <v>0</v>
      </c>
      <c r="CU258" s="299">
        <f>[1]COMMANDE!AW256</f>
        <v>0</v>
      </c>
      <c r="CV258" s="297" t="str">
        <f t="shared" si="256"/>
        <v>0</v>
      </c>
      <c r="CW258" s="300">
        <f t="shared" si="257"/>
        <v>0</v>
      </c>
      <c r="CX258" s="301">
        <f>[1]COMMANDE!AY256</f>
        <v>0</v>
      </c>
      <c r="CY258" s="297" t="str">
        <f t="shared" si="258"/>
        <v>0</v>
      </c>
      <c r="CZ258" s="298">
        <f t="shared" si="259"/>
        <v>0</v>
      </c>
      <c r="DA258" s="299">
        <f>[1]COMMANDE!BA256</f>
        <v>0</v>
      </c>
      <c r="DB258" s="297" t="str">
        <f t="shared" si="260"/>
        <v>0</v>
      </c>
      <c r="DC258" s="302">
        <f t="shared" si="261"/>
        <v>0</v>
      </c>
      <c r="DD258" s="303"/>
      <c r="DE258" s="304"/>
    </row>
    <row r="259" spans="1:109" ht="39.950000000000003" customHeight="1" x14ac:dyDescent="0.25">
      <c r="A259" s="284">
        <f t="shared" si="140"/>
        <v>0</v>
      </c>
      <c r="B259" s="284">
        <f t="shared" si="141"/>
        <v>0</v>
      </c>
      <c r="C259" s="284">
        <f t="shared" si="142"/>
        <v>0</v>
      </c>
      <c r="D259" s="284">
        <f t="shared" si="143"/>
        <v>0</v>
      </c>
      <c r="E259" s="284">
        <f t="shared" si="144"/>
        <v>0</v>
      </c>
      <c r="F259" s="284">
        <f t="shared" si="145"/>
        <v>0</v>
      </c>
      <c r="G259" s="284">
        <f t="shared" si="146"/>
        <v>0</v>
      </c>
      <c r="H259" s="284">
        <f t="shared" si="147"/>
        <v>0</v>
      </c>
      <c r="I259" s="284">
        <f t="shared" si="148"/>
        <v>0</v>
      </c>
      <c r="J259" s="284">
        <f t="shared" si="149"/>
        <v>0</v>
      </c>
      <c r="K259" s="284">
        <f t="shared" si="150"/>
        <v>0</v>
      </c>
      <c r="L259" s="284">
        <f t="shared" si="151"/>
        <v>0</v>
      </c>
      <c r="M259" s="284">
        <f t="shared" si="152"/>
        <v>0</v>
      </c>
      <c r="N259" s="284">
        <f t="shared" si="153"/>
        <v>0</v>
      </c>
      <c r="O259" s="284">
        <f t="shared" si="154"/>
        <v>0</v>
      </c>
      <c r="P259" s="284">
        <f t="shared" si="209"/>
        <v>0</v>
      </c>
      <c r="Q259" s="284">
        <f t="shared" si="210"/>
        <v>0</v>
      </c>
      <c r="R259" s="284">
        <f t="shared" si="211"/>
        <v>0</v>
      </c>
      <c r="S259" s="284">
        <f t="shared" si="212"/>
        <v>0</v>
      </c>
      <c r="T259" s="284">
        <f t="shared" si="213"/>
        <v>0</v>
      </c>
      <c r="U259" s="285">
        <f t="shared" si="214"/>
        <v>0</v>
      </c>
      <c r="V259" s="286">
        <f>[1]BDD!A249</f>
        <v>0</v>
      </c>
      <c r="W259" s="287">
        <f>[1]BDD!B249</f>
        <v>0</v>
      </c>
      <c r="X259" s="288" t="str">
        <f>IF([1]BDD!F249=0, "", [1]BDD!F249)</f>
        <v/>
      </c>
      <c r="Y259" s="214">
        <f>ROUND([1]BDD!G249+FDP_CMD_KG, 2)</f>
        <v>0.87</v>
      </c>
      <c r="Z259" s="214">
        <f>ROUND([1]BDD!G249+FDP_FACT_KG, 2)</f>
        <v>0.87</v>
      </c>
      <c r="AA259" s="215">
        <f>[1]BDD!H249</f>
        <v>0</v>
      </c>
      <c r="AB259" s="225" t="str">
        <f>IF(NOT(ISBLANK([1]BDD!I249)), ROUND(SUM(([1]BDD!G249*reduc1),FDP_CMD_KG), 2), "")</f>
        <v/>
      </c>
      <c r="AC259" s="225" t="str">
        <f>IF(NOT(ISBLANK([1]BDD!J249)), ROUND(SUM(([1]BDD!G249*reduc2),FDP_CMD_KG), 2), "")</f>
        <v/>
      </c>
      <c r="AD259" s="225" t="str">
        <f>IF(NOT(ISBLANK([1]BDD!K249)), ROUND(SUM(([1]BDD!G249*reduc3),FDP_CMD_KG), 2), "")</f>
        <v/>
      </c>
      <c r="AE259" s="225" t="str">
        <f>IF(NOT(ISBLANK([1]BDD!I249)), ROUND(SUM(([1]BDD!G249*reduc1),FDP_FACT_KG), 2), "")</f>
        <v/>
      </c>
      <c r="AF259" s="225" t="str">
        <f>IF(NOT(ISBLANK([1]BDD!J249)), ROUND(SUM(([1]BDD!G249*reduc2),FDP_FACT_KG), 2), "")</f>
        <v/>
      </c>
      <c r="AG259" s="225" t="str">
        <f>IF(NOT(ISBLANK([1]BDD!K249)), ROUND(SUM(([1]BDD!G249*reduc3),FDP_FACT_KG), 2), "")</f>
        <v/>
      </c>
      <c r="AH259" s="289">
        <f>[1]BDD!C249</f>
        <v>0</v>
      </c>
      <c r="AI259" s="290">
        <f t="shared" si="215"/>
        <v>0</v>
      </c>
      <c r="AJ259" s="216">
        <f t="shared" si="216"/>
        <v>0.87</v>
      </c>
      <c r="AK259" s="291">
        <f t="shared" si="217"/>
        <v>0</v>
      </c>
      <c r="AL259" s="429"/>
      <c r="AM259" s="292"/>
      <c r="AN259" s="216">
        <f t="shared" si="218"/>
        <v>0.87</v>
      </c>
      <c r="AO259" s="293">
        <f t="shared" si="219"/>
        <v>0</v>
      </c>
      <c r="AP259" s="294"/>
      <c r="AQ259" s="294"/>
      <c r="AR259" s="429"/>
      <c r="AS259" s="295">
        <f t="shared" si="220"/>
        <v>0</v>
      </c>
      <c r="AT259" s="216">
        <f t="shared" si="221"/>
        <v>0.87</v>
      </c>
      <c r="AU259" s="291">
        <f t="shared" si="208"/>
        <v>0</v>
      </c>
      <c r="AV259" s="296">
        <f>[1]COMMANDE!O257</f>
        <v>0</v>
      </c>
      <c r="AW259" s="297" t="str">
        <f t="shared" si="222"/>
        <v>0</v>
      </c>
      <c r="AX259" s="298">
        <f t="shared" si="223"/>
        <v>0</v>
      </c>
      <c r="AY259" s="299">
        <f>[1]COMMANDE!Q257</f>
        <v>0</v>
      </c>
      <c r="AZ259" s="297" t="str">
        <f t="shared" si="224"/>
        <v>0</v>
      </c>
      <c r="BA259" s="300">
        <f t="shared" si="225"/>
        <v>0</v>
      </c>
      <c r="BB259" s="301">
        <f>[1]COMMANDE!S257</f>
        <v>0</v>
      </c>
      <c r="BC259" s="297" t="str">
        <f t="shared" si="226"/>
        <v>0</v>
      </c>
      <c r="BD259" s="298">
        <f t="shared" si="227"/>
        <v>0</v>
      </c>
      <c r="BE259" s="299">
        <f>[1]COMMANDE!U257</f>
        <v>0</v>
      </c>
      <c r="BF259" s="297" t="str">
        <f t="shared" si="228"/>
        <v>0</v>
      </c>
      <c r="BG259" s="300">
        <f t="shared" si="229"/>
        <v>0</v>
      </c>
      <c r="BH259" s="301">
        <f>[1]COMMANDE!W257</f>
        <v>0</v>
      </c>
      <c r="BI259" s="297" t="str">
        <f t="shared" si="230"/>
        <v>0</v>
      </c>
      <c r="BJ259" s="298">
        <f t="shared" si="231"/>
        <v>0</v>
      </c>
      <c r="BK259" s="299">
        <f>[1]COMMANDE!Y257</f>
        <v>0</v>
      </c>
      <c r="BL259" s="297" t="str">
        <f t="shared" si="232"/>
        <v>0</v>
      </c>
      <c r="BM259" s="300">
        <f t="shared" si="233"/>
        <v>0</v>
      </c>
      <c r="BN259" s="301">
        <f>[1]COMMANDE!AA257</f>
        <v>0</v>
      </c>
      <c r="BO259" s="297" t="str">
        <f t="shared" si="234"/>
        <v>0</v>
      </c>
      <c r="BP259" s="298">
        <f t="shared" si="235"/>
        <v>0</v>
      </c>
      <c r="BQ259" s="299">
        <f>[1]COMMANDE!AC257</f>
        <v>0</v>
      </c>
      <c r="BR259" s="297" t="str">
        <f t="shared" si="236"/>
        <v>0</v>
      </c>
      <c r="BS259" s="300">
        <f t="shared" si="237"/>
        <v>0</v>
      </c>
      <c r="BT259" s="301">
        <f>[1]COMMANDE!AE257</f>
        <v>0</v>
      </c>
      <c r="BU259" s="297" t="str">
        <f t="shared" si="238"/>
        <v>0</v>
      </c>
      <c r="BV259" s="298">
        <f t="shared" si="239"/>
        <v>0</v>
      </c>
      <c r="BW259" s="299">
        <f>[1]COMMANDE!AG257</f>
        <v>0</v>
      </c>
      <c r="BX259" s="297" t="str">
        <f t="shared" si="240"/>
        <v>0</v>
      </c>
      <c r="BY259" s="300">
        <f t="shared" si="241"/>
        <v>0</v>
      </c>
      <c r="BZ259" s="301">
        <f>[1]COMMANDE!AI257</f>
        <v>0</v>
      </c>
      <c r="CA259" s="297" t="str">
        <f t="shared" si="242"/>
        <v>0</v>
      </c>
      <c r="CB259" s="298">
        <f t="shared" si="243"/>
        <v>0</v>
      </c>
      <c r="CC259" s="299">
        <f>[1]COMMANDE!AK257</f>
        <v>0</v>
      </c>
      <c r="CD259" s="297" t="str">
        <f t="shared" si="244"/>
        <v>0</v>
      </c>
      <c r="CE259" s="300">
        <f t="shared" si="245"/>
        <v>0</v>
      </c>
      <c r="CF259" s="301">
        <f>[1]COMMANDE!AM257</f>
        <v>0</v>
      </c>
      <c r="CG259" s="297" t="str">
        <f t="shared" si="246"/>
        <v>0</v>
      </c>
      <c r="CH259" s="298">
        <f t="shared" si="247"/>
        <v>0</v>
      </c>
      <c r="CI259" s="299">
        <f>[1]COMMANDE!AO257</f>
        <v>0</v>
      </c>
      <c r="CJ259" s="297" t="str">
        <f t="shared" si="248"/>
        <v>0</v>
      </c>
      <c r="CK259" s="300">
        <f t="shared" si="249"/>
        <v>0</v>
      </c>
      <c r="CL259" s="301">
        <f>[1]COMMANDE!AQ257</f>
        <v>0</v>
      </c>
      <c r="CM259" s="297" t="str">
        <f t="shared" si="250"/>
        <v>0</v>
      </c>
      <c r="CN259" s="298">
        <f t="shared" si="251"/>
        <v>0</v>
      </c>
      <c r="CO259" s="299">
        <f>[1]COMMANDE!AS257</f>
        <v>0</v>
      </c>
      <c r="CP259" s="297" t="str">
        <f t="shared" si="252"/>
        <v>0</v>
      </c>
      <c r="CQ259" s="300">
        <f t="shared" si="253"/>
        <v>0</v>
      </c>
      <c r="CR259" s="301">
        <f>[1]COMMANDE!AU257</f>
        <v>0</v>
      </c>
      <c r="CS259" s="297" t="str">
        <f t="shared" si="254"/>
        <v>0</v>
      </c>
      <c r="CT259" s="298">
        <f t="shared" si="255"/>
        <v>0</v>
      </c>
      <c r="CU259" s="299">
        <f>[1]COMMANDE!AW257</f>
        <v>0</v>
      </c>
      <c r="CV259" s="297" t="str">
        <f t="shared" si="256"/>
        <v>0</v>
      </c>
      <c r="CW259" s="300">
        <f t="shared" si="257"/>
        <v>0</v>
      </c>
      <c r="CX259" s="301">
        <f>[1]COMMANDE!AY257</f>
        <v>0</v>
      </c>
      <c r="CY259" s="297" t="str">
        <f t="shared" si="258"/>
        <v>0</v>
      </c>
      <c r="CZ259" s="298">
        <f t="shared" si="259"/>
        <v>0</v>
      </c>
      <c r="DA259" s="299">
        <f>[1]COMMANDE!BA257</f>
        <v>0</v>
      </c>
      <c r="DB259" s="297" t="str">
        <f t="shared" si="260"/>
        <v>0</v>
      </c>
      <c r="DC259" s="302">
        <f t="shared" si="261"/>
        <v>0</v>
      </c>
      <c r="DD259" s="303"/>
      <c r="DE259" s="304"/>
    </row>
    <row r="260" spans="1:109" ht="39.950000000000003" customHeight="1" x14ac:dyDescent="0.25">
      <c r="A260" s="284">
        <f t="shared" si="140"/>
        <v>0</v>
      </c>
      <c r="B260" s="284">
        <f t="shared" si="141"/>
        <v>0</v>
      </c>
      <c r="C260" s="284">
        <f t="shared" si="142"/>
        <v>0</v>
      </c>
      <c r="D260" s="284">
        <f t="shared" si="143"/>
        <v>0</v>
      </c>
      <c r="E260" s="284">
        <f t="shared" si="144"/>
        <v>0</v>
      </c>
      <c r="F260" s="284">
        <f t="shared" si="145"/>
        <v>0</v>
      </c>
      <c r="G260" s="284">
        <f t="shared" si="146"/>
        <v>0</v>
      </c>
      <c r="H260" s="284">
        <f t="shared" si="147"/>
        <v>0</v>
      </c>
      <c r="I260" s="284">
        <f t="shared" si="148"/>
        <v>0</v>
      </c>
      <c r="J260" s="284">
        <f t="shared" si="149"/>
        <v>0</v>
      </c>
      <c r="K260" s="284">
        <f t="shared" si="150"/>
        <v>0</v>
      </c>
      <c r="L260" s="284">
        <f t="shared" si="151"/>
        <v>0</v>
      </c>
      <c r="M260" s="284">
        <f t="shared" si="152"/>
        <v>0</v>
      </c>
      <c r="N260" s="284">
        <f t="shared" si="153"/>
        <v>0</v>
      </c>
      <c r="O260" s="284">
        <f t="shared" si="154"/>
        <v>0</v>
      </c>
      <c r="P260" s="284">
        <f t="shared" si="209"/>
        <v>0</v>
      </c>
      <c r="Q260" s="284">
        <f t="shared" si="210"/>
        <v>0</v>
      </c>
      <c r="R260" s="284">
        <f t="shared" si="211"/>
        <v>0</v>
      </c>
      <c r="S260" s="284">
        <f t="shared" si="212"/>
        <v>0</v>
      </c>
      <c r="T260" s="284">
        <f t="shared" si="213"/>
        <v>0</v>
      </c>
      <c r="U260" s="285">
        <f t="shared" si="214"/>
        <v>0</v>
      </c>
      <c r="V260" s="286">
        <f>[1]BDD!A250</f>
        <v>0</v>
      </c>
      <c r="W260" s="287">
        <f>[1]BDD!B250</f>
        <v>0</v>
      </c>
      <c r="X260" s="288" t="str">
        <f>IF([1]BDD!F250=0, "", [1]BDD!F250)</f>
        <v/>
      </c>
      <c r="Y260" s="214">
        <f>ROUND([1]BDD!G250+FDP_CMD_KG, 2)</f>
        <v>0.87</v>
      </c>
      <c r="Z260" s="214">
        <f>ROUND([1]BDD!G250+FDP_FACT_KG, 2)</f>
        <v>0.87</v>
      </c>
      <c r="AA260" s="215">
        <f>[1]BDD!H250</f>
        <v>0</v>
      </c>
      <c r="AB260" s="225" t="str">
        <f>IF(NOT(ISBLANK([1]BDD!I250)), ROUND(SUM(([1]BDD!G250*reduc1),FDP_CMD_KG), 2), "")</f>
        <v/>
      </c>
      <c r="AC260" s="225" t="str">
        <f>IF(NOT(ISBLANK([1]BDD!J250)), ROUND(SUM(([1]BDD!G250*reduc2),FDP_CMD_KG), 2), "")</f>
        <v/>
      </c>
      <c r="AD260" s="225" t="str">
        <f>IF(NOT(ISBLANK([1]BDD!K250)), ROUND(SUM(([1]BDD!G250*reduc3),FDP_CMD_KG), 2), "")</f>
        <v/>
      </c>
      <c r="AE260" s="225" t="str">
        <f>IF(NOT(ISBLANK([1]BDD!I250)), ROUND(SUM(([1]BDD!G250*reduc1),FDP_FACT_KG), 2), "")</f>
        <v/>
      </c>
      <c r="AF260" s="225" t="str">
        <f>IF(NOT(ISBLANK([1]BDD!J250)), ROUND(SUM(([1]BDD!G250*reduc2),FDP_FACT_KG), 2), "")</f>
        <v/>
      </c>
      <c r="AG260" s="225" t="str">
        <f>IF(NOT(ISBLANK([1]BDD!K250)), ROUND(SUM(([1]BDD!G250*reduc3),FDP_FACT_KG), 2), "")</f>
        <v/>
      </c>
      <c r="AH260" s="289">
        <f>[1]BDD!C250</f>
        <v>0</v>
      </c>
      <c r="AI260" s="290">
        <f t="shared" si="215"/>
        <v>0</v>
      </c>
      <c r="AJ260" s="216">
        <f t="shared" si="216"/>
        <v>0.87</v>
      </c>
      <c r="AK260" s="291">
        <f t="shared" si="217"/>
        <v>0</v>
      </c>
      <c r="AL260" s="429"/>
      <c r="AM260" s="292"/>
      <c r="AN260" s="216">
        <f t="shared" si="218"/>
        <v>0.87</v>
      </c>
      <c r="AO260" s="293">
        <f t="shared" si="219"/>
        <v>0</v>
      </c>
      <c r="AP260" s="294"/>
      <c r="AQ260" s="294"/>
      <c r="AR260" s="429"/>
      <c r="AS260" s="295">
        <f t="shared" si="220"/>
        <v>0</v>
      </c>
      <c r="AT260" s="216">
        <f t="shared" si="221"/>
        <v>0.87</v>
      </c>
      <c r="AU260" s="291">
        <f t="shared" si="208"/>
        <v>0</v>
      </c>
      <c r="AV260" s="296">
        <f>[1]COMMANDE!O258</f>
        <v>0</v>
      </c>
      <c r="AW260" s="297" t="str">
        <f t="shared" si="222"/>
        <v>0</v>
      </c>
      <c r="AX260" s="298">
        <f t="shared" si="223"/>
        <v>0</v>
      </c>
      <c r="AY260" s="299">
        <f>[1]COMMANDE!Q258</f>
        <v>0</v>
      </c>
      <c r="AZ260" s="297" t="str">
        <f t="shared" si="224"/>
        <v>0</v>
      </c>
      <c r="BA260" s="300">
        <f t="shared" si="225"/>
        <v>0</v>
      </c>
      <c r="BB260" s="301">
        <f>[1]COMMANDE!S258</f>
        <v>0</v>
      </c>
      <c r="BC260" s="297" t="str">
        <f t="shared" si="226"/>
        <v>0</v>
      </c>
      <c r="BD260" s="298">
        <f t="shared" si="227"/>
        <v>0</v>
      </c>
      <c r="BE260" s="299">
        <f>[1]COMMANDE!U258</f>
        <v>0</v>
      </c>
      <c r="BF260" s="297" t="str">
        <f t="shared" si="228"/>
        <v>0</v>
      </c>
      <c r="BG260" s="300">
        <f t="shared" si="229"/>
        <v>0</v>
      </c>
      <c r="BH260" s="301">
        <f>[1]COMMANDE!W258</f>
        <v>0</v>
      </c>
      <c r="BI260" s="297" t="str">
        <f t="shared" si="230"/>
        <v>0</v>
      </c>
      <c r="BJ260" s="298">
        <f t="shared" si="231"/>
        <v>0</v>
      </c>
      <c r="BK260" s="299">
        <f>[1]COMMANDE!Y258</f>
        <v>0</v>
      </c>
      <c r="BL260" s="297" t="str">
        <f t="shared" si="232"/>
        <v>0</v>
      </c>
      <c r="BM260" s="300">
        <f t="shared" si="233"/>
        <v>0</v>
      </c>
      <c r="BN260" s="301">
        <f>[1]COMMANDE!AA258</f>
        <v>0</v>
      </c>
      <c r="BO260" s="297" t="str">
        <f t="shared" si="234"/>
        <v>0</v>
      </c>
      <c r="BP260" s="298">
        <f t="shared" si="235"/>
        <v>0</v>
      </c>
      <c r="BQ260" s="299">
        <f>[1]COMMANDE!AC258</f>
        <v>0</v>
      </c>
      <c r="BR260" s="297" t="str">
        <f t="shared" si="236"/>
        <v>0</v>
      </c>
      <c r="BS260" s="300">
        <f t="shared" si="237"/>
        <v>0</v>
      </c>
      <c r="BT260" s="301">
        <f>[1]COMMANDE!AE258</f>
        <v>0</v>
      </c>
      <c r="BU260" s="297" t="str">
        <f t="shared" si="238"/>
        <v>0</v>
      </c>
      <c r="BV260" s="298">
        <f t="shared" si="239"/>
        <v>0</v>
      </c>
      <c r="BW260" s="299">
        <f>[1]COMMANDE!AG258</f>
        <v>0</v>
      </c>
      <c r="BX260" s="297" t="str">
        <f t="shared" si="240"/>
        <v>0</v>
      </c>
      <c r="BY260" s="300">
        <f t="shared" si="241"/>
        <v>0</v>
      </c>
      <c r="BZ260" s="301">
        <f>[1]COMMANDE!AI258</f>
        <v>0</v>
      </c>
      <c r="CA260" s="297" t="str">
        <f t="shared" si="242"/>
        <v>0</v>
      </c>
      <c r="CB260" s="298">
        <f t="shared" si="243"/>
        <v>0</v>
      </c>
      <c r="CC260" s="299">
        <f>[1]COMMANDE!AK258</f>
        <v>0</v>
      </c>
      <c r="CD260" s="297" t="str">
        <f t="shared" si="244"/>
        <v>0</v>
      </c>
      <c r="CE260" s="300">
        <f t="shared" si="245"/>
        <v>0</v>
      </c>
      <c r="CF260" s="301">
        <f>[1]COMMANDE!AM258</f>
        <v>0</v>
      </c>
      <c r="CG260" s="297" t="str">
        <f t="shared" si="246"/>
        <v>0</v>
      </c>
      <c r="CH260" s="298">
        <f t="shared" si="247"/>
        <v>0</v>
      </c>
      <c r="CI260" s="299">
        <f>[1]COMMANDE!AO258</f>
        <v>0</v>
      </c>
      <c r="CJ260" s="297" t="str">
        <f t="shared" si="248"/>
        <v>0</v>
      </c>
      <c r="CK260" s="300">
        <f t="shared" si="249"/>
        <v>0</v>
      </c>
      <c r="CL260" s="301">
        <f>[1]COMMANDE!AQ258</f>
        <v>0</v>
      </c>
      <c r="CM260" s="297" t="str">
        <f t="shared" si="250"/>
        <v>0</v>
      </c>
      <c r="CN260" s="298">
        <f t="shared" si="251"/>
        <v>0</v>
      </c>
      <c r="CO260" s="299">
        <f>[1]COMMANDE!AS258</f>
        <v>0</v>
      </c>
      <c r="CP260" s="297" t="str">
        <f t="shared" si="252"/>
        <v>0</v>
      </c>
      <c r="CQ260" s="300">
        <f t="shared" si="253"/>
        <v>0</v>
      </c>
      <c r="CR260" s="301">
        <f>[1]COMMANDE!AU258</f>
        <v>0</v>
      </c>
      <c r="CS260" s="297" t="str">
        <f t="shared" si="254"/>
        <v>0</v>
      </c>
      <c r="CT260" s="298">
        <f t="shared" si="255"/>
        <v>0</v>
      </c>
      <c r="CU260" s="299">
        <f>[1]COMMANDE!AW258</f>
        <v>0</v>
      </c>
      <c r="CV260" s="297" t="str">
        <f t="shared" si="256"/>
        <v>0</v>
      </c>
      <c r="CW260" s="300">
        <f t="shared" si="257"/>
        <v>0</v>
      </c>
      <c r="CX260" s="301">
        <f>[1]COMMANDE!AY258</f>
        <v>0</v>
      </c>
      <c r="CY260" s="297" t="str">
        <f t="shared" si="258"/>
        <v>0</v>
      </c>
      <c r="CZ260" s="298">
        <f t="shared" si="259"/>
        <v>0</v>
      </c>
      <c r="DA260" s="299">
        <f>[1]COMMANDE!BA258</f>
        <v>0</v>
      </c>
      <c r="DB260" s="297" t="str">
        <f t="shared" si="260"/>
        <v>0</v>
      </c>
      <c r="DC260" s="302">
        <f t="shared" si="261"/>
        <v>0</v>
      </c>
      <c r="DD260" s="303"/>
      <c r="DE260" s="304"/>
    </row>
    <row r="261" spans="1:109" ht="39.950000000000003" customHeight="1" x14ac:dyDescent="0.25">
      <c r="A261" s="284">
        <f t="shared" si="140"/>
        <v>0</v>
      </c>
      <c r="B261" s="284">
        <f t="shared" si="141"/>
        <v>0</v>
      </c>
      <c r="C261" s="284">
        <f t="shared" si="142"/>
        <v>0</v>
      </c>
      <c r="D261" s="284">
        <f t="shared" si="143"/>
        <v>0</v>
      </c>
      <c r="E261" s="284">
        <f t="shared" si="144"/>
        <v>0</v>
      </c>
      <c r="F261" s="284">
        <f t="shared" si="145"/>
        <v>0</v>
      </c>
      <c r="G261" s="284">
        <f t="shared" si="146"/>
        <v>0</v>
      </c>
      <c r="H261" s="284">
        <f t="shared" si="147"/>
        <v>0</v>
      </c>
      <c r="I261" s="284">
        <f t="shared" si="148"/>
        <v>0</v>
      </c>
      <c r="J261" s="284">
        <f t="shared" si="149"/>
        <v>0</v>
      </c>
      <c r="K261" s="284">
        <f t="shared" si="150"/>
        <v>0</v>
      </c>
      <c r="L261" s="284">
        <f t="shared" si="151"/>
        <v>0</v>
      </c>
      <c r="M261" s="284">
        <f t="shared" si="152"/>
        <v>0</v>
      </c>
      <c r="N261" s="284">
        <f t="shared" si="153"/>
        <v>0</v>
      </c>
      <c r="O261" s="284">
        <f t="shared" si="154"/>
        <v>0</v>
      </c>
      <c r="P261" s="284">
        <f t="shared" si="209"/>
        <v>0</v>
      </c>
      <c r="Q261" s="284">
        <f t="shared" si="210"/>
        <v>0</v>
      </c>
      <c r="R261" s="284">
        <f t="shared" si="211"/>
        <v>0</v>
      </c>
      <c r="S261" s="284">
        <f t="shared" si="212"/>
        <v>0</v>
      </c>
      <c r="T261" s="284">
        <f t="shared" si="213"/>
        <v>0</v>
      </c>
      <c r="U261" s="285">
        <f t="shared" si="214"/>
        <v>0</v>
      </c>
      <c r="V261" s="286">
        <f>[1]BDD!A251</f>
        <v>0</v>
      </c>
      <c r="W261" s="287">
        <f>[1]BDD!B251</f>
        <v>0</v>
      </c>
      <c r="X261" s="288" t="str">
        <f>IF([1]BDD!F251=0, "", [1]BDD!F251)</f>
        <v/>
      </c>
      <c r="Y261" s="214">
        <f>ROUND([1]BDD!G251+FDP_CMD_KG, 2)</f>
        <v>0.87</v>
      </c>
      <c r="Z261" s="214">
        <f>ROUND([1]BDD!G251+FDP_FACT_KG, 2)</f>
        <v>0.87</v>
      </c>
      <c r="AA261" s="215">
        <f>[1]BDD!H251</f>
        <v>0</v>
      </c>
      <c r="AB261" s="225" t="str">
        <f>IF(NOT(ISBLANK([1]BDD!I251)), ROUND(SUM(([1]BDD!G251*reduc1),FDP_CMD_KG), 2), "")</f>
        <v/>
      </c>
      <c r="AC261" s="225" t="str">
        <f>IF(NOT(ISBLANK([1]BDD!J251)), ROUND(SUM(([1]BDD!G251*reduc2),FDP_CMD_KG), 2), "")</f>
        <v/>
      </c>
      <c r="AD261" s="225" t="str">
        <f>IF(NOT(ISBLANK([1]BDD!K251)), ROUND(SUM(([1]BDD!G251*reduc3),FDP_CMD_KG), 2), "")</f>
        <v/>
      </c>
      <c r="AE261" s="225" t="str">
        <f>IF(NOT(ISBLANK([1]BDD!I251)), ROUND(SUM(([1]BDD!G251*reduc1),FDP_FACT_KG), 2), "")</f>
        <v/>
      </c>
      <c r="AF261" s="225" t="str">
        <f>IF(NOT(ISBLANK([1]BDD!J251)), ROUND(SUM(([1]BDD!G251*reduc2),FDP_FACT_KG), 2), "")</f>
        <v/>
      </c>
      <c r="AG261" s="225" t="str">
        <f>IF(NOT(ISBLANK([1]BDD!K251)), ROUND(SUM(([1]BDD!G251*reduc3),FDP_FACT_KG), 2), "")</f>
        <v/>
      </c>
      <c r="AH261" s="289">
        <f>[1]BDD!C251</f>
        <v>0</v>
      </c>
      <c r="AI261" s="290">
        <f t="shared" si="215"/>
        <v>0</v>
      </c>
      <c r="AJ261" s="216">
        <f t="shared" si="216"/>
        <v>0.87</v>
      </c>
      <c r="AK261" s="291">
        <f t="shared" si="217"/>
        <v>0</v>
      </c>
      <c r="AL261" s="429"/>
      <c r="AM261" s="292"/>
      <c r="AN261" s="216">
        <f t="shared" si="218"/>
        <v>0.87</v>
      </c>
      <c r="AO261" s="293">
        <f t="shared" si="219"/>
        <v>0</v>
      </c>
      <c r="AP261" s="294"/>
      <c r="AQ261" s="294"/>
      <c r="AR261" s="429"/>
      <c r="AS261" s="295">
        <f t="shared" si="220"/>
        <v>0</v>
      </c>
      <c r="AT261" s="216">
        <f t="shared" si="221"/>
        <v>0.87</v>
      </c>
      <c r="AU261" s="291">
        <f t="shared" si="208"/>
        <v>0</v>
      </c>
      <c r="AV261" s="296">
        <f>[1]COMMANDE!O259</f>
        <v>0</v>
      </c>
      <c r="AW261" s="297" t="str">
        <f t="shared" si="222"/>
        <v>0</v>
      </c>
      <c r="AX261" s="298">
        <f t="shared" si="223"/>
        <v>0</v>
      </c>
      <c r="AY261" s="299">
        <f>[1]COMMANDE!Q259</f>
        <v>0</v>
      </c>
      <c r="AZ261" s="297" t="str">
        <f t="shared" si="224"/>
        <v>0</v>
      </c>
      <c r="BA261" s="300">
        <f t="shared" si="225"/>
        <v>0</v>
      </c>
      <c r="BB261" s="301">
        <f>[1]COMMANDE!S259</f>
        <v>0</v>
      </c>
      <c r="BC261" s="297" t="str">
        <f t="shared" si="226"/>
        <v>0</v>
      </c>
      <c r="BD261" s="298">
        <f t="shared" si="227"/>
        <v>0</v>
      </c>
      <c r="BE261" s="299">
        <f>[1]COMMANDE!U259</f>
        <v>0</v>
      </c>
      <c r="BF261" s="297" t="str">
        <f t="shared" si="228"/>
        <v>0</v>
      </c>
      <c r="BG261" s="300">
        <f t="shared" si="229"/>
        <v>0</v>
      </c>
      <c r="BH261" s="301">
        <f>[1]COMMANDE!W259</f>
        <v>0</v>
      </c>
      <c r="BI261" s="297" t="str">
        <f t="shared" si="230"/>
        <v>0</v>
      </c>
      <c r="BJ261" s="298">
        <f t="shared" si="231"/>
        <v>0</v>
      </c>
      <c r="BK261" s="299">
        <f>[1]COMMANDE!Y259</f>
        <v>0</v>
      </c>
      <c r="BL261" s="297" t="str">
        <f t="shared" si="232"/>
        <v>0</v>
      </c>
      <c r="BM261" s="300">
        <f t="shared" si="233"/>
        <v>0</v>
      </c>
      <c r="BN261" s="301">
        <f>[1]COMMANDE!AA259</f>
        <v>0</v>
      </c>
      <c r="BO261" s="297" t="str">
        <f t="shared" si="234"/>
        <v>0</v>
      </c>
      <c r="BP261" s="298">
        <f t="shared" si="235"/>
        <v>0</v>
      </c>
      <c r="BQ261" s="299">
        <f>[1]COMMANDE!AC259</f>
        <v>0</v>
      </c>
      <c r="BR261" s="297" t="str">
        <f t="shared" si="236"/>
        <v>0</v>
      </c>
      <c r="BS261" s="300">
        <f t="shared" si="237"/>
        <v>0</v>
      </c>
      <c r="BT261" s="301">
        <f>[1]COMMANDE!AE259</f>
        <v>0</v>
      </c>
      <c r="BU261" s="297" t="str">
        <f t="shared" si="238"/>
        <v>0</v>
      </c>
      <c r="BV261" s="298">
        <f t="shared" si="239"/>
        <v>0</v>
      </c>
      <c r="BW261" s="299">
        <f>[1]COMMANDE!AG259</f>
        <v>0</v>
      </c>
      <c r="BX261" s="297" t="str">
        <f t="shared" si="240"/>
        <v>0</v>
      </c>
      <c r="BY261" s="300">
        <f t="shared" si="241"/>
        <v>0</v>
      </c>
      <c r="BZ261" s="301">
        <f>[1]COMMANDE!AI259</f>
        <v>0</v>
      </c>
      <c r="CA261" s="297" t="str">
        <f t="shared" si="242"/>
        <v>0</v>
      </c>
      <c r="CB261" s="298">
        <f t="shared" si="243"/>
        <v>0</v>
      </c>
      <c r="CC261" s="299">
        <f>[1]COMMANDE!AK259</f>
        <v>0</v>
      </c>
      <c r="CD261" s="297" t="str">
        <f t="shared" si="244"/>
        <v>0</v>
      </c>
      <c r="CE261" s="300">
        <f t="shared" si="245"/>
        <v>0</v>
      </c>
      <c r="CF261" s="301">
        <f>[1]COMMANDE!AM259</f>
        <v>0</v>
      </c>
      <c r="CG261" s="297" t="str">
        <f t="shared" si="246"/>
        <v>0</v>
      </c>
      <c r="CH261" s="298">
        <f t="shared" si="247"/>
        <v>0</v>
      </c>
      <c r="CI261" s="299">
        <f>[1]COMMANDE!AO259</f>
        <v>0</v>
      </c>
      <c r="CJ261" s="297" t="str">
        <f t="shared" si="248"/>
        <v>0</v>
      </c>
      <c r="CK261" s="300">
        <f t="shared" si="249"/>
        <v>0</v>
      </c>
      <c r="CL261" s="301">
        <f>[1]COMMANDE!AQ259</f>
        <v>0</v>
      </c>
      <c r="CM261" s="297" t="str">
        <f t="shared" si="250"/>
        <v>0</v>
      </c>
      <c r="CN261" s="298">
        <f t="shared" si="251"/>
        <v>0</v>
      </c>
      <c r="CO261" s="299">
        <f>[1]COMMANDE!AS259</f>
        <v>0</v>
      </c>
      <c r="CP261" s="297" t="str">
        <f t="shared" si="252"/>
        <v>0</v>
      </c>
      <c r="CQ261" s="300">
        <f t="shared" si="253"/>
        <v>0</v>
      </c>
      <c r="CR261" s="301">
        <f>[1]COMMANDE!AU259</f>
        <v>0</v>
      </c>
      <c r="CS261" s="297" t="str">
        <f t="shared" si="254"/>
        <v>0</v>
      </c>
      <c r="CT261" s="298">
        <f t="shared" si="255"/>
        <v>0</v>
      </c>
      <c r="CU261" s="299">
        <f>[1]COMMANDE!AW259</f>
        <v>0</v>
      </c>
      <c r="CV261" s="297" t="str">
        <f t="shared" si="256"/>
        <v>0</v>
      </c>
      <c r="CW261" s="300">
        <f t="shared" si="257"/>
        <v>0</v>
      </c>
      <c r="CX261" s="301">
        <f>[1]COMMANDE!AY259</f>
        <v>0</v>
      </c>
      <c r="CY261" s="297" t="str">
        <f t="shared" si="258"/>
        <v>0</v>
      </c>
      <c r="CZ261" s="298">
        <f t="shared" si="259"/>
        <v>0</v>
      </c>
      <c r="DA261" s="299">
        <f>[1]COMMANDE!BA259</f>
        <v>0</v>
      </c>
      <c r="DB261" s="297" t="str">
        <f t="shared" si="260"/>
        <v>0</v>
      </c>
      <c r="DC261" s="302">
        <f t="shared" si="261"/>
        <v>0</v>
      </c>
      <c r="DD261" s="303"/>
      <c r="DE261" s="304"/>
    </row>
    <row r="262" spans="1:109" ht="39.950000000000003" customHeight="1" x14ac:dyDescent="0.25">
      <c r="A262" s="307">
        <f t="shared" si="140"/>
        <v>0</v>
      </c>
      <c r="B262" s="307">
        <f t="shared" si="141"/>
        <v>0</v>
      </c>
      <c r="C262" s="307">
        <f t="shared" si="142"/>
        <v>0</v>
      </c>
      <c r="D262" s="307">
        <f t="shared" si="143"/>
        <v>0</v>
      </c>
      <c r="E262" s="307">
        <f t="shared" si="144"/>
        <v>0</v>
      </c>
      <c r="F262" s="307">
        <f t="shared" si="145"/>
        <v>0</v>
      </c>
      <c r="G262" s="307">
        <f t="shared" si="146"/>
        <v>0</v>
      </c>
      <c r="H262" s="307">
        <f t="shared" si="147"/>
        <v>0</v>
      </c>
      <c r="I262" s="307">
        <f t="shared" si="148"/>
        <v>0</v>
      </c>
      <c r="J262" s="307">
        <f t="shared" si="149"/>
        <v>0</v>
      </c>
      <c r="K262" s="307">
        <f t="shared" si="150"/>
        <v>0</v>
      </c>
      <c r="L262" s="307">
        <f t="shared" si="151"/>
        <v>0</v>
      </c>
      <c r="M262" s="307">
        <f t="shared" si="152"/>
        <v>0</v>
      </c>
      <c r="N262" s="307">
        <f t="shared" si="153"/>
        <v>0</v>
      </c>
      <c r="O262" s="307">
        <f t="shared" si="154"/>
        <v>0</v>
      </c>
      <c r="P262" s="284">
        <f t="shared" si="209"/>
        <v>0</v>
      </c>
      <c r="Q262" s="284">
        <f t="shared" si="210"/>
        <v>0</v>
      </c>
      <c r="R262" s="284">
        <f t="shared" si="211"/>
        <v>0</v>
      </c>
      <c r="S262" s="284">
        <f t="shared" si="212"/>
        <v>0</v>
      </c>
      <c r="T262" s="284">
        <f t="shared" si="213"/>
        <v>0</v>
      </c>
      <c r="U262" s="285">
        <f t="shared" si="214"/>
        <v>0</v>
      </c>
      <c r="V262" s="286">
        <f>[1]BDD!A252</f>
        <v>0</v>
      </c>
      <c r="W262" s="287">
        <f>[1]BDD!B252</f>
        <v>0</v>
      </c>
      <c r="X262" s="288" t="str">
        <f>IF([1]BDD!F252=0, "", [1]BDD!F252)</f>
        <v/>
      </c>
      <c r="Y262" s="214">
        <f>ROUND([1]BDD!G252+FDP_CMD_KG, 2)</f>
        <v>0.87</v>
      </c>
      <c r="Z262" s="214">
        <f>ROUND([1]BDD!G252+FDP_FACT_KG, 2)</f>
        <v>0.87</v>
      </c>
      <c r="AA262" s="215">
        <f>[1]BDD!H252</f>
        <v>0</v>
      </c>
      <c r="AB262" s="225" t="str">
        <f>IF(NOT(ISBLANK([1]BDD!I252)), ROUND(SUM(([1]BDD!G252*reduc1),FDP_CMD_KG), 2), "")</f>
        <v/>
      </c>
      <c r="AC262" s="225" t="str">
        <f>IF(NOT(ISBLANK([1]BDD!J252)), ROUND(SUM(([1]BDD!G252*reduc2),FDP_CMD_KG), 2), "")</f>
        <v/>
      </c>
      <c r="AD262" s="225" t="str">
        <f>IF(NOT(ISBLANK([1]BDD!K252)), ROUND(SUM(([1]BDD!G252*reduc3),FDP_CMD_KG), 2), "")</f>
        <v/>
      </c>
      <c r="AE262" s="225" t="str">
        <f>IF(NOT(ISBLANK([1]BDD!I252)), ROUND(SUM(([1]BDD!G252*reduc1),FDP_FACT_KG), 2), "")</f>
        <v/>
      </c>
      <c r="AF262" s="225" t="str">
        <f>IF(NOT(ISBLANK([1]BDD!J252)), ROUND(SUM(([1]BDD!G252*reduc2),FDP_FACT_KG), 2), "")</f>
        <v/>
      </c>
      <c r="AG262" s="225" t="str">
        <f>IF(NOT(ISBLANK([1]BDD!K252)), ROUND(SUM(([1]BDD!G252*reduc3),FDP_FACT_KG), 2), "")</f>
        <v/>
      </c>
      <c r="AH262" s="289">
        <f>[1]BDD!C252</f>
        <v>0</v>
      </c>
      <c r="AI262" s="290">
        <f t="shared" si="215"/>
        <v>0</v>
      </c>
      <c r="AJ262" s="216">
        <f t="shared" si="216"/>
        <v>0.87</v>
      </c>
      <c r="AK262" s="291">
        <f t="shared" si="217"/>
        <v>0</v>
      </c>
      <c r="AL262" s="429"/>
      <c r="AM262" s="292"/>
      <c r="AN262" s="216">
        <f t="shared" si="218"/>
        <v>0.87</v>
      </c>
      <c r="AO262" s="293">
        <f t="shared" si="219"/>
        <v>0</v>
      </c>
      <c r="AP262" s="294"/>
      <c r="AQ262" s="294"/>
      <c r="AR262" s="429"/>
      <c r="AS262" s="295">
        <f t="shared" si="220"/>
        <v>0</v>
      </c>
      <c r="AT262" s="216">
        <f t="shared" si="221"/>
        <v>0.87</v>
      </c>
      <c r="AU262" s="291">
        <f t="shared" si="208"/>
        <v>0</v>
      </c>
      <c r="AV262" s="296">
        <f>[1]COMMANDE!O260</f>
        <v>0</v>
      </c>
      <c r="AW262" s="297" t="str">
        <f t="shared" si="222"/>
        <v>0</v>
      </c>
      <c r="AX262" s="298">
        <f t="shared" si="223"/>
        <v>0</v>
      </c>
      <c r="AY262" s="299">
        <f>[1]COMMANDE!Q260</f>
        <v>0</v>
      </c>
      <c r="AZ262" s="297" t="str">
        <f t="shared" si="224"/>
        <v>0</v>
      </c>
      <c r="BA262" s="308">
        <f t="shared" si="225"/>
        <v>0</v>
      </c>
      <c r="BB262" s="301">
        <f>[1]COMMANDE!S260</f>
        <v>0</v>
      </c>
      <c r="BC262" s="297" t="str">
        <f t="shared" si="226"/>
        <v>0</v>
      </c>
      <c r="BD262" s="298">
        <f t="shared" si="227"/>
        <v>0</v>
      </c>
      <c r="BE262" s="299">
        <f>[1]COMMANDE!U260</f>
        <v>0</v>
      </c>
      <c r="BF262" s="297" t="str">
        <f t="shared" si="228"/>
        <v>0</v>
      </c>
      <c r="BG262" s="308">
        <f t="shared" si="229"/>
        <v>0</v>
      </c>
      <c r="BH262" s="301">
        <f>[1]COMMANDE!W260</f>
        <v>0</v>
      </c>
      <c r="BI262" s="297" t="str">
        <f t="shared" si="230"/>
        <v>0</v>
      </c>
      <c r="BJ262" s="298">
        <f t="shared" si="231"/>
        <v>0</v>
      </c>
      <c r="BK262" s="299">
        <f>[1]COMMANDE!Y260</f>
        <v>0</v>
      </c>
      <c r="BL262" s="297" t="str">
        <f t="shared" si="232"/>
        <v>0</v>
      </c>
      <c r="BM262" s="308">
        <f t="shared" si="233"/>
        <v>0</v>
      </c>
      <c r="BN262" s="301">
        <f>[1]COMMANDE!AA260</f>
        <v>0</v>
      </c>
      <c r="BO262" s="297" t="str">
        <f t="shared" si="234"/>
        <v>0</v>
      </c>
      <c r="BP262" s="298">
        <f t="shared" si="235"/>
        <v>0</v>
      </c>
      <c r="BQ262" s="299">
        <f>[1]COMMANDE!AC260</f>
        <v>0</v>
      </c>
      <c r="BR262" s="297" t="str">
        <f t="shared" si="236"/>
        <v>0</v>
      </c>
      <c r="BS262" s="308">
        <f t="shared" si="237"/>
        <v>0</v>
      </c>
      <c r="BT262" s="301">
        <f>[1]COMMANDE!AE260</f>
        <v>0</v>
      </c>
      <c r="BU262" s="297" t="str">
        <f t="shared" si="238"/>
        <v>0</v>
      </c>
      <c r="BV262" s="298">
        <f t="shared" si="239"/>
        <v>0</v>
      </c>
      <c r="BW262" s="299">
        <f>[1]COMMANDE!AG260</f>
        <v>0</v>
      </c>
      <c r="BX262" s="297" t="str">
        <f t="shared" si="240"/>
        <v>0</v>
      </c>
      <c r="BY262" s="308">
        <f t="shared" si="241"/>
        <v>0</v>
      </c>
      <c r="BZ262" s="301">
        <f>[1]COMMANDE!AI260</f>
        <v>0</v>
      </c>
      <c r="CA262" s="297" t="str">
        <f t="shared" si="242"/>
        <v>0</v>
      </c>
      <c r="CB262" s="298">
        <f t="shared" si="243"/>
        <v>0</v>
      </c>
      <c r="CC262" s="299">
        <f>[1]COMMANDE!AK260</f>
        <v>0</v>
      </c>
      <c r="CD262" s="297" t="str">
        <f t="shared" si="244"/>
        <v>0</v>
      </c>
      <c r="CE262" s="308">
        <f t="shared" si="245"/>
        <v>0</v>
      </c>
      <c r="CF262" s="301">
        <f>[1]COMMANDE!AM260</f>
        <v>0</v>
      </c>
      <c r="CG262" s="297" t="str">
        <f t="shared" si="246"/>
        <v>0</v>
      </c>
      <c r="CH262" s="298">
        <f t="shared" si="247"/>
        <v>0</v>
      </c>
      <c r="CI262" s="299">
        <f>[1]COMMANDE!AO260</f>
        <v>0</v>
      </c>
      <c r="CJ262" s="297" t="str">
        <f t="shared" si="248"/>
        <v>0</v>
      </c>
      <c r="CK262" s="308">
        <f t="shared" si="249"/>
        <v>0</v>
      </c>
      <c r="CL262" s="301">
        <f>[1]COMMANDE!AQ260</f>
        <v>0</v>
      </c>
      <c r="CM262" s="297" t="str">
        <f t="shared" si="250"/>
        <v>0</v>
      </c>
      <c r="CN262" s="298">
        <f t="shared" si="251"/>
        <v>0</v>
      </c>
      <c r="CO262" s="299">
        <f>[1]COMMANDE!AS260</f>
        <v>0</v>
      </c>
      <c r="CP262" s="297" t="str">
        <f t="shared" si="252"/>
        <v>0</v>
      </c>
      <c r="CQ262" s="308">
        <f t="shared" si="253"/>
        <v>0</v>
      </c>
      <c r="CR262" s="301">
        <f>[1]COMMANDE!AU260</f>
        <v>0</v>
      </c>
      <c r="CS262" s="297" t="str">
        <f t="shared" si="254"/>
        <v>0</v>
      </c>
      <c r="CT262" s="298">
        <f t="shared" si="255"/>
        <v>0</v>
      </c>
      <c r="CU262" s="299">
        <f>[1]COMMANDE!AW260</f>
        <v>0</v>
      </c>
      <c r="CV262" s="297" t="str">
        <f t="shared" si="256"/>
        <v>0</v>
      </c>
      <c r="CW262" s="308">
        <f t="shared" si="257"/>
        <v>0</v>
      </c>
      <c r="CX262" s="301">
        <f>[1]COMMANDE!AY260</f>
        <v>0</v>
      </c>
      <c r="CY262" s="297" t="str">
        <f t="shared" si="258"/>
        <v>0</v>
      </c>
      <c r="CZ262" s="298">
        <f t="shared" si="259"/>
        <v>0</v>
      </c>
      <c r="DA262" s="299">
        <f>[1]COMMANDE!BA260</f>
        <v>0</v>
      </c>
      <c r="DB262" s="297" t="str">
        <f t="shared" si="260"/>
        <v>0</v>
      </c>
      <c r="DC262" s="309">
        <f t="shared" si="261"/>
        <v>0</v>
      </c>
      <c r="DD262" s="303"/>
      <c r="DE262" s="304"/>
    </row>
    <row r="263" spans="1:109" ht="20.25" customHeight="1" x14ac:dyDescent="0.25">
      <c r="A263" s="310"/>
      <c r="B263" s="310"/>
      <c r="C263" s="310"/>
      <c r="D263" s="310"/>
      <c r="E263" s="310"/>
      <c r="F263" s="310"/>
      <c r="G263" s="310"/>
      <c r="H263" s="310"/>
      <c r="I263" s="310"/>
      <c r="J263" s="310"/>
      <c r="K263" s="310"/>
      <c r="L263" s="310"/>
      <c r="M263" s="310"/>
      <c r="N263" s="310"/>
      <c r="O263" s="311"/>
      <c r="P263" s="310"/>
      <c r="Q263" s="310"/>
      <c r="R263" s="310"/>
      <c r="S263" s="310"/>
      <c r="T263" s="311"/>
      <c r="U263" s="312"/>
      <c r="V263" s="313"/>
      <c r="W263" s="314"/>
      <c r="X263" s="315"/>
      <c r="Y263" s="217"/>
      <c r="Z263" s="217"/>
      <c r="AA263" s="218"/>
      <c r="AB263" s="226"/>
      <c r="AC263" s="226"/>
      <c r="AD263" s="226"/>
      <c r="AE263" s="226"/>
      <c r="AF263" s="226"/>
      <c r="AG263" s="226"/>
      <c r="AH263" s="316"/>
      <c r="AI263" s="317"/>
      <c r="AJ263" s="219"/>
      <c r="AK263" s="318"/>
      <c r="AL263" s="319"/>
      <c r="AM263" s="317"/>
      <c r="AN263" s="219"/>
      <c r="AO263" s="320"/>
      <c r="AP263" s="312"/>
      <c r="AQ263" s="312"/>
      <c r="AR263" s="321"/>
      <c r="AS263" s="317"/>
      <c r="AT263" s="219"/>
      <c r="AU263" s="318"/>
      <c r="AV263" s="322"/>
      <c r="AW263" s="323"/>
      <c r="AX263" s="324"/>
      <c r="AY263" s="322"/>
      <c r="AZ263" s="323"/>
      <c r="BA263" s="324"/>
      <c r="BB263" s="322"/>
      <c r="BC263" s="323"/>
      <c r="BD263" s="324"/>
      <c r="BE263" s="322"/>
      <c r="BF263" s="325"/>
      <c r="BG263" s="326"/>
      <c r="BH263" s="327"/>
      <c r="BI263" s="325"/>
      <c r="BJ263" s="326"/>
      <c r="BK263" s="327"/>
      <c r="BL263" s="325"/>
      <c r="BM263" s="326"/>
      <c r="BN263" s="327"/>
      <c r="BO263" s="325"/>
      <c r="BP263" s="326"/>
      <c r="BQ263" s="327"/>
      <c r="BR263" s="325"/>
      <c r="BS263" s="326"/>
      <c r="BT263" s="327"/>
      <c r="BU263" s="325"/>
      <c r="BV263" s="326"/>
      <c r="BW263" s="327"/>
      <c r="BX263" s="325"/>
      <c r="BY263" s="326"/>
      <c r="BZ263" s="327"/>
      <c r="CA263" s="325"/>
      <c r="CB263" s="326"/>
      <c r="CC263" s="327"/>
      <c r="CD263" s="325"/>
      <c r="CE263" s="326"/>
      <c r="CF263" s="327"/>
      <c r="CG263" s="325"/>
      <c r="CH263" s="326"/>
      <c r="CI263" s="327"/>
      <c r="CJ263" s="325"/>
      <c r="CK263" s="326"/>
      <c r="CL263" s="327"/>
      <c r="CM263" s="325"/>
      <c r="CN263" s="326"/>
      <c r="CO263" s="327"/>
      <c r="CP263" s="325"/>
      <c r="CQ263" s="326"/>
      <c r="CR263" s="327"/>
      <c r="CS263" s="325"/>
      <c r="CT263" s="326"/>
      <c r="CU263" s="327"/>
      <c r="CV263" s="325"/>
      <c r="CW263" s="326"/>
      <c r="CX263" s="327"/>
      <c r="CY263" s="325"/>
      <c r="CZ263" s="326"/>
      <c r="DA263" s="327"/>
      <c r="DB263" s="325"/>
      <c r="DC263" s="326"/>
      <c r="DD263" s="328"/>
      <c r="DE263" s="329"/>
    </row>
    <row r="264" spans="1:109" hidden="1" x14ac:dyDescent="0.25">
      <c r="U264" s="310"/>
      <c r="V264" s="330"/>
      <c r="W264" s="331"/>
      <c r="X264" s="332"/>
      <c r="Y264" s="333"/>
      <c r="Z264" s="333"/>
      <c r="AA264" s="333"/>
      <c r="AB264" s="333"/>
      <c r="AC264" s="333"/>
      <c r="AD264" s="333"/>
      <c r="AE264" s="333"/>
      <c r="AF264" s="333"/>
      <c r="AG264" s="333"/>
      <c r="AH264" s="310"/>
      <c r="AI264" s="334"/>
      <c r="AJ264" s="335"/>
      <c r="AK264" s="334"/>
      <c r="AM264" s="334"/>
      <c r="AN264" s="334"/>
      <c r="AO264" s="334"/>
      <c r="AP264" s="334"/>
      <c r="AQ264" s="334"/>
      <c r="AR264" s="334"/>
      <c r="AS264" s="334"/>
      <c r="AT264" s="334"/>
      <c r="AU264" s="334"/>
      <c r="AV264" s="310"/>
      <c r="AW264" s="310"/>
      <c r="AX264" s="310"/>
      <c r="AY264" s="310"/>
      <c r="AZ264" s="310"/>
      <c r="BA264" s="310"/>
      <c r="BB264" s="310"/>
      <c r="BC264" s="310"/>
      <c r="BD264" s="310"/>
      <c r="BE264" s="310"/>
      <c r="BF264" s="310"/>
      <c r="BG264" s="310"/>
      <c r="BH264" s="310"/>
      <c r="BI264" s="310"/>
      <c r="BJ264" s="310"/>
      <c r="BK264" s="310"/>
      <c r="BL264" s="310"/>
      <c r="BM264" s="310"/>
      <c r="BN264" s="310"/>
      <c r="BO264" s="310"/>
      <c r="BP264" s="310"/>
      <c r="BQ264" s="310"/>
      <c r="BR264" s="310"/>
      <c r="BS264" s="310"/>
      <c r="BT264" s="310"/>
      <c r="BU264" s="310"/>
      <c r="BV264" s="310"/>
      <c r="BW264" s="310"/>
      <c r="BX264" s="310"/>
      <c r="BY264" s="310"/>
      <c r="BZ264" s="310"/>
      <c r="CA264" s="310"/>
      <c r="CB264" s="310"/>
      <c r="CC264" s="310"/>
      <c r="CD264" s="310"/>
      <c r="CE264" s="310"/>
      <c r="CF264" s="310"/>
      <c r="CG264" s="310"/>
      <c r="CH264" s="310"/>
      <c r="CI264" s="310"/>
      <c r="CJ264" s="310"/>
      <c r="CK264" s="310"/>
      <c r="CL264" s="310"/>
      <c r="CM264" s="310"/>
      <c r="CN264" s="310"/>
      <c r="CO264" s="310"/>
      <c r="CP264" s="310"/>
      <c r="CQ264" s="310"/>
      <c r="CR264" s="310"/>
      <c r="CS264" s="310"/>
      <c r="CT264" s="310"/>
      <c r="CU264" s="310"/>
      <c r="CV264" s="310"/>
      <c r="CW264" s="310"/>
      <c r="CX264" s="310"/>
      <c r="CY264" s="310"/>
      <c r="CZ264" s="310"/>
      <c r="DA264" s="310"/>
      <c r="DB264" s="310"/>
      <c r="DC264" s="310"/>
      <c r="DD264" s="310"/>
      <c r="DE264" s="310"/>
    </row>
  </sheetData>
  <sheetProtection formatColumns="0" autoFilter="0"/>
  <autoFilter ref="U11:AK262" xr:uid="{5927C823-FB4A-4C44-8526-206B3337828B}"/>
  <mergeCells count="93">
    <mergeCell ref="BA1:CN1"/>
    <mergeCell ref="U2:V7"/>
    <mergeCell ref="X2:AH2"/>
    <mergeCell ref="AI2:AK3"/>
    <mergeCell ref="X3:AH3"/>
    <mergeCell ref="U1:AH1"/>
    <mergeCell ref="AI1:AK1"/>
    <mergeCell ref="AL1:AL262"/>
    <mergeCell ref="AR1:AR262"/>
    <mergeCell ref="AV1:AY1"/>
    <mergeCell ref="AV3:AX4"/>
    <mergeCell ref="X4:AH4"/>
    <mergeCell ref="AI4:AK6"/>
    <mergeCell ref="X5:AH5"/>
    <mergeCell ref="AV5:AX6"/>
    <mergeCell ref="X6:AH6"/>
    <mergeCell ref="CX5:CZ6"/>
    <mergeCell ref="DA5:DC6"/>
    <mergeCell ref="BT5:BV6"/>
    <mergeCell ref="BW5:BY6"/>
    <mergeCell ref="BZ5:CB6"/>
    <mergeCell ref="CC5:CE6"/>
    <mergeCell ref="CF5:CH6"/>
    <mergeCell ref="CI5:CK6"/>
    <mergeCell ref="AP7:AP11"/>
    <mergeCell ref="CL5:CN6"/>
    <mergeCell ref="CO5:CQ6"/>
    <mergeCell ref="CR5:CT6"/>
    <mergeCell ref="CU5:CW6"/>
    <mergeCell ref="BB5:BD6"/>
    <mergeCell ref="BE5:BG6"/>
    <mergeCell ref="BH5:BJ6"/>
    <mergeCell ref="BK5:BM6"/>
    <mergeCell ref="BN5:BP6"/>
    <mergeCell ref="BQ5:BS6"/>
    <mergeCell ref="AY5:BA6"/>
    <mergeCell ref="BH10:BJ10"/>
    <mergeCell ref="AQ7:AQ11"/>
    <mergeCell ref="AV7:AW7"/>
    <mergeCell ref="U8:V10"/>
    <mergeCell ref="X8:AH8"/>
    <mergeCell ref="AT8:AU8"/>
    <mergeCell ref="X9:AH9"/>
    <mergeCell ref="AT9:AU9"/>
    <mergeCell ref="X10:AH10"/>
    <mergeCell ref="AI10:AK10"/>
    <mergeCell ref="AM10:AO10"/>
    <mergeCell ref="X7:Y7"/>
    <mergeCell ref="Z7:AC7"/>
    <mergeCell ref="AD7:AH7"/>
    <mergeCell ref="AI7:AJ7"/>
    <mergeCell ref="AM7:AN7"/>
    <mergeCell ref="AS10:AU10"/>
    <mergeCell ref="AV10:AX10"/>
    <mergeCell ref="AY10:BA10"/>
    <mergeCell ref="BB10:BD10"/>
    <mergeCell ref="BE10:BG10"/>
    <mergeCell ref="BK11:BM11"/>
    <mergeCell ref="CC10:CE10"/>
    <mergeCell ref="CF10:CH10"/>
    <mergeCell ref="CI10:CK10"/>
    <mergeCell ref="CL10:CN10"/>
    <mergeCell ref="BK10:BM10"/>
    <mergeCell ref="BN10:BP10"/>
    <mergeCell ref="BQ10:BS10"/>
    <mergeCell ref="BT10:BV10"/>
    <mergeCell ref="BW10:BY10"/>
    <mergeCell ref="BZ10:CB10"/>
    <mergeCell ref="AV11:AX11"/>
    <mergeCell ref="AY11:BA11"/>
    <mergeCell ref="BB11:BD11"/>
    <mergeCell ref="BE11:BG11"/>
    <mergeCell ref="BH11:BJ11"/>
    <mergeCell ref="CC11:CE11"/>
    <mergeCell ref="CU10:CW10"/>
    <mergeCell ref="CX10:CZ10"/>
    <mergeCell ref="DA10:DC10"/>
    <mergeCell ref="DE10:DG10"/>
    <mergeCell ref="CO10:CQ10"/>
    <mergeCell ref="CR10:CT10"/>
    <mergeCell ref="BN11:BP11"/>
    <mergeCell ref="BQ11:BS11"/>
    <mergeCell ref="BT11:BV11"/>
    <mergeCell ref="BW11:BY11"/>
    <mergeCell ref="BZ11:CB11"/>
    <mergeCell ref="CX11:CZ11"/>
    <mergeCell ref="DA11:DC11"/>
    <mergeCell ref="CF11:CH11"/>
    <mergeCell ref="CI11:CK11"/>
    <mergeCell ref="CL11:CN11"/>
    <mergeCell ref="CO11:CQ11"/>
    <mergeCell ref="CR11:CT11"/>
    <mergeCell ref="CU11:CW11"/>
  </mergeCells>
  <conditionalFormatting sqref="AP142:AQ142">
    <cfRule type="colorScale" priority="22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4:AQ174">
    <cfRule type="colorScale" priority="2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5:AQ125">
    <cfRule type="colorScale" priority="22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3:AQ153">
    <cfRule type="colorScale" priority="22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9:AQ159">
    <cfRule type="colorScale" priority="22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8:AQ168">
    <cfRule type="colorScale" priority="22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6:AQ126">
    <cfRule type="colorScale" priority="22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3:AQ123">
    <cfRule type="colorScale" priority="22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0:AQ160">
    <cfRule type="colorScale" priority="22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5:AQ165">
    <cfRule type="colorScale" priority="22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2:AQ132">
    <cfRule type="colorScale" priority="21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2:AQ152">
    <cfRule type="colorScale" priority="21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8:AQ138">
    <cfRule type="colorScale" priority="21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7:AQ117">
    <cfRule type="colorScale" priority="21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5:AQ115">
    <cfRule type="colorScale" priority="21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4:AQ114">
    <cfRule type="colorScale" priority="21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2:AQ112">
    <cfRule type="colorScale" priority="21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1:AQ91">
    <cfRule type="colorScale" priority="21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0:AQ110">
    <cfRule type="colorScale" priority="21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5:AQ175">
    <cfRule type="colorScale" priority="20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9:AQ109">
    <cfRule type="colorScale" priority="20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9:AQ99">
    <cfRule type="colorScale" priority="20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4:AQ94">
    <cfRule type="colorScale" priority="20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I9">
    <cfRule type="cellIs" dxfId="101" priority="213" operator="greaterThan">
      <formula>600</formula>
    </cfRule>
  </conditionalFormatting>
  <conditionalFormatting sqref="AP93:AQ93">
    <cfRule type="colorScale" priority="20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8:AQ98">
    <cfRule type="colorScale" priority="20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6:AQ96">
    <cfRule type="colorScale" priority="20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5:AQ95">
    <cfRule type="colorScale" priority="20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1:AQ131">
    <cfRule type="colorScale" priority="20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DE160">
    <cfRule type="cellIs" dxfId="100" priority="200" operator="greaterThan">
      <formula>0</formula>
    </cfRule>
  </conditionalFormatting>
  <conditionalFormatting sqref="AP92:AQ92">
    <cfRule type="colorScale" priority="19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0:AQ90">
    <cfRule type="colorScale" priority="19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9:AQ89">
    <cfRule type="colorScale" priority="19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8:AQ88">
    <cfRule type="colorScale" priority="19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6:AQ76">
    <cfRule type="colorScale" priority="19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:AQ12">
    <cfRule type="colorScale" priority="19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O12:AO263">
    <cfRule type="expression" dxfId="99" priority="193">
      <formula>NOT(EXACT($AU12,$AO12))</formula>
    </cfRule>
  </conditionalFormatting>
  <conditionalFormatting sqref="U12:U263">
    <cfRule type="cellIs" dxfId="98" priority="192" operator="greaterThan">
      <formula>0</formula>
    </cfRule>
  </conditionalFormatting>
  <conditionalFormatting sqref="AP133:AQ133">
    <cfRule type="colorScale" priority="19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0:AQ70">
    <cfRule type="colorScale" priority="19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2:AQ72">
    <cfRule type="colorScale" priority="18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3:AQ73">
    <cfRule type="colorScale" priority="18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4:AQ74">
    <cfRule type="colorScale" priority="18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5:AQ75">
    <cfRule type="colorScale" priority="18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7:AQ87">
    <cfRule type="colorScale" priority="18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6:AQ86">
    <cfRule type="colorScale" priority="18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7:AQ77">
    <cfRule type="colorScale" priority="1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8:AQ78">
    <cfRule type="colorScale" priority="18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9:AQ79">
    <cfRule type="colorScale" priority="18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5:AQ85">
    <cfRule type="colorScale" priority="18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1:AQ31">
    <cfRule type="colorScale" priority="17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9:AQ69">
    <cfRule type="colorScale" priority="17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5:AQ65">
    <cfRule type="colorScale" priority="17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6:AQ66">
    <cfRule type="colorScale" priority="17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8:AQ68">
    <cfRule type="colorScale" priority="17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7:AQ47">
    <cfRule type="colorScale" priority="17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8:AQ48">
    <cfRule type="colorScale" priority="17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9:AQ49">
    <cfRule type="colorScale" priority="17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0:AQ50">
    <cfRule type="colorScale" priority="17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2:AQ52">
    <cfRule type="colorScale" priority="17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3:AQ53">
    <cfRule type="colorScale" priority="16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4:AQ54">
    <cfRule type="colorScale" priority="16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6:AQ56">
    <cfRule type="colorScale" priority="16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7:AQ57">
    <cfRule type="colorScale" priority="16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8:AQ58">
    <cfRule type="colorScale" priority="16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9:AQ59">
    <cfRule type="colorScale" priority="16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0:AQ60">
    <cfRule type="colorScale" priority="16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1:AQ61">
    <cfRule type="colorScale" priority="16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2:AQ62">
    <cfRule type="colorScale" priority="16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3:AQ63">
    <cfRule type="colorScale" priority="16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5:AQ55">
    <cfRule type="colorScale" priority="15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1:AQ51">
    <cfRule type="colorScale" priority="15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4:AQ64">
    <cfRule type="colorScale" priority="15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5:AQ155">
    <cfRule type="colorScale" priority="15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5:AQ198 AP176:AQ178 AP157:AQ158 AP118:AQ122 AP154:AQ154 AP161:AQ164 AP124:AQ124 AP166:AQ167 AP169:AQ173 AP143:AQ151 AP139:AQ141 AP134:AQ137 AP129:AQ130 AP260:AQ261 AP263:AQ263 AP257:AQ258">
    <cfRule type="colorScale" priority="23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8:AQ128">
    <cfRule type="colorScale" priority="15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7:AQ127">
    <cfRule type="colorScale" priority="15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3:AQ113">
    <cfRule type="colorScale" priority="15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1:AQ111">
    <cfRule type="colorScale" priority="15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0:AQ100">
    <cfRule type="colorScale" priority="15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1:AQ101">
    <cfRule type="colorScale" priority="15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2:AQ102">
    <cfRule type="colorScale" priority="14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3:AQ103">
    <cfRule type="colorScale" priority="14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8:AQ108">
    <cfRule type="colorScale" priority="14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4:AQ104">
    <cfRule type="colorScale" priority="14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5:AQ105">
    <cfRule type="colorScale" priority="14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6:AQ106">
    <cfRule type="colorScale" priority="14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7:AQ107">
    <cfRule type="colorScale" priority="14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7:AQ97">
    <cfRule type="colorScale" priority="14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3:AQ193">
    <cfRule type="colorScale" priority="14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4:AQ194">
    <cfRule type="colorScale" priority="14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59:AQ259">
    <cfRule type="colorScale" priority="13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6:AQ46">
    <cfRule type="colorScale" priority="13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5:AQ45">
    <cfRule type="colorScale" priority="13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4:AQ44">
    <cfRule type="colorScale" priority="13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3:AQ43">
    <cfRule type="colorScale" priority="13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2:AQ42">
    <cfRule type="colorScale" priority="13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1:AQ41">
    <cfRule type="colorScale" priority="13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0:AQ40">
    <cfRule type="colorScale" priority="13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9:AQ39">
    <cfRule type="colorScale" priority="13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7:AQ37">
    <cfRule type="colorScale" priority="13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5:AQ35">
    <cfRule type="colorScale" priority="12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3:AQ33">
    <cfRule type="colorScale" priority="1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2:AQ32">
    <cfRule type="colorScale" priority="12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0:AQ80">
    <cfRule type="colorScale" priority="12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1:AQ81">
    <cfRule type="colorScale" priority="12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3:AQ83">
    <cfRule type="colorScale" priority="12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2:AQ82">
    <cfRule type="colorScale" priority="12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4:AQ84">
    <cfRule type="colorScale" priority="12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4:AQ34">
    <cfRule type="colorScale" priority="12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6:AQ36">
    <cfRule type="colorScale" priority="12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8:AQ38">
    <cfRule type="colorScale" priority="11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7:AQ67">
    <cfRule type="colorScale" priority="11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1:AQ71">
    <cfRule type="colorScale" priority="11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6:AQ116">
    <cfRule type="colorScale" priority="11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6:AQ156">
    <cfRule type="colorScale" priority="11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0:AQ30">
    <cfRule type="colorScale" priority="11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9:AQ29">
    <cfRule type="colorScale" priority="11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8:AQ28">
    <cfRule type="colorScale" priority="11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7:AQ27">
    <cfRule type="colorScale" priority="11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6:AQ26">
    <cfRule type="colorScale" priority="11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5:AQ25">
    <cfRule type="colorScale" priority="10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:AQ24">
    <cfRule type="colorScale" priority="10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3:AQ23">
    <cfRule type="colorScale" priority="10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:AQ22">
    <cfRule type="colorScale" priority="10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1:AQ21">
    <cfRule type="colorScale" priority="10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:AQ20">
    <cfRule type="colorScale" priority="10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:AQ19">
    <cfRule type="colorScale" priority="10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:AQ18">
    <cfRule type="colorScale" priority="10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:AQ17">
    <cfRule type="colorScale" priority="10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:AQ16">
    <cfRule type="colorScale" priority="10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:AQ15">
    <cfRule type="colorScale" priority="9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4:AQ14">
    <cfRule type="colorScale" priority="9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9:AQ179">
    <cfRule type="colorScale" priority="9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0:AQ180">
    <cfRule type="colorScale" priority="9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1:AQ181">
    <cfRule type="colorScale" priority="9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2:AQ182">
    <cfRule type="colorScale" priority="9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3:AQ183">
    <cfRule type="colorScale" priority="9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4:AQ184">
    <cfRule type="colorScale" priority="9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5:AQ185">
    <cfRule type="colorScale" priority="9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6:AQ186">
    <cfRule type="colorScale" priority="9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7:AQ187">
    <cfRule type="colorScale" priority="8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8:AQ188">
    <cfRule type="colorScale" priority="8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9:AQ189">
    <cfRule type="colorScale" priority="8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0:AQ190">
    <cfRule type="colorScale" priority="8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1:AQ191">
    <cfRule type="colorScale" priority="8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2:AQ192">
    <cfRule type="colorScale" priority="8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:AQ13">
    <cfRule type="colorScale" priority="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V12:V263">
    <cfRule type="expression" dxfId="97" priority="231">
      <formula>$U12=1</formula>
    </cfRule>
  </conditionalFormatting>
  <conditionalFormatting sqref="A12:O198 A257:O261">
    <cfRule type="cellIs" dxfId="96" priority="82" operator="greaterThan">
      <formula>0</formula>
    </cfRule>
  </conditionalFormatting>
  <conditionalFormatting sqref="W12:AH263">
    <cfRule type="expression" dxfId="95" priority="80">
      <formula>COUNTIF($W12,"*BIO*")=0</formula>
    </cfRule>
    <cfRule type="expression" dxfId="94" priority="81">
      <formula>COUNTIF($W12,"*BIO*")&gt;0</formula>
    </cfRule>
  </conditionalFormatting>
  <conditionalFormatting sqref="AW12:AW263">
    <cfRule type="expression" dxfId="93" priority="79">
      <formula>NOT(EXACT(AV12,AW12))</formula>
    </cfRule>
  </conditionalFormatting>
  <conditionalFormatting sqref="AZ263">
    <cfRule type="expression" dxfId="92" priority="78">
      <formula>NOT(EXACT($AY263,$AZ263))</formula>
    </cfRule>
  </conditionalFormatting>
  <conditionalFormatting sqref="BC263">
    <cfRule type="expression" dxfId="91" priority="77">
      <formula>NOT(EXACT($BB263,$BC263))</formula>
    </cfRule>
  </conditionalFormatting>
  <conditionalFormatting sqref="BF263">
    <cfRule type="expression" dxfId="90" priority="76">
      <formula>NOT(EXACT($BE263,$BF263))</formula>
    </cfRule>
  </conditionalFormatting>
  <conditionalFormatting sqref="BI263">
    <cfRule type="expression" dxfId="89" priority="75">
      <formula>NOT(EXACT($BH263,$BI263))</formula>
    </cfRule>
  </conditionalFormatting>
  <conditionalFormatting sqref="BL263">
    <cfRule type="expression" dxfId="88" priority="74">
      <formula>NOT(EXACT(BK263,BL263))</formula>
    </cfRule>
  </conditionalFormatting>
  <conditionalFormatting sqref="BO263">
    <cfRule type="expression" dxfId="87" priority="73">
      <formula>AND(NOT(EXACT(BN263,BO263)), NOT(BO263=""), NOT(ISBLANK(BO263)), NOT(BO263=0), NOT(BO263="-"))</formula>
    </cfRule>
  </conditionalFormatting>
  <conditionalFormatting sqref="BR263">
    <cfRule type="expression" dxfId="86" priority="72">
      <formula>AND(NOT(EXACT(BQ263,BR263)), NOT(BR263=""), NOT(ISBLANK(BR263)), NOT(BR263=0), NOT(BR263="-"))</formula>
    </cfRule>
  </conditionalFormatting>
  <conditionalFormatting sqref="BU263">
    <cfRule type="expression" dxfId="85" priority="71">
      <formula>AND(NOT(EXACT(BT263,BU263)), NOT(BU263=""), NOT(ISBLANK(BU263)), NOT(BU263=0), NOT(BU263="-"))</formula>
    </cfRule>
  </conditionalFormatting>
  <conditionalFormatting sqref="BX263">
    <cfRule type="expression" dxfId="84" priority="70">
      <formula>AND(NOT(EXACT(BW263,BX263)), NOT(BX263=""), NOT(ISBLANK(BX263)), NOT(BX263=0), NOT(BX263="-"))</formula>
    </cfRule>
  </conditionalFormatting>
  <conditionalFormatting sqref="CA263">
    <cfRule type="expression" dxfId="83" priority="69">
      <formula>AND(NOT(EXACT(BZ263,CA263)), NOT(CA263=""), NOT(ISBLANK(CA263)), NOT(CA263=0), NOT(CA263="-"))</formula>
    </cfRule>
  </conditionalFormatting>
  <conditionalFormatting sqref="CD263">
    <cfRule type="expression" dxfId="82" priority="68">
      <formula>AND(NOT(EXACT(CC263,CD263)), NOT(CD263=""), NOT(ISBLANK(CD263)), NOT(CD263=0), NOT(CD263="-"))</formula>
    </cfRule>
  </conditionalFormatting>
  <conditionalFormatting sqref="CG263">
    <cfRule type="expression" dxfId="81" priority="67">
      <formula>AND(NOT(EXACT(CF263,CG263)), NOT(CG263=""), NOT(ISBLANK(CG263)), NOT(CG263=0), NOT(CG263="-"))</formula>
    </cfRule>
  </conditionalFormatting>
  <conditionalFormatting sqref="CJ263">
    <cfRule type="expression" dxfId="80" priority="66">
      <formula>AND(NOT(EXACT(CI263,CJ263)), NOT(CJ263=""), NOT(ISBLANK(CJ263)), NOT(CJ263=0), NOT(CJ263="-"))</formula>
    </cfRule>
  </conditionalFormatting>
  <conditionalFormatting sqref="CM263">
    <cfRule type="expression" dxfId="79" priority="65">
      <formula>AND(NOT(EXACT(CL263,CM263)), NOT(CM263=""), NOT(ISBLANK(CM263)), NOT(CJ263=0), NOT(CJ263="-"))</formula>
    </cfRule>
  </conditionalFormatting>
  <conditionalFormatting sqref="AU12:AU263">
    <cfRule type="expression" dxfId="78" priority="64">
      <formula>NOT(EXACT($AU12,$AO12))</formula>
    </cfRule>
  </conditionalFormatting>
  <conditionalFormatting sqref="AP262:AQ262">
    <cfRule type="colorScale" priority="6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3:AQ243 AP256:AQ256 AP240:AQ241 AP254:AQ254">
    <cfRule type="colorScale" priority="6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2:AQ242">
    <cfRule type="colorScale" priority="6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40:O243 A254:O254">
    <cfRule type="cellIs" dxfId="77" priority="60" operator="greaterThan">
      <formula>0</formula>
    </cfRule>
  </conditionalFormatting>
  <conditionalFormatting sqref="AP255:AQ255">
    <cfRule type="colorScale" priority="5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36:AQ237 AP239:AQ239 AP233:AQ234">
    <cfRule type="colorScale" priority="5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35:AQ235">
    <cfRule type="colorScale" priority="5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33:O237">
    <cfRule type="cellIs" dxfId="76" priority="56" operator="greaterThan">
      <formula>0</formula>
    </cfRule>
  </conditionalFormatting>
  <conditionalFormatting sqref="AP238:AQ238">
    <cfRule type="colorScale" priority="5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9:AQ230 AP232:AQ232 AP199:AQ199 AP227:AQ227">
    <cfRule type="colorScale" priority="5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8:AQ228">
    <cfRule type="colorScale" priority="5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199:O199 A227:O230">
    <cfRule type="cellIs" dxfId="75" priority="52" operator="greaterThan">
      <formula>0</formula>
    </cfRule>
  </conditionalFormatting>
  <conditionalFormatting sqref="AP231:AQ231">
    <cfRule type="colorScale" priority="5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3:AQ224 AP226:AQ226 AP220:AQ221">
    <cfRule type="colorScale" priority="5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2:AQ222">
    <cfRule type="colorScale" priority="4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20:O224">
    <cfRule type="cellIs" dxfId="74" priority="48" operator="greaterThan">
      <formula>0</formula>
    </cfRule>
  </conditionalFormatting>
  <conditionalFormatting sqref="AP225:AQ225">
    <cfRule type="colorScale" priority="4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16:AQ217 AP219:AQ219 AP213:AQ214">
    <cfRule type="colorScale" priority="4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15:AQ215">
    <cfRule type="colorScale" priority="4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13:O217">
    <cfRule type="cellIs" dxfId="73" priority="44" operator="greaterThan">
      <formula>0</formula>
    </cfRule>
  </conditionalFormatting>
  <conditionalFormatting sqref="AP218:AQ218">
    <cfRule type="colorScale" priority="4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9:AQ210 AP212:AQ212 AP206:AQ207">
    <cfRule type="colorScale" priority="4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8:AQ208">
    <cfRule type="colorScale" priority="4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06:O210">
    <cfRule type="cellIs" dxfId="72" priority="40" operator="greaterThan">
      <formula>0</formula>
    </cfRule>
  </conditionalFormatting>
  <conditionalFormatting sqref="AP211:AQ211">
    <cfRule type="colorScale" priority="3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2:AQ203 AP205:AQ205 AP200:AQ200">
    <cfRule type="colorScale" priority="3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1:AQ201">
    <cfRule type="colorScale" priority="3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00:O203">
    <cfRule type="cellIs" dxfId="71" priority="36" operator="greaterThan">
      <formula>0</formula>
    </cfRule>
  </conditionalFormatting>
  <conditionalFormatting sqref="AP204:AQ204">
    <cfRule type="colorScale" priority="3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50:AQ251 AP253:AQ253 AP247:AQ248">
    <cfRule type="colorScale" priority="3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9:AQ249">
    <cfRule type="colorScale" priority="3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47:O251">
    <cfRule type="cellIs" dxfId="70" priority="32" operator="greaterThan">
      <formula>0</formula>
    </cfRule>
  </conditionalFormatting>
  <conditionalFormatting sqref="AP252:AQ252">
    <cfRule type="colorScale" priority="3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6:AQ246 AP244:AQ244">
    <cfRule type="colorScale" priority="3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44:O244">
    <cfRule type="cellIs" dxfId="69" priority="29" operator="greaterThan">
      <formula>0</formula>
    </cfRule>
  </conditionalFormatting>
  <conditionalFormatting sqref="AP245:AQ245">
    <cfRule type="colorScale" priority="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O9">
    <cfRule type="expression" dxfId="68" priority="27">
      <formula>NOT(EXACT($AT9,$AO9))</formula>
    </cfRule>
  </conditionalFormatting>
  <conditionalFormatting sqref="AT9:AU9">
    <cfRule type="expression" dxfId="67" priority="26">
      <formula>NOT(EXACT($AT9,$AO9))</formula>
    </cfRule>
  </conditionalFormatting>
  <conditionalFormatting sqref="CP263">
    <cfRule type="expression" dxfId="66" priority="25">
      <formula>AND(NOT(EXACT(CO263,CP263)), NOT(CP263=""), NOT(ISBLANK(CP263)), NOT(CP263=0), NOT(CP263="-"))</formula>
    </cfRule>
  </conditionalFormatting>
  <conditionalFormatting sqref="CS263">
    <cfRule type="expression" dxfId="65" priority="24">
      <formula>AND(NOT(EXACT(CR263,CS263)), NOT(CS263=""), NOT(ISBLANK(CS263)), NOT(CS263=0), NOT(CS263="-"))</formula>
    </cfRule>
  </conditionalFormatting>
  <conditionalFormatting sqref="CV263">
    <cfRule type="expression" dxfId="64" priority="23">
      <formula>AND(NOT(EXACT(CU263,CV263)), NOT(CV263=""), NOT(ISBLANK(CV263)), NOT(CV263=0), NOT(CV263="-"))</formula>
    </cfRule>
  </conditionalFormatting>
  <conditionalFormatting sqref="CY263">
    <cfRule type="expression" dxfId="63" priority="22">
      <formula>AND(NOT(EXACT(CX263,CY263)), NOT(CY263=""), NOT(ISBLANK(CY263)), NOT(CY263=0), NOT(CY263="-"))</formula>
    </cfRule>
  </conditionalFormatting>
  <conditionalFormatting sqref="DB263">
    <cfRule type="expression" dxfId="62" priority="21">
      <formula>NOT(EXACT($DA263,$DB263))</formula>
    </cfRule>
  </conditionalFormatting>
  <conditionalFormatting sqref="P12:T262">
    <cfRule type="cellIs" dxfId="61" priority="20" operator="greaterThan">
      <formula>0</formula>
    </cfRule>
  </conditionalFormatting>
  <conditionalFormatting sqref="AZ12:AZ262">
    <cfRule type="expression" dxfId="60" priority="19">
      <formula>NOT(EXACT(AY12,AZ12))</formula>
    </cfRule>
  </conditionalFormatting>
  <conditionalFormatting sqref="BC12:BC262">
    <cfRule type="expression" dxfId="59" priority="18">
      <formula>NOT(EXACT(BB12,BC12))</formula>
    </cfRule>
  </conditionalFormatting>
  <conditionalFormatting sqref="BF12:BF262">
    <cfRule type="expression" dxfId="58" priority="17">
      <formula>NOT(EXACT(BE12,BF12))</formula>
    </cfRule>
  </conditionalFormatting>
  <conditionalFormatting sqref="BI12:BI262">
    <cfRule type="expression" dxfId="57" priority="16">
      <formula>NOT(EXACT(BH12,BI12))</formula>
    </cfRule>
  </conditionalFormatting>
  <conditionalFormatting sqref="BL12:BL262">
    <cfRule type="expression" dxfId="56" priority="15">
      <formula>NOT(EXACT(BK12,BL12))</formula>
    </cfRule>
  </conditionalFormatting>
  <conditionalFormatting sqref="BO12:BO262">
    <cfRule type="expression" dxfId="55" priority="14">
      <formula>NOT(EXACT(BN12,BO12))</formula>
    </cfRule>
  </conditionalFormatting>
  <conditionalFormatting sqref="BR12:BR262">
    <cfRule type="expression" dxfId="54" priority="13">
      <formula>NOT(EXACT(BQ12,BR12))</formula>
    </cfRule>
  </conditionalFormatting>
  <conditionalFormatting sqref="BU12:BU262">
    <cfRule type="expression" dxfId="53" priority="12">
      <formula>NOT(EXACT(BT12,BU12))</formula>
    </cfRule>
  </conditionalFormatting>
  <conditionalFormatting sqref="BX12:BX262">
    <cfRule type="expression" dxfId="52" priority="11">
      <formula>NOT(EXACT(BW12,BX12))</formula>
    </cfRule>
  </conditionalFormatting>
  <conditionalFormatting sqref="CA12:CA262">
    <cfRule type="expression" dxfId="51" priority="10">
      <formula>NOT(EXACT(BZ12,CA12))</formula>
    </cfRule>
  </conditionalFormatting>
  <conditionalFormatting sqref="CD12:CD262">
    <cfRule type="expression" dxfId="50" priority="9">
      <formula>NOT(EXACT(CC12,CD12))</formula>
    </cfRule>
  </conditionalFormatting>
  <conditionalFormatting sqref="CG12:CG262">
    <cfRule type="expression" dxfId="49" priority="8">
      <formula>NOT(EXACT(CF12,CG12))</formula>
    </cfRule>
  </conditionalFormatting>
  <conditionalFormatting sqref="CJ12:CJ262">
    <cfRule type="expression" dxfId="48" priority="7">
      <formula>NOT(EXACT(CI12,CJ12))</formula>
    </cfRule>
  </conditionalFormatting>
  <conditionalFormatting sqref="CM12:CM262">
    <cfRule type="expression" dxfId="47" priority="6">
      <formula>NOT(EXACT(CL12,CM12))</formula>
    </cfRule>
  </conditionalFormatting>
  <conditionalFormatting sqref="CP12:CP262">
    <cfRule type="expression" dxfId="46" priority="5">
      <formula>NOT(EXACT(CO12,CP12))</formula>
    </cfRule>
  </conditionalFormatting>
  <conditionalFormatting sqref="CS12:CS262">
    <cfRule type="expression" dxfId="45" priority="4">
      <formula>NOT(EXACT(CR12,CS12))</formula>
    </cfRule>
  </conditionalFormatting>
  <conditionalFormatting sqref="CV12:CV262">
    <cfRule type="expression" dxfId="44" priority="3">
      <formula>NOT(EXACT(CU12,CV12))</formula>
    </cfRule>
  </conditionalFormatting>
  <conditionalFormatting sqref="CY12:CY262">
    <cfRule type="expression" dxfId="43" priority="2">
      <formula>NOT(EXACT(CX12,CY12))</formula>
    </cfRule>
  </conditionalFormatting>
  <conditionalFormatting sqref="DB12:DB262">
    <cfRule type="expression" dxfId="42" priority="1">
      <formula>NOT(EXACT(DA12,DB12))</formula>
    </cfRule>
  </conditionalFormatting>
  <pageMargins left="3.937007874015748E-2" right="3.937007874015748E-2" top="0.19685039370078738" bottom="0" header="0" footer="0"/>
  <pageSetup paperSize="9" scale="85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9DF4B-CDAF-429F-8FF3-E05F792A18CF}">
  <sheetPr codeName="Feuil1"/>
  <dimension ref="A1:K678"/>
  <sheetViews>
    <sheetView showGridLines="0" tabSelected="1" zoomScaleNormal="100" workbookViewId="0">
      <selection activeCell="H15" sqref="H15"/>
    </sheetView>
  </sheetViews>
  <sheetFormatPr baseColWidth="10" defaultColWidth="0" defaultRowHeight="14.25" zeroHeight="1" outlineLevelRow="1" x14ac:dyDescent="0.25"/>
  <cols>
    <col min="1" max="1" width="4.28515625" style="87" customWidth="1"/>
    <col min="2" max="2" width="13.7109375" style="47" customWidth="1"/>
    <col min="3" max="3" width="35.7109375" style="89" customWidth="1"/>
    <col min="4" max="4" width="12.85546875" style="89" customWidth="1"/>
    <col min="5" max="5" width="12.85546875" style="87" bestFit="1" customWidth="1"/>
    <col min="6" max="6" width="14.42578125" style="87" customWidth="1"/>
    <col min="7" max="7" width="6.7109375" style="158" customWidth="1"/>
    <col min="8" max="8" width="101.7109375" style="87" customWidth="1"/>
    <col min="9" max="11" width="0" style="87" hidden="1" customWidth="1"/>
    <col min="12" max="16384" width="11.42578125" style="87" hidden="1"/>
  </cols>
  <sheetData>
    <row r="1" spans="2:7" ht="15" thickBot="1" x14ac:dyDescent="0.3"/>
    <row r="2" spans="2:7" ht="45" customHeight="1" x14ac:dyDescent="0.25">
      <c r="B2" s="447" t="s">
        <v>684</v>
      </c>
      <c r="C2" s="448"/>
      <c r="D2" s="448"/>
      <c r="E2" s="448"/>
      <c r="F2" s="449"/>
      <c r="G2" s="192"/>
    </row>
    <row r="3" spans="2:7" ht="75" customHeight="1" x14ac:dyDescent="0.25">
      <c r="B3" s="450" t="s">
        <v>625</v>
      </c>
      <c r="C3" s="451"/>
      <c r="D3" s="452"/>
      <c r="E3" s="453"/>
      <c r="F3" s="454"/>
      <c r="G3" s="192"/>
    </row>
    <row r="4" spans="2:7" ht="30" customHeight="1" outlineLevel="1" x14ac:dyDescent="0.25">
      <c r="B4" s="195" t="s">
        <v>39</v>
      </c>
      <c r="C4" s="100"/>
      <c r="D4" s="180" t="s">
        <v>37</v>
      </c>
      <c r="E4" s="455">
        <f ca="1">TODAY()</f>
        <v>44146</v>
      </c>
      <c r="F4" s="456"/>
      <c r="G4" s="193"/>
    </row>
    <row r="5" spans="2:7" x14ac:dyDescent="0.2">
      <c r="B5" s="195" t="s">
        <v>40</v>
      </c>
      <c r="C5" s="101"/>
      <c r="D5" s="180" t="s">
        <v>12</v>
      </c>
      <c r="E5" s="457"/>
      <c r="F5" s="458"/>
      <c r="G5" s="193"/>
    </row>
    <row r="6" spans="2:7" x14ac:dyDescent="0.25">
      <c r="B6" s="195" t="s">
        <v>41</v>
      </c>
      <c r="C6" s="101"/>
      <c r="D6" s="441"/>
      <c r="E6" s="442"/>
      <c r="F6" s="443"/>
      <c r="G6" s="194"/>
    </row>
    <row r="7" spans="2:7" ht="25.5" x14ac:dyDescent="0.25">
      <c r="B7" s="195" t="s">
        <v>685</v>
      </c>
      <c r="C7" s="101"/>
      <c r="D7" s="444"/>
      <c r="E7" s="445"/>
      <c r="F7" s="446"/>
      <c r="G7" s="194"/>
    </row>
    <row r="8" spans="2:7" ht="34.5" customHeight="1" x14ac:dyDescent="0.25">
      <c r="B8" s="196" t="s">
        <v>43</v>
      </c>
      <c r="C8" s="439"/>
      <c r="D8" s="439"/>
      <c r="E8" s="439"/>
      <c r="F8" s="440"/>
      <c r="G8" s="193"/>
    </row>
    <row r="9" spans="2:7" x14ac:dyDescent="0.25">
      <c r="B9" s="197" t="s">
        <v>5</v>
      </c>
      <c r="C9" s="198" t="s">
        <v>7</v>
      </c>
      <c r="D9" s="198" t="s">
        <v>9</v>
      </c>
      <c r="E9" s="199" t="s">
        <v>683</v>
      </c>
      <c r="F9" s="200" t="s">
        <v>11</v>
      </c>
    </row>
    <row r="10" spans="2:7" x14ac:dyDescent="0.25">
      <c r="B10" s="201"/>
      <c r="C10" s="202"/>
      <c r="D10" s="202"/>
      <c r="E10" s="203"/>
      <c r="F10" s="204"/>
    </row>
    <row r="11" spans="2:7" x14ac:dyDescent="0.25">
      <c r="B11" s="206"/>
      <c r="C11" s="207"/>
      <c r="D11" s="207"/>
      <c r="E11" s="208"/>
      <c r="F11" s="209"/>
    </row>
    <row r="12" spans="2:7" ht="15.75" thickBot="1" x14ac:dyDescent="0.3">
      <c r="B12" s="205"/>
      <c r="C12" s="210" t="str">
        <f>_xlfn.SWITCH(C8,"RESPONSABLE","TOTAL remisé (10%)","TEAM","TOTAL remisé (37%)","TOTAL")</f>
        <v>TOTAL</v>
      </c>
      <c r="D12" s="211"/>
      <c r="E12" s="211"/>
      <c r="F12" s="212">
        <f>_xlfn.SWITCH(C8,"responsable",SUM(Tableau4[[#All],[PRIX]])*0.9,"team",SUM(Tableau4[[#All],[PRIX]])*0.63,SUM(Tableau4[[#All],[PRIX]]))</f>
        <v>0</v>
      </c>
    </row>
    <row r="13" spans="2:7" x14ac:dyDescent="0.25"/>
    <row r="14" spans="2:7" x14ac:dyDescent="0.25"/>
    <row r="15" spans="2:7" x14ac:dyDescent="0.25"/>
    <row r="16" spans="2:7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34" x14ac:dyDescent="0.25"/>
    <row r="335" x14ac:dyDescent="0.25"/>
    <row r="336" x14ac:dyDescent="0.25"/>
    <row r="337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52" x14ac:dyDescent="0.25"/>
    <row r="353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4" x14ac:dyDescent="0.25"/>
    <row r="375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90" x14ac:dyDescent="0.25"/>
    <row r="391" x14ac:dyDescent="0.25"/>
    <row r="393" x14ac:dyDescent="0.25"/>
    <row r="394" x14ac:dyDescent="0.25"/>
    <row r="395" x14ac:dyDescent="0.25"/>
    <row r="401" x14ac:dyDescent="0.25"/>
    <row r="402" x14ac:dyDescent="0.25"/>
    <row r="403" x14ac:dyDescent="0.25"/>
    <row r="404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51" x14ac:dyDescent="0.25"/>
    <row r="452" x14ac:dyDescent="0.25"/>
    <row r="453" x14ac:dyDescent="0.25"/>
    <row r="454" x14ac:dyDescent="0.25"/>
    <row r="455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91" x14ac:dyDescent="0.25"/>
    <row r="492" x14ac:dyDescent="0.25"/>
    <row r="493" x14ac:dyDescent="0.25"/>
    <row r="494" x14ac:dyDescent="0.25"/>
    <row r="499" x14ac:dyDescent="0.25"/>
    <row r="500" x14ac:dyDescent="0.25"/>
    <row r="501" x14ac:dyDescent="0.25"/>
    <row r="502" x14ac:dyDescent="0.25"/>
    <row r="503" x14ac:dyDescent="0.25"/>
    <row r="509" x14ac:dyDescent="0.25"/>
    <row r="510" x14ac:dyDescent="0.25"/>
    <row r="511" x14ac:dyDescent="0.25"/>
    <row r="512" x14ac:dyDescent="0.25"/>
    <row r="513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35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71" x14ac:dyDescent="0.25"/>
    <row r="572" x14ac:dyDescent="0.25"/>
    <row r="573" x14ac:dyDescent="0.25"/>
    <row r="574" x14ac:dyDescent="0.25"/>
    <row r="579" x14ac:dyDescent="0.25"/>
    <row r="580" x14ac:dyDescent="0.25"/>
    <row r="581" x14ac:dyDescent="0.25"/>
    <row r="582" x14ac:dyDescent="0.25"/>
    <row r="583" x14ac:dyDescent="0.25"/>
    <row r="589" x14ac:dyDescent="0.25"/>
    <row r="590" x14ac:dyDescent="0.25"/>
    <row r="591" x14ac:dyDescent="0.25"/>
    <row r="592" x14ac:dyDescent="0.25"/>
    <row r="596" x14ac:dyDescent="0.25"/>
    <row r="597" x14ac:dyDescent="0.25"/>
    <row r="598" x14ac:dyDescent="0.25"/>
    <row r="599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7" x14ac:dyDescent="0.25"/>
    <row r="618" x14ac:dyDescent="0.25"/>
    <row r="619" x14ac:dyDescent="0.25"/>
    <row r="620" x14ac:dyDescent="0.25"/>
    <row r="627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61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</sheetData>
  <sheetProtection autoFilter="0"/>
  <mergeCells count="7">
    <mergeCell ref="C8:F8"/>
    <mergeCell ref="D6:F7"/>
    <mergeCell ref="B2:F2"/>
    <mergeCell ref="B3:C3"/>
    <mergeCell ref="D3:F3"/>
    <mergeCell ref="E4:F4"/>
    <mergeCell ref="E5:F5"/>
  </mergeCells>
  <phoneticPr fontId="59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  <headerFooter>
    <oddFooter>&amp;C&amp;"Calibri,Normal"&amp;K000000Immatriculation au RCS Bayonne 879 751 477 4721Z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Génére_un_bon">
                <anchor moveWithCells="1" sizeWithCells="1">
                  <from>
                    <xdr:col>7</xdr:col>
                    <xdr:colOff>2362200</xdr:colOff>
                    <xdr:row>3</xdr:row>
                    <xdr:rowOff>57150</xdr:rowOff>
                  </from>
                  <to>
                    <xdr:col>7</xdr:col>
                    <xdr:colOff>4305300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E4206-4954-437A-9B81-F945C6EEFEE8}">
  <sheetPr codeName="Feuil5"/>
  <dimension ref="A1:K670"/>
  <sheetViews>
    <sheetView showGridLines="0" zoomScaleNormal="100" workbookViewId="0">
      <selection activeCell="E5" sqref="E5:F5"/>
    </sheetView>
  </sheetViews>
  <sheetFormatPr baseColWidth="10" defaultColWidth="0" defaultRowHeight="0" customHeight="1" zeroHeight="1" outlineLevelRow="1" x14ac:dyDescent="0.25"/>
  <cols>
    <col min="1" max="1" width="4.28515625" style="87" customWidth="1"/>
    <col min="2" max="2" width="13.7109375" style="47" customWidth="1"/>
    <col min="3" max="3" width="35.7109375" style="89" customWidth="1"/>
    <col min="4" max="4" width="12.85546875" style="89" customWidth="1"/>
    <col min="5" max="5" width="12.85546875" style="87" bestFit="1" customWidth="1"/>
    <col min="6" max="6" width="14.42578125" style="87" customWidth="1"/>
    <col min="7" max="7" width="6.7109375" style="158" customWidth="1"/>
    <col min="8" max="8" width="101.7109375" style="87" customWidth="1"/>
    <col min="9" max="11" width="0" style="87" hidden="1" customWidth="1"/>
    <col min="12" max="16384" width="11.42578125" style="87" hidden="1"/>
  </cols>
  <sheetData>
    <row r="1" spans="2:7" ht="15" thickBot="1" x14ac:dyDescent="0.3"/>
    <row r="2" spans="2:7" ht="45" customHeight="1" x14ac:dyDescent="0.25">
      <c r="B2" s="447" t="s">
        <v>624</v>
      </c>
      <c r="C2" s="448"/>
      <c r="D2" s="448"/>
      <c r="E2" s="448"/>
      <c r="F2" s="449"/>
      <c r="G2" s="192"/>
    </row>
    <row r="3" spans="2:7" ht="75" customHeight="1" x14ac:dyDescent="0.25">
      <c r="B3" s="450" t="s">
        <v>625</v>
      </c>
      <c r="C3" s="451"/>
      <c r="D3" s="452"/>
      <c r="E3" s="453"/>
      <c r="F3" s="454"/>
      <c r="G3" s="192"/>
    </row>
    <row r="4" spans="2:7" ht="30" customHeight="1" outlineLevel="1" x14ac:dyDescent="0.25">
      <c r="B4" s="195" t="s">
        <v>39</v>
      </c>
      <c r="C4" s="100"/>
      <c r="D4" s="180" t="s">
        <v>37</v>
      </c>
      <c r="E4" s="455">
        <f ca="1">TODAY()</f>
        <v>44146</v>
      </c>
      <c r="F4" s="456"/>
      <c r="G4" s="193"/>
    </row>
    <row r="5" spans="2:7" ht="14.25" x14ac:dyDescent="0.2">
      <c r="B5" s="195" t="s">
        <v>40</v>
      </c>
      <c r="C5" s="101"/>
      <c r="D5" s="180" t="s">
        <v>12</v>
      </c>
      <c r="E5" s="457"/>
      <c r="F5" s="458"/>
      <c r="G5" s="193"/>
    </row>
    <row r="6" spans="2:7" ht="14.25" x14ac:dyDescent="0.25">
      <c r="B6" s="195" t="s">
        <v>41</v>
      </c>
      <c r="C6" s="101"/>
      <c r="D6" s="441"/>
      <c r="E6" s="442"/>
      <c r="F6" s="443"/>
      <c r="G6" s="194"/>
    </row>
    <row r="7" spans="2:7" ht="14.25" x14ac:dyDescent="0.25">
      <c r="B7" s="195" t="s">
        <v>42</v>
      </c>
      <c r="C7" s="101"/>
      <c r="D7" s="444"/>
      <c r="E7" s="445"/>
      <c r="F7" s="446"/>
      <c r="G7" s="194"/>
    </row>
    <row r="8" spans="2:7" ht="34.5" customHeight="1" x14ac:dyDescent="0.25">
      <c r="B8" s="196" t="s">
        <v>43</v>
      </c>
      <c r="C8" s="439"/>
      <c r="D8" s="439"/>
      <c r="E8" s="439"/>
      <c r="F8" s="440"/>
      <c r="G8" s="193"/>
    </row>
    <row r="9" spans="2:7" ht="14.25" x14ac:dyDescent="0.25">
      <c r="B9" s="197" t="s">
        <v>5</v>
      </c>
      <c r="C9" s="198" t="s">
        <v>7</v>
      </c>
      <c r="D9" s="198" t="s">
        <v>9</v>
      </c>
      <c r="E9" s="199" t="s">
        <v>683</v>
      </c>
      <c r="F9" s="200" t="s">
        <v>11</v>
      </c>
    </row>
    <row r="10" spans="2:7" ht="14.25" x14ac:dyDescent="0.25">
      <c r="B10" s="201"/>
      <c r="C10" s="202"/>
      <c r="D10" s="202"/>
      <c r="E10" s="203"/>
      <c r="F10" s="204"/>
    </row>
    <row r="11" spans="2:7" ht="14.25" x14ac:dyDescent="0.25">
      <c r="B11" s="206"/>
      <c r="C11" s="207"/>
      <c r="D11" s="207"/>
      <c r="E11" s="208"/>
      <c r="F11" s="209"/>
    </row>
    <row r="12" spans="2:7" ht="15.75" thickBot="1" x14ac:dyDescent="0.3">
      <c r="B12" s="205"/>
      <c r="C12" s="210" t="str">
        <f>_xlfn.SWITCH($C$8,"RESPONSABLE","TOTAL remisé (10%)","TEAM","TOTAL remisé (37%)","TOTAL")</f>
        <v>TOTAL</v>
      </c>
      <c r="D12" s="211"/>
      <c r="E12" s="211"/>
      <c r="F12" s="212">
        <f>_xlfn.SWITCH($C$8,"responsable",SUM(Tableau46[[#All],[PRIX]])*0.9,"team",SUM(Tableau46[[#All],[PRIX]])*0.63,SUM(Tableau46[[#All],[PRIX]]))</f>
        <v>0</v>
      </c>
    </row>
    <row r="13" spans="2:7" ht="14.25" x14ac:dyDescent="0.25"/>
    <row r="14" spans="2:7" ht="14.25" x14ac:dyDescent="0.25"/>
    <row r="15" spans="2:7" ht="14.25" x14ac:dyDescent="0.25"/>
    <row r="16" spans="2:7" ht="14.25" x14ac:dyDescent="0.25"/>
    <row r="17" ht="14.25" x14ac:dyDescent="0.25"/>
    <row r="18" ht="14.25" x14ac:dyDescent="0.25"/>
    <row r="19" ht="14.25" x14ac:dyDescent="0.25"/>
    <row r="20" ht="14.25" x14ac:dyDescent="0.25"/>
    <row r="21" ht="14.25" x14ac:dyDescent="0.25"/>
    <row r="22" ht="14.25" x14ac:dyDescent="0.25"/>
    <row r="23" ht="14.25" x14ac:dyDescent="0.25"/>
    <row r="24" ht="14.25" x14ac:dyDescent="0.25"/>
    <row r="25" ht="14.25" x14ac:dyDescent="0.25"/>
    <row r="26" ht="14.25" x14ac:dyDescent="0.25"/>
    <row r="27" ht="14.25" x14ac:dyDescent="0.25"/>
    <row r="28" ht="14.25" x14ac:dyDescent="0.25"/>
    <row r="29" ht="14.25" x14ac:dyDescent="0.25"/>
    <row r="30" ht="14.25" x14ac:dyDescent="0.25"/>
    <row r="31" ht="14.25" x14ac:dyDescent="0.25"/>
    <row r="32" ht="14.25" x14ac:dyDescent="0.25"/>
    <row r="33" ht="14.25" x14ac:dyDescent="0.25"/>
    <row r="34" ht="14.25" x14ac:dyDescent="0.25"/>
    <row r="35" ht="14.25" x14ac:dyDescent="0.25"/>
    <row r="36" ht="14.25" x14ac:dyDescent="0.25"/>
    <row r="37" ht="14.25" x14ac:dyDescent="0.25"/>
    <row r="38" ht="14.25" x14ac:dyDescent="0.25"/>
    <row r="39" ht="14.25" x14ac:dyDescent="0.25"/>
    <row r="40" ht="14.25" x14ac:dyDescent="0.25"/>
    <row r="41" ht="14.25" x14ac:dyDescent="0.25"/>
    <row r="42" ht="14.25" x14ac:dyDescent="0.25"/>
    <row r="43" ht="14.25" x14ac:dyDescent="0.25"/>
    <row r="44" ht="14.25" x14ac:dyDescent="0.25"/>
    <row r="45" ht="14.25" x14ac:dyDescent="0.25"/>
    <row r="46" ht="14.25" x14ac:dyDescent="0.25"/>
    <row r="47" ht="14.25" x14ac:dyDescent="0.25"/>
    <row r="48" ht="14.25" x14ac:dyDescent="0.25"/>
    <row r="49" ht="14.25" x14ac:dyDescent="0.25"/>
    <row r="50" ht="14.25" x14ac:dyDescent="0.25"/>
    <row r="51" ht="14.25" x14ac:dyDescent="0.25"/>
    <row r="52" ht="14.25" x14ac:dyDescent="0.25"/>
    <row r="53" ht="14.25" x14ac:dyDescent="0.25"/>
    <row r="54" ht="14.25" x14ac:dyDescent="0.25"/>
    <row r="55" ht="14.25" x14ac:dyDescent="0.25"/>
    <row r="56" ht="14.25" x14ac:dyDescent="0.25"/>
    <row r="57" ht="14.25" x14ac:dyDescent="0.25"/>
    <row r="58" ht="14.25" x14ac:dyDescent="0.25"/>
    <row r="59" ht="14.25" x14ac:dyDescent="0.25"/>
    <row r="60" ht="14.25" x14ac:dyDescent="0.25"/>
    <row r="61" ht="14.25" x14ac:dyDescent="0.25"/>
    <row r="62" ht="14.25" x14ac:dyDescent="0.25"/>
    <row r="63" ht="14.25" x14ac:dyDescent="0.25"/>
    <row r="64" ht="14.25" x14ac:dyDescent="0.25"/>
    <row r="65" ht="14.25" x14ac:dyDescent="0.25"/>
    <row r="66" ht="14.25" x14ac:dyDescent="0.25"/>
    <row r="67" ht="14.25" x14ac:dyDescent="0.25"/>
    <row r="68" ht="14.25" x14ac:dyDescent="0.25"/>
    <row r="69" ht="14.25" x14ac:dyDescent="0.25"/>
    <row r="70" ht="14.25" x14ac:dyDescent="0.25"/>
    <row r="71" ht="14.25" x14ac:dyDescent="0.25"/>
    <row r="72" ht="14.25" x14ac:dyDescent="0.25"/>
    <row r="73" ht="14.25" x14ac:dyDescent="0.25"/>
    <row r="74" ht="14.25" x14ac:dyDescent="0.25"/>
    <row r="75" ht="14.25" x14ac:dyDescent="0.25"/>
    <row r="76" ht="14.25" x14ac:dyDescent="0.25"/>
    <row r="77" ht="14.25" x14ac:dyDescent="0.25"/>
    <row r="78" ht="14.25" x14ac:dyDescent="0.25"/>
    <row r="79" ht="14.25" x14ac:dyDescent="0.25"/>
    <row r="80" ht="14.25" x14ac:dyDescent="0.25"/>
    <row r="81" ht="14.25" x14ac:dyDescent="0.25"/>
    <row r="82" ht="14.25" x14ac:dyDescent="0.25"/>
    <row r="83" ht="14.25" x14ac:dyDescent="0.25"/>
    <row r="84" ht="14.25" x14ac:dyDescent="0.25"/>
    <row r="85" ht="14.25" x14ac:dyDescent="0.25"/>
    <row r="86" ht="14.25" x14ac:dyDescent="0.25"/>
    <row r="87" ht="14.25" x14ac:dyDescent="0.25"/>
    <row r="88" ht="14.25" x14ac:dyDescent="0.25"/>
    <row r="89" ht="14.25" x14ac:dyDescent="0.25"/>
    <row r="90" ht="14.25" x14ac:dyDescent="0.25"/>
    <row r="91" ht="14.25" x14ac:dyDescent="0.25"/>
    <row r="92" ht="14.25" x14ac:dyDescent="0.25"/>
    <row r="93" ht="14.25" x14ac:dyDescent="0.25"/>
    <row r="94" ht="14.25" x14ac:dyDescent="0.25"/>
    <row r="95" ht="14.25" x14ac:dyDescent="0.25"/>
    <row r="96" ht="14.25" x14ac:dyDescent="0.25"/>
    <row r="97" ht="14.25" x14ac:dyDescent="0.25"/>
    <row r="98" ht="14.25" x14ac:dyDescent="0.25"/>
    <row r="99" ht="14.25" x14ac:dyDescent="0.25"/>
    <row r="100" ht="14.25" x14ac:dyDescent="0.25"/>
    <row r="101" ht="14.25" x14ac:dyDescent="0.25"/>
    <row r="102" ht="14.25" x14ac:dyDescent="0.25"/>
    <row r="103" ht="14.25" x14ac:dyDescent="0.25"/>
    <row r="104" ht="14.25" x14ac:dyDescent="0.25"/>
    <row r="105" ht="14.25" x14ac:dyDescent="0.25"/>
    <row r="106" ht="14.25" x14ac:dyDescent="0.25"/>
    <row r="107" ht="14.25" x14ac:dyDescent="0.25"/>
    <row r="108" ht="14.25" x14ac:dyDescent="0.25"/>
    <row r="109" ht="14.25" x14ac:dyDescent="0.25"/>
    <row r="110" ht="14.25" x14ac:dyDescent="0.25"/>
    <row r="111" ht="14.25" x14ac:dyDescent="0.25"/>
    <row r="112" ht="14.25" x14ac:dyDescent="0.25"/>
    <row r="113" ht="14.25" x14ac:dyDescent="0.25"/>
    <row r="114" ht="14.25" x14ac:dyDescent="0.25"/>
    <row r="115" ht="14.25" x14ac:dyDescent="0.25"/>
    <row r="116" ht="14.25" x14ac:dyDescent="0.25"/>
    <row r="117" ht="14.25" x14ac:dyDescent="0.25"/>
    <row r="118" ht="14.25" x14ac:dyDescent="0.25"/>
    <row r="119" ht="14.25" x14ac:dyDescent="0.25"/>
    <row r="120" ht="14.25" x14ac:dyDescent="0.25"/>
    <row r="121" ht="14.25" x14ac:dyDescent="0.25"/>
    <row r="122" ht="14.25" x14ac:dyDescent="0.25"/>
    <row r="123" ht="14.25" x14ac:dyDescent="0.25"/>
    <row r="124" ht="14.25" x14ac:dyDescent="0.25"/>
    <row r="125" ht="14.25" x14ac:dyDescent="0.25"/>
    <row r="126" ht="14.25" x14ac:dyDescent="0.25"/>
    <row r="127" ht="14.25" x14ac:dyDescent="0.25"/>
    <row r="128" ht="14.25" x14ac:dyDescent="0.25"/>
    <row r="129" ht="14.25" x14ac:dyDescent="0.25"/>
    <row r="130" ht="14.25" x14ac:dyDescent="0.25"/>
    <row r="131" ht="14.25" x14ac:dyDescent="0.25"/>
    <row r="132" ht="14.25" x14ac:dyDescent="0.25"/>
    <row r="133" ht="14.25" x14ac:dyDescent="0.25"/>
    <row r="134" ht="14.25" x14ac:dyDescent="0.25"/>
    <row r="135" ht="14.25" x14ac:dyDescent="0.25"/>
    <row r="136" ht="14.25" x14ac:dyDescent="0.25"/>
    <row r="137" ht="14.25" x14ac:dyDescent="0.25"/>
    <row r="138" ht="14.25" x14ac:dyDescent="0.25"/>
    <row r="139" ht="14.25" x14ac:dyDescent="0.25"/>
    <row r="140" ht="14.25" x14ac:dyDescent="0.25"/>
    <row r="141" ht="14.25" x14ac:dyDescent="0.25"/>
    <row r="142" ht="14.25" x14ac:dyDescent="0.25"/>
    <row r="143" ht="14.25" x14ac:dyDescent="0.25"/>
    <row r="144" ht="14.25" x14ac:dyDescent="0.25"/>
    <row r="145" ht="14.25" x14ac:dyDescent="0.25"/>
    <row r="146" ht="14.25" x14ac:dyDescent="0.25"/>
    <row r="147" ht="14.25" x14ac:dyDescent="0.25"/>
    <row r="148" ht="14.25" x14ac:dyDescent="0.25"/>
    <row r="149" ht="14.25" x14ac:dyDescent="0.25"/>
    <row r="150" ht="14.25" x14ac:dyDescent="0.25"/>
    <row r="151" ht="14.25" x14ac:dyDescent="0.25"/>
    <row r="152" ht="14.25" x14ac:dyDescent="0.25"/>
    <row r="153" ht="14.25" x14ac:dyDescent="0.25"/>
    <row r="154" ht="14.25" x14ac:dyDescent="0.25"/>
    <row r="155" ht="14.25" x14ac:dyDescent="0.25"/>
    <row r="156" ht="14.25" x14ac:dyDescent="0.25"/>
    <row r="157" ht="14.25" x14ac:dyDescent="0.25"/>
    <row r="158" ht="14.25" x14ac:dyDescent="0.25"/>
    <row r="159" ht="14.25" x14ac:dyDescent="0.25"/>
    <row r="160" ht="14.25" x14ac:dyDescent="0.25"/>
    <row r="161" ht="14.25" x14ac:dyDescent="0.25"/>
    <row r="162" ht="14.25" x14ac:dyDescent="0.25"/>
    <row r="163" ht="14.25" x14ac:dyDescent="0.25"/>
    <row r="164" ht="14.25" x14ac:dyDescent="0.25"/>
    <row r="165" ht="14.25" x14ac:dyDescent="0.25"/>
    <row r="166" ht="14.25" x14ac:dyDescent="0.25"/>
    <row r="167" ht="14.25" x14ac:dyDescent="0.25"/>
    <row r="168" ht="14.25" x14ac:dyDescent="0.25"/>
    <row r="169" ht="14.25" x14ac:dyDescent="0.25"/>
    <row r="170" ht="14.25" x14ac:dyDescent="0.25"/>
    <row r="171" ht="14.25" x14ac:dyDescent="0.25"/>
    <row r="172" ht="14.25" x14ac:dyDescent="0.25"/>
    <row r="173" ht="14.25" x14ac:dyDescent="0.25"/>
    <row r="174" ht="14.25" x14ac:dyDescent="0.25"/>
    <row r="175" ht="14.25" x14ac:dyDescent="0.25"/>
    <row r="176" ht="14.25" x14ac:dyDescent="0.25"/>
    <row r="177" ht="14.25" x14ac:dyDescent="0.25"/>
    <row r="178" ht="14.25" x14ac:dyDescent="0.25"/>
    <row r="179" ht="14.25" x14ac:dyDescent="0.25"/>
    <row r="180" ht="14.25" x14ac:dyDescent="0.25"/>
    <row r="181" ht="14.25" x14ac:dyDescent="0.25"/>
    <row r="182" ht="14.25" x14ac:dyDescent="0.25"/>
    <row r="183" ht="14.25" x14ac:dyDescent="0.25"/>
    <row r="184" ht="14.25" x14ac:dyDescent="0.25"/>
    <row r="185" ht="14.25" x14ac:dyDescent="0.25"/>
    <row r="186" ht="14.25" x14ac:dyDescent="0.25"/>
    <row r="187" ht="14.25" x14ac:dyDescent="0.25"/>
    <row r="188" ht="14.25" x14ac:dyDescent="0.25"/>
    <row r="189" ht="14.25" x14ac:dyDescent="0.25"/>
    <row r="190" ht="14.25" x14ac:dyDescent="0.25"/>
    <row r="191" ht="14.25" x14ac:dyDescent="0.25"/>
    <row r="192" ht="14.25" x14ac:dyDescent="0.25"/>
    <row r="193" ht="14.25" x14ac:dyDescent="0.25"/>
    <row r="194" ht="14.25" x14ac:dyDescent="0.25"/>
    <row r="195" ht="14.25" x14ac:dyDescent="0.25"/>
    <row r="196" ht="14.25" x14ac:dyDescent="0.25"/>
    <row r="197" ht="14.25" x14ac:dyDescent="0.25"/>
    <row r="198" ht="14.25" x14ac:dyDescent="0.25"/>
    <row r="199" ht="14.25" x14ac:dyDescent="0.25"/>
    <row r="200" ht="14.25" x14ac:dyDescent="0.25"/>
    <row r="201" ht="14.25" x14ac:dyDescent="0.25"/>
    <row r="202" ht="14.25" x14ac:dyDescent="0.25"/>
    <row r="203" ht="14.25" x14ac:dyDescent="0.25"/>
    <row r="204" ht="14.25" x14ac:dyDescent="0.25"/>
    <row r="205" ht="14.25" x14ac:dyDescent="0.25"/>
    <row r="206" ht="14.25" x14ac:dyDescent="0.25"/>
    <row r="207" ht="14.25" x14ac:dyDescent="0.25"/>
    <row r="208" ht="14.25" x14ac:dyDescent="0.25"/>
    <row r="209" ht="14.25" x14ac:dyDescent="0.25"/>
    <row r="210" ht="14.25" x14ac:dyDescent="0.25"/>
    <row r="211" ht="14.25" x14ac:dyDescent="0.25"/>
    <row r="212" ht="14.25" x14ac:dyDescent="0.25"/>
    <row r="213" ht="14.25" x14ac:dyDescent="0.25"/>
    <row r="214" ht="14.25" x14ac:dyDescent="0.25"/>
    <row r="215" ht="14.25" x14ac:dyDescent="0.25"/>
    <row r="216" ht="14.25" x14ac:dyDescent="0.25"/>
    <row r="217" ht="14.25" x14ac:dyDescent="0.25"/>
    <row r="218" ht="14.25" x14ac:dyDescent="0.25"/>
    <row r="219" ht="14.25" x14ac:dyDescent="0.25"/>
    <row r="220" ht="14.25" x14ac:dyDescent="0.25"/>
    <row r="221" ht="14.25" x14ac:dyDescent="0.25"/>
    <row r="222" ht="14.25" x14ac:dyDescent="0.25"/>
    <row r="223" ht="14.25" x14ac:dyDescent="0.25"/>
    <row r="224" ht="14.25" x14ac:dyDescent="0.25"/>
    <row r="225" ht="14.25" x14ac:dyDescent="0.25"/>
    <row r="226" ht="14.25" x14ac:dyDescent="0.25"/>
    <row r="227" ht="14.25" x14ac:dyDescent="0.25"/>
    <row r="228" ht="14.25" x14ac:dyDescent="0.25"/>
    <row r="229" ht="14.25" x14ac:dyDescent="0.25"/>
    <row r="230" ht="14.25" x14ac:dyDescent="0.25"/>
    <row r="231" ht="14.25" x14ac:dyDescent="0.25"/>
    <row r="232" ht="14.25" x14ac:dyDescent="0.25"/>
    <row r="233" ht="14.25" x14ac:dyDescent="0.25"/>
    <row r="234" ht="14.25" x14ac:dyDescent="0.25"/>
    <row r="235" ht="14.25" x14ac:dyDescent="0.25"/>
    <row r="236" ht="14.25" x14ac:dyDescent="0.25"/>
    <row r="237" ht="14.25" x14ac:dyDescent="0.25"/>
    <row r="238" ht="14.25" x14ac:dyDescent="0.25"/>
    <row r="239" ht="14.25" x14ac:dyDescent="0.25"/>
    <row r="240" ht="14.25" x14ac:dyDescent="0.25"/>
    <row r="241" ht="14.25" x14ac:dyDescent="0.25"/>
    <row r="242" ht="14.25" x14ac:dyDescent="0.25"/>
    <row r="243" ht="14.25" x14ac:dyDescent="0.25"/>
    <row r="244" ht="14.25" x14ac:dyDescent="0.25"/>
    <row r="245" ht="14.25" x14ac:dyDescent="0.25"/>
    <row r="246" ht="14.25" x14ac:dyDescent="0.25"/>
    <row r="247" ht="14.25" x14ac:dyDescent="0.25"/>
    <row r="248" ht="14.25" x14ac:dyDescent="0.25"/>
    <row r="249" ht="14.25" x14ac:dyDescent="0.25"/>
    <row r="250" ht="14.25" x14ac:dyDescent="0.25"/>
    <row r="251" ht="14.25" x14ac:dyDescent="0.25"/>
    <row r="252" ht="14.25" x14ac:dyDescent="0.25"/>
    <row r="253" ht="14.25" x14ac:dyDescent="0.25"/>
    <row r="254" ht="14.25" x14ac:dyDescent="0.25"/>
    <row r="255" ht="14.25" x14ac:dyDescent="0.25"/>
    <row r="256" ht="14.25" x14ac:dyDescent="0.25"/>
    <row r="257" ht="14.25" x14ac:dyDescent="0.25"/>
    <row r="258" ht="14.25" x14ac:dyDescent="0.25"/>
    <row r="259" ht="14.25" x14ac:dyDescent="0.25"/>
    <row r="260" ht="14.25" x14ac:dyDescent="0.25"/>
    <row r="261" ht="14.25" x14ac:dyDescent="0.25"/>
    <row r="262" ht="14.25" x14ac:dyDescent="0.25"/>
    <row r="263" ht="14.25" x14ac:dyDescent="0.25"/>
    <row r="264" ht="14.25" x14ac:dyDescent="0.25"/>
    <row r="265" ht="14.25" x14ac:dyDescent="0.25"/>
    <row r="266" ht="14.25" x14ac:dyDescent="0.25"/>
    <row r="267" ht="14.25" x14ac:dyDescent="0.25"/>
    <row r="268" ht="14.25" x14ac:dyDescent="0.25"/>
    <row r="269" ht="14.25" x14ac:dyDescent="0.25"/>
    <row r="270" ht="14.25" x14ac:dyDescent="0.25"/>
    <row r="271" ht="14.25" x14ac:dyDescent="0.25"/>
    <row r="272" ht="14.25" x14ac:dyDescent="0.25"/>
    <row r="273" ht="14.25" x14ac:dyDescent="0.25"/>
    <row r="274" ht="14.25" x14ac:dyDescent="0.25"/>
    <row r="275" ht="14.25" x14ac:dyDescent="0.25"/>
    <row r="276" ht="14.25" x14ac:dyDescent="0.25"/>
    <row r="277" ht="14.25" x14ac:dyDescent="0.25"/>
    <row r="278" ht="14.25" x14ac:dyDescent="0.25"/>
    <row r="279" ht="14.25" x14ac:dyDescent="0.25"/>
    <row r="280" ht="14.25" x14ac:dyDescent="0.25"/>
    <row r="281" ht="14.25" x14ac:dyDescent="0.25"/>
    <row r="282" ht="14.25" x14ac:dyDescent="0.25"/>
    <row r="283" ht="14.25" x14ac:dyDescent="0.25"/>
    <row r="284" ht="14.25" x14ac:dyDescent="0.25"/>
    <row r="285" ht="14.25" x14ac:dyDescent="0.25"/>
    <row r="286" ht="14.25" x14ac:dyDescent="0.25"/>
    <row r="287" ht="14.25" x14ac:dyDescent="0.25"/>
    <row r="288" ht="14.25" x14ac:dyDescent="0.25"/>
    <row r="289" ht="14.25" x14ac:dyDescent="0.25"/>
    <row r="290" ht="14.25" x14ac:dyDescent="0.25"/>
    <row r="291" ht="14.25" x14ac:dyDescent="0.25"/>
    <row r="292" ht="14.25" x14ac:dyDescent="0.25"/>
    <row r="293" ht="14.25" x14ac:dyDescent="0.25"/>
    <row r="294" ht="14.25" x14ac:dyDescent="0.25"/>
    <row r="295" ht="14.25" x14ac:dyDescent="0.25"/>
    <row r="296" ht="14.25" x14ac:dyDescent="0.25"/>
    <row r="297" ht="14.25" x14ac:dyDescent="0.25"/>
    <row r="298" ht="14.25" x14ac:dyDescent="0.25"/>
    <row r="299" ht="14.25" x14ac:dyDescent="0.25"/>
    <row r="300" ht="14.25" x14ac:dyDescent="0.25"/>
    <row r="301" ht="14.25" x14ac:dyDescent="0.25"/>
    <row r="302" ht="14.25" x14ac:dyDescent="0.25"/>
    <row r="303" ht="14.25" x14ac:dyDescent="0.25"/>
    <row r="304" ht="14.25" x14ac:dyDescent="0.25"/>
    <row r="305" ht="14.25" x14ac:dyDescent="0.25"/>
    <row r="306" ht="14.25" x14ac:dyDescent="0.25"/>
    <row r="307" ht="14.25" x14ac:dyDescent="0.25"/>
    <row r="308" ht="14.25" x14ac:dyDescent="0.25"/>
    <row r="309" ht="14.25" x14ac:dyDescent="0.25"/>
    <row r="310" ht="14.25" x14ac:dyDescent="0.25"/>
    <row r="311" ht="14.25" x14ac:dyDescent="0.25"/>
    <row r="312" ht="14.25" x14ac:dyDescent="0.25"/>
    <row r="313" ht="14.25" x14ac:dyDescent="0.25"/>
    <row r="314" ht="14.25" x14ac:dyDescent="0.25"/>
    <row r="315" ht="14.25" x14ac:dyDescent="0.25"/>
    <row r="316" ht="14.25" x14ac:dyDescent="0.25"/>
    <row r="317" ht="14.25" x14ac:dyDescent="0.25"/>
    <row r="318" ht="14.25" x14ac:dyDescent="0.25"/>
    <row r="319" ht="14.25" x14ac:dyDescent="0.25"/>
    <row r="320" ht="14.25" x14ac:dyDescent="0.25"/>
    <row r="321" ht="14.25" x14ac:dyDescent="0.25"/>
    <row r="322" ht="14.25" x14ac:dyDescent="0.25"/>
    <row r="323" ht="14.25" x14ac:dyDescent="0.25"/>
    <row r="324" ht="14.25" hidden="1" customHeight="1" x14ac:dyDescent="0.25"/>
    <row r="331" ht="14.25" x14ac:dyDescent="0.25"/>
    <row r="332" ht="14.25" x14ac:dyDescent="0.25"/>
    <row r="333" ht="14.25" x14ac:dyDescent="0.25"/>
    <row r="334" ht="14.25" x14ac:dyDescent="0.25"/>
    <row r="335" ht="14.25" x14ac:dyDescent="0.25"/>
    <row r="336" ht="14.25" x14ac:dyDescent="0.25"/>
    <row r="337" ht="14.25" hidden="1" customHeight="1" x14ac:dyDescent="0.25"/>
    <row r="342" ht="14.25" x14ac:dyDescent="0.25"/>
    <row r="343" ht="14.25" x14ac:dyDescent="0.25"/>
    <row r="344" ht="14.25" x14ac:dyDescent="0.25"/>
    <row r="345" ht="14.25" x14ac:dyDescent="0.25"/>
    <row r="346" ht="14.25" hidden="1" customHeight="1" x14ac:dyDescent="0.25"/>
    <row r="347" ht="14.25" x14ac:dyDescent="0.25"/>
    <row r="348" ht="14.25" x14ac:dyDescent="0.25"/>
    <row r="349" ht="14.25" x14ac:dyDescent="0.25"/>
    <row r="350" ht="14.25" x14ac:dyDescent="0.25"/>
    <row r="351" ht="14.25" x14ac:dyDescent="0.25"/>
    <row r="352" ht="14.25" x14ac:dyDescent="0.25"/>
    <row r="353" ht="14.25" x14ac:dyDescent="0.25"/>
    <row r="354" ht="14.25" x14ac:dyDescent="0.25"/>
    <row r="355" ht="14.25" x14ac:dyDescent="0.25"/>
    <row r="356" ht="14.25" x14ac:dyDescent="0.25"/>
    <row r="357" ht="14.25" hidden="1" customHeight="1" x14ac:dyDescent="0.25"/>
    <row r="360" ht="14.25" x14ac:dyDescent="0.25"/>
    <row r="361" ht="14.25" x14ac:dyDescent="0.25"/>
    <row r="362" ht="14.25" hidden="1" customHeight="1" x14ac:dyDescent="0.25"/>
    <row r="371" ht="14.25" x14ac:dyDescent="0.25"/>
    <row r="372" ht="14.25" x14ac:dyDescent="0.25"/>
    <row r="373" ht="14.25" x14ac:dyDescent="0.25"/>
    <row r="374" ht="14.25" x14ac:dyDescent="0.25"/>
    <row r="375" ht="14.25" x14ac:dyDescent="0.25"/>
    <row r="376" ht="14.25" x14ac:dyDescent="0.25"/>
    <row r="377" ht="14.25" x14ac:dyDescent="0.25"/>
    <row r="378" ht="14.25" x14ac:dyDescent="0.25"/>
    <row r="379" ht="14.25" hidden="1" customHeight="1" x14ac:dyDescent="0.25"/>
    <row r="382" ht="14.25" x14ac:dyDescent="0.25"/>
    <row r="383" ht="14.25" x14ac:dyDescent="0.25"/>
    <row r="384" ht="14.25" hidden="1" customHeight="1" x14ac:dyDescent="0.25"/>
    <row r="391" ht="14.25" x14ac:dyDescent="0.25"/>
    <row r="392" ht="14.25" x14ac:dyDescent="0.25"/>
    <row r="393" ht="14.25" x14ac:dyDescent="0.25"/>
    <row r="394" ht="14.25" x14ac:dyDescent="0.25"/>
    <row r="395" ht="14.25" x14ac:dyDescent="0.25"/>
    <row r="396" ht="14.25" x14ac:dyDescent="0.25"/>
    <row r="397" ht="14.25" hidden="1" customHeight="1" x14ac:dyDescent="0.25"/>
    <row r="398" ht="14.25" x14ac:dyDescent="0.25"/>
    <row r="399" ht="14.25" x14ac:dyDescent="0.25"/>
    <row r="400" ht="14.25" hidden="1" customHeight="1" x14ac:dyDescent="0.25"/>
    <row r="401" ht="14.25" x14ac:dyDescent="0.25"/>
    <row r="402" ht="14.25" x14ac:dyDescent="0.25"/>
    <row r="403" ht="14.25" x14ac:dyDescent="0.25"/>
    <row r="404" ht="14.25" hidden="1" customHeight="1" x14ac:dyDescent="0.25"/>
    <row r="409" ht="14.25" x14ac:dyDescent="0.25"/>
    <row r="410" ht="14.25" x14ac:dyDescent="0.25"/>
    <row r="411" ht="14.25" x14ac:dyDescent="0.25"/>
    <row r="412" ht="14.25" x14ac:dyDescent="0.25"/>
    <row r="413" ht="14.25" hidden="1" customHeight="1" x14ac:dyDescent="0.25"/>
    <row r="418" ht="14.25" x14ac:dyDescent="0.25"/>
    <row r="419" ht="14.25" x14ac:dyDescent="0.25"/>
    <row r="420" ht="14.25" x14ac:dyDescent="0.25"/>
    <row r="421" ht="14.25" x14ac:dyDescent="0.25"/>
    <row r="422" ht="14.25" x14ac:dyDescent="0.25"/>
    <row r="423" ht="14.25" x14ac:dyDescent="0.25"/>
    <row r="424" ht="14.25" x14ac:dyDescent="0.25"/>
    <row r="425" ht="14.25" x14ac:dyDescent="0.25"/>
    <row r="426" ht="14.25" x14ac:dyDescent="0.25"/>
    <row r="427" ht="14.25" x14ac:dyDescent="0.25"/>
    <row r="428" ht="14.25" x14ac:dyDescent="0.25"/>
    <row r="429" ht="14.25" x14ac:dyDescent="0.25"/>
    <row r="430" ht="14.25" x14ac:dyDescent="0.25"/>
    <row r="431" ht="14.25" x14ac:dyDescent="0.25"/>
    <row r="432" ht="14.25" x14ac:dyDescent="0.25"/>
    <row r="433" ht="14.25" x14ac:dyDescent="0.25"/>
    <row r="434" ht="14.25" x14ac:dyDescent="0.25"/>
    <row r="435" ht="14.25" x14ac:dyDescent="0.25"/>
    <row r="436" ht="14.25" x14ac:dyDescent="0.25"/>
    <row r="437" ht="14.25" x14ac:dyDescent="0.25"/>
    <row r="438" ht="14.25" x14ac:dyDescent="0.25"/>
    <row r="439" ht="14.25" x14ac:dyDescent="0.25"/>
    <row r="440" ht="14.25" x14ac:dyDescent="0.25"/>
    <row r="441" ht="14.25" x14ac:dyDescent="0.25"/>
    <row r="442" ht="14.25" x14ac:dyDescent="0.25"/>
    <row r="443" ht="14.25" x14ac:dyDescent="0.25"/>
    <row r="444" ht="14.25" x14ac:dyDescent="0.25"/>
    <row r="445" ht="14.25" x14ac:dyDescent="0.25"/>
    <row r="446" ht="14.25" x14ac:dyDescent="0.25"/>
    <row r="447" ht="14.25" x14ac:dyDescent="0.25"/>
    <row r="448" ht="14.25" x14ac:dyDescent="0.25"/>
    <row r="449" ht="14.25" x14ac:dyDescent="0.25"/>
    <row r="450" ht="14.25" x14ac:dyDescent="0.25"/>
    <row r="451" ht="14.25" x14ac:dyDescent="0.25"/>
    <row r="452" ht="14.25" x14ac:dyDescent="0.25"/>
    <row r="453" ht="14.25" x14ac:dyDescent="0.25"/>
    <row r="454" ht="14.25" hidden="1" customHeight="1" x14ac:dyDescent="0.25"/>
    <row r="459" ht="14.25" x14ac:dyDescent="0.25"/>
    <row r="460" ht="14.25" x14ac:dyDescent="0.25"/>
    <row r="461" ht="14.25" x14ac:dyDescent="0.25"/>
    <row r="462" ht="14.25" x14ac:dyDescent="0.25"/>
    <row r="463" ht="14.25" x14ac:dyDescent="0.25"/>
    <row r="464" ht="14.25" hidden="1" customHeight="1" x14ac:dyDescent="0.25"/>
    <row r="465" ht="14.25" x14ac:dyDescent="0.25"/>
    <row r="466" ht="14.25" x14ac:dyDescent="0.25"/>
    <row r="467" ht="14.25" x14ac:dyDescent="0.25"/>
    <row r="468" ht="14.25" x14ac:dyDescent="0.25"/>
    <row r="469" ht="14.25" x14ac:dyDescent="0.25"/>
    <row r="470" ht="14.25" x14ac:dyDescent="0.25"/>
    <row r="471" ht="14.25" x14ac:dyDescent="0.25"/>
    <row r="472" ht="14.25" x14ac:dyDescent="0.25"/>
    <row r="473" ht="14.25" x14ac:dyDescent="0.25"/>
    <row r="474" ht="14.25" x14ac:dyDescent="0.25"/>
    <row r="475" ht="14.25" hidden="1" customHeight="1" x14ac:dyDescent="0.25"/>
    <row r="485" ht="14.25" x14ac:dyDescent="0.25"/>
    <row r="486" ht="14.25" x14ac:dyDescent="0.25"/>
    <row r="487" ht="14.25" x14ac:dyDescent="0.25"/>
    <row r="488" ht="14.25" x14ac:dyDescent="0.25"/>
    <row r="489" ht="14.25" x14ac:dyDescent="0.25"/>
    <row r="490" ht="14.25" x14ac:dyDescent="0.25"/>
    <row r="491" ht="14.25" x14ac:dyDescent="0.25"/>
    <row r="492" ht="14.25" x14ac:dyDescent="0.25"/>
    <row r="493" ht="14.25" x14ac:dyDescent="0.25"/>
    <row r="494" ht="14.25" hidden="1" customHeight="1" x14ac:dyDescent="0.25"/>
    <row r="499" ht="14.25" x14ac:dyDescent="0.25"/>
    <row r="500" ht="14.25" x14ac:dyDescent="0.25"/>
    <row r="501" ht="14.25" x14ac:dyDescent="0.25"/>
    <row r="502" ht="14.25" x14ac:dyDescent="0.25"/>
    <row r="503" ht="14.25" hidden="1" customHeight="1" x14ac:dyDescent="0.25"/>
    <row r="507" ht="14.25" x14ac:dyDescent="0.25"/>
    <row r="508" ht="14.25" x14ac:dyDescent="0.25"/>
    <row r="509" ht="14.25" x14ac:dyDescent="0.25"/>
    <row r="510" ht="14.25" x14ac:dyDescent="0.25"/>
    <row r="511" ht="14.25" x14ac:dyDescent="0.25"/>
    <row r="512" ht="14.25" hidden="1" customHeight="1" x14ac:dyDescent="0.25"/>
    <row r="517" ht="14.25" x14ac:dyDescent="0.25"/>
    <row r="518" ht="14.25" x14ac:dyDescent="0.25"/>
    <row r="519" ht="14.25" x14ac:dyDescent="0.25"/>
    <row r="520" ht="14.25" x14ac:dyDescent="0.25"/>
    <row r="521" ht="14.25" x14ac:dyDescent="0.25"/>
    <row r="522" ht="14.25" hidden="1" customHeight="1" x14ac:dyDescent="0.25"/>
    <row r="524" ht="14.25" x14ac:dyDescent="0.25"/>
    <row r="525" ht="14.25" x14ac:dyDescent="0.25"/>
    <row r="526" ht="14.25" x14ac:dyDescent="0.25"/>
    <row r="527" ht="14.25" x14ac:dyDescent="0.25"/>
    <row r="528" ht="14.25" x14ac:dyDescent="0.25"/>
    <row r="529" ht="14.25" x14ac:dyDescent="0.25"/>
    <row r="530" ht="14.25" x14ac:dyDescent="0.25"/>
    <row r="531" ht="14.25" x14ac:dyDescent="0.25"/>
    <row r="532" ht="14.25" x14ac:dyDescent="0.25"/>
    <row r="533" ht="14.25" x14ac:dyDescent="0.25"/>
    <row r="534" ht="14.25" x14ac:dyDescent="0.25"/>
    <row r="535" ht="14.25" x14ac:dyDescent="0.25"/>
    <row r="536" ht="14.25" hidden="1" customHeight="1" x14ac:dyDescent="0.25"/>
    <row r="543" ht="14.25" x14ac:dyDescent="0.25"/>
    <row r="544" ht="14.25" hidden="1" customHeight="1" x14ac:dyDescent="0.25"/>
    <row r="546" ht="14.25" x14ac:dyDescent="0.25"/>
    <row r="547" ht="14.25" x14ac:dyDescent="0.25"/>
    <row r="548" ht="14.25" x14ac:dyDescent="0.25"/>
    <row r="549" ht="14.25" x14ac:dyDescent="0.25"/>
    <row r="550" ht="14.25" x14ac:dyDescent="0.25"/>
    <row r="551" ht="14.25" x14ac:dyDescent="0.25"/>
    <row r="552" ht="14.25" x14ac:dyDescent="0.25"/>
    <row r="553" ht="14.25" x14ac:dyDescent="0.25"/>
    <row r="554" ht="14.25" x14ac:dyDescent="0.25"/>
    <row r="555" ht="14.25" hidden="1" customHeight="1" x14ac:dyDescent="0.25"/>
    <row r="565" ht="14.25" x14ac:dyDescent="0.25"/>
    <row r="566" ht="14.25" x14ac:dyDescent="0.25"/>
    <row r="567" ht="14.25" x14ac:dyDescent="0.25"/>
    <row r="568" ht="14.25" x14ac:dyDescent="0.25"/>
    <row r="569" ht="14.25" x14ac:dyDescent="0.25"/>
    <row r="570" ht="14.25" x14ac:dyDescent="0.25"/>
    <row r="571" ht="14.25" x14ac:dyDescent="0.25"/>
    <row r="572" ht="14.25" x14ac:dyDescent="0.25"/>
    <row r="573" ht="14.25" x14ac:dyDescent="0.25"/>
    <row r="574" ht="14.25" hidden="1" customHeight="1" x14ac:dyDescent="0.25"/>
    <row r="579" ht="14.25" x14ac:dyDescent="0.25"/>
    <row r="580" ht="14.25" x14ac:dyDescent="0.25"/>
    <row r="581" ht="14.25" x14ac:dyDescent="0.25"/>
    <row r="582" ht="14.25" x14ac:dyDescent="0.25"/>
    <row r="583" ht="14.25" hidden="1" customHeight="1" x14ac:dyDescent="0.25"/>
    <row r="587" ht="14.25" x14ac:dyDescent="0.25"/>
    <row r="588" ht="14.25" x14ac:dyDescent="0.25"/>
    <row r="589" ht="14.25" x14ac:dyDescent="0.25"/>
    <row r="590" ht="14.25" x14ac:dyDescent="0.25"/>
    <row r="591" ht="14.25" x14ac:dyDescent="0.25"/>
    <row r="592" ht="14.25" hidden="1" customHeight="1" x14ac:dyDescent="0.25"/>
    <row r="597" ht="14.25" x14ac:dyDescent="0.25"/>
    <row r="598" ht="14.25" x14ac:dyDescent="0.25"/>
    <row r="599" ht="14.25" x14ac:dyDescent="0.25"/>
    <row r="600" ht="14.25" x14ac:dyDescent="0.25"/>
    <row r="601" ht="14.25" hidden="1" customHeight="1" x14ac:dyDescent="0.25"/>
    <row r="604" ht="14.25" x14ac:dyDescent="0.25"/>
    <row r="605" ht="14.25" x14ac:dyDescent="0.25"/>
    <row r="606" ht="14.25" x14ac:dyDescent="0.25"/>
    <row r="607" ht="14.25" x14ac:dyDescent="0.25"/>
    <row r="608" ht="14.25" hidden="1" customHeight="1" x14ac:dyDescent="0.25"/>
    <row r="611" ht="14.25" x14ac:dyDescent="0.25"/>
    <row r="612" ht="14.25" x14ac:dyDescent="0.25"/>
    <row r="613" ht="14.25" x14ac:dyDescent="0.25"/>
    <row r="614" ht="14.25" x14ac:dyDescent="0.25"/>
    <row r="615" ht="14.25" x14ac:dyDescent="0.25"/>
    <row r="616" ht="14.25" x14ac:dyDescent="0.25"/>
    <row r="617" ht="14.25" x14ac:dyDescent="0.25"/>
    <row r="618" ht="14.25" x14ac:dyDescent="0.25"/>
    <row r="619" ht="14.25" x14ac:dyDescent="0.25"/>
    <row r="620" ht="14.25" hidden="1" customHeight="1" x14ac:dyDescent="0.25"/>
    <row r="625" ht="14.25" x14ac:dyDescent="0.25"/>
    <row r="626" ht="14.25" x14ac:dyDescent="0.25"/>
    <row r="627" ht="14.25" x14ac:dyDescent="0.25"/>
    <row r="628" ht="14.25" x14ac:dyDescent="0.25"/>
    <row r="629" ht="14.25" hidden="1" customHeight="1" x14ac:dyDescent="0.25"/>
    <row r="635" ht="14.25" x14ac:dyDescent="0.25"/>
    <row r="636" ht="14.25" hidden="1" customHeight="1" x14ac:dyDescent="0.25"/>
    <row r="644" ht="14.25" x14ac:dyDescent="0.25"/>
    <row r="645" ht="14.25" x14ac:dyDescent="0.25"/>
    <row r="646" ht="14.25" x14ac:dyDescent="0.25"/>
    <row r="647" ht="14.25" x14ac:dyDescent="0.25"/>
    <row r="648" ht="14.25" x14ac:dyDescent="0.25"/>
    <row r="649" ht="14.25" x14ac:dyDescent="0.25"/>
    <row r="650" ht="14.25" x14ac:dyDescent="0.25"/>
    <row r="651" ht="14.25" x14ac:dyDescent="0.25"/>
    <row r="652" ht="14.25" x14ac:dyDescent="0.25"/>
    <row r="653" ht="14.25" x14ac:dyDescent="0.25"/>
    <row r="654" ht="14.25" x14ac:dyDescent="0.25"/>
    <row r="655" ht="14.25" x14ac:dyDescent="0.25"/>
    <row r="656" ht="14.25" x14ac:dyDescent="0.25"/>
    <row r="657" ht="14.25" x14ac:dyDescent="0.25"/>
    <row r="658" ht="14.25" x14ac:dyDescent="0.25"/>
    <row r="659" ht="14.25" x14ac:dyDescent="0.25"/>
    <row r="660" ht="14.25" x14ac:dyDescent="0.25"/>
    <row r="661" ht="14.25" x14ac:dyDescent="0.25"/>
    <row r="662" ht="14.25" x14ac:dyDescent="0.25"/>
    <row r="663" ht="14.25" hidden="1" customHeight="1" x14ac:dyDescent="0.25"/>
    <row r="669" ht="14.25" x14ac:dyDescent="0.25"/>
    <row r="670" ht="14.25" hidden="1" customHeight="1" x14ac:dyDescent="0.25"/>
  </sheetData>
  <sheetProtection autoFilter="0"/>
  <mergeCells count="7">
    <mergeCell ref="C8:F8"/>
    <mergeCell ref="B2:F2"/>
    <mergeCell ref="B3:C3"/>
    <mergeCell ref="D3:F3"/>
    <mergeCell ref="E4:F4"/>
    <mergeCell ref="E5:F5"/>
    <mergeCell ref="D6:F7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  <headerFooter>
    <oddFooter>&amp;C&amp;"Calibri,Normal"&amp;K000000Immatriculation au RCS Bayonne 879 751 477 4721Z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Générer_factures">
                <anchor moveWithCells="1" sizeWithCells="1">
                  <from>
                    <xdr:col>7</xdr:col>
                    <xdr:colOff>1971675</xdr:colOff>
                    <xdr:row>2</xdr:row>
                    <xdr:rowOff>504825</xdr:rowOff>
                  </from>
                  <to>
                    <xdr:col>7</xdr:col>
                    <xdr:colOff>3429000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4C4CD-62BB-4096-9511-F7F59002002B}">
  <sheetPr codeName="Feuil8"/>
  <dimension ref="A1:G257"/>
  <sheetViews>
    <sheetView showGridLines="0" topLeftCell="A244" zoomScaleNormal="100" workbookViewId="0">
      <selection activeCell="D253" sqref="D253:F253"/>
    </sheetView>
  </sheetViews>
  <sheetFormatPr baseColWidth="10" defaultColWidth="11.42578125" defaultRowHeight="14.25" zeroHeight="1" outlineLevelRow="1" outlineLevelCol="1" x14ac:dyDescent="0.25"/>
  <cols>
    <col min="1" max="1" width="7.7109375" style="87" customWidth="1" outlineLevel="1"/>
    <col min="2" max="2" width="13.7109375" style="47" customWidth="1"/>
    <col min="3" max="3" width="35.7109375" style="89" customWidth="1"/>
    <col min="4" max="4" width="9.42578125" style="89" customWidth="1"/>
    <col min="5" max="5" width="12.85546875" style="87" bestFit="1" customWidth="1"/>
    <col min="6" max="6" width="14.42578125" style="87" customWidth="1"/>
    <col min="7" max="7" width="4.140625" style="87" customWidth="1"/>
    <col min="8" max="8" width="11.42578125" style="87" customWidth="1"/>
    <col min="9" max="16384" width="11.42578125" style="87"/>
  </cols>
  <sheetData>
    <row r="1" spans="1:6" ht="45" customHeight="1" x14ac:dyDescent="0.25">
      <c r="A1" s="139"/>
      <c r="B1" s="462" t="s">
        <v>624</v>
      </c>
      <c r="C1" s="462"/>
      <c r="D1" s="462"/>
      <c r="E1" s="462"/>
      <c r="F1" s="462"/>
    </row>
    <row r="2" spans="1:6" ht="75" customHeight="1" x14ac:dyDescent="0.25">
      <c r="A2" s="139"/>
      <c r="B2" s="468" t="s">
        <v>625</v>
      </c>
      <c r="C2" s="451"/>
      <c r="D2" s="469"/>
      <c r="E2" s="470"/>
      <c r="F2" s="471"/>
    </row>
    <row r="3" spans="1:6" ht="30" customHeight="1" outlineLevel="1" x14ac:dyDescent="0.25">
      <c r="A3" s="139"/>
      <c r="B3" s="140" t="s">
        <v>39</v>
      </c>
      <c r="C3" s="100">
        <v>1</v>
      </c>
      <c r="D3" s="180" t="s">
        <v>37</v>
      </c>
      <c r="E3" s="464" t="s">
        <v>38</v>
      </c>
      <c r="F3" s="465"/>
    </row>
    <row r="4" spans="1:6" x14ac:dyDescent="0.25">
      <c r="A4" s="139"/>
      <c r="B4" s="140" t="s">
        <v>40</v>
      </c>
      <c r="C4" s="101" t="e">
        <f xml:space="preserve"> _xlfn.IFS(C3=1,#REF!, C3=2,#REF!, C3=3,#REF!, C3=4,#REF!, C3=5,#REF!, C3=6,#REF!, C3=7,#REF!, C3=8,#REF!, C3=9,#REF!, C3=10,#REF!, C3=11,#REF!, C3=12,#REF!, C3=13,#REF!, C3=14,#REF!, C3=15,#REF!, C3=16,#REF!, C3=17,#REF!, C3=18,#REF!, C3=19,#REF!, C3=20,#REF!)</f>
        <v>#REF!</v>
      </c>
      <c r="D4" s="180" t="s">
        <v>12</v>
      </c>
      <c r="E4" s="464" t="e">
        <f>#REF!</f>
        <v>#REF!</v>
      </c>
      <c r="F4" s="465"/>
    </row>
    <row r="5" spans="1:6" x14ac:dyDescent="0.25">
      <c r="A5" s="139"/>
      <c r="B5" s="140" t="s">
        <v>41</v>
      </c>
      <c r="C5" s="101" t="e">
        <f xml:space="preserve"> _xlfn.IFS(C3=1,#REF!, C3=2,#REF!, C3=3,#REF!, C3=4,#REF!, C3=5,#REF!, C3=6,#REF!, C3=7,#REF!, C3=8,#REF!, C3=9,#REF!, C3=10,#REF!, C3=11,#REF!, C3=12,#REF!, C3=13,#REF!, C3=14,#REF!, C3=15,#REF!, C3=16,#REF!, C3=17,#REF!, C3=18,#REF!, C3=19,#REF!, C21,#REF!)</f>
        <v>#REF!</v>
      </c>
      <c r="D5" s="441"/>
      <c r="E5" s="442"/>
      <c r="F5" s="466"/>
    </row>
    <row r="6" spans="1:6" ht="14.1" customHeight="1" x14ac:dyDescent="0.25">
      <c r="A6" s="139"/>
      <c r="B6" s="140" t="s">
        <v>42</v>
      </c>
      <c r="C6" s="101">
        <f>_xlfn.IFS(C3=1, COMPTA!F3, C3=2, COMPTA!F4, C3=3,COMPTA!F5, C3=4, COMPTA!F6, C3=5, COMPTA!F7, C3=6, COMPTA!F8, C3=7, COMPTA!F9, C3=8, COMPTA!F10, C3=9, COMPTA!F11,C3=10, COMPTA!F12, C3=11, COMPTA!F13, C3=12, COMPTA!F14, C3=13, COMPTA!F15, C3=14, COMPTA!F16, C3=15, COMPTA!F17, C3=11, COMPTA!F13, C3=12, COMPTA!F14, C3=13, COMPTA!F15, C3=14, COMPTA!F16, C3=15, COMPTA!F17, C3=16, COMPTA!F18, C3=17, COMPTA!F19, C3=18, COMPTA!F20, C3=19, COMPTA!F21, C3=20, COMPTA!F22)</f>
        <v>1</v>
      </c>
      <c r="D6" s="444"/>
      <c r="E6" s="445"/>
      <c r="F6" s="467"/>
    </row>
    <row r="7" spans="1:6" ht="34.5" customHeight="1" x14ac:dyDescent="0.25">
      <c r="A7" s="139"/>
      <c r="B7" s="140" t="s">
        <v>43</v>
      </c>
      <c r="C7" s="463"/>
      <c r="D7" s="463"/>
      <c r="E7" s="463"/>
      <c r="F7" s="463"/>
    </row>
    <row r="8" spans="1:6" ht="45" customHeight="1" x14ac:dyDescent="0.25">
      <c r="A8" s="141" t="s">
        <v>15</v>
      </c>
      <c r="B8" s="142" t="s">
        <v>5</v>
      </c>
      <c r="C8" s="142" t="s">
        <v>7</v>
      </c>
      <c r="D8" s="142" t="s">
        <v>44</v>
      </c>
      <c r="E8" s="141" t="s">
        <v>10</v>
      </c>
      <c r="F8" s="141" t="s">
        <v>11</v>
      </c>
    </row>
    <row r="9" spans="1:6" s="88" customFormat="1" ht="30" customHeight="1" x14ac:dyDescent="0.25">
      <c r="A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" s="92" t="e">
        <f>#REF!</f>
        <v>#REF!</v>
      </c>
      <c r="C9" s="143" t="e">
        <f>#REF!</f>
        <v>#REF!</v>
      </c>
      <c r="D9" s="92" t="e">
        <f>#REF!</f>
        <v>#REF!</v>
      </c>
      <c r="E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" spans="1:6" s="88" customFormat="1" ht="30" customHeight="1" x14ac:dyDescent="0.25">
      <c r="A1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" s="92" t="e">
        <f>#REF!</f>
        <v>#REF!</v>
      </c>
      <c r="C10" s="143" t="e">
        <f>#REF!</f>
        <v>#REF!</v>
      </c>
      <c r="D10" s="92" t="e">
        <f>#REF!</f>
        <v>#REF!</v>
      </c>
      <c r="E1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" spans="1:6" s="88" customFormat="1" ht="30" customHeight="1" x14ac:dyDescent="0.25">
      <c r="A1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" s="92" t="e">
        <f>#REF!</f>
        <v>#REF!</v>
      </c>
      <c r="C11" s="143" t="e">
        <f>#REF!</f>
        <v>#REF!</v>
      </c>
      <c r="D11" s="92" t="e">
        <f>#REF!</f>
        <v>#REF!</v>
      </c>
      <c r="E1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" spans="1:6" s="88" customFormat="1" ht="30" customHeight="1" x14ac:dyDescent="0.25">
      <c r="A1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" s="92" t="e">
        <f>#REF!</f>
        <v>#REF!</v>
      </c>
      <c r="C12" s="143" t="e">
        <f>#REF!</f>
        <v>#REF!</v>
      </c>
      <c r="D12" s="92" t="e">
        <f>#REF!</f>
        <v>#REF!</v>
      </c>
      <c r="E1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" spans="1:6" s="88" customFormat="1" ht="30" customHeight="1" x14ac:dyDescent="0.25">
      <c r="A1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" s="92" t="e">
        <f>#REF!</f>
        <v>#REF!</v>
      </c>
      <c r="C13" s="143" t="e">
        <f>#REF!</f>
        <v>#REF!</v>
      </c>
      <c r="D13" s="92" t="e">
        <f>#REF!</f>
        <v>#REF!</v>
      </c>
      <c r="E1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" spans="1:6" s="88" customFormat="1" ht="30" customHeight="1" x14ac:dyDescent="0.25">
      <c r="A1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" s="92" t="e">
        <f>#REF!</f>
        <v>#REF!</v>
      </c>
      <c r="C14" s="143" t="e">
        <f>#REF!</f>
        <v>#REF!</v>
      </c>
      <c r="D14" s="92" t="e">
        <f>#REF!</f>
        <v>#REF!</v>
      </c>
      <c r="E1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" spans="1:6" s="88" customFormat="1" ht="30" customHeight="1" x14ac:dyDescent="0.25">
      <c r="A1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" s="92" t="e">
        <f>#REF!</f>
        <v>#REF!</v>
      </c>
      <c r="C15" s="143" t="e">
        <f>#REF!</f>
        <v>#REF!</v>
      </c>
      <c r="D15" s="92" t="e">
        <f>#REF!</f>
        <v>#REF!</v>
      </c>
      <c r="E1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" spans="1:6" s="88" customFormat="1" ht="30" customHeight="1" x14ac:dyDescent="0.25">
      <c r="A1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" s="92" t="e">
        <f>#REF!</f>
        <v>#REF!</v>
      </c>
      <c r="C16" s="143" t="e">
        <f>#REF!</f>
        <v>#REF!</v>
      </c>
      <c r="D16" s="92" t="e">
        <f>#REF!</f>
        <v>#REF!</v>
      </c>
      <c r="E1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" spans="1:6" s="88" customFormat="1" ht="30" customHeight="1" x14ac:dyDescent="0.25">
      <c r="A1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" s="92" t="e">
        <f>#REF!</f>
        <v>#REF!</v>
      </c>
      <c r="C17" s="143" t="e">
        <f>#REF!</f>
        <v>#REF!</v>
      </c>
      <c r="D17" s="92" t="e">
        <f>#REF!</f>
        <v>#REF!</v>
      </c>
      <c r="E1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" spans="1:6" s="88" customFormat="1" ht="30" customHeight="1" x14ac:dyDescent="0.25">
      <c r="A1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" s="92" t="e">
        <f>#REF!</f>
        <v>#REF!</v>
      </c>
      <c r="C18" s="143" t="e">
        <f>#REF!</f>
        <v>#REF!</v>
      </c>
      <c r="D18" s="92" t="e">
        <f>#REF!</f>
        <v>#REF!</v>
      </c>
      <c r="E1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" spans="1:6" s="88" customFormat="1" ht="30" customHeight="1" x14ac:dyDescent="0.25">
      <c r="A1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" s="92" t="e">
        <f>#REF!</f>
        <v>#REF!</v>
      </c>
      <c r="C19" s="143" t="e">
        <f>#REF!</f>
        <v>#REF!</v>
      </c>
      <c r="D19" s="92" t="e">
        <f>#REF!</f>
        <v>#REF!</v>
      </c>
      <c r="E1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" spans="1:6" s="88" customFormat="1" ht="30" customHeight="1" x14ac:dyDescent="0.25">
      <c r="A2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" s="92" t="e">
        <f>#REF!</f>
        <v>#REF!</v>
      </c>
      <c r="C20" s="143" t="e">
        <f>#REF!</f>
        <v>#REF!</v>
      </c>
      <c r="D20" s="92" t="e">
        <f>#REF!</f>
        <v>#REF!</v>
      </c>
      <c r="E2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" spans="1:6" s="88" customFormat="1" ht="30" customHeight="1" x14ac:dyDescent="0.25">
      <c r="A2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" s="92" t="e">
        <f>#REF!</f>
        <v>#REF!</v>
      </c>
      <c r="C21" s="143" t="e">
        <f>#REF!</f>
        <v>#REF!</v>
      </c>
      <c r="D21" s="92" t="e">
        <f>#REF!</f>
        <v>#REF!</v>
      </c>
      <c r="E2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" spans="1:6" s="88" customFormat="1" ht="30" customHeight="1" x14ac:dyDescent="0.25">
      <c r="A2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" s="92" t="e">
        <f>#REF!</f>
        <v>#REF!</v>
      </c>
      <c r="C22" s="143" t="e">
        <f>#REF!</f>
        <v>#REF!</v>
      </c>
      <c r="D22" s="92" t="e">
        <f>#REF!</f>
        <v>#REF!</v>
      </c>
      <c r="E2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" spans="1:6" s="88" customFormat="1" ht="30" customHeight="1" x14ac:dyDescent="0.25">
      <c r="A2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" s="92" t="e">
        <f>#REF!</f>
        <v>#REF!</v>
      </c>
      <c r="C23" s="143" t="e">
        <f>#REF!</f>
        <v>#REF!</v>
      </c>
      <c r="D23" s="92" t="e">
        <f>#REF!</f>
        <v>#REF!</v>
      </c>
      <c r="E2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" spans="1:6" s="88" customFormat="1" ht="30" customHeight="1" x14ac:dyDescent="0.25">
      <c r="A2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" s="92" t="e">
        <f>#REF!</f>
        <v>#REF!</v>
      </c>
      <c r="C24" s="143" t="e">
        <f>#REF!</f>
        <v>#REF!</v>
      </c>
      <c r="D24" s="92" t="e">
        <f>#REF!</f>
        <v>#REF!</v>
      </c>
      <c r="E2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" spans="1:6" s="88" customFormat="1" ht="30" customHeight="1" x14ac:dyDescent="0.25">
      <c r="A2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5" s="92" t="e">
        <f>#REF!</f>
        <v>#REF!</v>
      </c>
      <c r="C25" s="143" t="e">
        <f>#REF!</f>
        <v>#REF!</v>
      </c>
      <c r="D25" s="92" t="e">
        <f>#REF!</f>
        <v>#REF!</v>
      </c>
      <c r="E2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6" spans="1:6" s="88" customFormat="1" ht="30" customHeight="1" x14ac:dyDescent="0.25">
      <c r="A2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6" s="92" t="e">
        <f>#REF!</f>
        <v>#REF!</v>
      </c>
      <c r="C26" s="143" t="e">
        <f>#REF!</f>
        <v>#REF!</v>
      </c>
      <c r="D26" s="92" t="e">
        <f>#REF!</f>
        <v>#REF!</v>
      </c>
      <c r="E2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7" spans="1:6" s="88" customFormat="1" ht="30" customHeight="1" x14ac:dyDescent="0.25">
      <c r="A2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7" s="92" t="e">
        <f>#REF!</f>
        <v>#REF!</v>
      </c>
      <c r="C27" s="143" t="e">
        <f>#REF!</f>
        <v>#REF!</v>
      </c>
      <c r="D27" s="92" t="e">
        <f>#REF!</f>
        <v>#REF!</v>
      </c>
      <c r="E2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8" spans="1:6" s="88" customFormat="1" ht="30" customHeight="1" x14ac:dyDescent="0.25">
      <c r="A2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8" s="92" t="e">
        <f>#REF!</f>
        <v>#REF!</v>
      </c>
      <c r="C28" s="143" t="e">
        <f>#REF!</f>
        <v>#REF!</v>
      </c>
      <c r="D28" s="92" t="e">
        <f>#REF!</f>
        <v>#REF!</v>
      </c>
      <c r="E2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9" spans="1:6" s="88" customFormat="1" ht="30" customHeight="1" x14ac:dyDescent="0.25">
      <c r="A2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9" s="92" t="e">
        <f>#REF!</f>
        <v>#REF!</v>
      </c>
      <c r="C29" s="143" t="e">
        <f>#REF!</f>
        <v>#REF!</v>
      </c>
      <c r="D29" s="92" t="e">
        <f>#REF!</f>
        <v>#REF!</v>
      </c>
      <c r="E2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0" spans="1:6" s="88" customFormat="1" ht="30" customHeight="1" x14ac:dyDescent="0.25">
      <c r="A3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0" s="92" t="e">
        <f>#REF!</f>
        <v>#REF!</v>
      </c>
      <c r="C30" s="143" t="e">
        <f>#REF!</f>
        <v>#REF!</v>
      </c>
      <c r="D30" s="92" t="e">
        <f>#REF!</f>
        <v>#REF!</v>
      </c>
      <c r="E3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1" spans="1:6" s="88" customFormat="1" ht="30" customHeight="1" x14ac:dyDescent="0.25">
      <c r="A3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1" s="92" t="e">
        <f>#REF!</f>
        <v>#REF!</v>
      </c>
      <c r="C31" s="143" t="e">
        <f>#REF!</f>
        <v>#REF!</v>
      </c>
      <c r="D31" s="92" t="e">
        <f>#REF!</f>
        <v>#REF!</v>
      </c>
      <c r="E3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2" spans="1:6" s="88" customFormat="1" ht="30" customHeight="1" x14ac:dyDescent="0.25">
      <c r="A3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2" s="92" t="e">
        <f>#REF!</f>
        <v>#REF!</v>
      </c>
      <c r="C32" s="143" t="e">
        <f>#REF!</f>
        <v>#REF!</v>
      </c>
      <c r="D32" s="92" t="e">
        <f>#REF!</f>
        <v>#REF!</v>
      </c>
      <c r="E3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3" spans="1:6" s="88" customFormat="1" ht="30" customHeight="1" x14ac:dyDescent="0.25">
      <c r="A3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3" s="92" t="e">
        <f>#REF!</f>
        <v>#REF!</v>
      </c>
      <c r="C33" s="143" t="e">
        <f>#REF!</f>
        <v>#REF!</v>
      </c>
      <c r="D33" s="92" t="e">
        <f>#REF!</f>
        <v>#REF!</v>
      </c>
      <c r="E3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4" spans="1:6" s="88" customFormat="1" ht="30" customHeight="1" x14ac:dyDescent="0.25">
      <c r="A3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4" s="92" t="e">
        <f>#REF!</f>
        <v>#REF!</v>
      </c>
      <c r="C34" s="143" t="e">
        <f>#REF!</f>
        <v>#REF!</v>
      </c>
      <c r="D34" s="92" t="e">
        <f>#REF!</f>
        <v>#REF!</v>
      </c>
      <c r="E3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5" spans="1:6" s="88" customFormat="1" ht="30" customHeight="1" x14ac:dyDescent="0.25">
      <c r="A3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5" s="92" t="e">
        <f>#REF!</f>
        <v>#REF!</v>
      </c>
      <c r="C35" s="143" t="e">
        <f>#REF!</f>
        <v>#REF!</v>
      </c>
      <c r="D35" s="92" t="e">
        <f>#REF!</f>
        <v>#REF!</v>
      </c>
      <c r="E3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6" spans="1:6" s="88" customFormat="1" ht="30" customHeight="1" x14ac:dyDescent="0.25">
      <c r="A3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6" s="92" t="e">
        <f>#REF!</f>
        <v>#REF!</v>
      </c>
      <c r="C36" s="143" t="e">
        <f>#REF!</f>
        <v>#REF!</v>
      </c>
      <c r="D36" s="92" t="e">
        <f>#REF!</f>
        <v>#REF!</v>
      </c>
      <c r="E3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7" spans="1:6" s="88" customFormat="1" ht="30" customHeight="1" x14ac:dyDescent="0.25">
      <c r="A3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7" s="92" t="e">
        <f>#REF!</f>
        <v>#REF!</v>
      </c>
      <c r="C37" s="143" t="e">
        <f>#REF!</f>
        <v>#REF!</v>
      </c>
      <c r="D37" s="92" t="e">
        <f>#REF!</f>
        <v>#REF!</v>
      </c>
      <c r="E3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8" spans="1:6" s="88" customFormat="1" ht="30" customHeight="1" x14ac:dyDescent="0.25">
      <c r="A3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8" s="92" t="e">
        <f>#REF!</f>
        <v>#REF!</v>
      </c>
      <c r="C38" s="143" t="e">
        <f>#REF!</f>
        <v>#REF!</v>
      </c>
      <c r="D38" s="92" t="e">
        <f>#REF!</f>
        <v>#REF!</v>
      </c>
      <c r="E3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9" spans="1:6" s="88" customFormat="1" ht="30" customHeight="1" x14ac:dyDescent="0.25">
      <c r="A3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9" s="92" t="e">
        <f>#REF!</f>
        <v>#REF!</v>
      </c>
      <c r="C39" s="143" t="e">
        <f>#REF!</f>
        <v>#REF!</v>
      </c>
      <c r="D39" s="92" t="e">
        <f>#REF!</f>
        <v>#REF!</v>
      </c>
      <c r="E3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0" spans="1:6" s="88" customFormat="1" ht="30" customHeight="1" x14ac:dyDescent="0.25">
      <c r="A4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0" s="92" t="e">
        <f>#REF!</f>
        <v>#REF!</v>
      </c>
      <c r="C40" s="143" t="e">
        <f>#REF!</f>
        <v>#REF!</v>
      </c>
      <c r="D40" s="92" t="e">
        <f>#REF!</f>
        <v>#REF!</v>
      </c>
      <c r="E4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1" spans="1:6" s="88" customFormat="1" ht="30" customHeight="1" x14ac:dyDescent="0.25">
      <c r="A4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1" s="92" t="e">
        <f>#REF!</f>
        <v>#REF!</v>
      </c>
      <c r="C41" s="143" t="e">
        <f>#REF!</f>
        <v>#REF!</v>
      </c>
      <c r="D41" s="92" t="e">
        <f>#REF!</f>
        <v>#REF!</v>
      </c>
      <c r="E4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2" spans="1:6" s="88" customFormat="1" ht="30" customHeight="1" x14ac:dyDescent="0.25">
      <c r="A4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2" s="92" t="e">
        <f>#REF!</f>
        <v>#REF!</v>
      </c>
      <c r="C42" s="143" t="e">
        <f>#REF!</f>
        <v>#REF!</v>
      </c>
      <c r="D42" s="92" t="e">
        <f>#REF!</f>
        <v>#REF!</v>
      </c>
      <c r="E4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3" spans="1:6" s="88" customFormat="1" ht="30" customHeight="1" x14ac:dyDescent="0.25">
      <c r="A4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3" s="92" t="e">
        <f>#REF!</f>
        <v>#REF!</v>
      </c>
      <c r="C43" s="143" t="e">
        <f>#REF!</f>
        <v>#REF!</v>
      </c>
      <c r="D43" s="92" t="e">
        <f>#REF!</f>
        <v>#REF!</v>
      </c>
      <c r="E4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4" spans="1:6" s="88" customFormat="1" ht="30" customHeight="1" x14ac:dyDescent="0.25">
      <c r="A4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4" s="92" t="e">
        <f>#REF!</f>
        <v>#REF!</v>
      </c>
      <c r="C44" s="143" t="e">
        <f>#REF!</f>
        <v>#REF!</v>
      </c>
      <c r="D44" s="92" t="e">
        <f>#REF!</f>
        <v>#REF!</v>
      </c>
      <c r="E4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5" spans="1:6" s="88" customFormat="1" ht="30" customHeight="1" x14ac:dyDescent="0.25">
      <c r="A4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5" s="92" t="e">
        <f>#REF!</f>
        <v>#REF!</v>
      </c>
      <c r="C45" s="143" t="e">
        <f>#REF!</f>
        <v>#REF!</v>
      </c>
      <c r="D45" s="92" t="e">
        <f>#REF!</f>
        <v>#REF!</v>
      </c>
      <c r="E4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6" spans="1:6" s="88" customFormat="1" ht="30" customHeight="1" x14ac:dyDescent="0.25">
      <c r="A4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6" s="92" t="e">
        <f>#REF!</f>
        <v>#REF!</v>
      </c>
      <c r="C46" s="143" t="e">
        <f>#REF!</f>
        <v>#REF!</v>
      </c>
      <c r="D46" s="92" t="e">
        <f>#REF!</f>
        <v>#REF!</v>
      </c>
      <c r="E4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7" spans="1:6" s="88" customFormat="1" ht="30" customHeight="1" x14ac:dyDescent="0.25">
      <c r="A4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7" s="92" t="e">
        <f>#REF!</f>
        <v>#REF!</v>
      </c>
      <c r="C47" s="143" t="e">
        <f>#REF!</f>
        <v>#REF!</v>
      </c>
      <c r="D47" s="92" t="e">
        <f>#REF!</f>
        <v>#REF!</v>
      </c>
      <c r="E4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8" spans="1:6" s="88" customFormat="1" ht="30" customHeight="1" x14ac:dyDescent="0.25">
      <c r="A4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8" s="92" t="e">
        <f>#REF!</f>
        <v>#REF!</v>
      </c>
      <c r="C48" s="143" t="e">
        <f>#REF!</f>
        <v>#REF!</v>
      </c>
      <c r="D48" s="92" t="e">
        <f>#REF!</f>
        <v>#REF!</v>
      </c>
      <c r="E4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9" spans="1:6" s="88" customFormat="1" ht="30" customHeight="1" x14ac:dyDescent="0.25">
      <c r="A4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9" s="92" t="e">
        <f>#REF!</f>
        <v>#REF!</v>
      </c>
      <c r="C49" s="143" t="e">
        <f>#REF!</f>
        <v>#REF!</v>
      </c>
      <c r="D49" s="92" t="e">
        <f>#REF!</f>
        <v>#REF!</v>
      </c>
      <c r="E4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0" spans="1:6" s="88" customFormat="1" ht="30" customHeight="1" x14ac:dyDescent="0.25">
      <c r="A5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0" s="92" t="e">
        <f>#REF!</f>
        <v>#REF!</v>
      </c>
      <c r="C50" s="143" t="e">
        <f>#REF!</f>
        <v>#REF!</v>
      </c>
      <c r="D50" s="92" t="e">
        <f>#REF!</f>
        <v>#REF!</v>
      </c>
      <c r="E5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1" spans="1:6" s="88" customFormat="1" ht="30" customHeight="1" x14ac:dyDescent="0.25">
      <c r="A5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1" s="92" t="e">
        <f>#REF!</f>
        <v>#REF!</v>
      </c>
      <c r="C51" s="143" t="e">
        <f>#REF!</f>
        <v>#REF!</v>
      </c>
      <c r="D51" s="92" t="e">
        <f>#REF!</f>
        <v>#REF!</v>
      </c>
      <c r="E5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2" spans="1:6" s="88" customFormat="1" ht="30" customHeight="1" x14ac:dyDescent="0.25">
      <c r="A5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2" s="92" t="e">
        <f>#REF!</f>
        <v>#REF!</v>
      </c>
      <c r="C52" s="143" t="e">
        <f>#REF!</f>
        <v>#REF!</v>
      </c>
      <c r="D52" s="92" t="e">
        <f>#REF!</f>
        <v>#REF!</v>
      </c>
      <c r="E5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3" spans="1:6" s="88" customFormat="1" ht="30" customHeight="1" x14ac:dyDescent="0.25">
      <c r="A5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3" s="92" t="e">
        <f>#REF!</f>
        <v>#REF!</v>
      </c>
      <c r="C53" s="143" t="e">
        <f>#REF!</f>
        <v>#REF!</v>
      </c>
      <c r="D53" s="92" t="e">
        <f>#REF!</f>
        <v>#REF!</v>
      </c>
      <c r="E5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4" spans="1:6" s="88" customFormat="1" ht="30" customHeight="1" x14ac:dyDescent="0.25">
      <c r="A5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4" s="92" t="e">
        <f>#REF!</f>
        <v>#REF!</v>
      </c>
      <c r="C54" s="143" t="e">
        <f>#REF!</f>
        <v>#REF!</v>
      </c>
      <c r="D54" s="92" t="e">
        <f>#REF!</f>
        <v>#REF!</v>
      </c>
      <c r="E5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5" spans="1:6" s="88" customFormat="1" ht="30" customHeight="1" x14ac:dyDescent="0.25">
      <c r="A5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5" s="92" t="e">
        <f>#REF!</f>
        <v>#REF!</v>
      </c>
      <c r="C55" s="143" t="e">
        <f>#REF!</f>
        <v>#REF!</v>
      </c>
      <c r="D55" s="92" t="e">
        <f>#REF!</f>
        <v>#REF!</v>
      </c>
      <c r="E5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6" spans="1:6" s="88" customFormat="1" ht="30" customHeight="1" x14ac:dyDescent="0.25">
      <c r="A5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6" s="92" t="e">
        <f>#REF!</f>
        <v>#REF!</v>
      </c>
      <c r="C56" s="143" t="e">
        <f>#REF!</f>
        <v>#REF!</v>
      </c>
      <c r="D56" s="92" t="e">
        <f>#REF!</f>
        <v>#REF!</v>
      </c>
      <c r="E5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7" spans="1:6" s="88" customFormat="1" ht="30" customHeight="1" x14ac:dyDescent="0.25">
      <c r="A5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7" s="92" t="e">
        <f>#REF!</f>
        <v>#REF!</v>
      </c>
      <c r="C57" s="143" t="e">
        <f>#REF!</f>
        <v>#REF!</v>
      </c>
      <c r="D57" s="92" t="e">
        <f>#REF!</f>
        <v>#REF!</v>
      </c>
      <c r="E5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8" spans="1:6" s="88" customFormat="1" ht="30" customHeight="1" x14ac:dyDescent="0.25">
      <c r="A5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8" s="92" t="e">
        <f>#REF!</f>
        <v>#REF!</v>
      </c>
      <c r="C58" s="143" t="e">
        <f>#REF!</f>
        <v>#REF!</v>
      </c>
      <c r="D58" s="92" t="e">
        <f>#REF!</f>
        <v>#REF!</v>
      </c>
      <c r="E5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9" spans="1:6" s="88" customFormat="1" ht="30" customHeight="1" x14ac:dyDescent="0.25">
      <c r="A5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9" s="92" t="e">
        <f>#REF!</f>
        <v>#REF!</v>
      </c>
      <c r="C59" s="143" t="e">
        <f>#REF!</f>
        <v>#REF!</v>
      </c>
      <c r="D59" s="92" t="e">
        <f>#REF!</f>
        <v>#REF!</v>
      </c>
      <c r="E5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0" spans="1:6" s="88" customFormat="1" ht="30" customHeight="1" x14ac:dyDescent="0.25">
      <c r="A6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0" s="92" t="e">
        <f>#REF!</f>
        <v>#REF!</v>
      </c>
      <c r="C60" s="143" t="e">
        <f>#REF!</f>
        <v>#REF!</v>
      </c>
      <c r="D60" s="92" t="e">
        <f>#REF!</f>
        <v>#REF!</v>
      </c>
      <c r="E6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1" spans="1:6" s="88" customFormat="1" ht="30" customHeight="1" x14ac:dyDescent="0.25">
      <c r="A6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1" s="92" t="e">
        <f>#REF!</f>
        <v>#REF!</v>
      </c>
      <c r="C61" s="143" t="e">
        <f>#REF!</f>
        <v>#REF!</v>
      </c>
      <c r="D61" s="92" t="e">
        <f>#REF!</f>
        <v>#REF!</v>
      </c>
      <c r="E6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2" spans="1:6" s="88" customFormat="1" ht="30" customHeight="1" x14ac:dyDescent="0.25">
      <c r="A6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2" s="92" t="e">
        <f>#REF!</f>
        <v>#REF!</v>
      </c>
      <c r="C62" s="143" t="e">
        <f>#REF!</f>
        <v>#REF!</v>
      </c>
      <c r="D62" s="92" t="e">
        <f>#REF!</f>
        <v>#REF!</v>
      </c>
      <c r="E6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3" spans="1:6" s="88" customFormat="1" ht="30" customHeight="1" x14ac:dyDescent="0.25">
      <c r="A6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3" s="92" t="e">
        <f>#REF!</f>
        <v>#REF!</v>
      </c>
      <c r="C63" s="143" t="e">
        <f>#REF!</f>
        <v>#REF!</v>
      </c>
      <c r="D63" s="92" t="e">
        <f>#REF!</f>
        <v>#REF!</v>
      </c>
      <c r="E6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4" spans="1:6" s="88" customFormat="1" ht="30" customHeight="1" x14ac:dyDescent="0.25">
      <c r="A6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4" s="92" t="e">
        <f>#REF!</f>
        <v>#REF!</v>
      </c>
      <c r="C64" s="143" t="e">
        <f>#REF!</f>
        <v>#REF!</v>
      </c>
      <c r="D64" s="92" t="e">
        <f>#REF!</f>
        <v>#REF!</v>
      </c>
      <c r="E6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5" spans="1:6" s="88" customFormat="1" ht="30" customHeight="1" x14ac:dyDescent="0.25">
      <c r="A6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5" s="92" t="e">
        <f>#REF!</f>
        <v>#REF!</v>
      </c>
      <c r="C65" s="143" t="e">
        <f>#REF!</f>
        <v>#REF!</v>
      </c>
      <c r="D65" s="92" t="e">
        <f>#REF!</f>
        <v>#REF!</v>
      </c>
      <c r="E6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6" spans="1:6" s="88" customFormat="1" ht="30" customHeight="1" x14ac:dyDescent="0.25">
      <c r="A6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6" s="92" t="e">
        <f>#REF!</f>
        <v>#REF!</v>
      </c>
      <c r="C66" s="143" t="e">
        <f>#REF!</f>
        <v>#REF!</v>
      </c>
      <c r="D66" s="92" t="e">
        <f>#REF!</f>
        <v>#REF!</v>
      </c>
      <c r="E6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7" spans="1:6" s="88" customFormat="1" ht="30" customHeight="1" x14ac:dyDescent="0.25">
      <c r="A6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7" s="92" t="e">
        <f>#REF!</f>
        <v>#REF!</v>
      </c>
      <c r="C67" s="143" t="e">
        <f>#REF!</f>
        <v>#REF!</v>
      </c>
      <c r="D67" s="92" t="e">
        <f>#REF!</f>
        <v>#REF!</v>
      </c>
      <c r="E6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8" spans="1:6" s="88" customFormat="1" ht="30" customHeight="1" x14ac:dyDescent="0.25">
      <c r="A6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8" s="92" t="e">
        <f>#REF!</f>
        <v>#REF!</v>
      </c>
      <c r="C68" s="143" t="e">
        <f>#REF!</f>
        <v>#REF!</v>
      </c>
      <c r="D68" s="92" t="e">
        <f>#REF!</f>
        <v>#REF!</v>
      </c>
      <c r="E6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9" spans="1:6" s="88" customFormat="1" ht="30" customHeight="1" x14ac:dyDescent="0.25">
      <c r="A6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9" s="92" t="e">
        <f>#REF!</f>
        <v>#REF!</v>
      </c>
      <c r="C69" s="143" t="e">
        <f>#REF!</f>
        <v>#REF!</v>
      </c>
      <c r="D69" s="92" t="e">
        <f>#REF!</f>
        <v>#REF!</v>
      </c>
      <c r="E6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0" spans="1:6" s="88" customFormat="1" ht="30" customHeight="1" x14ac:dyDescent="0.25">
      <c r="A7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0" s="92" t="e">
        <f>#REF!</f>
        <v>#REF!</v>
      </c>
      <c r="C70" s="143" t="e">
        <f>#REF!</f>
        <v>#REF!</v>
      </c>
      <c r="D70" s="92" t="e">
        <f>#REF!</f>
        <v>#REF!</v>
      </c>
      <c r="E7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1" spans="1:6" s="88" customFormat="1" ht="30" customHeight="1" x14ac:dyDescent="0.25">
      <c r="A7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1" s="92" t="e">
        <f>#REF!</f>
        <v>#REF!</v>
      </c>
      <c r="C71" s="143" t="e">
        <f>#REF!</f>
        <v>#REF!</v>
      </c>
      <c r="D71" s="92" t="e">
        <f>#REF!</f>
        <v>#REF!</v>
      </c>
      <c r="E7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2" spans="1:6" s="88" customFormat="1" ht="30" customHeight="1" x14ac:dyDescent="0.25">
      <c r="A7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2" s="92" t="e">
        <f>#REF!</f>
        <v>#REF!</v>
      </c>
      <c r="C72" s="143" t="e">
        <f>#REF!</f>
        <v>#REF!</v>
      </c>
      <c r="D72" s="92" t="e">
        <f>#REF!</f>
        <v>#REF!</v>
      </c>
      <c r="E7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3" spans="1:6" s="88" customFormat="1" ht="30" customHeight="1" x14ac:dyDescent="0.25">
      <c r="A7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3" s="92" t="e">
        <f>#REF!</f>
        <v>#REF!</v>
      </c>
      <c r="C73" s="143" t="e">
        <f>#REF!</f>
        <v>#REF!</v>
      </c>
      <c r="D73" s="92" t="e">
        <f>#REF!</f>
        <v>#REF!</v>
      </c>
      <c r="E7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4" spans="1:6" s="88" customFormat="1" ht="30" customHeight="1" x14ac:dyDescent="0.25">
      <c r="A7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4" s="92" t="e">
        <f>#REF!</f>
        <v>#REF!</v>
      </c>
      <c r="C74" s="143" t="e">
        <f>#REF!</f>
        <v>#REF!</v>
      </c>
      <c r="D74" s="92" t="e">
        <f>#REF!</f>
        <v>#REF!</v>
      </c>
      <c r="E7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5" spans="1:6" s="88" customFormat="1" ht="30" customHeight="1" x14ac:dyDescent="0.25">
      <c r="A7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5" s="92" t="e">
        <f>#REF!</f>
        <v>#REF!</v>
      </c>
      <c r="C75" s="143" t="e">
        <f>#REF!</f>
        <v>#REF!</v>
      </c>
      <c r="D75" s="92" t="e">
        <f>#REF!</f>
        <v>#REF!</v>
      </c>
      <c r="E7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6" spans="1:6" s="88" customFormat="1" ht="30" customHeight="1" x14ac:dyDescent="0.25">
      <c r="A7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6" s="92" t="e">
        <f>#REF!</f>
        <v>#REF!</v>
      </c>
      <c r="C76" s="143" t="e">
        <f>#REF!</f>
        <v>#REF!</v>
      </c>
      <c r="D76" s="92" t="e">
        <f>#REF!</f>
        <v>#REF!</v>
      </c>
      <c r="E7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7" spans="1:6" s="88" customFormat="1" ht="30" customHeight="1" x14ac:dyDescent="0.25">
      <c r="A7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7" s="92" t="e">
        <f>#REF!</f>
        <v>#REF!</v>
      </c>
      <c r="C77" s="143" t="e">
        <f>#REF!</f>
        <v>#REF!</v>
      </c>
      <c r="D77" s="92" t="e">
        <f>#REF!</f>
        <v>#REF!</v>
      </c>
      <c r="E7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8" spans="1:6" s="88" customFormat="1" ht="30" customHeight="1" x14ac:dyDescent="0.25">
      <c r="A7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8" s="92" t="e">
        <f>#REF!</f>
        <v>#REF!</v>
      </c>
      <c r="C78" s="143" t="e">
        <f>#REF!</f>
        <v>#REF!</v>
      </c>
      <c r="D78" s="92" t="e">
        <f>#REF!</f>
        <v>#REF!</v>
      </c>
      <c r="E7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9" spans="1:6" s="88" customFormat="1" ht="30" customHeight="1" x14ac:dyDescent="0.25">
      <c r="A7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9" s="92" t="e">
        <f>#REF!</f>
        <v>#REF!</v>
      </c>
      <c r="C79" s="143" t="e">
        <f>#REF!</f>
        <v>#REF!</v>
      </c>
      <c r="D79" s="92" t="e">
        <f>#REF!</f>
        <v>#REF!</v>
      </c>
      <c r="E7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0" spans="1:6" s="88" customFormat="1" ht="30" customHeight="1" x14ac:dyDescent="0.25">
      <c r="A8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0" s="92" t="e">
        <f>#REF!</f>
        <v>#REF!</v>
      </c>
      <c r="C80" s="143" t="e">
        <f>#REF!</f>
        <v>#REF!</v>
      </c>
      <c r="D80" s="92" t="e">
        <f>#REF!</f>
        <v>#REF!</v>
      </c>
      <c r="E8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1" spans="1:6" s="88" customFormat="1" ht="30" customHeight="1" x14ac:dyDescent="0.25">
      <c r="A8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1" s="92" t="e">
        <f>#REF!</f>
        <v>#REF!</v>
      </c>
      <c r="C81" s="143" t="e">
        <f>#REF!</f>
        <v>#REF!</v>
      </c>
      <c r="D81" s="92" t="e">
        <f>#REF!</f>
        <v>#REF!</v>
      </c>
      <c r="E8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2" spans="1:6" s="88" customFormat="1" ht="30" customHeight="1" x14ac:dyDescent="0.25">
      <c r="A8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2" s="92" t="e">
        <f>#REF!</f>
        <v>#REF!</v>
      </c>
      <c r="C82" s="143" t="e">
        <f>#REF!</f>
        <v>#REF!</v>
      </c>
      <c r="D82" s="92" t="e">
        <f>#REF!</f>
        <v>#REF!</v>
      </c>
      <c r="E8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3" spans="1:6" s="88" customFormat="1" ht="30" customHeight="1" x14ac:dyDescent="0.25">
      <c r="A8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3" s="92" t="e">
        <f>#REF!</f>
        <v>#REF!</v>
      </c>
      <c r="C83" s="143" t="e">
        <f>#REF!</f>
        <v>#REF!</v>
      </c>
      <c r="D83" s="92" t="e">
        <f>#REF!</f>
        <v>#REF!</v>
      </c>
      <c r="E8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4" spans="1:6" s="88" customFormat="1" ht="30" customHeight="1" x14ac:dyDescent="0.25">
      <c r="A8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4" s="92" t="e">
        <f>#REF!</f>
        <v>#REF!</v>
      </c>
      <c r="C84" s="143" t="e">
        <f>#REF!</f>
        <v>#REF!</v>
      </c>
      <c r="D84" s="92" t="e">
        <f>#REF!</f>
        <v>#REF!</v>
      </c>
      <c r="E8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5" spans="1:6" s="88" customFormat="1" ht="30" customHeight="1" x14ac:dyDescent="0.25">
      <c r="A8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5" s="92" t="e">
        <f>#REF!</f>
        <v>#REF!</v>
      </c>
      <c r="C85" s="143" t="e">
        <f>#REF!</f>
        <v>#REF!</v>
      </c>
      <c r="D85" s="92" t="e">
        <f>#REF!</f>
        <v>#REF!</v>
      </c>
      <c r="E8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6" spans="1:6" s="88" customFormat="1" ht="30" customHeight="1" x14ac:dyDescent="0.25">
      <c r="A8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6" s="92" t="e">
        <f>#REF!</f>
        <v>#REF!</v>
      </c>
      <c r="C86" s="143" t="e">
        <f>#REF!</f>
        <v>#REF!</v>
      </c>
      <c r="D86" s="92" t="e">
        <f>#REF!</f>
        <v>#REF!</v>
      </c>
      <c r="E8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7" spans="1:6" s="88" customFormat="1" ht="30" customHeight="1" x14ac:dyDescent="0.25">
      <c r="A8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7" s="92" t="e">
        <f>#REF!</f>
        <v>#REF!</v>
      </c>
      <c r="C87" s="143" t="e">
        <f>#REF!</f>
        <v>#REF!</v>
      </c>
      <c r="D87" s="92" t="e">
        <f>#REF!</f>
        <v>#REF!</v>
      </c>
      <c r="E8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8" spans="1:6" s="88" customFormat="1" ht="30" customHeight="1" x14ac:dyDescent="0.25">
      <c r="A8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8" s="92" t="e">
        <f>#REF!</f>
        <v>#REF!</v>
      </c>
      <c r="C88" s="143" t="e">
        <f>#REF!</f>
        <v>#REF!</v>
      </c>
      <c r="D88" s="92" t="e">
        <f>#REF!</f>
        <v>#REF!</v>
      </c>
      <c r="E8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9" spans="1:6" s="88" customFormat="1" ht="30" customHeight="1" x14ac:dyDescent="0.25">
      <c r="A8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9" s="92" t="e">
        <f>#REF!</f>
        <v>#REF!</v>
      </c>
      <c r="C89" s="143" t="e">
        <f>#REF!</f>
        <v>#REF!</v>
      </c>
      <c r="D89" s="92" t="e">
        <f>#REF!</f>
        <v>#REF!</v>
      </c>
      <c r="E8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0" spans="1:6" s="88" customFormat="1" ht="30" customHeight="1" x14ac:dyDescent="0.25">
      <c r="A9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0" s="92" t="e">
        <f>#REF!</f>
        <v>#REF!</v>
      </c>
      <c r="C90" s="143" t="e">
        <f>#REF!</f>
        <v>#REF!</v>
      </c>
      <c r="D90" s="92" t="e">
        <f>#REF!</f>
        <v>#REF!</v>
      </c>
      <c r="E9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1" spans="1:6" s="88" customFormat="1" ht="30" customHeight="1" x14ac:dyDescent="0.25">
      <c r="A9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1" s="92" t="e">
        <f>#REF!</f>
        <v>#REF!</v>
      </c>
      <c r="C91" s="143" t="e">
        <f>#REF!</f>
        <v>#REF!</v>
      </c>
      <c r="D91" s="92" t="e">
        <f>#REF!</f>
        <v>#REF!</v>
      </c>
      <c r="E9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2" spans="1:6" s="88" customFormat="1" ht="30" customHeight="1" x14ac:dyDescent="0.25">
      <c r="A9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2" s="92" t="e">
        <f>#REF!</f>
        <v>#REF!</v>
      </c>
      <c r="C92" s="143" t="e">
        <f>#REF!</f>
        <v>#REF!</v>
      </c>
      <c r="D92" s="92" t="e">
        <f>#REF!</f>
        <v>#REF!</v>
      </c>
      <c r="E9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3" spans="1:6" s="88" customFormat="1" ht="30" customHeight="1" x14ac:dyDescent="0.25">
      <c r="A9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3" s="92" t="e">
        <f>#REF!</f>
        <v>#REF!</v>
      </c>
      <c r="C93" s="143" t="e">
        <f>#REF!</f>
        <v>#REF!</v>
      </c>
      <c r="D93" s="92" t="e">
        <f>#REF!</f>
        <v>#REF!</v>
      </c>
      <c r="E9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4" spans="1:6" s="88" customFormat="1" ht="30" customHeight="1" x14ac:dyDescent="0.25">
      <c r="A9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4" s="92" t="e">
        <f>#REF!</f>
        <v>#REF!</v>
      </c>
      <c r="C94" s="143" t="e">
        <f>#REF!</f>
        <v>#REF!</v>
      </c>
      <c r="D94" s="92" t="e">
        <f>#REF!</f>
        <v>#REF!</v>
      </c>
      <c r="E9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5" spans="1:6" s="88" customFormat="1" ht="30" customHeight="1" x14ac:dyDescent="0.25">
      <c r="A9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5" s="92" t="e">
        <f>#REF!</f>
        <v>#REF!</v>
      </c>
      <c r="C95" s="143" t="e">
        <f>#REF!</f>
        <v>#REF!</v>
      </c>
      <c r="D95" s="92" t="e">
        <f>#REF!</f>
        <v>#REF!</v>
      </c>
      <c r="E9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6" spans="1:6" s="88" customFormat="1" ht="30" customHeight="1" x14ac:dyDescent="0.25">
      <c r="A9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6" s="92" t="e">
        <f>#REF!</f>
        <v>#REF!</v>
      </c>
      <c r="C96" s="143" t="e">
        <f>#REF!</f>
        <v>#REF!</v>
      </c>
      <c r="D96" s="92" t="e">
        <f>#REF!</f>
        <v>#REF!</v>
      </c>
      <c r="E9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7" spans="1:6" s="88" customFormat="1" ht="30" customHeight="1" x14ac:dyDescent="0.25">
      <c r="A9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7" s="92" t="e">
        <f>#REF!</f>
        <v>#REF!</v>
      </c>
      <c r="C97" s="143" t="e">
        <f>#REF!</f>
        <v>#REF!</v>
      </c>
      <c r="D97" s="92" t="e">
        <f>#REF!</f>
        <v>#REF!</v>
      </c>
      <c r="E9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8" spans="1:6" s="88" customFormat="1" ht="30" customHeight="1" x14ac:dyDescent="0.25">
      <c r="A9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8" s="92" t="e">
        <f>#REF!</f>
        <v>#REF!</v>
      </c>
      <c r="C98" s="143" t="e">
        <f>#REF!</f>
        <v>#REF!</v>
      </c>
      <c r="D98" s="92" t="e">
        <f>#REF!</f>
        <v>#REF!</v>
      </c>
      <c r="E9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9" spans="1:6" s="88" customFormat="1" ht="30" customHeight="1" x14ac:dyDescent="0.25">
      <c r="A9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9" s="92" t="e">
        <f>#REF!</f>
        <v>#REF!</v>
      </c>
      <c r="C99" s="143" t="e">
        <f>#REF!</f>
        <v>#REF!</v>
      </c>
      <c r="D99" s="92" t="e">
        <f>#REF!</f>
        <v>#REF!</v>
      </c>
      <c r="E9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0" spans="1:6" s="88" customFormat="1" ht="30" customHeight="1" x14ac:dyDescent="0.25">
      <c r="A10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0" s="92" t="e">
        <f>#REF!</f>
        <v>#REF!</v>
      </c>
      <c r="C100" s="143" t="e">
        <f>#REF!</f>
        <v>#REF!</v>
      </c>
      <c r="D100" s="92" t="e">
        <f>#REF!</f>
        <v>#REF!</v>
      </c>
      <c r="E10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1" spans="1:6" s="88" customFormat="1" ht="30" customHeight="1" x14ac:dyDescent="0.25">
      <c r="A10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1" s="92" t="e">
        <f>#REF!</f>
        <v>#REF!</v>
      </c>
      <c r="C101" s="143" t="e">
        <f>#REF!</f>
        <v>#REF!</v>
      </c>
      <c r="D101" s="92" t="e">
        <f>#REF!</f>
        <v>#REF!</v>
      </c>
      <c r="E10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2" spans="1:6" s="88" customFormat="1" ht="30" customHeight="1" x14ac:dyDescent="0.25">
      <c r="A10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2" s="92" t="e">
        <f>#REF!</f>
        <v>#REF!</v>
      </c>
      <c r="C102" s="143" t="e">
        <f>#REF!</f>
        <v>#REF!</v>
      </c>
      <c r="D102" s="92" t="e">
        <f>#REF!</f>
        <v>#REF!</v>
      </c>
      <c r="E10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3" spans="1:6" s="88" customFormat="1" ht="30" customHeight="1" x14ac:dyDescent="0.25">
      <c r="A10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3" s="92" t="e">
        <f>#REF!</f>
        <v>#REF!</v>
      </c>
      <c r="C103" s="143" t="e">
        <f>#REF!</f>
        <v>#REF!</v>
      </c>
      <c r="D103" s="92" t="e">
        <f>#REF!</f>
        <v>#REF!</v>
      </c>
      <c r="E10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4" spans="1:6" s="88" customFormat="1" ht="30" customHeight="1" x14ac:dyDescent="0.25">
      <c r="A10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4" s="92" t="e">
        <f>#REF!</f>
        <v>#REF!</v>
      </c>
      <c r="C104" s="143" t="e">
        <f>#REF!</f>
        <v>#REF!</v>
      </c>
      <c r="D104" s="92" t="e">
        <f>#REF!</f>
        <v>#REF!</v>
      </c>
      <c r="E10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5" spans="1:6" s="88" customFormat="1" ht="30" customHeight="1" x14ac:dyDescent="0.25">
      <c r="A10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5" s="92" t="e">
        <f>#REF!</f>
        <v>#REF!</v>
      </c>
      <c r="C105" s="143" t="e">
        <f>#REF!</f>
        <v>#REF!</v>
      </c>
      <c r="D105" s="92" t="e">
        <f>#REF!</f>
        <v>#REF!</v>
      </c>
      <c r="E10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6" spans="1:6" s="88" customFormat="1" ht="30" customHeight="1" x14ac:dyDescent="0.25">
      <c r="A10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6" s="92" t="e">
        <f>#REF!</f>
        <v>#REF!</v>
      </c>
      <c r="C106" s="143" t="e">
        <f>#REF!</f>
        <v>#REF!</v>
      </c>
      <c r="D106" s="92" t="e">
        <f>#REF!</f>
        <v>#REF!</v>
      </c>
      <c r="E10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7" spans="1:6" s="88" customFormat="1" ht="30" customHeight="1" x14ac:dyDescent="0.25">
      <c r="A10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7" s="92" t="e">
        <f>#REF!</f>
        <v>#REF!</v>
      </c>
      <c r="C107" s="143" t="e">
        <f>#REF!</f>
        <v>#REF!</v>
      </c>
      <c r="D107" s="92" t="e">
        <f>#REF!</f>
        <v>#REF!</v>
      </c>
      <c r="E10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8" spans="1:6" s="88" customFormat="1" ht="30" customHeight="1" x14ac:dyDescent="0.25">
      <c r="A10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8" s="92" t="e">
        <f>#REF!</f>
        <v>#REF!</v>
      </c>
      <c r="C108" s="143" t="e">
        <f>#REF!</f>
        <v>#REF!</v>
      </c>
      <c r="D108" s="92" t="e">
        <f>#REF!</f>
        <v>#REF!</v>
      </c>
      <c r="E10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9" spans="1:6" s="88" customFormat="1" ht="30" customHeight="1" x14ac:dyDescent="0.25">
      <c r="A10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9" s="92" t="e">
        <f>#REF!</f>
        <v>#REF!</v>
      </c>
      <c r="C109" s="143" t="e">
        <f>#REF!</f>
        <v>#REF!</v>
      </c>
      <c r="D109" s="92" t="e">
        <f>#REF!</f>
        <v>#REF!</v>
      </c>
      <c r="E10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0" spans="1:6" s="88" customFormat="1" ht="30" customHeight="1" x14ac:dyDescent="0.25">
      <c r="A11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0" s="92" t="e">
        <f>#REF!</f>
        <v>#REF!</v>
      </c>
      <c r="C110" s="143" t="e">
        <f>#REF!</f>
        <v>#REF!</v>
      </c>
      <c r="D110" s="92" t="e">
        <f>#REF!</f>
        <v>#REF!</v>
      </c>
      <c r="E11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1" spans="1:6" s="88" customFormat="1" ht="30" customHeight="1" x14ac:dyDescent="0.25">
      <c r="A11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1" s="92" t="e">
        <f>#REF!</f>
        <v>#REF!</v>
      </c>
      <c r="C111" s="143" t="e">
        <f>#REF!</f>
        <v>#REF!</v>
      </c>
      <c r="D111" s="92" t="e">
        <f>#REF!</f>
        <v>#REF!</v>
      </c>
      <c r="E11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2" spans="1:6" s="88" customFormat="1" ht="30" customHeight="1" x14ac:dyDescent="0.25">
      <c r="A11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2" s="92" t="e">
        <f>#REF!</f>
        <v>#REF!</v>
      </c>
      <c r="C112" s="143" t="e">
        <f>#REF!</f>
        <v>#REF!</v>
      </c>
      <c r="D112" s="92" t="e">
        <f>#REF!</f>
        <v>#REF!</v>
      </c>
      <c r="E11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3" spans="1:6" s="88" customFormat="1" ht="30" customHeight="1" x14ac:dyDescent="0.25">
      <c r="A11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3" s="92" t="e">
        <f>#REF!</f>
        <v>#REF!</v>
      </c>
      <c r="C113" s="143" t="e">
        <f>#REF!</f>
        <v>#REF!</v>
      </c>
      <c r="D113" s="92" t="e">
        <f>#REF!</f>
        <v>#REF!</v>
      </c>
      <c r="E11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4" spans="1:6" s="88" customFormat="1" ht="30" customHeight="1" x14ac:dyDescent="0.25">
      <c r="A11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4" s="92" t="e">
        <f>#REF!</f>
        <v>#REF!</v>
      </c>
      <c r="C114" s="143" t="e">
        <f>#REF!</f>
        <v>#REF!</v>
      </c>
      <c r="D114" s="92" t="e">
        <f>#REF!</f>
        <v>#REF!</v>
      </c>
      <c r="E11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5" spans="1:6" s="88" customFormat="1" ht="30" customHeight="1" x14ac:dyDescent="0.25">
      <c r="A11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5" s="92" t="e">
        <f>#REF!</f>
        <v>#REF!</v>
      </c>
      <c r="C115" s="143" t="e">
        <f>#REF!</f>
        <v>#REF!</v>
      </c>
      <c r="D115" s="92" t="e">
        <f>#REF!</f>
        <v>#REF!</v>
      </c>
      <c r="E11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6" spans="1:6" s="88" customFormat="1" ht="30" customHeight="1" x14ac:dyDescent="0.25">
      <c r="A11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6" s="92" t="e">
        <f>#REF!</f>
        <v>#REF!</v>
      </c>
      <c r="C116" s="143" t="e">
        <f>#REF!</f>
        <v>#REF!</v>
      </c>
      <c r="D116" s="92" t="e">
        <f>#REF!</f>
        <v>#REF!</v>
      </c>
      <c r="E11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7" spans="1:6" s="88" customFormat="1" ht="30" customHeight="1" x14ac:dyDescent="0.25">
      <c r="A11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7" s="92" t="e">
        <f>#REF!</f>
        <v>#REF!</v>
      </c>
      <c r="C117" s="143" t="e">
        <f>#REF!</f>
        <v>#REF!</v>
      </c>
      <c r="D117" s="92" t="e">
        <f>#REF!</f>
        <v>#REF!</v>
      </c>
      <c r="E11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8" spans="1:6" s="88" customFormat="1" ht="30" customHeight="1" x14ac:dyDescent="0.25">
      <c r="A11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8" s="92" t="e">
        <f>#REF!</f>
        <v>#REF!</v>
      </c>
      <c r="C118" s="143" t="e">
        <f>#REF!</f>
        <v>#REF!</v>
      </c>
      <c r="D118" s="92" t="e">
        <f>#REF!</f>
        <v>#REF!</v>
      </c>
      <c r="E11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9" spans="1:6" s="88" customFormat="1" ht="30" customHeight="1" x14ac:dyDescent="0.25">
      <c r="A11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9" s="92" t="e">
        <f>#REF!</f>
        <v>#REF!</v>
      </c>
      <c r="C119" s="143" t="e">
        <f>#REF!</f>
        <v>#REF!</v>
      </c>
      <c r="D119" s="92" t="e">
        <f>#REF!</f>
        <v>#REF!</v>
      </c>
      <c r="E11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0" spans="1:6" s="88" customFormat="1" ht="30" customHeight="1" x14ac:dyDescent="0.25">
      <c r="A12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0" s="92" t="e">
        <f>#REF!</f>
        <v>#REF!</v>
      </c>
      <c r="C120" s="143" t="e">
        <f>#REF!</f>
        <v>#REF!</v>
      </c>
      <c r="D120" s="92" t="e">
        <f>#REF!</f>
        <v>#REF!</v>
      </c>
      <c r="E12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1" spans="1:6" s="88" customFormat="1" ht="30" customHeight="1" x14ac:dyDescent="0.25">
      <c r="A12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1" s="92" t="e">
        <f>#REF!</f>
        <v>#REF!</v>
      </c>
      <c r="C121" s="143" t="e">
        <f>#REF!</f>
        <v>#REF!</v>
      </c>
      <c r="D121" s="92" t="e">
        <f>#REF!</f>
        <v>#REF!</v>
      </c>
      <c r="E12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2" spans="1:6" s="88" customFormat="1" ht="30" customHeight="1" x14ac:dyDescent="0.25">
      <c r="A12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2" s="92" t="e">
        <f>#REF!</f>
        <v>#REF!</v>
      </c>
      <c r="C122" s="143" t="e">
        <f>#REF!</f>
        <v>#REF!</v>
      </c>
      <c r="D122" s="92" t="e">
        <f>#REF!</f>
        <v>#REF!</v>
      </c>
      <c r="E12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3" spans="1:6" s="88" customFormat="1" ht="30" customHeight="1" x14ac:dyDescent="0.25">
      <c r="A12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3" s="92" t="e">
        <f>#REF!</f>
        <v>#REF!</v>
      </c>
      <c r="C123" s="143" t="e">
        <f>#REF!</f>
        <v>#REF!</v>
      </c>
      <c r="D123" s="92" t="e">
        <f>#REF!</f>
        <v>#REF!</v>
      </c>
      <c r="E12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4" spans="1:6" s="88" customFormat="1" ht="30" customHeight="1" x14ac:dyDescent="0.25">
      <c r="A12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4" s="92" t="e">
        <f>#REF!</f>
        <v>#REF!</v>
      </c>
      <c r="C124" s="143" t="e">
        <f>#REF!</f>
        <v>#REF!</v>
      </c>
      <c r="D124" s="92" t="e">
        <f>#REF!</f>
        <v>#REF!</v>
      </c>
      <c r="E12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5" spans="1:6" s="88" customFormat="1" ht="30" customHeight="1" x14ac:dyDescent="0.25">
      <c r="A12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5" s="92" t="e">
        <f>#REF!</f>
        <v>#REF!</v>
      </c>
      <c r="C125" s="143" t="e">
        <f>#REF!</f>
        <v>#REF!</v>
      </c>
      <c r="D125" s="92" t="e">
        <f>#REF!</f>
        <v>#REF!</v>
      </c>
      <c r="E12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6" spans="1:6" s="88" customFormat="1" ht="30" customHeight="1" x14ac:dyDescent="0.25">
      <c r="A12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6" s="92" t="e">
        <f>#REF!</f>
        <v>#REF!</v>
      </c>
      <c r="C126" s="143" t="e">
        <f>#REF!</f>
        <v>#REF!</v>
      </c>
      <c r="D126" s="92" t="e">
        <f>#REF!</f>
        <v>#REF!</v>
      </c>
      <c r="E12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7" spans="1:6" s="88" customFormat="1" ht="30" customHeight="1" x14ac:dyDescent="0.25">
      <c r="A12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7" s="92" t="e">
        <f>#REF!</f>
        <v>#REF!</v>
      </c>
      <c r="C127" s="143" t="e">
        <f>#REF!</f>
        <v>#REF!</v>
      </c>
      <c r="D127" s="92" t="e">
        <f>#REF!</f>
        <v>#REF!</v>
      </c>
      <c r="E12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8" spans="1:6" s="88" customFormat="1" ht="30" customHeight="1" x14ac:dyDescent="0.25">
      <c r="A12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8" s="92" t="e">
        <f>#REF!</f>
        <v>#REF!</v>
      </c>
      <c r="C128" s="143" t="e">
        <f>#REF!</f>
        <v>#REF!</v>
      </c>
      <c r="D128" s="92" t="e">
        <f>#REF!</f>
        <v>#REF!</v>
      </c>
      <c r="E12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9" spans="1:6" s="88" customFormat="1" ht="30" customHeight="1" x14ac:dyDescent="0.25">
      <c r="A12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9" s="92" t="e">
        <f>#REF!</f>
        <v>#REF!</v>
      </c>
      <c r="C129" s="143" t="e">
        <f>#REF!</f>
        <v>#REF!</v>
      </c>
      <c r="D129" s="92" t="e">
        <f>#REF!</f>
        <v>#REF!</v>
      </c>
      <c r="E12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0" spans="1:6" s="88" customFormat="1" ht="30" customHeight="1" x14ac:dyDescent="0.25">
      <c r="A13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0" s="92" t="e">
        <f>#REF!</f>
        <v>#REF!</v>
      </c>
      <c r="C130" s="143" t="e">
        <f>#REF!</f>
        <v>#REF!</v>
      </c>
      <c r="D130" s="92" t="e">
        <f>#REF!</f>
        <v>#REF!</v>
      </c>
      <c r="E13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1" spans="1:6" s="88" customFormat="1" ht="30" customHeight="1" x14ac:dyDescent="0.25">
      <c r="A13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1" s="92" t="e">
        <f>#REF!</f>
        <v>#REF!</v>
      </c>
      <c r="C131" s="143" t="e">
        <f>#REF!</f>
        <v>#REF!</v>
      </c>
      <c r="D131" s="92" t="e">
        <f>#REF!</f>
        <v>#REF!</v>
      </c>
      <c r="E13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2" spans="1:6" s="88" customFormat="1" ht="30" customHeight="1" x14ac:dyDescent="0.25">
      <c r="A13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2" s="92" t="e">
        <f>#REF!</f>
        <v>#REF!</v>
      </c>
      <c r="C132" s="143" t="e">
        <f>#REF!</f>
        <v>#REF!</v>
      </c>
      <c r="D132" s="92" t="e">
        <f>#REF!</f>
        <v>#REF!</v>
      </c>
      <c r="E13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3" spans="1:6" s="88" customFormat="1" ht="30" customHeight="1" x14ac:dyDescent="0.25">
      <c r="A13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3" s="92" t="e">
        <f>#REF!</f>
        <v>#REF!</v>
      </c>
      <c r="C133" s="143" t="e">
        <f>#REF!</f>
        <v>#REF!</v>
      </c>
      <c r="D133" s="92" t="e">
        <f>#REF!</f>
        <v>#REF!</v>
      </c>
      <c r="E13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4" spans="1:6" s="88" customFormat="1" ht="30" customHeight="1" x14ac:dyDescent="0.25">
      <c r="A13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4" s="92" t="e">
        <f>#REF!</f>
        <v>#REF!</v>
      </c>
      <c r="C134" s="143" t="e">
        <f>#REF!</f>
        <v>#REF!</v>
      </c>
      <c r="D134" s="92" t="e">
        <f>#REF!</f>
        <v>#REF!</v>
      </c>
      <c r="E13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5" spans="1:6" s="88" customFormat="1" ht="30" customHeight="1" x14ac:dyDescent="0.25">
      <c r="A13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5" s="92" t="e">
        <f>#REF!</f>
        <v>#REF!</v>
      </c>
      <c r="C135" s="143" t="e">
        <f>#REF!</f>
        <v>#REF!</v>
      </c>
      <c r="D135" s="92" t="e">
        <f>#REF!</f>
        <v>#REF!</v>
      </c>
      <c r="E13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6" spans="1:6" s="88" customFormat="1" ht="30" customHeight="1" x14ac:dyDescent="0.25">
      <c r="A13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6" s="92" t="e">
        <f>#REF!</f>
        <v>#REF!</v>
      </c>
      <c r="C136" s="143" t="e">
        <f>#REF!</f>
        <v>#REF!</v>
      </c>
      <c r="D136" s="92" t="e">
        <f>#REF!</f>
        <v>#REF!</v>
      </c>
      <c r="E13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7" spans="1:6" s="88" customFormat="1" ht="30" customHeight="1" x14ac:dyDescent="0.25">
      <c r="A13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7" s="92" t="e">
        <f>#REF!</f>
        <v>#REF!</v>
      </c>
      <c r="C137" s="143" t="e">
        <f>#REF!</f>
        <v>#REF!</v>
      </c>
      <c r="D137" s="92" t="e">
        <f>#REF!</f>
        <v>#REF!</v>
      </c>
      <c r="E13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8" spans="1:6" s="88" customFormat="1" ht="30" customHeight="1" x14ac:dyDescent="0.25">
      <c r="A13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8" s="92" t="e">
        <f>#REF!</f>
        <v>#REF!</v>
      </c>
      <c r="C138" s="143" t="e">
        <f>#REF!</f>
        <v>#REF!</v>
      </c>
      <c r="D138" s="92" t="e">
        <f>#REF!</f>
        <v>#REF!</v>
      </c>
      <c r="E13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9" spans="1:6" s="88" customFormat="1" ht="30" customHeight="1" x14ac:dyDescent="0.25">
      <c r="A13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9" s="92" t="e">
        <f>#REF!</f>
        <v>#REF!</v>
      </c>
      <c r="C139" s="143" t="e">
        <f>#REF!</f>
        <v>#REF!</v>
      </c>
      <c r="D139" s="92" t="e">
        <f>#REF!</f>
        <v>#REF!</v>
      </c>
      <c r="E13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0" spans="1:6" s="88" customFormat="1" ht="30" customHeight="1" x14ac:dyDescent="0.25">
      <c r="A14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0" s="92" t="e">
        <f>#REF!</f>
        <v>#REF!</v>
      </c>
      <c r="C140" s="143" t="e">
        <f>#REF!</f>
        <v>#REF!</v>
      </c>
      <c r="D140" s="92" t="e">
        <f>#REF!</f>
        <v>#REF!</v>
      </c>
      <c r="E14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1" spans="1:6" s="88" customFormat="1" ht="30" customHeight="1" x14ac:dyDescent="0.25">
      <c r="A14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1" s="92" t="e">
        <f>#REF!</f>
        <v>#REF!</v>
      </c>
      <c r="C141" s="143" t="e">
        <f>#REF!</f>
        <v>#REF!</v>
      </c>
      <c r="D141" s="92" t="e">
        <f>#REF!</f>
        <v>#REF!</v>
      </c>
      <c r="E14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2" spans="1:6" s="88" customFormat="1" ht="30" customHeight="1" x14ac:dyDescent="0.25">
      <c r="A14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2" s="92" t="e">
        <f>#REF!</f>
        <v>#REF!</v>
      </c>
      <c r="C142" s="143" t="e">
        <f>#REF!</f>
        <v>#REF!</v>
      </c>
      <c r="D142" s="92" t="e">
        <f>#REF!</f>
        <v>#REF!</v>
      </c>
      <c r="E14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3" spans="1:6" s="88" customFormat="1" ht="30" customHeight="1" x14ac:dyDescent="0.25">
      <c r="A14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3" s="92" t="e">
        <f>#REF!</f>
        <v>#REF!</v>
      </c>
      <c r="C143" s="143" t="e">
        <f>#REF!</f>
        <v>#REF!</v>
      </c>
      <c r="D143" s="92" t="e">
        <f>#REF!</f>
        <v>#REF!</v>
      </c>
      <c r="E14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4" spans="1:6" s="88" customFormat="1" ht="30" customHeight="1" x14ac:dyDescent="0.25">
      <c r="A14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4" s="92" t="e">
        <f>#REF!</f>
        <v>#REF!</v>
      </c>
      <c r="C144" s="143" t="e">
        <f>#REF!</f>
        <v>#REF!</v>
      </c>
      <c r="D144" s="92" t="e">
        <f>#REF!</f>
        <v>#REF!</v>
      </c>
      <c r="E14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5" spans="1:6" s="88" customFormat="1" ht="30" customHeight="1" x14ac:dyDescent="0.25">
      <c r="A14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5" s="92" t="e">
        <f>#REF!</f>
        <v>#REF!</v>
      </c>
      <c r="C145" s="143" t="e">
        <f>#REF!</f>
        <v>#REF!</v>
      </c>
      <c r="D145" s="92" t="e">
        <f>#REF!</f>
        <v>#REF!</v>
      </c>
      <c r="E14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6" spans="1:6" s="88" customFormat="1" ht="30" customHeight="1" x14ac:dyDescent="0.25">
      <c r="A14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6" s="92" t="e">
        <f>#REF!</f>
        <v>#REF!</v>
      </c>
      <c r="C146" s="143" t="e">
        <f>#REF!</f>
        <v>#REF!</v>
      </c>
      <c r="D146" s="92" t="e">
        <f>#REF!</f>
        <v>#REF!</v>
      </c>
      <c r="E14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7" spans="1:6" s="88" customFormat="1" ht="30" customHeight="1" x14ac:dyDescent="0.25">
      <c r="A14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7" s="92" t="e">
        <f>#REF!</f>
        <v>#REF!</v>
      </c>
      <c r="C147" s="143" t="e">
        <f>#REF!</f>
        <v>#REF!</v>
      </c>
      <c r="D147" s="92" t="e">
        <f>#REF!</f>
        <v>#REF!</v>
      </c>
      <c r="E14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8" spans="1:6" s="88" customFormat="1" ht="30" customHeight="1" x14ac:dyDescent="0.25">
      <c r="A14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8" s="92" t="e">
        <f>#REF!</f>
        <v>#REF!</v>
      </c>
      <c r="C148" s="143" t="e">
        <f>#REF!</f>
        <v>#REF!</v>
      </c>
      <c r="D148" s="92" t="e">
        <f>#REF!</f>
        <v>#REF!</v>
      </c>
      <c r="E14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9" spans="1:6" s="88" customFormat="1" ht="30" customHeight="1" x14ac:dyDescent="0.25">
      <c r="A14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9" s="92" t="e">
        <f>#REF!</f>
        <v>#REF!</v>
      </c>
      <c r="C149" s="143" t="e">
        <f>#REF!</f>
        <v>#REF!</v>
      </c>
      <c r="D149" s="92" t="e">
        <f>#REF!</f>
        <v>#REF!</v>
      </c>
      <c r="E14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0" spans="1:6" s="88" customFormat="1" ht="30" customHeight="1" x14ac:dyDescent="0.25">
      <c r="A15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0" s="92" t="e">
        <f>#REF!</f>
        <v>#REF!</v>
      </c>
      <c r="C150" s="143" t="e">
        <f>#REF!</f>
        <v>#REF!</v>
      </c>
      <c r="D150" s="92" t="e">
        <f>#REF!</f>
        <v>#REF!</v>
      </c>
      <c r="E15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1" spans="1:6" s="88" customFormat="1" ht="30" customHeight="1" x14ac:dyDescent="0.25">
      <c r="A15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1" s="92" t="e">
        <f>#REF!</f>
        <v>#REF!</v>
      </c>
      <c r="C151" s="143" t="e">
        <f>#REF!</f>
        <v>#REF!</v>
      </c>
      <c r="D151" s="92" t="e">
        <f>#REF!</f>
        <v>#REF!</v>
      </c>
      <c r="E15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2" spans="1:6" s="88" customFormat="1" ht="30" customHeight="1" x14ac:dyDescent="0.25">
      <c r="A15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2" s="92" t="e">
        <f>#REF!</f>
        <v>#REF!</v>
      </c>
      <c r="C152" s="143" t="e">
        <f>#REF!</f>
        <v>#REF!</v>
      </c>
      <c r="D152" s="92" t="e">
        <f>#REF!</f>
        <v>#REF!</v>
      </c>
      <c r="E15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3" spans="1:6" s="88" customFormat="1" ht="30" customHeight="1" x14ac:dyDescent="0.25">
      <c r="A15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3" s="92" t="e">
        <f>#REF!</f>
        <v>#REF!</v>
      </c>
      <c r="C153" s="143" t="e">
        <f>#REF!</f>
        <v>#REF!</v>
      </c>
      <c r="D153" s="92" t="e">
        <f>#REF!</f>
        <v>#REF!</v>
      </c>
      <c r="E15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4" spans="1:6" s="88" customFormat="1" ht="30" customHeight="1" x14ac:dyDescent="0.25">
      <c r="A15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4" s="92" t="e">
        <f>#REF!</f>
        <v>#REF!</v>
      </c>
      <c r="C154" s="143" t="e">
        <f>#REF!</f>
        <v>#REF!</v>
      </c>
      <c r="D154" s="92" t="e">
        <f>#REF!</f>
        <v>#REF!</v>
      </c>
      <c r="E15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5" spans="1:6" s="88" customFormat="1" ht="30" customHeight="1" x14ac:dyDescent="0.25">
      <c r="A15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5" s="92" t="e">
        <f>#REF!</f>
        <v>#REF!</v>
      </c>
      <c r="C155" s="143" t="e">
        <f>#REF!</f>
        <v>#REF!</v>
      </c>
      <c r="D155" s="92" t="e">
        <f>#REF!</f>
        <v>#REF!</v>
      </c>
      <c r="E15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6" spans="1:6" s="88" customFormat="1" ht="30" customHeight="1" x14ac:dyDescent="0.25">
      <c r="A15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6" s="92" t="e">
        <f>#REF!</f>
        <v>#REF!</v>
      </c>
      <c r="C156" s="143" t="e">
        <f>#REF!</f>
        <v>#REF!</v>
      </c>
      <c r="D156" s="92" t="e">
        <f>#REF!</f>
        <v>#REF!</v>
      </c>
      <c r="E15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7" spans="1:6" s="88" customFormat="1" ht="30" customHeight="1" x14ac:dyDescent="0.25">
      <c r="A15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7" s="92" t="e">
        <f>#REF!</f>
        <v>#REF!</v>
      </c>
      <c r="C157" s="143" t="e">
        <f>#REF!</f>
        <v>#REF!</v>
      </c>
      <c r="D157" s="92" t="e">
        <f>#REF!</f>
        <v>#REF!</v>
      </c>
      <c r="E15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8" spans="1:6" s="88" customFormat="1" ht="30" customHeight="1" x14ac:dyDescent="0.25">
      <c r="A15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8" s="92" t="e">
        <f>#REF!</f>
        <v>#REF!</v>
      </c>
      <c r="C158" s="143" t="e">
        <f>#REF!</f>
        <v>#REF!</v>
      </c>
      <c r="D158" s="92" t="e">
        <f>#REF!</f>
        <v>#REF!</v>
      </c>
      <c r="E15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9" spans="1:6" s="88" customFormat="1" ht="30" customHeight="1" x14ac:dyDescent="0.25">
      <c r="A15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9" s="92" t="e">
        <f>#REF!</f>
        <v>#REF!</v>
      </c>
      <c r="C159" s="143" t="e">
        <f>#REF!</f>
        <v>#REF!</v>
      </c>
      <c r="D159" s="92" t="e">
        <f>#REF!</f>
        <v>#REF!</v>
      </c>
      <c r="E15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0" spans="1:6" s="88" customFormat="1" ht="30" customHeight="1" x14ac:dyDescent="0.25">
      <c r="A16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0" s="92" t="e">
        <f>#REF!</f>
        <v>#REF!</v>
      </c>
      <c r="C160" s="143" t="e">
        <f>#REF!</f>
        <v>#REF!</v>
      </c>
      <c r="D160" s="92" t="e">
        <f>#REF!</f>
        <v>#REF!</v>
      </c>
      <c r="E16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1" spans="1:6" s="88" customFormat="1" ht="30" customHeight="1" x14ac:dyDescent="0.25">
      <c r="A16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1" s="92" t="e">
        <f>#REF!</f>
        <v>#REF!</v>
      </c>
      <c r="C161" s="143" t="e">
        <f>#REF!</f>
        <v>#REF!</v>
      </c>
      <c r="D161" s="92" t="e">
        <f>#REF!</f>
        <v>#REF!</v>
      </c>
      <c r="E16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2" spans="1:6" s="88" customFormat="1" ht="30" customHeight="1" x14ac:dyDescent="0.25">
      <c r="A16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2" s="92" t="e">
        <f>#REF!</f>
        <v>#REF!</v>
      </c>
      <c r="C162" s="143" t="e">
        <f>#REF!</f>
        <v>#REF!</v>
      </c>
      <c r="D162" s="92" t="e">
        <f>#REF!</f>
        <v>#REF!</v>
      </c>
      <c r="E16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3" spans="1:6" s="88" customFormat="1" ht="30" customHeight="1" x14ac:dyDescent="0.25">
      <c r="A16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3" s="92" t="e">
        <f>#REF!</f>
        <v>#REF!</v>
      </c>
      <c r="C163" s="143" t="e">
        <f>#REF!</f>
        <v>#REF!</v>
      </c>
      <c r="D163" s="92" t="e">
        <f>#REF!</f>
        <v>#REF!</v>
      </c>
      <c r="E16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4" spans="1:6" s="88" customFormat="1" ht="30" customHeight="1" x14ac:dyDescent="0.25">
      <c r="A16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4" s="92" t="e">
        <f>#REF!</f>
        <v>#REF!</v>
      </c>
      <c r="C164" s="143" t="e">
        <f>#REF!</f>
        <v>#REF!</v>
      </c>
      <c r="D164" s="92" t="e">
        <f>#REF!</f>
        <v>#REF!</v>
      </c>
      <c r="E16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5" spans="1:6" s="88" customFormat="1" ht="30" customHeight="1" x14ac:dyDescent="0.25">
      <c r="A16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5" s="92" t="e">
        <f>#REF!</f>
        <v>#REF!</v>
      </c>
      <c r="C165" s="143" t="e">
        <f>#REF!</f>
        <v>#REF!</v>
      </c>
      <c r="D165" s="92" t="e">
        <f>#REF!</f>
        <v>#REF!</v>
      </c>
      <c r="E16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6" spans="1:6" s="88" customFormat="1" ht="30" customHeight="1" x14ac:dyDescent="0.25">
      <c r="A16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6" s="92" t="e">
        <f>#REF!</f>
        <v>#REF!</v>
      </c>
      <c r="C166" s="143" t="e">
        <f>#REF!</f>
        <v>#REF!</v>
      </c>
      <c r="D166" s="92" t="e">
        <f>#REF!</f>
        <v>#REF!</v>
      </c>
      <c r="E16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7" spans="1:6" s="88" customFormat="1" ht="30" customHeight="1" x14ac:dyDescent="0.25">
      <c r="A16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7" s="92" t="e">
        <f>#REF!</f>
        <v>#REF!</v>
      </c>
      <c r="C167" s="143" t="e">
        <f>#REF!</f>
        <v>#REF!</v>
      </c>
      <c r="D167" s="92" t="e">
        <f>#REF!</f>
        <v>#REF!</v>
      </c>
      <c r="E16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8" spans="1:6" s="88" customFormat="1" ht="30" customHeight="1" x14ac:dyDescent="0.25">
      <c r="A16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8" s="92" t="e">
        <f>#REF!</f>
        <v>#REF!</v>
      </c>
      <c r="C168" s="143" t="e">
        <f>#REF!</f>
        <v>#REF!</v>
      </c>
      <c r="D168" s="92" t="e">
        <f>#REF!</f>
        <v>#REF!</v>
      </c>
      <c r="E16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9" spans="1:6" s="88" customFormat="1" ht="30" customHeight="1" x14ac:dyDescent="0.25">
      <c r="A16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9" s="92" t="e">
        <f>#REF!</f>
        <v>#REF!</v>
      </c>
      <c r="C169" s="143" t="e">
        <f>#REF!</f>
        <v>#REF!</v>
      </c>
      <c r="D169" s="92" t="e">
        <f>#REF!</f>
        <v>#REF!</v>
      </c>
      <c r="E16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0" spans="1:6" s="88" customFormat="1" ht="30" customHeight="1" x14ac:dyDescent="0.25">
      <c r="A17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0" s="92" t="e">
        <f>#REF!</f>
        <v>#REF!</v>
      </c>
      <c r="C170" s="143" t="e">
        <f>#REF!</f>
        <v>#REF!</v>
      </c>
      <c r="D170" s="92" t="e">
        <f>#REF!</f>
        <v>#REF!</v>
      </c>
      <c r="E17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1" spans="1:6" s="88" customFormat="1" ht="30" customHeight="1" x14ac:dyDescent="0.25">
      <c r="A17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1" s="92" t="e">
        <f>#REF!</f>
        <v>#REF!</v>
      </c>
      <c r="C171" s="143" t="e">
        <f>#REF!</f>
        <v>#REF!</v>
      </c>
      <c r="D171" s="92" t="e">
        <f>#REF!</f>
        <v>#REF!</v>
      </c>
      <c r="E17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2" spans="1:6" s="88" customFormat="1" ht="30" customHeight="1" x14ac:dyDescent="0.25">
      <c r="A17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2" s="92" t="e">
        <f>#REF!</f>
        <v>#REF!</v>
      </c>
      <c r="C172" s="143" t="e">
        <f>#REF!</f>
        <v>#REF!</v>
      </c>
      <c r="D172" s="92" t="e">
        <f>#REF!</f>
        <v>#REF!</v>
      </c>
      <c r="E17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3" spans="1:6" s="88" customFormat="1" ht="30" customHeight="1" x14ac:dyDescent="0.25">
      <c r="A17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3" s="92" t="e">
        <f>#REF!</f>
        <v>#REF!</v>
      </c>
      <c r="C173" s="143" t="e">
        <f>#REF!</f>
        <v>#REF!</v>
      </c>
      <c r="D173" s="92" t="e">
        <f>#REF!</f>
        <v>#REF!</v>
      </c>
      <c r="E17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4" spans="1:6" s="88" customFormat="1" ht="30" customHeight="1" x14ac:dyDescent="0.25">
      <c r="A17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4" s="92" t="e">
        <f>#REF!</f>
        <v>#REF!</v>
      </c>
      <c r="C174" s="143" t="e">
        <f>#REF!</f>
        <v>#REF!</v>
      </c>
      <c r="D174" s="92" t="e">
        <f>#REF!</f>
        <v>#REF!</v>
      </c>
      <c r="E17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5" spans="1:6" s="88" customFormat="1" ht="30" customHeight="1" x14ac:dyDescent="0.25">
      <c r="A17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5" s="92" t="e">
        <f>#REF!</f>
        <v>#REF!</v>
      </c>
      <c r="C175" s="143" t="e">
        <f>#REF!</f>
        <v>#REF!</v>
      </c>
      <c r="D175" s="92" t="e">
        <f>#REF!</f>
        <v>#REF!</v>
      </c>
      <c r="E17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6" spans="1:6" s="88" customFormat="1" ht="30" customHeight="1" x14ac:dyDescent="0.25">
      <c r="A17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6" s="92" t="e">
        <f>#REF!</f>
        <v>#REF!</v>
      </c>
      <c r="C176" s="143" t="e">
        <f>#REF!</f>
        <v>#REF!</v>
      </c>
      <c r="D176" s="92" t="e">
        <f>#REF!</f>
        <v>#REF!</v>
      </c>
      <c r="E17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7" spans="1:6" s="88" customFormat="1" ht="30" customHeight="1" x14ac:dyDescent="0.25">
      <c r="A17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7" s="92" t="e">
        <f>#REF!</f>
        <v>#REF!</v>
      </c>
      <c r="C177" s="143" t="e">
        <f>#REF!</f>
        <v>#REF!</v>
      </c>
      <c r="D177" s="92" t="e">
        <f>#REF!</f>
        <v>#REF!</v>
      </c>
      <c r="E17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8" spans="1:6" s="88" customFormat="1" ht="30" customHeight="1" x14ac:dyDescent="0.25">
      <c r="A17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8" s="92" t="e">
        <f>#REF!</f>
        <v>#REF!</v>
      </c>
      <c r="C178" s="143" t="e">
        <f>#REF!</f>
        <v>#REF!</v>
      </c>
      <c r="D178" s="92" t="e">
        <f>#REF!</f>
        <v>#REF!</v>
      </c>
      <c r="E17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9" spans="1:6" s="88" customFormat="1" ht="30" customHeight="1" x14ac:dyDescent="0.25">
      <c r="A17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9" s="92" t="e">
        <f>#REF!</f>
        <v>#REF!</v>
      </c>
      <c r="C179" s="143" t="e">
        <f>#REF!</f>
        <v>#REF!</v>
      </c>
      <c r="D179" s="92" t="e">
        <f>#REF!</f>
        <v>#REF!</v>
      </c>
      <c r="E17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0" spans="1:6" s="88" customFormat="1" ht="30" customHeight="1" x14ac:dyDescent="0.25">
      <c r="A18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0" s="92" t="e">
        <f>#REF!</f>
        <v>#REF!</v>
      </c>
      <c r="C180" s="143" t="e">
        <f>#REF!</f>
        <v>#REF!</v>
      </c>
      <c r="D180" s="92" t="e">
        <f>#REF!</f>
        <v>#REF!</v>
      </c>
      <c r="E18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1" spans="1:6" s="88" customFormat="1" ht="30" customHeight="1" x14ac:dyDescent="0.25">
      <c r="A18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1" s="92" t="e">
        <f>#REF!</f>
        <v>#REF!</v>
      </c>
      <c r="C181" s="143" t="e">
        <f>#REF!</f>
        <v>#REF!</v>
      </c>
      <c r="D181" s="92" t="e">
        <f>#REF!</f>
        <v>#REF!</v>
      </c>
      <c r="E18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2" spans="1:6" s="88" customFormat="1" ht="30" customHeight="1" x14ac:dyDescent="0.25">
      <c r="A18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2" s="92" t="e">
        <f>#REF!</f>
        <v>#REF!</v>
      </c>
      <c r="C182" s="143" t="e">
        <f>#REF!</f>
        <v>#REF!</v>
      </c>
      <c r="D182" s="92" t="e">
        <f>#REF!</f>
        <v>#REF!</v>
      </c>
      <c r="E18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3" spans="1:6" s="88" customFormat="1" ht="30" customHeight="1" x14ac:dyDescent="0.25">
      <c r="A18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3" s="92" t="e">
        <f>#REF!</f>
        <v>#REF!</v>
      </c>
      <c r="C183" s="143" t="e">
        <f>#REF!</f>
        <v>#REF!</v>
      </c>
      <c r="D183" s="92" t="e">
        <f>#REF!</f>
        <v>#REF!</v>
      </c>
      <c r="E18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4" spans="1:6" s="88" customFormat="1" ht="30" customHeight="1" x14ac:dyDescent="0.25">
      <c r="A18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4" s="92" t="e">
        <f>#REF!</f>
        <v>#REF!</v>
      </c>
      <c r="C184" s="143" t="e">
        <f>#REF!</f>
        <v>#REF!</v>
      </c>
      <c r="D184" s="92" t="e">
        <f>#REF!</f>
        <v>#REF!</v>
      </c>
      <c r="E18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5" spans="1:6" s="88" customFormat="1" ht="30" customHeight="1" x14ac:dyDescent="0.25">
      <c r="A18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5" s="92" t="e">
        <f>#REF!</f>
        <v>#REF!</v>
      </c>
      <c r="C185" s="143" t="e">
        <f>#REF!</f>
        <v>#REF!</v>
      </c>
      <c r="D185" s="92" t="e">
        <f>#REF!</f>
        <v>#REF!</v>
      </c>
      <c r="E18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6" spans="1:6" s="88" customFormat="1" ht="30" customHeight="1" x14ac:dyDescent="0.25">
      <c r="A18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6" s="92" t="e">
        <f>#REF!</f>
        <v>#REF!</v>
      </c>
      <c r="C186" s="143" t="e">
        <f>#REF!</f>
        <v>#REF!</v>
      </c>
      <c r="D186" s="92" t="e">
        <f>#REF!</f>
        <v>#REF!</v>
      </c>
      <c r="E18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7" spans="1:6" s="88" customFormat="1" ht="30" customHeight="1" x14ac:dyDescent="0.25">
      <c r="A18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7" s="92" t="e">
        <f>#REF!</f>
        <v>#REF!</v>
      </c>
      <c r="C187" s="143" t="e">
        <f>#REF!</f>
        <v>#REF!</v>
      </c>
      <c r="D187" s="92" t="e">
        <f>#REF!</f>
        <v>#REF!</v>
      </c>
      <c r="E18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8" spans="1:6" s="88" customFormat="1" ht="30" customHeight="1" x14ac:dyDescent="0.25">
      <c r="A18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8" s="92" t="e">
        <f>#REF!</f>
        <v>#REF!</v>
      </c>
      <c r="C188" s="143" t="e">
        <f>#REF!</f>
        <v>#REF!</v>
      </c>
      <c r="D188" s="92" t="e">
        <f>#REF!</f>
        <v>#REF!</v>
      </c>
      <c r="E18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9" spans="1:6" s="88" customFormat="1" ht="30" customHeight="1" x14ac:dyDescent="0.25">
      <c r="A18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9" s="92" t="e">
        <f>#REF!</f>
        <v>#REF!</v>
      </c>
      <c r="C189" s="143" t="e">
        <f>#REF!</f>
        <v>#REF!</v>
      </c>
      <c r="D189" s="92" t="e">
        <f>#REF!</f>
        <v>#REF!</v>
      </c>
      <c r="E18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0" spans="1:6" s="88" customFormat="1" ht="30" customHeight="1" x14ac:dyDescent="0.25">
      <c r="A19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0" s="92" t="e">
        <f>#REF!</f>
        <v>#REF!</v>
      </c>
      <c r="C190" s="143" t="e">
        <f>#REF!</f>
        <v>#REF!</v>
      </c>
      <c r="D190" s="92" t="e">
        <f>#REF!</f>
        <v>#REF!</v>
      </c>
      <c r="E19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1" spans="1:6" s="88" customFormat="1" ht="30" customHeight="1" x14ac:dyDescent="0.25">
      <c r="A19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1" s="92" t="e">
        <f>#REF!</f>
        <v>#REF!</v>
      </c>
      <c r="C191" s="143" t="e">
        <f>#REF!</f>
        <v>#REF!</v>
      </c>
      <c r="D191" s="92" t="e">
        <f>#REF!</f>
        <v>#REF!</v>
      </c>
      <c r="E19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2" spans="1:6" s="88" customFormat="1" ht="30" customHeight="1" x14ac:dyDescent="0.25">
      <c r="A19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2" s="92" t="e">
        <f>#REF!</f>
        <v>#REF!</v>
      </c>
      <c r="C192" s="143" t="e">
        <f>#REF!</f>
        <v>#REF!</v>
      </c>
      <c r="D192" s="92" t="e">
        <f>#REF!</f>
        <v>#REF!</v>
      </c>
      <c r="E19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3" spans="1:6" s="88" customFormat="1" ht="30" customHeight="1" x14ac:dyDescent="0.25">
      <c r="A19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3" s="92" t="e">
        <f>#REF!</f>
        <v>#REF!</v>
      </c>
      <c r="C193" s="143" t="e">
        <f>#REF!</f>
        <v>#REF!</v>
      </c>
      <c r="D193" s="92" t="e">
        <f>#REF!</f>
        <v>#REF!</v>
      </c>
      <c r="E19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4" spans="1:6" s="88" customFormat="1" ht="30" customHeight="1" x14ac:dyDescent="0.25">
      <c r="A19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4" s="92" t="e">
        <f>#REF!</f>
        <v>#REF!</v>
      </c>
      <c r="C194" s="143" t="e">
        <f>#REF!</f>
        <v>#REF!</v>
      </c>
      <c r="D194" s="92" t="e">
        <f>#REF!</f>
        <v>#REF!</v>
      </c>
      <c r="E19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5" spans="1:6" s="88" customFormat="1" ht="30" customHeight="1" x14ac:dyDescent="0.25">
      <c r="A19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5" s="92" t="e">
        <f>#REF!</f>
        <v>#REF!</v>
      </c>
      <c r="C195" s="143" t="e">
        <f>#REF!</f>
        <v>#REF!</v>
      </c>
      <c r="D195" s="92" t="e">
        <f>#REF!</f>
        <v>#REF!</v>
      </c>
      <c r="E19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6" spans="1:6" s="88" customFormat="1" ht="30" customHeight="1" x14ac:dyDescent="0.25">
      <c r="A19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6" s="92" t="e">
        <f>#REF!</f>
        <v>#REF!</v>
      </c>
      <c r="C196" s="143" t="e">
        <f>#REF!</f>
        <v>#REF!</v>
      </c>
      <c r="D196" s="92" t="e">
        <f>#REF!</f>
        <v>#REF!</v>
      </c>
      <c r="E19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7" spans="1:6" s="88" customFormat="1" ht="30" customHeight="1" x14ac:dyDescent="0.25">
      <c r="A19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7" s="92" t="e">
        <f>#REF!</f>
        <v>#REF!</v>
      </c>
      <c r="C197" s="143" t="e">
        <f>#REF!</f>
        <v>#REF!</v>
      </c>
      <c r="D197" s="92" t="e">
        <f>#REF!</f>
        <v>#REF!</v>
      </c>
      <c r="E19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8" spans="1:6" s="88" customFormat="1" ht="30" customHeight="1" x14ac:dyDescent="0.25">
      <c r="A19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8" s="92" t="e">
        <f>#REF!</f>
        <v>#REF!</v>
      </c>
      <c r="C198" s="143" t="e">
        <f>#REF!</f>
        <v>#REF!</v>
      </c>
      <c r="D198" s="92" t="e">
        <f>#REF!</f>
        <v>#REF!</v>
      </c>
      <c r="E19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9" spans="1:6" s="88" customFormat="1" ht="30" customHeight="1" x14ac:dyDescent="0.25">
      <c r="A19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9" s="92" t="e">
        <f>#REF!</f>
        <v>#REF!</v>
      </c>
      <c r="C199" s="143" t="e">
        <f>#REF!</f>
        <v>#REF!</v>
      </c>
      <c r="D199" s="92" t="e">
        <f>#REF!</f>
        <v>#REF!</v>
      </c>
      <c r="E19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0" spans="1:6" s="88" customFormat="1" ht="30" customHeight="1" x14ac:dyDescent="0.25">
      <c r="A20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0" s="92" t="e">
        <f>#REF!</f>
        <v>#REF!</v>
      </c>
      <c r="C200" s="143" t="e">
        <f>#REF!</f>
        <v>#REF!</v>
      </c>
      <c r="D200" s="92" t="e">
        <f>#REF!</f>
        <v>#REF!</v>
      </c>
      <c r="E20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1" spans="1:6" s="88" customFormat="1" ht="30" customHeight="1" x14ac:dyDescent="0.25">
      <c r="A20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1" s="92" t="e">
        <f>#REF!</f>
        <v>#REF!</v>
      </c>
      <c r="C201" s="143" t="e">
        <f>#REF!</f>
        <v>#REF!</v>
      </c>
      <c r="D201" s="92" t="e">
        <f>#REF!</f>
        <v>#REF!</v>
      </c>
      <c r="E20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2" spans="1:6" s="88" customFormat="1" ht="30" customHeight="1" x14ac:dyDescent="0.25">
      <c r="A20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2" s="92" t="e">
        <f>#REF!</f>
        <v>#REF!</v>
      </c>
      <c r="C202" s="143" t="e">
        <f>#REF!</f>
        <v>#REF!</v>
      </c>
      <c r="D202" s="92" t="e">
        <f>#REF!</f>
        <v>#REF!</v>
      </c>
      <c r="E20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3" spans="1:6" s="88" customFormat="1" ht="30" customHeight="1" x14ac:dyDescent="0.25">
      <c r="A20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3" s="92" t="e">
        <f>#REF!</f>
        <v>#REF!</v>
      </c>
      <c r="C203" s="143" t="e">
        <f>#REF!</f>
        <v>#REF!</v>
      </c>
      <c r="D203" s="92" t="e">
        <f>#REF!</f>
        <v>#REF!</v>
      </c>
      <c r="E20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4" spans="1:6" s="88" customFormat="1" ht="30" customHeight="1" x14ac:dyDescent="0.25">
      <c r="A20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4" s="92" t="e">
        <f>#REF!</f>
        <v>#REF!</v>
      </c>
      <c r="C204" s="143" t="e">
        <f>#REF!</f>
        <v>#REF!</v>
      </c>
      <c r="D204" s="92" t="e">
        <f>#REF!</f>
        <v>#REF!</v>
      </c>
      <c r="E20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5" spans="1:6" s="88" customFormat="1" ht="30" customHeight="1" x14ac:dyDescent="0.25">
      <c r="A20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5" s="92" t="e">
        <f>#REF!</f>
        <v>#REF!</v>
      </c>
      <c r="C205" s="143" t="e">
        <f>#REF!</f>
        <v>#REF!</v>
      </c>
      <c r="D205" s="92" t="e">
        <f>#REF!</f>
        <v>#REF!</v>
      </c>
      <c r="E20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6" spans="1:6" s="88" customFormat="1" ht="30" customHeight="1" x14ac:dyDescent="0.25">
      <c r="A20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6" s="92" t="e">
        <f>#REF!</f>
        <v>#REF!</v>
      </c>
      <c r="C206" s="143" t="e">
        <f>#REF!</f>
        <v>#REF!</v>
      </c>
      <c r="D206" s="92" t="e">
        <f>#REF!</f>
        <v>#REF!</v>
      </c>
      <c r="E20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7" spans="1:6" s="88" customFormat="1" ht="30" customHeight="1" x14ac:dyDescent="0.25">
      <c r="A20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7" s="92" t="e">
        <f>#REF!</f>
        <v>#REF!</v>
      </c>
      <c r="C207" s="143" t="e">
        <f>#REF!</f>
        <v>#REF!</v>
      </c>
      <c r="D207" s="92" t="e">
        <f>#REF!</f>
        <v>#REF!</v>
      </c>
      <c r="E20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8" spans="1:6" s="88" customFormat="1" ht="30" customHeight="1" x14ac:dyDescent="0.25">
      <c r="A20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8" s="92" t="e">
        <f>#REF!</f>
        <v>#REF!</v>
      </c>
      <c r="C208" s="143" t="e">
        <f>#REF!</f>
        <v>#REF!</v>
      </c>
      <c r="D208" s="92" t="e">
        <f>#REF!</f>
        <v>#REF!</v>
      </c>
      <c r="E20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9" spans="1:6" s="88" customFormat="1" ht="30" customHeight="1" x14ac:dyDescent="0.25">
      <c r="A20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9" s="92" t="e">
        <f>#REF!</f>
        <v>#REF!</v>
      </c>
      <c r="C209" s="143" t="e">
        <f>#REF!</f>
        <v>#REF!</v>
      </c>
      <c r="D209" s="92" t="e">
        <f>#REF!</f>
        <v>#REF!</v>
      </c>
      <c r="E20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0" spans="1:6" s="88" customFormat="1" ht="30" customHeight="1" x14ac:dyDescent="0.25">
      <c r="A21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0" s="92" t="e">
        <f>#REF!</f>
        <v>#REF!</v>
      </c>
      <c r="C210" s="143" t="e">
        <f>#REF!</f>
        <v>#REF!</v>
      </c>
      <c r="D210" s="92" t="e">
        <f>#REF!</f>
        <v>#REF!</v>
      </c>
      <c r="E21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1" spans="1:6" s="88" customFormat="1" ht="30" customHeight="1" x14ac:dyDescent="0.25">
      <c r="A21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1" s="92" t="e">
        <f>#REF!</f>
        <v>#REF!</v>
      </c>
      <c r="C211" s="143" t="e">
        <f>#REF!</f>
        <v>#REF!</v>
      </c>
      <c r="D211" s="92" t="e">
        <f>#REF!</f>
        <v>#REF!</v>
      </c>
      <c r="E21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2" spans="1:6" s="88" customFormat="1" ht="30" customHeight="1" x14ac:dyDescent="0.25">
      <c r="A21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2" s="92" t="e">
        <f>#REF!</f>
        <v>#REF!</v>
      </c>
      <c r="C212" s="143" t="e">
        <f>#REF!</f>
        <v>#REF!</v>
      </c>
      <c r="D212" s="92" t="e">
        <f>#REF!</f>
        <v>#REF!</v>
      </c>
      <c r="E21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3" spans="1:6" s="88" customFormat="1" ht="30" customHeight="1" x14ac:dyDescent="0.25">
      <c r="A21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3" s="92" t="e">
        <f>#REF!</f>
        <v>#REF!</v>
      </c>
      <c r="C213" s="143" t="e">
        <f>#REF!</f>
        <v>#REF!</v>
      </c>
      <c r="D213" s="92" t="e">
        <f>#REF!</f>
        <v>#REF!</v>
      </c>
      <c r="E21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4" spans="1:6" s="88" customFormat="1" ht="30" customHeight="1" x14ac:dyDescent="0.25">
      <c r="A21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4" s="92" t="e">
        <f>#REF!</f>
        <v>#REF!</v>
      </c>
      <c r="C214" s="143" t="e">
        <f>#REF!</f>
        <v>#REF!</v>
      </c>
      <c r="D214" s="92" t="e">
        <f>#REF!</f>
        <v>#REF!</v>
      </c>
      <c r="E21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5" spans="1:6" s="88" customFormat="1" ht="30" customHeight="1" x14ac:dyDescent="0.25">
      <c r="A21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5" s="92" t="e">
        <f>#REF!</f>
        <v>#REF!</v>
      </c>
      <c r="C215" s="143" t="e">
        <f>#REF!</f>
        <v>#REF!</v>
      </c>
      <c r="D215" s="92" t="e">
        <f>#REF!</f>
        <v>#REF!</v>
      </c>
      <c r="E21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6" spans="1:6" s="88" customFormat="1" ht="30" customHeight="1" x14ac:dyDescent="0.25">
      <c r="A21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6" s="92" t="e">
        <f>#REF!</f>
        <v>#REF!</v>
      </c>
      <c r="C216" s="143" t="e">
        <f>#REF!</f>
        <v>#REF!</v>
      </c>
      <c r="D216" s="92" t="e">
        <f>#REF!</f>
        <v>#REF!</v>
      </c>
      <c r="E21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7" spans="1:6" s="88" customFormat="1" ht="30" customHeight="1" x14ac:dyDescent="0.25">
      <c r="A21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7" s="92" t="e">
        <f>#REF!</f>
        <v>#REF!</v>
      </c>
      <c r="C217" s="143" t="e">
        <f>#REF!</f>
        <v>#REF!</v>
      </c>
      <c r="D217" s="92" t="e">
        <f>#REF!</f>
        <v>#REF!</v>
      </c>
      <c r="E21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8" spans="1:6" s="88" customFormat="1" ht="30" customHeight="1" x14ac:dyDescent="0.25">
      <c r="A21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8" s="92" t="e">
        <f>#REF!</f>
        <v>#REF!</v>
      </c>
      <c r="C218" s="143" t="e">
        <f>#REF!</f>
        <v>#REF!</v>
      </c>
      <c r="D218" s="92" t="e">
        <f>#REF!</f>
        <v>#REF!</v>
      </c>
      <c r="E21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9" spans="1:6" s="88" customFormat="1" ht="30" customHeight="1" x14ac:dyDescent="0.25">
      <c r="A21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9" s="92" t="e">
        <f>#REF!</f>
        <v>#REF!</v>
      </c>
      <c r="C219" s="143" t="e">
        <f>#REF!</f>
        <v>#REF!</v>
      </c>
      <c r="D219" s="92" t="e">
        <f>#REF!</f>
        <v>#REF!</v>
      </c>
      <c r="E21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0" spans="1:6" s="88" customFormat="1" ht="30" customHeight="1" x14ac:dyDescent="0.25">
      <c r="A22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0" s="92" t="e">
        <f>#REF!</f>
        <v>#REF!</v>
      </c>
      <c r="C220" s="143" t="e">
        <f>#REF!</f>
        <v>#REF!</v>
      </c>
      <c r="D220" s="92" t="e">
        <f>#REF!</f>
        <v>#REF!</v>
      </c>
      <c r="E22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1" spans="1:6" s="88" customFormat="1" ht="30" customHeight="1" x14ac:dyDescent="0.25">
      <c r="A22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1" s="92" t="e">
        <f>#REF!</f>
        <v>#REF!</v>
      </c>
      <c r="C221" s="143" t="e">
        <f>#REF!</f>
        <v>#REF!</v>
      </c>
      <c r="D221" s="92" t="e">
        <f>#REF!</f>
        <v>#REF!</v>
      </c>
      <c r="E22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2" spans="1:6" s="88" customFormat="1" ht="30" customHeight="1" x14ac:dyDescent="0.25">
      <c r="A22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2" s="92" t="e">
        <f>#REF!</f>
        <v>#REF!</v>
      </c>
      <c r="C222" s="143" t="e">
        <f>#REF!</f>
        <v>#REF!</v>
      </c>
      <c r="D222" s="92" t="e">
        <f>#REF!</f>
        <v>#REF!</v>
      </c>
      <c r="E22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3" spans="1:6" s="88" customFormat="1" ht="30" customHeight="1" x14ac:dyDescent="0.25">
      <c r="A22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3" s="92" t="e">
        <f>#REF!</f>
        <v>#REF!</v>
      </c>
      <c r="C223" s="143" t="e">
        <f>#REF!</f>
        <v>#REF!</v>
      </c>
      <c r="D223" s="92" t="e">
        <f>#REF!</f>
        <v>#REF!</v>
      </c>
      <c r="E22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4" spans="1:6" s="88" customFormat="1" ht="30" customHeight="1" x14ac:dyDescent="0.25">
      <c r="A22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4" s="92" t="e">
        <f>#REF!</f>
        <v>#REF!</v>
      </c>
      <c r="C224" s="143" t="e">
        <f>#REF!</f>
        <v>#REF!</v>
      </c>
      <c r="D224" s="92" t="e">
        <f>#REF!</f>
        <v>#REF!</v>
      </c>
      <c r="E22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5" spans="1:6" s="88" customFormat="1" ht="30" customHeight="1" x14ac:dyDescent="0.25">
      <c r="A22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5" s="92" t="e">
        <f>#REF!</f>
        <v>#REF!</v>
      </c>
      <c r="C225" s="143" t="e">
        <f>#REF!</f>
        <v>#REF!</v>
      </c>
      <c r="D225" s="92" t="e">
        <f>#REF!</f>
        <v>#REF!</v>
      </c>
      <c r="E22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6" spans="1:6" s="88" customFormat="1" ht="30" customHeight="1" x14ac:dyDescent="0.25">
      <c r="A22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6" s="92" t="e">
        <f>#REF!</f>
        <v>#REF!</v>
      </c>
      <c r="C226" s="143" t="e">
        <f>#REF!</f>
        <v>#REF!</v>
      </c>
      <c r="D226" s="92" t="e">
        <f>#REF!</f>
        <v>#REF!</v>
      </c>
      <c r="E22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7" spans="1:6" s="88" customFormat="1" ht="30" customHeight="1" x14ac:dyDescent="0.25">
      <c r="A22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7" s="92" t="e">
        <f>#REF!</f>
        <v>#REF!</v>
      </c>
      <c r="C227" s="143" t="e">
        <f>#REF!</f>
        <v>#REF!</v>
      </c>
      <c r="D227" s="92" t="e">
        <f>#REF!</f>
        <v>#REF!</v>
      </c>
      <c r="E22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8" spans="1:6" s="88" customFormat="1" ht="30" customHeight="1" x14ac:dyDescent="0.25">
      <c r="A22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8" s="92" t="e">
        <f>#REF!</f>
        <v>#REF!</v>
      </c>
      <c r="C228" s="143" t="e">
        <f>#REF!</f>
        <v>#REF!</v>
      </c>
      <c r="D228" s="92" t="e">
        <f>#REF!</f>
        <v>#REF!</v>
      </c>
      <c r="E22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9" spans="1:6" s="88" customFormat="1" ht="30" customHeight="1" x14ac:dyDescent="0.25">
      <c r="A22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9" s="92" t="e">
        <f>#REF!</f>
        <v>#REF!</v>
      </c>
      <c r="C229" s="143" t="e">
        <f>#REF!</f>
        <v>#REF!</v>
      </c>
      <c r="D229" s="92" t="e">
        <f>#REF!</f>
        <v>#REF!</v>
      </c>
      <c r="E22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0" spans="1:6" s="88" customFormat="1" ht="30" customHeight="1" x14ac:dyDescent="0.25">
      <c r="A23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0" s="92" t="e">
        <f>#REF!</f>
        <v>#REF!</v>
      </c>
      <c r="C230" s="143" t="e">
        <f>#REF!</f>
        <v>#REF!</v>
      </c>
      <c r="D230" s="92" t="e">
        <f>#REF!</f>
        <v>#REF!</v>
      </c>
      <c r="E23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1" spans="1:6" s="88" customFormat="1" ht="30" customHeight="1" x14ac:dyDescent="0.25">
      <c r="A23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1" s="92" t="e">
        <f>#REF!</f>
        <v>#REF!</v>
      </c>
      <c r="C231" s="143" t="e">
        <f>#REF!</f>
        <v>#REF!</v>
      </c>
      <c r="D231" s="92" t="e">
        <f>#REF!</f>
        <v>#REF!</v>
      </c>
      <c r="E23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2" spans="1:6" s="88" customFormat="1" ht="30" customHeight="1" x14ac:dyDescent="0.25">
      <c r="A23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2" s="92" t="e">
        <f>#REF!</f>
        <v>#REF!</v>
      </c>
      <c r="C232" s="143" t="e">
        <f>#REF!</f>
        <v>#REF!</v>
      </c>
      <c r="D232" s="92" t="e">
        <f>#REF!</f>
        <v>#REF!</v>
      </c>
      <c r="E23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3" spans="1:6" s="88" customFormat="1" ht="30" customHeight="1" x14ac:dyDescent="0.25">
      <c r="A23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3" s="92" t="e">
        <f>#REF!</f>
        <v>#REF!</v>
      </c>
      <c r="C233" s="143" t="e">
        <f>#REF!</f>
        <v>#REF!</v>
      </c>
      <c r="D233" s="92" t="e">
        <f>#REF!</f>
        <v>#REF!</v>
      </c>
      <c r="E23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4" spans="1:6" s="88" customFormat="1" ht="30" customHeight="1" x14ac:dyDescent="0.25">
      <c r="A23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4" s="92" t="e">
        <f>#REF!</f>
        <v>#REF!</v>
      </c>
      <c r="C234" s="143" t="e">
        <f>#REF!</f>
        <v>#REF!</v>
      </c>
      <c r="D234" s="92" t="e">
        <f>#REF!</f>
        <v>#REF!</v>
      </c>
      <c r="E23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5" spans="1:6" s="88" customFormat="1" ht="30" customHeight="1" x14ac:dyDescent="0.25">
      <c r="A23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5" s="92" t="e">
        <f>#REF!</f>
        <v>#REF!</v>
      </c>
      <c r="C235" s="143" t="e">
        <f>#REF!</f>
        <v>#REF!</v>
      </c>
      <c r="D235" s="92" t="e">
        <f>#REF!</f>
        <v>#REF!</v>
      </c>
      <c r="E23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6" spans="1:6" s="88" customFormat="1" ht="30" customHeight="1" x14ac:dyDescent="0.25">
      <c r="A23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6" s="92" t="e">
        <f>#REF!</f>
        <v>#REF!</v>
      </c>
      <c r="C236" s="143" t="e">
        <f>#REF!</f>
        <v>#REF!</v>
      </c>
      <c r="D236" s="92" t="e">
        <f>#REF!</f>
        <v>#REF!</v>
      </c>
      <c r="E23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7" spans="1:6" s="88" customFormat="1" ht="30" customHeight="1" x14ac:dyDescent="0.25">
      <c r="A23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7" s="92" t="e">
        <f>#REF!</f>
        <v>#REF!</v>
      </c>
      <c r="C237" s="143" t="e">
        <f>#REF!</f>
        <v>#REF!</v>
      </c>
      <c r="D237" s="92" t="e">
        <f>#REF!</f>
        <v>#REF!</v>
      </c>
      <c r="E23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8" spans="1:6" s="88" customFormat="1" ht="30" customHeight="1" x14ac:dyDescent="0.25">
      <c r="A23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8" s="92" t="e">
        <f>#REF!</f>
        <v>#REF!</v>
      </c>
      <c r="C238" s="143" t="e">
        <f>#REF!</f>
        <v>#REF!</v>
      </c>
      <c r="D238" s="92" t="e">
        <f>#REF!</f>
        <v>#REF!</v>
      </c>
      <c r="E23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9" spans="1:6" s="88" customFormat="1" ht="30" customHeight="1" x14ac:dyDescent="0.25">
      <c r="A23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9" s="92" t="e">
        <f>#REF!</f>
        <v>#REF!</v>
      </c>
      <c r="C239" s="143" t="e">
        <f>#REF!</f>
        <v>#REF!</v>
      </c>
      <c r="D239" s="92" t="e">
        <f>#REF!</f>
        <v>#REF!</v>
      </c>
      <c r="E23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0" spans="1:6" s="88" customFormat="1" ht="30" customHeight="1" x14ac:dyDescent="0.25">
      <c r="A24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0" s="92" t="e">
        <f>#REF!</f>
        <v>#REF!</v>
      </c>
      <c r="C240" s="143" t="e">
        <f>#REF!</f>
        <v>#REF!</v>
      </c>
      <c r="D240" s="92" t="e">
        <f>#REF!</f>
        <v>#REF!</v>
      </c>
      <c r="E24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1" spans="1:7" s="88" customFormat="1" ht="30" customHeight="1" x14ac:dyDescent="0.25">
      <c r="A24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1" s="92" t="e">
        <f>#REF!</f>
        <v>#REF!</v>
      </c>
      <c r="C241" s="143" t="e">
        <f>#REF!</f>
        <v>#REF!</v>
      </c>
      <c r="D241" s="92" t="e">
        <f>#REF!</f>
        <v>#REF!</v>
      </c>
      <c r="E24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2" spans="1:7" s="88" customFormat="1" ht="30" customHeight="1" x14ac:dyDescent="0.25">
      <c r="A24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2" s="92" t="e">
        <f>#REF!</f>
        <v>#REF!</v>
      </c>
      <c r="C242" s="143" t="e">
        <f>#REF!</f>
        <v>#REF!</v>
      </c>
      <c r="D242" s="92" t="e">
        <f>#REF!</f>
        <v>#REF!</v>
      </c>
      <c r="E24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3" spans="1:7" s="88" customFormat="1" ht="30" customHeight="1" x14ac:dyDescent="0.25">
      <c r="A24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3" s="92" t="e">
        <f>#REF!</f>
        <v>#REF!</v>
      </c>
      <c r="C243" s="143" t="e">
        <f>#REF!</f>
        <v>#REF!</v>
      </c>
      <c r="D243" s="92" t="e">
        <f>#REF!</f>
        <v>#REF!</v>
      </c>
      <c r="E24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4" spans="1:7" s="88" customFormat="1" ht="30" customHeight="1" x14ac:dyDescent="0.25">
      <c r="A24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4" s="92" t="e">
        <f>#REF!</f>
        <v>#REF!</v>
      </c>
      <c r="C244" s="143" t="e">
        <f>#REF!</f>
        <v>#REF!</v>
      </c>
      <c r="D244" s="92" t="e">
        <f>#REF!</f>
        <v>#REF!</v>
      </c>
      <c r="E24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5" spans="1:7" s="88" customFormat="1" ht="30" customHeight="1" x14ac:dyDescent="0.25">
      <c r="A24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5" s="92" t="e">
        <f>#REF!</f>
        <v>#REF!</v>
      </c>
      <c r="C245" s="143" t="e">
        <f>#REF!</f>
        <v>#REF!</v>
      </c>
      <c r="D245" s="92" t="e">
        <f>#REF!</f>
        <v>#REF!</v>
      </c>
      <c r="E24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6" spans="1:7" s="88" customFormat="1" ht="30" customHeight="1" x14ac:dyDescent="0.25">
      <c r="A24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6" s="92" t="e">
        <f>#REF!</f>
        <v>#REF!</v>
      </c>
      <c r="C246" s="143" t="e">
        <f>#REF!</f>
        <v>#REF!</v>
      </c>
      <c r="D246" s="92" t="e">
        <f>#REF!</f>
        <v>#REF!</v>
      </c>
      <c r="E24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7" spans="1:7" s="88" customFormat="1" ht="30" customHeight="1" x14ac:dyDescent="0.25">
      <c r="A24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7" s="92" t="e">
        <f>#REF!</f>
        <v>#REF!</v>
      </c>
      <c r="C247" s="143" t="e">
        <f>#REF!</f>
        <v>#REF!</v>
      </c>
      <c r="D247" s="92" t="e">
        <f>#REF!</f>
        <v>#REF!</v>
      </c>
      <c r="E24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8" spans="1:7" s="88" customFormat="1" ht="30" customHeight="1" x14ac:dyDescent="0.25">
      <c r="A24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8" s="92" t="e">
        <f>#REF!</f>
        <v>#REF!</v>
      </c>
      <c r="C248" s="143" t="e">
        <f>#REF!</f>
        <v>#REF!</v>
      </c>
      <c r="D248" s="92" t="e">
        <f>#REF!</f>
        <v>#REF!</v>
      </c>
      <c r="E24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9" spans="1:7" s="88" customFormat="1" ht="30" customHeight="1" x14ac:dyDescent="0.25">
      <c r="A24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9" s="92" t="e">
        <f>#REF!</f>
        <v>#REF!</v>
      </c>
      <c r="C249" s="143" t="e">
        <f>#REF!</f>
        <v>#REF!</v>
      </c>
      <c r="D249" s="92" t="e">
        <f>#REF!</f>
        <v>#REF!</v>
      </c>
      <c r="E24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0" spans="1:7" s="88" customFormat="1" ht="30" customHeight="1" x14ac:dyDescent="0.25">
      <c r="A25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50" s="92" t="e">
        <f>#REF!</f>
        <v>#REF!</v>
      </c>
      <c r="C250" s="143" t="e">
        <f>#REF!</f>
        <v>#REF!</v>
      </c>
      <c r="D250" s="92" t="e">
        <f>#REF!</f>
        <v>#REF!</v>
      </c>
      <c r="E25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5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1" spans="1:7" s="88" customFormat="1" ht="30" customHeight="1" x14ac:dyDescent="0.25">
      <c r="A25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51" s="92" t="e">
        <f>#REF!</f>
        <v>#REF!</v>
      </c>
      <c r="C251" s="143" t="e">
        <f>#REF!</f>
        <v>#REF!</v>
      </c>
      <c r="D251" s="92" t="e">
        <f>#REF!</f>
        <v>#REF!</v>
      </c>
      <c r="E25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5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2" spans="1:7" s="88" customFormat="1" ht="30" customHeight="1" x14ac:dyDescent="0.25">
      <c r="A25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52" s="92" t="e">
        <f>#REF!</f>
        <v>#REF!</v>
      </c>
      <c r="C252" s="184" t="e">
        <f>#REF!</f>
        <v>#REF!</v>
      </c>
      <c r="D252" s="185" t="e">
        <f>#REF!</f>
        <v>#REF!</v>
      </c>
      <c r="E252" s="186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52" s="187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3" spans="1:7" ht="24.95" customHeight="1" x14ac:dyDescent="0.25">
      <c r="A253" s="139"/>
      <c r="B253" s="474" t="str">
        <f>IF(C3=1,"TOTAL (-10%)",  "TOTAL")</f>
        <v>TOTAL (-10%)</v>
      </c>
      <c r="C253" s="475"/>
      <c r="D253" s="472" t="e">
        <f>IF(C3=1, (SUM(F9:F252)*0.9), SUM(F9:F252))</f>
        <v>#REF!</v>
      </c>
      <c r="E253" s="472"/>
      <c r="F253" s="472"/>
    </row>
    <row r="254" spans="1:7" ht="24.95" customHeight="1" x14ac:dyDescent="0.25">
      <c r="A254" s="139"/>
      <c r="B254" s="476" t="s">
        <v>623</v>
      </c>
      <c r="C254" s="477"/>
      <c r="D254" s="473" t="s">
        <v>626</v>
      </c>
      <c r="E254" s="473"/>
      <c r="F254" s="473"/>
    </row>
    <row r="255" spans="1:7" ht="20.100000000000001" customHeight="1" x14ac:dyDescent="0.25">
      <c r="A255" s="139"/>
      <c r="B255" s="144"/>
      <c r="C255" s="188"/>
      <c r="D255" s="189"/>
      <c r="E255" s="190"/>
      <c r="F255" s="191"/>
      <c r="G255" s="158"/>
    </row>
    <row r="256" spans="1:7" ht="20.100000000000001" customHeight="1" x14ac:dyDescent="0.25">
      <c r="A256" s="139"/>
      <c r="B256" s="144"/>
      <c r="C256" s="155"/>
      <c r="D256" s="145"/>
      <c r="E256" s="156"/>
      <c r="F256" s="157"/>
      <c r="G256" s="158"/>
    </row>
    <row r="257" spans="1:7" ht="20.100000000000001" customHeight="1" x14ac:dyDescent="0.25">
      <c r="A257" s="459"/>
      <c r="B257" s="460"/>
      <c r="C257" s="460"/>
      <c r="D257" s="460"/>
      <c r="E257" s="460"/>
      <c r="F257" s="461"/>
      <c r="G257" s="158"/>
    </row>
  </sheetData>
  <sheetProtection autoFilter="0"/>
  <autoFilter ref="A8:F257" xr:uid="{1D57CE33-FDB0-47BF-A579-132DF115C4EB}"/>
  <mergeCells count="12">
    <mergeCell ref="A257:F257"/>
    <mergeCell ref="B1:F1"/>
    <mergeCell ref="C7:F7"/>
    <mergeCell ref="E3:F3"/>
    <mergeCell ref="E4:F4"/>
    <mergeCell ref="D5:F6"/>
    <mergeCell ref="B2:C2"/>
    <mergeCell ref="D2:F2"/>
    <mergeCell ref="D253:F253"/>
    <mergeCell ref="D254:F254"/>
    <mergeCell ref="B253:C253"/>
    <mergeCell ref="B254:C254"/>
  </mergeCells>
  <dataValidations count="1">
    <dataValidation type="list" allowBlank="1" showInputMessage="1" showErrorMessage="1" sqref="C3" xr:uid="{7D8672D5-6BB2-4278-A7CA-AA1F12EDCA7A}">
      <formula1>"1,2,3,4,5,6,7,8,9,10,11,12,13,14,15,16,17,18,19,20"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portrait" horizontalDpi="0" verticalDpi="0"/>
  <headerFooter>
    <oddFooter>&amp;C&amp;"Calibri,Normal"&amp;K000000Immatriculation au RCS Bayonne 879 751 477 4721Z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F665-F27C-4EB9-A354-3A483D8067F9}">
  <sheetPr codeName="Feuil22"/>
  <dimension ref="A1:M253"/>
  <sheetViews>
    <sheetView zoomScale="125" zoomScaleNormal="150" workbookViewId="0">
      <pane ySplit="1" topLeftCell="A175" activePane="bottomLeft" state="frozen"/>
      <selection activeCell="F19" sqref="F19"/>
      <selection pane="bottomLeft" activeCell="C188" sqref="C188"/>
    </sheetView>
  </sheetViews>
  <sheetFormatPr baseColWidth="10" defaultColWidth="0" defaultRowHeight="11.25" zeroHeight="1" outlineLevelCol="1" x14ac:dyDescent="0.25"/>
  <cols>
    <col min="1" max="1" width="11.42578125" style="2" customWidth="1"/>
    <col min="2" max="2" width="31.85546875" style="1" customWidth="1"/>
    <col min="3" max="3" width="11.42578125" style="2" customWidth="1" outlineLevel="1"/>
    <col min="4" max="4" width="51.28515625" style="1" customWidth="1" outlineLevel="1"/>
    <col min="5" max="5" width="9.28515625" style="2" customWidth="1" outlineLevel="1"/>
    <col min="6" max="6" width="6.7109375" style="2" customWidth="1" outlineLevel="1"/>
    <col min="7" max="7" width="9.7109375" style="1" customWidth="1" outlineLevel="1"/>
    <col min="8" max="8" width="6.7109375" style="1" customWidth="1"/>
    <col min="9" max="12" width="5.7109375" style="1" customWidth="1"/>
    <col min="13" max="13" width="4.140625" style="1" customWidth="1"/>
    <col min="14" max="16384" width="11.42578125" style="1" hidden="1"/>
  </cols>
  <sheetData>
    <row r="1" spans="1:13" s="2" customFormat="1" ht="38.25" x14ac:dyDescent="0.25">
      <c r="A1" s="131" t="s">
        <v>5</v>
      </c>
      <c r="B1" s="95" t="s">
        <v>7</v>
      </c>
      <c r="C1" s="95" t="s">
        <v>8</v>
      </c>
      <c r="D1" s="95" t="s">
        <v>45</v>
      </c>
      <c r="E1" s="95" t="s">
        <v>46</v>
      </c>
      <c r="F1" s="95" t="s">
        <v>6</v>
      </c>
      <c r="G1" s="95" t="s">
        <v>47</v>
      </c>
      <c r="H1" s="95" t="s">
        <v>44</v>
      </c>
      <c r="I1" s="96" t="s">
        <v>48</v>
      </c>
      <c r="J1" s="96" t="s">
        <v>49</v>
      </c>
      <c r="K1" s="96" t="s">
        <v>50</v>
      </c>
      <c r="L1" s="95" t="s">
        <v>51</v>
      </c>
    </row>
    <row r="2" spans="1:13" ht="30" customHeight="1" x14ac:dyDescent="0.25">
      <c r="A2" s="138">
        <v>6096</v>
      </c>
      <c r="B2" s="123" t="s">
        <v>528</v>
      </c>
      <c r="C2" s="124" t="s">
        <v>52</v>
      </c>
      <c r="D2" s="123" t="s">
        <v>53</v>
      </c>
      <c r="E2" s="124" t="s">
        <v>54</v>
      </c>
      <c r="F2" s="125" t="s">
        <v>2</v>
      </c>
      <c r="G2" s="136">
        <v>30.11</v>
      </c>
      <c r="H2" s="126" t="s">
        <v>55</v>
      </c>
      <c r="I2" s="127"/>
      <c r="J2" s="127"/>
      <c r="K2" s="127"/>
      <c r="L2" s="127"/>
    </row>
    <row r="3" spans="1:13" ht="30" customHeight="1" x14ac:dyDescent="0.25">
      <c r="A3" s="138" t="s">
        <v>462</v>
      </c>
      <c r="B3" s="123" t="s">
        <v>59</v>
      </c>
      <c r="C3" s="124" t="s">
        <v>60</v>
      </c>
      <c r="D3" s="123" t="s">
        <v>61</v>
      </c>
      <c r="E3" s="124" t="s">
        <v>62</v>
      </c>
      <c r="F3" s="125" t="s">
        <v>592</v>
      </c>
      <c r="G3" s="136">
        <v>8.19</v>
      </c>
      <c r="H3" s="126" t="s">
        <v>63</v>
      </c>
      <c r="I3" s="127" t="s">
        <v>56</v>
      </c>
      <c r="J3" s="127"/>
      <c r="K3" s="127"/>
      <c r="L3" s="127"/>
      <c r="M3" s="97"/>
    </row>
    <row r="4" spans="1:13" ht="30" customHeight="1" x14ac:dyDescent="0.25">
      <c r="A4" s="138">
        <v>1497</v>
      </c>
      <c r="B4" s="123" t="s">
        <v>529</v>
      </c>
      <c r="C4" s="124" t="s">
        <v>64</v>
      </c>
      <c r="D4" s="123" t="s">
        <v>65</v>
      </c>
      <c r="E4" s="124" t="s">
        <v>66</v>
      </c>
      <c r="F4" s="125" t="s">
        <v>592</v>
      </c>
      <c r="G4" s="136">
        <v>52.03</v>
      </c>
      <c r="H4" s="126" t="s">
        <v>55</v>
      </c>
      <c r="I4" s="127"/>
      <c r="J4" s="127"/>
      <c r="K4" s="127"/>
      <c r="L4" s="127"/>
    </row>
    <row r="5" spans="1:13" ht="30" customHeight="1" x14ac:dyDescent="0.25">
      <c r="A5" s="138">
        <v>1497</v>
      </c>
      <c r="B5" s="123" t="s">
        <v>530</v>
      </c>
      <c r="C5" s="124" t="s">
        <v>64</v>
      </c>
      <c r="D5" s="123" t="s">
        <v>67</v>
      </c>
      <c r="E5" s="124" t="s">
        <v>66</v>
      </c>
      <c r="F5" s="125" t="s">
        <v>2</v>
      </c>
      <c r="G5" s="136">
        <v>26.7</v>
      </c>
      <c r="H5" s="126" t="s">
        <v>55</v>
      </c>
      <c r="I5" s="127"/>
      <c r="J5" s="127"/>
      <c r="K5" s="127"/>
      <c r="L5" s="127"/>
    </row>
    <row r="6" spans="1:13" ht="30" customHeight="1" x14ac:dyDescent="0.25">
      <c r="A6" s="138">
        <v>1189</v>
      </c>
      <c r="B6" s="123" t="s">
        <v>531</v>
      </c>
      <c r="C6" s="124" t="s">
        <v>68</v>
      </c>
      <c r="D6" s="123" t="s">
        <v>69</v>
      </c>
      <c r="E6" s="124" t="s">
        <v>68</v>
      </c>
      <c r="F6" s="125" t="s">
        <v>2</v>
      </c>
      <c r="G6" s="136">
        <v>82.17</v>
      </c>
      <c r="H6" s="126" t="s">
        <v>55</v>
      </c>
      <c r="I6" s="127"/>
      <c r="J6" s="127"/>
      <c r="K6" s="127"/>
      <c r="L6" s="127"/>
    </row>
    <row r="7" spans="1:13" ht="30" customHeight="1" x14ac:dyDescent="0.25">
      <c r="A7" s="138">
        <v>1189</v>
      </c>
      <c r="B7" s="123" t="s">
        <v>532</v>
      </c>
      <c r="C7" s="124" t="s">
        <v>68</v>
      </c>
      <c r="D7" s="123" t="s">
        <v>70</v>
      </c>
      <c r="E7" s="124" t="s">
        <v>68</v>
      </c>
      <c r="F7" s="125" t="s">
        <v>2</v>
      </c>
      <c r="G7" s="136">
        <v>41.77</v>
      </c>
      <c r="H7" s="126" t="s">
        <v>55</v>
      </c>
      <c r="I7" s="127"/>
      <c r="J7" s="127"/>
      <c r="K7" s="127"/>
      <c r="L7" s="127"/>
    </row>
    <row r="8" spans="1:13" ht="30" customHeight="1" x14ac:dyDescent="0.25">
      <c r="A8" s="138">
        <v>6073</v>
      </c>
      <c r="B8" s="123" t="s">
        <v>533</v>
      </c>
      <c r="C8" s="124" t="s">
        <v>71</v>
      </c>
      <c r="D8" s="123" t="s">
        <v>72</v>
      </c>
      <c r="E8" s="124" t="s">
        <v>73</v>
      </c>
      <c r="F8" s="125" t="s">
        <v>2</v>
      </c>
      <c r="G8" s="136">
        <v>37.659999999999997</v>
      </c>
      <c r="H8" s="126" t="s">
        <v>55</v>
      </c>
      <c r="I8" s="127"/>
      <c r="J8" s="127"/>
      <c r="K8" s="127"/>
      <c r="L8" s="127"/>
    </row>
    <row r="9" spans="1:13" ht="30" customHeight="1" x14ac:dyDescent="0.25">
      <c r="A9" s="138">
        <v>6073</v>
      </c>
      <c r="B9" s="123" t="s">
        <v>534</v>
      </c>
      <c r="C9" s="124" t="s">
        <v>71</v>
      </c>
      <c r="D9" s="123" t="s">
        <v>74</v>
      </c>
      <c r="E9" s="124" t="s">
        <v>73</v>
      </c>
      <c r="F9" s="125" t="s">
        <v>2</v>
      </c>
      <c r="G9" s="136">
        <v>19.579999999999998</v>
      </c>
      <c r="H9" s="126" t="s">
        <v>55</v>
      </c>
      <c r="I9" s="127"/>
      <c r="J9" s="127"/>
      <c r="K9" s="127"/>
      <c r="L9" s="127"/>
    </row>
    <row r="10" spans="1:13" ht="30" customHeight="1" x14ac:dyDescent="0.25">
      <c r="A10" s="138">
        <v>1096</v>
      </c>
      <c r="B10" s="123" t="s">
        <v>535</v>
      </c>
      <c r="C10" s="124" t="s">
        <v>71</v>
      </c>
      <c r="D10" s="123" t="s">
        <v>72</v>
      </c>
      <c r="E10" s="124" t="s">
        <v>73</v>
      </c>
      <c r="F10" s="125" t="s">
        <v>2</v>
      </c>
      <c r="G10" s="136">
        <v>53.4</v>
      </c>
      <c r="H10" s="126" t="s">
        <v>55</v>
      </c>
      <c r="I10" s="127"/>
      <c r="J10" s="127"/>
      <c r="K10" s="127"/>
      <c r="L10" s="127"/>
    </row>
    <row r="11" spans="1:13" ht="30" customHeight="1" x14ac:dyDescent="0.25">
      <c r="A11" s="138">
        <v>1096</v>
      </c>
      <c r="B11" s="123" t="s">
        <v>536</v>
      </c>
      <c r="C11" s="124" t="s">
        <v>71</v>
      </c>
      <c r="D11" s="123" t="s">
        <v>75</v>
      </c>
      <c r="E11" s="124" t="s">
        <v>73</v>
      </c>
      <c r="F11" s="125" t="s">
        <v>2</v>
      </c>
      <c r="G11" s="136">
        <v>27.37</v>
      </c>
      <c r="H11" s="126" t="s">
        <v>55</v>
      </c>
      <c r="I11" s="127"/>
      <c r="J11" s="127"/>
      <c r="K11" s="127"/>
      <c r="L11" s="127"/>
    </row>
    <row r="12" spans="1:13" ht="30" customHeight="1" x14ac:dyDescent="0.25">
      <c r="A12" s="138">
        <v>1102</v>
      </c>
      <c r="B12" s="123" t="s">
        <v>595</v>
      </c>
      <c r="C12" s="124" t="s">
        <v>60</v>
      </c>
      <c r="D12" s="123" t="s">
        <v>76</v>
      </c>
      <c r="E12" s="124" t="s">
        <v>62</v>
      </c>
      <c r="F12" s="125" t="s">
        <v>2</v>
      </c>
      <c r="G12" s="136">
        <v>3.55</v>
      </c>
      <c r="H12" s="126" t="s">
        <v>55</v>
      </c>
      <c r="I12" s="127" t="s">
        <v>56</v>
      </c>
      <c r="J12" s="127" t="s">
        <v>56</v>
      </c>
      <c r="K12" s="127" t="s">
        <v>56</v>
      </c>
      <c r="L12" s="127"/>
    </row>
    <row r="13" spans="1:13" ht="30" customHeight="1" x14ac:dyDescent="0.25">
      <c r="A13" s="138">
        <v>5035</v>
      </c>
      <c r="B13" s="123" t="s">
        <v>77</v>
      </c>
      <c r="C13" s="124" t="s">
        <v>57</v>
      </c>
      <c r="D13" s="123" t="s">
        <v>463</v>
      </c>
      <c r="E13" s="124" t="s">
        <v>58</v>
      </c>
      <c r="F13" s="125" t="s">
        <v>2</v>
      </c>
      <c r="G13" s="136">
        <v>4.08</v>
      </c>
      <c r="H13" s="126" t="s">
        <v>63</v>
      </c>
      <c r="I13" s="127"/>
      <c r="J13" s="127"/>
      <c r="K13" s="127"/>
      <c r="L13" s="127"/>
    </row>
    <row r="14" spans="1:13" ht="30" customHeight="1" x14ac:dyDescent="0.25">
      <c r="A14" s="138">
        <v>5147</v>
      </c>
      <c r="B14" s="123" t="s">
        <v>78</v>
      </c>
      <c r="C14" s="124" t="s">
        <v>57</v>
      </c>
      <c r="D14" s="123" t="s">
        <v>464</v>
      </c>
      <c r="E14" s="124" t="s">
        <v>58</v>
      </c>
      <c r="F14" s="125" t="s">
        <v>2</v>
      </c>
      <c r="G14" s="136">
        <v>3.41</v>
      </c>
      <c r="H14" s="126" t="s">
        <v>63</v>
      </c>
      <c r="I14" s="127" t="s">
        <v>56</v>
      </c>
      <c r="J14" s="127" t="s">
        <v>56</v>
      </c>
      <c r="K14" s="127" t="s">
        <v>56</v>
      </c>
      <c r="L14" s="127"/>
    </row>
    <row r="15" spans="1:13" ht="30" customHeight="1" x14ac:dyDescent="0.25">
      <c r="A15" s="138">
        <v>5127</v>
      </c>
      <c r="B15" s="123" t="s">
        <v>499</v>
      </c>
      <c r="C15" s="124" t="s">
        <v>60</v>
      </c>
      <c r="D15" s="123" t="s">
        <v>500</v>
      </c>
      <c r="E15" s="124" t="s">
        <v>62</v>
      </c>
      <c r="F15" s="125"/>
      <c r="G15" s="136">
        <v>3.69</v>
      </c>
      <c r="H15" s="126" t="s">
        <v>63</v>
      </c>
      <c r="I15" s="127" t="s">
        <v>56</v>
      </c>
      <c r="J15" s="127"/>
      <c r="K15" s="127"/>
      <c r="L15" s="127"/>
    </row>
    <row r="16" spans="1:13" ht="30" customHeight="1" x14ac:dyDescent="0.25">
      <c r="A16" s="138">
        <v>1197</v>
      </c>
      <c r="B16" s="123" t="s">
        <v>537</v>
      </c>
      <c r="C16" s="124" t="s">
        <v>57</v>
      </c>
      <c r="D16" s="123" t="s">
        <v>79</v>
      </c>
      <c r="E16" s="124" t="s">
        <v>58</v>
      </c>
      <c r="F16" s="125" t="s">
        <v>2</v>
      </c>
      <c r="G16" s="136">
        <v>24.63</v>
      </c>
      <c r="H16" s="126" t="s">
        <v>55</v>
      </c>
      <c r="I16" s="127" t="s">
        <v>56</v>
      </c>
      <c r="J16" s="127"/>
      <c r="K16" s="127"/>
      <c r="L16" s="127"/>
    </row>
    <row r="17" spans="1:12" ht="30" customHeight="1" x14ac:dyDescent="0.25">
      <c r="A17" s="138">
        <v>3020</v>
      </c>
      <c r="B17" s="123" t="s">
        <v>627</v>
      </c>
      <c r="C17" s="124" t="s">
        <v>80</v>
      </c>
      <c r="D17" s="123" t="s">
        <v>81</v>
      </c>
      <c r="E17" s="124" t="s">
        <v>80</v>
      </c>
      <c r="F17" s="125" t="s">
        <v>2</v>
      </c>
      <c r="G17" s="136">
        <v>4.37</v>
      </c>
      <c r="H17" s="126" t="s">
        <v>63</v>
      </c>
      <c r="I17" s="127" t="s">
        <v>56</v>
      </c>
      <c r="J17" s="127" t="s">
        <v>56</v>
      </c>
      <c r="K17" s="127"/>
      <c r="L17" s="127" t="s">
        <v>56</v>
      </c>
    </row>
    <row r="18" spans="1:12" ht="30" customHeight="1" x14ac:dyDescent="0.25">
      <c r="A18" s="138">
        <v>1338</v>
      </c>
      <c r="B18" s="123" t="s">
        <v>628</v>
      </c>
      <c r="C18" s="124" t="s">
        <v>80</v>
      </c>
      <c r="D18" s="123" t="s">
        <v>82</v>
      </c>
      <c r="E18" s="124" t="s">
        <v>80</v>
      </c>
      <c r="F18" s="125" t="s">
        <v>2</v>
      </c>
      <c r="G18" s="136">
        <v>27.37</v>
      </c>
      <c r="H18" s="126" t="s">
        <v>55</v>
      </c>
      <c r="I18" s="127"/>
      <c r="J18" s="127"/>
      <c r="K18" s="127"/>
      <c r="L18" s="127"/>
    </row>
    <row r="19" spans="1:12" ht="30" customHeight="1" x14ac:dyDescent="0.25">
      <c r="A19" s="138">
        <v>3785</v>
      </c>
      <c r="B19" s="123" t="s">
        <v>83</v>
      </c>
      <c r="C19" s="124" t="s">
        <v>84</v>
      </c>
      <c r="D19" s="123" t="s">
        <v>85</v>
      </c>
      <c r="E19" s="124" t="s">
        <v>86</v>
      </c>
      <c r="F19" s="125" t="s">
        <v>2</v>
      </c>
      <c r="G19" s="136">
        <v>4.37</v>
      </c>
      <c r="H19" s="126" t="s">
        <v>63</v>
      </c>
      <c r="I19" s="127" t="s">
        <v>56</v>
      </c>
      <c r="J19" s="127" t="s">
        <v>56</v>
      </c>
      <c r="K19" s="127"/>
      <c r="L19" s="127"/>
    </row>
    <row r="20" spans="1:12" ht="30" customHeight="1" x14ac:dyDescent="0.25">
      <c r="A20" s="138">
        <v>1827</v>
      </c>
      <c r="B20" s="123" t="s">
        <v>87</v>
      </c>
      <c r="C20" s="124" t="s">
        <v>84</v>
      </c>
      <c r="D20" s="123" t="s">
        <v>88</v>
      </c>
      <c r="E20" s="124" t="s">
        <v>86</v>
      </c>
      <c r="F20" s="125" t="s">
        <v>2</v>
      </c>
      <c r="G20" s="136">
        <v>7.52</v>
      </c>
      <c r="H20" s="126" t="s">
        <v>63</v>
      </c>
      <c r="I20" s="127" t="s">
        <v>56</v>
      </c>
      <c r="J20" s="127" t="s">
        <v>56</v>
      </c>
      <c r="K20" s="127"/>
      <c r="L20" s="127"/>
    </row>
    <row r="21" spans="1:12" ht="30" customHeight="1" x14ac:dyDescent="0.25">
      <c r="A21" s="138">
        <v>1008</v>
      </c>
      <c r="B21" s="123" t="s">
        <v>629</v>
      </c>
      <c r="C21" s="124" t="s">
        <v>60</v>
      </c>
      <c r="D21" s="123" t="s">
        <v>630</v>
      </c>
      <c r="E21" s="124" t="s">
        <v>62</v>
      </c>
      <c r="F21" s="125"/>
      <c r="G21" s="136">
        <v>3.69</v>
      </c>
      <c r="H21" s="126" t="s">
        <v>63</v>
      </c>
      <c r="I21" s="127" t="s">
        <v>56</v>
      </c>
      <c r="J21" s="127" t="s">
        <v>56</v>
      </c>
      <c r="K21" s="127"/>
      <c r="L21" s="127" t="s">
        <v>56</v>
      </c>
    </row>
    <row r="22" spans="1:12" ht="30" customHeight="1" x14ac:dyDescent="0.25">
      <c r="A22" s="138">
        <v>3001</v>
      </c>
      <c r="B22" s="123" t="s">
        <v>466</v>
      </c>
      <c r="C22" s="124" t="s">
        <v>57</v>
      </c>
      <c r="D22" s="123" t="s">
        <v>465</v>
      </c>
      <c r="E22" s="124" t="s">
        <v>58</v>
      </c>
      <c r="F22" s="125" t="s">
        <v>2</v>
      </c>
      <c r="G22" s="136">
        <v>5.33</v>
      </c>
      <c r="H22" s="126" t="s">
        <v>63</v>
      </c>
      <c r="I22" s="127" t="s">
        <v>56</v>
      </c>
      <c r="J22" s="127" t="s">
        <v>56</v>
      </c>
      <c r="K22" s="127"/>
      <c r="L22" s="127" t="s">
        <v>56</v>
      </c>
    </row>
    <row r="23" spans="1:12" ht="30" customHeight="1" x14ac:dyDescent="0.25">
      <c r="A23" s="138">
        <v>1001</v>
      </c>
      <c r="B23" s="123" t="s">
        <v>89</v>
      </c>
      <c r="C23" s="124" t="s">
        <v>57</v>
      </c>
      <c r="D23" s="123" t="s">
        <v>90</v>
      </c>
      <c r="E23" s="124" t="s">
        <v>58</v>
      </c>
      <c r="F23" s="125"/>
      <c r="G23" s="136">
        <v>5.45</v>
      </c>
      <c r="H23" s="126" t="s">
        <v>63</v>
      </c>
      <c r="I23" s="127" t="s">
        <v>56</v>
      </c>
      <c r="J23" s="127" t="s">
        <v>56</v>
      </c>
      <c r="K23" s="127"/>
      <c r="L23" s="127" t="s">
        <v>56</v>
      </c>
    </row>
    <row r="24" spans="1:12" ht="30" customHeight="1" x14ac:dyDescent="0.25">
      <c r="A24" s="138">
        <v>3944</v>
      </c>
      <c r="B24" s="123" t="s">
        <v>495</v>
      </c>
      <c r="C24" s="124" t="s">
        <v>57</v>
      </c>
      <c r="D24" s="123" t="s">
        <v>496</v>
      </c>
      <c r="E24" s="124" t="s">
        <v>58</v>
      </c>
      <c r="F24" s="125" t="s">
        <v>2</v>
      </c>
      <c r="G24" s="136">
        <v>5.74</v>
      </c>
      <c r="H24" s="126" t="s">
        <v>63</v>
      </c>
      <c r="I24" s="127"/>
      <c r="J24" s="127"/>
      <c r="K24" s="127"/>
      <c r="L24" s="127" t="s">
        <v>56</v>
      </c>
    </row>
    <row r="25" spans="1:12" ht="30" customHeight="1" x14ac:dyDescent="0.25">
      <c r="A25" s="138" t="s">
        <v>631</v>
      </c>
      <c r="B25" s="123" t="s">
        <v>632</v>
      </c>
      <c r="C25" s="124" t="s">
        <v>60</v>
      </c>
      <c r="D25" s="123" t="s">
        <v>633</v>
      </c>
      <c r="E25" s="124" t="s">
        <v>62</v>
      </c>
      <c r="F25" s="125"/>
      <c r="G25" s="136">
        <v>4.08</v>
      </c>
      <c r="H25" s="126" t="s">
        <v>63</v>
      </c>
      <c r="I25" s="127" t="s">
        <v>56</v>
      </c>
      <c r="J25" s="127" t="s">
        <v>56</v>
      </c>
      <c r="K25" s="127" t="s">
        <v>56</v>
      </c>
      <c r="L25" s="127" t="s">
        <v>56</v>
      </c>
    </row>
    <row r="26" spans="1:12" ht="30" customHeight="1" x14ac:dyDescent="0.25">
      <c r="A26" s="138">
        <v>3048</v>
      </c>
      <c r="B26" s="123" t="s">
        <v>538</v>
      </c>
      <c r="C26" s="124" t="s">
        <v>60</v>
      </c>
      <c r="D26" s="123" t="s">
        <v>539</v>
      </c>
      <c r="E26" s="124" t="s">
        <v>62</v>
      </c>
      <c r="F26" s="125" t="s">
        <v>2</v>
      </c>
      <c r="G26" s="136">
        <v>5.45</v>
      </c>
      <c r="H26" s="126" t="s">
        <v>63</v>
      </c>
      <c r="I26" s="127" t="s">
        <v>56</v>
      </c>
      <c r="J26" s="127" t="s">
        <v>56</v>
      </c>
      <c r="K26" s="127"/>
      <c r="L26" s="127" t="s">
        <v>56</v>
      </c>
    </row>
    <row r="27" spans="1:12" ht="30" customHeight="1" x14ac:dyDescent="0.25">
      <c r="A27" s="138">
        <v>1200</v>
      </c>
      <c r="B27" s="123" t="s">
        <v>540</v>
      </c>
      <c r="C27" s="124" t="s">
        <v>57</v>
      </c>
      <c r="D27" s="123" t="s">
        <v>541</v>
      </c>
      <c r="E27" s="124" t="s">
        <v>58</v>
      </c>
      <c r="F27" s="125" t="s">
        <v>2</v>
      </c>
      <c r="G27" s="136">
        <v>6.15</v>
      </c>
      <c r="H27" s="126" t="s">
        <v>63</v>
      </c>
      <c r="I27" s="127" t="s">
        <v>56</v>
      </c>
      <c r="J27" s="127" t="s">
        <v>56</v>
      </c>
      <c r="K27" s="127"/>
      <c r="L27" s="127" t="s">
        <v>56</v>
      </c>
    </row>
    <row r="28" spans="1:12" ht="30" customHeight="1" x14ac:dyDescent="0.25">
      <c r="A28" s="138">
        <v>1527</v>
      </c>
      <c r="B28" s="123" t="s">
        <v>447</v>
      </c>
      <c r="C28" s="124" t="s">
        <v>91</v>
      </c>
      <c r="D28" s="123" t="s">
        <v>92</v>
      </c>
      <c r="E28" s="124" t="s">
        <v>93</v>
      </c>
      <c r="F28" s="125" t="s">
        <v>2</v>
      </c>
      <c r="G28" s="136">
        <v>28.74</v>
      </c>
      <c r="H28" s="126" t="s">
        <v>55</v>
      </c>
      <c r="I28" s="127"/>
      <c r="J28" s="127"/>
      <c r="K28" s="127"/>
      <c r="L28" s="127"/>
    </row>
    <row r="29" spans="1:12" ht="30" customHeight="1" x14ac:dyDescent="0.25">
      <c r="A29" s="138">
        <v>1527</v>
      </c>
      <c r="B29" s="123" t="s">
        <v>448</v>
      </c>
      <c r="C29" s="124" t="s">
        <v>91</v>
      </c>
      <c r="D29" s="123" t="s">
        <v>94</v>
      </c>
      <c r="E29" s="124" t="s">
        <v>93</v>
      </c>
      <c r="F29" s="125" t="s">
        <v>2</v>
      </c>
      <c r="G29" s="136">
        <v>15.04</v>
      </c>
      <c r="H29" s="126" t="s">
        <v>55</v>
      </c>
      <c r="I29" s="127"/>
      <c r="J29" s="127"/>
      <c r="K29" s="127"/>
      <c r="L29" s="127"/>
    </row>
    <row r="30" spans="1:12" ht="30" customHeight="1" x14ac:dyDescent="0.25">
      <c r="A30" s="138">
        <v>3033</v>
      </c>
      <c r="B30" s="123" t="s">
        <v>467</v>
      </c>
      <c r="C30" s="124" t="s">
        <v>57</v>
      </c>
      <c r="D30" s="123" t="s">
        <v>95</v>
      </c>
      <c r="E30" s="124" t="s">
        <v>58</v>
      </c>
      <c r="F30" s="125" t="s">
        <v>2</v>
      </c>
      <c r="G30" s="136">
        <v>4.08</v>
      </c>
      <c r="H30" s="128" t="s">
        <v>63</v>
      </c>
      <c r="I30" s="127" t="s">
        <v>56</v>
      </c>
      <c r="J30" s="127" t="s">
        <v>56</v>
      </c>
      <c r="K30" s="127" t="s">
        <v>56</v>
      </c>
      <c r="L30" s="127" t="s">
        <v>56</v>
      </c>
    </row>
    <row r="31" spans="1:12" ht="30" customHeight="1" x14ac:dyDescent="0.25">
      <c r="A31" s="138" t="s">
        <v>507</v>
      </c>
      <c r="B31" s="123" t="s">
        <v>596</v>
      </c>
      <c r="C31" s="124" t="s">
        <v>508</v>
      </c>
      <c r="D31" s="123" t="s">
        <v>509</v>
      </c>
      <c r="E31" s="124" t="s">
        <v>510</v>
      </c>
      <c r="F31" s="125" t="s">
        <v>2</v>
      </c>
      <c r="G31" s="136">
        <v>4.78</v>
      </c>
      <c r="H31" s="126" t="s">
        <v>63</v>
      </c>
      <c r="I31" s="127" t="s">
        <v>56</v>
      </c>
      <c r="J31" s="127"/>
      <c r="K31" s="127"/>
      <c r="L31" s="127" t="s">
        <v>56</v>
      </c>
    </row>
    <row r="32" spans="1:12" ht="30" customHeight="1" x14ac:dyDescent="0.25">
      <c r="A32" s="138">
        <v>3746</v>
      </c>
      <c r="B32" s="123" t="s">
        <v>597</v>
      </c>
      <c r="C32" s="124" t="s">
        <v>57</v>
      </c>
      <c r="D32" s="123" t="s">
        <v>96</v>
      </c>
      <c r="E32" s="124" t="s">
        <v>58</v>
      </c>
      <c r="F32" s="125" t="s">
        <v>2</v>
      </c>
      <c r="G32" s="136">
        <v>4.78</v>
      </c>
      <c r="H32" s="126" t="s">
        <v>55</v>
      </c>
      <c r="I32" s="127"/>
      <c r="J32" s="127"/>
      <c r="K32" s="127"/>
      <c r="L32" s="127"/>
    </row>
    <row r="33" spans="1:12" ht="30" customHeight="1" x14ac:dyDescent="0.25">
      <c r="A33" s="138">
        <v>1458</v>
      </c>
      <c r="B33" s="123" t="s">
        <v>542</v>
      </c>
      <c r="C33" s="124" t="s">
        <v>64</v>
      </c>
      <c r="D33" s="123" t="s">
        <v>543</v>
      </c>
      <c r="E33" s="124" t="s">
        <v>66</v>
      </c>
      <c r="F33" s="125"/>
      <c r="G33" s="136">
        <v>8.07</v>
      </c>
      <c r="H33" s="128" t="s">
        <v>55</v>
      </c>
      <c r="I33" s="127"/>
      <c r="J33" s="127"/>
      <c r="K33" s="127"/>
      <c r="L33" s="127"/>
    </row>
    <row r="34" spans="1:12" ht="30" customHeight="1" x14ac:dyDescent="0.25">
      <c r="A34" s="138" t="s">
        <v>97</v>
      </c>
      <c r="B34" s="123" t="s">
        <v>98</v>
      </c>
      <c r="C34" s="124" t="s">
        <v>60</v>
      </c>
      <c r="D34" s="123" t="s">
        <v>99</v>
      </c>
      <c r="E34" s="124" t="s">
        <v>62</v>
      </c>
      <c r="F34" s="125"/>
      <c r="G34" s="136">
        <v>2.3199999999999998</v>
      </c>
      <c r="H34" s="126" t="s">
        <v>63</v>
      </c>
      <c r="I34" s="127" t="s">
        <v>56</v>
      </c>
      <c r="J34" s="127"/>
      <c r="K34" s="127"/>
      <c r="L34" s="127" t="s">
        <v>56</v>
      </c>
    </row>
    <row r="35" spans="1:12" ht="30" customHeight="1" x14ac:dyDescent="0.25">
      <c r="A35" s="138">
        <v>1696</v>
      </c>
      <c r="B35" s="129" t="s">
        <v>544</v>
      </c>
      <c r="C35" s="134" t="s">
        <v>100</v>
      </c>
      <c r="D35" s="129" t="s">
        <v>101</v>
      </c>
      <c r="E35" s="134" t="s">
        <v>102</v>
      </c>
      <c r="F35" s="135" t="s">
        <v>2</v>
      </c>
      <c r="G35" s="137">
        <v>23.96</v>
      </c>
      <c r="H35" s="126" t="s">
        <v>55</v>
      </c>
      <c r="I35" s="133"/>
      <c r="J35" s="133"/>
      <c r="K35" s="133"/>
      <c r="L35" s="133"/>
    </row>
    <row r="36" spans="1:12" ht="30" customHeight="1" x14ac:dyDescent="0.25">
      <c r="A36" s="138">
        <v>1696</v>
      </c>
      <c r="B36" s="123" t="s">
        <v>545</v>
      </c>
      <c r="C36" s="124" t="s">
        <v>100</v>
      </c>
      <c r="D36" s="123" t="s">
        <v>103</v>
      </c>
      <c r="E36" s="124" t="s">
        <v>102</v>
      </c>
      <c r="F36" s="125" t="s">
        <v>2</v>
      </c>
      <c r="G36" s="136">
        <v>12.73</v>
      </c>
      <c r="H36" s="126" t="s">
        <v>55</v>
      </c>
      <c r="I36" s="127"/>
      <c r="J36" s="127"/>
      <c r="K36" s="127"/>
      <c r="L36" s="127"/>
    </row>
    <row r="37" spans="1:12" ht="30" customHeight="1" x14ac:dyDescent="0.25">
      <c r="A37" s="138">
        <v>1758</v>
      </c>
      <c r="B37" s="123" t="s">
        <v>546</v>
      </c>
      <c r="C37" s="124" t="s">
        <v>104</v>
      </c>
      <c r="D37" s="123" t="s">
        <v>547</v>
      </c>
      <c r="E37" s="124" t="s">
        <v>106</v>
      </c>
      <c r="F37" s="125"/>
      <c r="G37" s="136">
        <v>23.26</v>
      </c>
      <c r="H37" s="126" t="s">
        <v>55</v>
      </c>
      <c r="I37" s="127"/>
      <c r="J37" s="127"/>
      <c r="K37" s="127"/>
      <c r="L37" s="127"/>
    </row>
    <row r="38" spans="1:12" ht="30" customHeight="1" x14ac:dyDescent="0.25">
      <c r="A38" s="138">
        <v>1257</v>
      </c>
      <c r="B38" s="123" t="s">
        <v>468</v>
      </c>
      <c r="C38" s="124" t="s">
        <v>57</v>
      </c>
      <c r="D38" s="123" t="s">
        <v>461</v>
      </c>
      <c r="E38" s="124" t="s">
        <v>58</v>
      </c>
      <c r="F38" s="125"/>
      <c r="G38" s="136">
        <v>5.45</v>
      </c>
      <c r="H38" s="126" t="s">
        <v>63</v>
      </c>
      <c r="I38" s="127"/>
      <c r="J38" s="127"/>
      <c r="K38" s="127"/>
      <c r="L38" s="127" t="s">
        <v>56</v>
      </c>
    </row>
    <row r="39" spans="1:12" ht="30" customHeight="1" x14ac:dyDescent="0.25">
      <c r="A39" s="138">
        <v>1597</v>
      </c>
      <c r="B39" s="123" t="s">
        <v>634</v>
      </c>
      <c r="C39" s="124" t="s">
        <v>104</v>
      </c>
      <c r="D39" s="123" t="s">
        <v>548</v>
      </c>
      <c r="E39" s="124" t="s">
        <v>106</v>
      </c>
      <c r="F39" s="125"/>
      <c r="G39" s="136">
        <v>14.65</v>
      </c>
      <c r="H39" s="126" t="s">
        <v>55</v>
      </c>
      <c r="I39" s="127" t="s">
        <v>56</v>
      </c>
      <c r="J39" s="127"/>
      <c r="K39" s="127"/>
      <c r="L39" s="127"/>
    </row>
    <row r="40" spans="1:12" ht="30" customHeight="1" x14ac:dyDescent="0.25">
      <c r="A40" s="138">
        <v>6099</v>
      </c>
      <c r="B40" s="123" t="s">
        <v>549</v>
      </c>
      <c r="C40" s="124" t="s">
        <v>104</v>
      </c>
      <c r="D40" s="123" t="s">
        <v>107</v>
      </c>
      <c r="E40" s="124" t="s">
        <v>106</v>
      </c>
      <c r="F40" s="125"/>
      <c r="G40" s="136">
        <v>18.48</v>
      </c>
      <c r="H40" s="126" t="s">
        <v>55</v>
      </c>
      <c r="I40" s="127"/>
      <c r="J40" s="127"/>
      <c r="K40" s="127"/>
      <c r="L40" s="127"/>
    </row>
    <row r="41" spans="1:12" ht="30" customHeight="1" x14ac:dyDescent="0.25">
      <c r="A41" s="138">
        <v>3210</v>
      </c>
      <c r="B41" s="123" t="s">
        <v>108</v>
      </c>
      <c r="C41" s="124" t="s">
        <v>57</v>
      </c>
      <c r="D41" s="123" t="s">
        <v>109</v>
      </c>
      <c r="E41" s="124" t="s">
        <v>58</v>
      </c>
      <c r="F41" s="125"/>
      <c r="G41" s="136">
        <v>4.92</v>
      </c>
      <c r="H41" s="128" t="s">
        <v>63</v>
      </c>
      <c r="I41" s="127" t="s">
        <v>56</v>
      </c>
      <c r="J41" s="127" t="s">
        <v>56</v>
      </c>
      <c r="K41" s="127"/>
      <c r="L41" s="127" t="s">
        <v>56</v>
      </c>
    </row>
    <row r="42" spans="1:12" ht="30" customHeight="1" x14ac:dyDescent="0.25">
      <c r="A42" s="138">
        <v>5075</v>
      </c>
      <c r="B42" s="123" t="s">
        <v>110</v>
      </c>
      <c r="C42" s="124" t="s">
        <v>57</v>
      </c>
      <c r="D42" s="123" t="s">
        <v>111</v>
      </c>
      <c r="E42" s="124" t="s">
        <v>58</v>
      </c>
      <c r="F42" s="125"/>
      <c r="G42" s="136">
        <v>3.14</v>
      </c>
      <c r="H42" s="126" t="s">
        <v>63</v>
      </c>
      <c r="I42" s="127" t="s">
        <v>56</v>
      </c>
      <c r="J42" s="127"/>
      <c r="K42" s="127"/>
      <c r="L42" s="127" t="s">
        <v>56</v>
      </c>
    </row>
    <row r="43" spans="1:12" ht="30" customHeight="1" x14ac:dyDescent="0.25">
      <c r="A43" s="138">
        <v>3017</v>
      </c>
      <c r="B43" s="123" t="s">
        <v>113</v>
      </c>
      <c r="C43" s="124" t="s">
        <v>57</v>
      </c>
      <c r="D43" s="123" t="s">
        <v>114</v>
      </c>
      <c r="E43" s="124" t="s">
        <v>58</v>
      </c>
      <c r="F43" s="125"/>
      <c r="G43" s="136">
        <v>1.9</v>
      </c>
      <c r="H43" s="126" t="s">
        <v>63</v>
      </c>
      <c r="I43" s="127" t="s">
        <v>56</v>
      </c>
      <c r="J43" s="127" t="s">
        <v>56</v>
      </c>
      <c r="K43" s="127" t="s">
        <v>56</v>
      </c>
      <c r="L43" s="127" t="s">
        <v>56</v>
      </c>
    </row>
    <row r="44" spans="1:12" ht="30" customHeight="1" x14ac:dyDescent="0.25">
      <c r="A44" s="122">
        <v>1034</v>
      </c>
      <c r="B44" s="123" t="s">
        <v>600</v>
      </c>
      <c r="C44" s="124" t="s">
        <v>60</v>
      </c>
      <c r="D44" s="123" t="s">
        <v>112</v>
      </c>
      <c r="E44" s="124" t="s">
        <v>60</v>
      </c>
      <c r="F44" s="125"/>
      <c r="G44" s="136">
        <v>2.3199999999999998</v>
      </c>
      <c r="H44" s="126" t="s">
        <v>63</v>
      </c>
      <c r="I44" s="127" t="s">
        <v>56</v>
      </c>
      <c r="J44" s="127" t="s">
        <v>56</v>
      </c>
      <c r="K44" s="127"/>
      <c r="L44" s="127" t="s">
        <v>56</v>
      </c>
    </row>
    <row r="45" spans="1:12" ht="30" customHeight="1" x14ac:dyDescent="0.25">
      <c r="A45" s="122">
        <v>6117</v>
      </c>
      <c r="B45" s="123" t="s">
        <v>601</v>
      </c>
      <c r="C45" s="124" t="s">
        <v>57</v>
      </c>
      <c r="D45" s="123" t="s">
        <v>550</v>
      </c>
      <c r="E45" s="124" t="s">
        <v>58</v>
      </c>
      <c r="F45" s="125" t="s">
        <v>2</v>
      </c>
      <c r="G45" s="136">
        <v>1.34</v>
      </c>
      <c r="H45" s="128" t="s">
        <v>55</v>
      </c>
      <c r="I45" s="127"/>
      <c r="J45" s="127"/>
      <c r="K45" s="127"/>
      <c r="L45" s="127"/>
    </row>
    <row r="46" spans="1:12" ht="30" customHeight="1" x14ac:dyDescent="0.25">
      <c r="A46" s="122">
        <v>3023</v>
      </c>
      <c r="B46" s="123" t="s">
        <v>602</v>
      </c>
      <c r="C46" s="124" t="s">
        <v>57</v>
      </c>
      <c r="D46" s="123" t="s">
        <v>115</v>
      </c>
      <c r="E46" s="124" t="s">
        <v>58</v>
      </c>
      <c r="F46" s="125"/>
      <c r="G46" s="136">
        <v>3.41</v>
      </c>
      <c r="H46" s="126" t="s">
        <v>63</v>
      </c>
      <c r="I46" s="127" t="s">
        <v>56</v>
      </c>
      <c r="J46" s="127"/>
      <c r="K46" s="127"/>
      <c r="L46" s="127" t="s">
        <v>56</v>
      </c>
    </row>
    <row r="47" spans="1:12" ht="30" customHeight="1" x14ac:dyDescent="0.25">
      <c r="A47" s="138">
        <v>1117</v>
      </c>
      <c r="B47" s="123" t="s">
        <v>116</v>
      </c>
      <c r="C47" s="124" t="s">
        <v>60</v>
      </c>
      <c r="D47" s="123" t="s">
        <v>117</v>
      </c>
      <c r="E47" s="124" t="s">
        <v>62</v>
      </c>
      <c r="F47" s="125"/>
      <c r="G47" s="136">
        <v>3.69</v>
      </c>
      <c r="H47" s="126" t="s">
        <v>63</v>
      </c>
      <c r="I47" s="127" t="s">
        <v>56</v>
      </c>
      <c r="J47" s="127"/>
      <c r="K47" s="127"/>
      <c r="L47" s="127" t="s">
        <v>56</v>
      </c>
    </row>
    <row r="48" spans="1:12" ht="30" customHeight="1" x14ac:dyDescent="0.25">
      <c r="A48" s="138">
        <v>1572</v>
      </c>
      <c r="B48" s="123" t="s">
        <v>551</v>
      </c>
      <c r="C48" s="124" t="s">
        <v>118</v>
      </c>
      <c r="D48" s="123" t="s">
        <v>119</v>
      </c>
      <c r="E48" s="124" t="s">
        <v>120</v>
      </c>
      <c r="F48" s="125" t="s">
        <v>2</v>
      </c>
      <c r="G48" s="136">
        <v>6.15</v>
      </c>
      <c r="H48" s="126" t="s">
        <v>55</v>
      </c>
      <c r="I48" s="127" t="s">
        <v>56</v>
      </c>
      <c r="J48" s="127"/>
      <c r="K48" s="127"/>
      <c r="L48" s="127"/>
    </row>
    <row r="49" spans="1:12" ht="30" customHeight="1" x14ac:dyDescent="0.25">
      <c r="A49" s="138">
        <v>1611</v>
      </c>
      <c r="B49" s="123" t="s">
        <v>552</v>
      </c>
      <c r="C49" s="124" t="s">
        <v>121</v>
      </c>
      <c r="D49" s="123" t="s">
        <v>122</v>
      </c>
      <c r="E49" s="124" t="s">
        <v>121</v>
      </c>
      <c r="F49" s="125" t="s">
        <v>2</v>
      </c>
      <c r="G49" s="136">
        <v>9.3000000000000007</v>
      </c>
      <c r="H49" s="126" t="s">
        <v>55</v>
      </c>
      <c r="I49" s="127" t="s">
        <v>56</v>
      </c>
      <c r="J49" s="127" t="s">
        <v>56</v>
      </c>
      <c r="K49" s="127"/>
      <c r="L49" s="127"/>
    </row>
    <row r="50" spans="1:12" ht="30" customHeight="1" x14ac:dyDescent="0.25">
      <c r="A50" s="138">
        <v>3032</v>
      </c>
      <c r="B50" s="123" t="s">
        <v>518</v>
      </c>
      <c r="C50" s="124" t="s">
        <v>57</v>
      </c>
      <c r="D50" s="123" t="s">
        <v>635</v>
      </c>
      <c r="E50" s="124" t="s">
        <v>58</v>
      </c>
      <c r="F50" s="125"/>
      <c r="G50" s="136">
        <v>4.08</v>
      </c>
      <c r="H50" s="126" t="s">
        <v>63</v>
      </c>
      <c r="I50" s="127" t="s">
        <v>56</v>
      </c>
      <c r="J50" s="127" t="s">
        <v>56</v>
      </c>
      <c r="K50" s="127" t="s">
        <v>56</v>
      </c>
      <c r="L50" s="127" t="s">
        <v>56</v>
      </c>
    </row>
    <row r="51" spans="1:12" ht="30" customHeight="1" x14ac:dyDescent="0.25">
      <c r="A51" s="138">
        <v>1178</v>
      </c>
      <c r="B51" s="123" t="s">
        <v>519</v>
      </c>
      <c r="C51" s="124" t="s">
        <v>57</v>
      </c>
      <c r="D51" s="123" t="s">
        <v>517</v>
      </c>
      <c r="E51" s="124" t="s">
        <v>58</v>
      </c>
      <c r="F51" s="125"/>
      <c r="G51" s="136">
        <v>5.0599999999999996</v>
      </c>
      <c r="H51" s="128" t="s">
        <v>63</v>
      </c>
      <c r="I51" s="127" t="s">
        <v>56</v>
      </c>
      <c r="J51" s="127" t="s">
        <v>56</v>
      </c>
      <c r="K51" s="127" t="s">
        <v>56</v>
      </c>
      <c r="L51" s="127" t="s">
        <v>56</v>
      </c>
    </row>
    <row r="52" spans="1:12" ht="30" customHeight="1" x14ac:dyDescent="0.25">
      <c r="A52" s="138">
        <v>1209</v>
      </c>
      <c r="B52" s="123" t="s">
        <v>636</v>
      </c>
      <c r="C52" s="124" t="s">
        <v>57</v>
      </c>
      <c r="D52" s="123" t="s">
        <v>637</v>
      </c>
      <c r="E52" s="124" t="s">
        <v>58</v>
      </c>
      <c r="F52" s="125"/>
      <c r="G52" s="136">
        <v>6.56</v>
      </c>
      <c r="H52" s="128" t="s">
        <v>63</v>
      </c>
      <c r="I52" s="127" t="s">
        <v>56</v>
      </c>
      <c r="J52" s="127"/>
      <c r="K52" s="127"/>
      <c r="L52" s="127"/>
    </row>
    <row r="53" spans="1:12" ht="30" customHeight="1" x14ac:dyDescent="0.25">
      <c r="A53" s="138">
        <v>1626</v>
      </c>
      <c r="B53" s="123" t="s">
        <v>515</v>
      </c>
      <c r="C53" s="124" t="s">
        <v>57</v>
      </c>
      <c r="D53" s="123" t="s">
        <v>504</v>
      </c>
      <c r="E53" s="124" t="s">
        <v>58</v>
      </c>
      <c r="F53" s="125"/>
      <c r="G53" s="136">
        <v>6.15</v>
      </c>
      <c r="H53" s="126" t="s">
        <v>63</v>
      </c>
      <c r="I53" s="127" t="s">
        <v>56</v>
      </c>
      <c r="J53" s="127"/>
      <c r="K53" s="127"/>
      <c r="L53" s="127" t="s">
        <v>56</v>
      </c>
    </row>
    <row r="54" spans="1:12" ht="30" customHeight="1" x14ac:dyDescent="0.25">
      <c r="A54" s="138">
        <v>1006</v>
      </c>
      <c r="B54" s="123" t="s">
        <v>123</v>
      </c>
      <c r="C54" s="124" t="s">
        <v>60</v>
      </c>
      <c r="D54" s="123" t="s">
        <v>124</v>
      </c>
      <c r="E54" s="124" t="s">
        <v>62</v>
      </c>
      <c r="F54" s="125"/>
      <c r="G54" s="136">
        <v>3</v>
      </c>
      <c r="H54" s="126" t="s">
        <v>63</v>
      </c>
      <c r="I54" s="127" t="s">
        <v>56</v>
      </c>
      <c r="J54" s="127"/>
      <c r="K54" s="127"/>
      <c r="L54" s="127" t="s">
        <v>56</v>
      </c>
    </row>
    <row r="55" spans="1:12" ht="30" customHeight="1" x14ac:dyDescent="0.25">
      <c r="A55" s="138">
        <v>5037</v>
      </c>
      <c r="B55" s="123" t="s">
        <v>638</v>
      </c>
      <c r="C55" s="124" t="s">
        <v>125</v>
      </c>
      <c r="D55" s="123" t="s">
        <v>126</v>
      </c>
      <c r="E55" s="124" t="s">
        <v>469</v>
      </c>
      <c r="F55" s="125"/>
      <c r="G55" s="136">
        <v>10.93</v>
      </c>
      <c r="H55" s="126" t="s">
        <v>55</v>
      </c>
      <c r="I55" s="127"/>
      <c r="J55" s="127"/>
      <c r="K55" s="127"/>
      <c r="L55" s="127"/>
    </row>
    <row r="56" spans="1:12" ht="30" customHeight="1" x14ac:dyDescent="0.25">
      <c r="A56" s="138">
        <v>5037</v>
      </c>
      <c r="B56" s="123" t="s">
        <v>639</v>
      </c>
      <c r="C56" s="124" t="s">
        <v>125</v>
      </c>
      <c r="D56" s="123" t="s">
        <v>127</v>
      </c>
      <c r="E56" s="124" t="s">
        <v>469</v>
      </c>
      <c r="F56" s="125"/>
      <c r="G56" s="136">
        <v>23.26</v>
      </c>
      <c r="H56" s="126" t="s">
        <v>55</v>
      </c>
      <c r="I56" s="127"/>
      <c r="J56" s="127"/>
      <c r="K56" s="127"/>
      <c r="L56" s="127"/>
    </row>
    <row r="57" spans="1:12" ht="30" customHeight="1" x14ac:dyDescent="0.25">
      <c r="A57" s="138">
        <v>6019</v>
      </c>
      <c r="B57" s="123" t="s">
        <v>604</v>
      </c>
      <c r="C57" s="124" t="s">
        <v>57</v>
      </c>
      <c r="D57" s="123" t="s">
        <v>459</v>
      </c>
      <c r="E57" s="124" t="s">
        <v>58</v>
      </c>
      <c r="F57" s="125" t="s">
        <v>2</v>
      </c>
      <c r="G57" s="136">
        <v>12.3</v>
      </c>
      <c r="H57" s="126" t="s">
        <v>291</v>
      </c>
      <c r="I57" s="127"/>
      <c r="J57" s="127"/>
      <c r="K57" s="127"/>
      <c r="L57" s="127"/>
    </row>
    <row r="58" spans="1:12" ht="30" customHeight="1" x14ac:dyDescent="0.25">
      <c r="A58" s="138">
        <v>6019</v>
      </c>
      <c r="B58" s="123" t="s">
        <v>603</v>
      </c>
      <c r="C58" s="124" t="s">
        <v>57</v>
      </c>
      <c r="D58" s="123" t="s">
        <v>460</v>
      </c>
      <c r="E58" s="124" t="s">
        <v>58</v>
      </c>
      <c r="F58" s="125" t="s">
        <v>2</v>
      </c>
      <c r="G58" s="136">
        <v>26</v>
      </c>
      <c r="H58" s="126" t="s">
        <v>279</v>
      </c>
      <c r="I58" s="127"/>
      <c r="J58" s="127"/>
      <c r="K58" s="127"/>
      <c r="L58" s="127"/>
    </row>
    <row r="59" spans="1:12" ht="30" customHeight="1" x14ac:dyDescent="0.25">
      <c r="A59" s="138">
        <v>3421</v>
      </c>
      <c r="B59" s="123" t="s">
        <v>605</v>
      </c>
      <c r="C59" s="124" t="s">
        <v>57</v>
      </c>
      <c r="D59" s="123" t="s">
        <v>470</v>
      </c>
      <c r="E59" s="124" t="s">
        <v>58</v>
      </c>
      <c r="F59" s="125" t="s">
        <v>2</v>
      </c>
      <c r="G59" s="136">
        <v>2.93</v>
      </c>
      <c r="H59" s="126" t="s">
        <v>63</v>
      </c>
      <c r="I59" s="127" t="s">
        <v>56</v>
      </c>
      <c r="J59" s="127" t="s">
        <v>56</v>
      </c>
      <c r="K59" s="127" t="s">
        <v>56</v>
      </c>
      <c r="L59" s="127" t="s">
        <v>56</v>
      </c>
    </row>
    <row r="60" spans="1:12" ht="30" customHeight="1" x14ac:dyDescent="0.25">
      <c r="A60" s="138">
        <v>6094</v>
      </c>
      <c r="B60" s="123" t="s">
        <v>128</v>
      </c>
      <c r="C60" s="124" t="s">
        <v>60</v>
      </c>
      <c r="D60" s="123" t="s">
        <v>129</v>
      </c>
      <c r="E60" s="124" t="s">
        <v>62</v>
      </c>
      <c r="F60" s="125"/>
      <c r="G60" s="136">
        <v>1.77</v>
      </c>
      <c r="H60" s="126" t="s">
        <v>63</v>
      </c>
      <c r="I60" s="127" t="s">
        <v>56</v>
      </c>
      <c r="J60" s="127" t="s">
        <v>56</v>
      </c>
      <c r="K60" s="127" t="s">
        <v>56</v>
      </c>
      <c r="L60" s="127" t="s">
        <v>56</v>
      </c>
    </row>
    <row r="61" spans="1:12" ht="30" customHeight="1" x14ac:dyDescent="0.25">
      <c r="A61" s="138">
        <v>1023</v>
      </c>
      <c r="B61" s="123" t="s">
        <v>471</v>
      </c>
      <c r="C61" s="124" t="s">
        <v>60</v>
      </c>
      <c r="D61" s="123" t="s">
        <v>130</v>
      </c>
      <c r="E61" s="124" t="s">
        <v>62</v>
      </c>
      <c r="F61" s="125" t="s">
        <v>2</v>
      </c>
      <c r="G61" s="136">
        <v>3.14</v>
      </c>
      <c r="H61" s="126" t="s">
        <v>63</v>
      </c>
      <c r="I61" s="127" t="s">
        <v>56</v>
      </c>
      <c r="J61" s="127" t="s">
        <v>56</v>
      </c>
      <c r="K61" s="127" t="s">
        <v>56</v>
      </c>
      <c r="L61" s="127" t="s">
        <v>56</v>
      </c>
    </row>
    <row r="62" spans="1:12" ht="30" customHeight="1" x14ac:dyDescent="0.25">
      <c r="A62" s="138">
        <v>3169</v>
      </c>
      <c r="B62" s="123" t="s">
        <v>131</v>
      </c>
      <c r="C62" s="124" t="s">
        <v>57</v>
      </c>
      <c r="D62" s="123" t="s">
        <v>132</v>
      </c>
      <c r="E62" s="124" t="s">
        <v>58</v>
      </c>
      <c r="F62" s="125" t="s">
        <v>2</v>
      </c>
      <c r="G62" s="136">
        <v>3.14</v>
      </c>
      <c r="H62" s="126" t="s">
        <v>63</v>
      </c>
      <c r="I62" s="127" t="s">
        <v>56</v>
      </c>
      <c r="J62" s="127" t="s">
        <v>56</v>
      </c>
      <c r="K62" s="127"/>
      <c r="L62" s="127" t="s">
        <v>56</v>
      </c>
    </row>
    <row r="63" spans="1:12" ht="30" customHeight="1" x14ac:dyDescent="0.25">
      <c r="A63" s="138">
        <v>3725</v>
      </c>
      <c r="B63" s="123" t="s">
        <v>474</v>
      </c>
      <c r="C63" s="124" t="s">
        <v>57</v>
      </c>
      <c r="D63" s="123" t="s">
        <v>473</v>
      </c>
      <c r="E63" s="124" t="s">
        <v>58</v>
      </c>
      <c r="F63" s="125"/>
      <c r="G63" s="136">
        <v>2.59</v>
      </c>
      <c r="H63" s="126" t="s">
        <v>55</v>
      </c>
      <c r="I63" s="127"/>
      <c r="J63" s="127"/>
      <c r="K63" s="127"/>
      <c r="L63" s="127"/>
    </row>
    <row r="64" spans="1:12" ht="30" customHeight="1" x14ac:dyDescent="0.25">
      <c r="A64" s="138">
        <v>3391</v>
      </c>
      <c r="B64" s="123" t="s">
        <v>133</v>
      </c>
      <c r="C64" s="124" t="s">
        <v>134</v>
      </c>
      <c r="D64" s="123" t="s">
        <v>135</v>
      </c>
      <c r="E64" s="124" t="s">
        <v>136</v>
      </c>
      <c r="F64" s="125" t="s">
        <v>2</v>
      </c>
      <c r="G64" s="136">
        <v>4.51</v>
      </c>
      <c r="H64" s="126" t="s">
        <v>55</v>
      </c>
      <c r="I64" s="127" t="s">
        <v>56</v>
      </c>
      <c r="J64" s="127" t="s">
        <v>56</v>
      </c>
      <c r="K64" s="127"/>
      <c r="L64" s="127"/>
    </row>
    <row r="65" spans="1:12" ht="30" customHeight="1" x14ac:dyDescent="0.25">
      <c r="A65" s="138">
        <v>3678</v>
      </c>
      <c r="B65" s="123" t="s">
        <v>640</v>
      </c>
      <c r="C65" s="124" t="s">
        <v>60</v>
      </c>
      <c r="D65" s="123" t="s">
        <v>641</v>
      </c>
      <c r="E65" s="124" t="s">
        <v>62</v>
      </c>
      <c r="F65" s="125"/>
      <c r="G65" s="136">
        <v>2.3199999999999998</v>
      </c>
      <c r="H65" s="126" t="s">
        <v>63</v>
      </c>
      <c r="I65" s="127" t="s">
        <v>56</v>
      </c>
      <c r="J65" s="127" t="s">
        <v>56</v>
      </c>
      <c r="K65" s="127"/>
      <c r="L65" s="127" t="s">
        <v>56</v>
      </c>
    </row>
    <row r="66" spans="1:12" ht="30" customHeight="1" x14ac:dyDescent="0.25">
      <c r="A66" s="138">
        <v>3924</v>
      </c>
      <c r="B66" s="123" t="s">
        <v>137</v>
      </c>
      <c r="C66" s="124" t="s">
        <v>57</v>
      </c>
      <c r="D66" s="123" t="s">
        <v>138</v>
      </c>
      <c r="E66" s="124" t="s">
        <v>58</v>
      </c>
      <c r="F66" s="125" t="s">
        <v>2</v>
      </c>
      <c r="G66" s="136">
        <v>2.71</v>
      </c>
      <c r="H66" s="126" t="s">
        <v>63</v>
      </c>
      <c r="I66" s="127" t="s">
        <v>56</v>
      </c>
      <c r="J66" s="127" t="s">
        <v>56</v>
      </c>
      <c r="K66" s="127"/>
      <c r="L66" s="127" t="s">
        <v>56</v>
      </c>
    </row>
    <row r="67" spans="1:12" ht="30" customHeight="1" x14ac:dyDescent="0.25">
      <c r="A67" s="138">
        <v>6077</v>
      </c>
      <c r="B67" s="123" t="s">
        <v>139</v>
      </c>
      <c r="C67" s="124" t="s">
        <v>60</v>
      </c>
      <c r="D67" s="123" t="s">
        <v>140</v>
      </c>
      <c r="E67" s="124" t="s">
        <v>60</v>
      </c>
      <c r="F67" s="125"/>
      <c r="G67" s="136">
        <v>1.63</v>
      </c>
      <c r="H67" s="126" t="s">
        <v>63</v>
      </c>
      <c r="I67" s="127" t="s">
        <v>56</v>
      </c>
      <c r="J67" s="127"/>
      <c r="K67" s="127"/>
      <c r="L67" s="127" t="s">
        <v>56</v>
      </c>
    </row>
    <row r="68" spans="1:12" ht="30" customHeight="1" x14ac:dyDescent="0.25">
      <c r="A68" s="138" t="s">
        <v>642</v>
      </c>
      <c r="B68" s="123" t="s">
        <v>643</v>
      </c>
      <c r="C68" s="124" t="s">
        <v>60</v>
      </c>
      <c r="D68" s="123" t="s">
        <v>644</v>
      </c>
      <c r="E68" s="124" t="s">
        <v>62</v>
      </c>
      <c r="F68" s="125"/>
      <c r="G68" s="136">
        <v>3.14</v>
      </c>
      <c r="H68" s="126" t="s">
        <v>63</v>
      </c>
      <c r="I68" s="127" t="s">
        <v>56</v>
      </c>
      <c r="J68" s="127" t="s">
        <v>56</v>
      </c>
      <c r="K68" s="127" t="s">
        <v>56</v>
      </c>
      <c r="L68" s="127" t="s">
        <v>56</v>
      </c>
    </row>
    <row r="69" spans="1:12" ht="30" customHeight="1" x14ac:dyDescent="0.25">
      <c r="A69" s="138">
        <v>6111</v>
      </c>
      <c r="B69" s="123" t="s">
        <v>553</v>
      </c>
      <c r="C69" s="124" t="s">
        <v>141</v>
      </c>
      <c r="D69" s="123" t="s">
        <v>142</v>
      </c>
      <c r="E69" s="124" t="s">
        <v>143</v>
      </c>
      <c r="F69" s="125"/>
      <c r="G69" s="136">
        <v>7.38</v>
      </c>
      <c r="H69" s="126" t="s">
        <v>55</v>
      </c>
      <c r="I69" s="127"/>
      <c r="J69" s="127"/>
      <c r="K69" s="127"/>
      <c r="L69" s="127"/>
    </row>
    <row r="70" spans="1:12" ht="30" customHeight="1" x14ac:dyDescent="0.25">
      <c r="A70" s="138">
        <v>1393</v>
      </c>
      <c r="B70" s="123" t="s">
        <v>449</v>
      </c>
      <c r="C70" s="124" t="s">
        <v>104</v>
      </c>
      <c r="D70" s="123" t="s">
        <v>144</v>
      </c>
      <c r="E70" s="124" t="s">
        <v>106</v>
      </c>
      <c r="F70" s="125" t="s">
        <v>2</v>
      </c>
      <c r="G70" s="136">
        <v>9.56</v>
      </c>
      <c r="H70" s="126" t="s">
        <v>55</v>
      </c>
      <c r="I70" s="127" t="s">
        <v>56</v>
      </c>
      <c r="J70" s="127"/>
      <c r="K70" s="127"/>
      <c r="L70" s="127"/>
    </row>
    <row r="71" spans="1:12" ht="30" customHeight="1" x14ac:dyDescent="0.25">
      <c r="A71" s="138">
        <v>6018</v>
      </c>
      <c r="B71" s="123" t="s">
        <v>607</v>
      </c>
      <c r="C71" s="124" t="s">
        <v>145</v>
      </c>
      <c r="D71" s="123" t="s">
        <v>147</v>
      </c>
      <c r="E71" s="124" t="s">
        <v>146</v>
      </c>
      <c r="F71" s="125" t="s">
        <v>2</v>
      </c>
      <c r="G71" s="136">
        <v>12.3</v>
      </c>
      <c r="H71" s="126" t="s">
        <v>63</v>
      </c>
      <c r="I71" s="127" t="s">
        <v>56</v>
      </c>
      <c r="J71" s="127" t="s">
        <v>56</v>
      </c>
      <c r="K71" s="127"/>
      <c r="L71" s="127"/>
    </row>
    <row r="72" spans="1:12" ht="30" customHeight="1" x14ac:dyDescent="0.25">
      <c r="A72" s="138">
        <v>1485</v>
      </c>
      <c r="B72" s="123" t="s">
        <v>593</v>
      </c>
      <c r="C72" s="124" t="s">
        <v>149</v>
      </c>
      <c r="D72" s="123" t="s">
        <v>497</v>
      </c>
      <c r="E72" s="124" t="s">
        <v>151</v>
      </c>
      <c r="F72" s="125"/>
      <c r="G72" s="136">
        <v>9.56</v>
      </c>
      <c r="H72" s="126" t="s">
        <v>63</v>
      </c>
      <c r="I72" s="127" t="s">
        <v>56</v>
      </c>
      <c r="J72" s="127" t="s">
        <v>56</v>
      </c>
      <c r="K72" s="127"/>
      <c r="L72" s="127"/>
    </row>
    <row r="73" spans="1:12" ht="30" customHeight="1" x14ac:dyDescent="0.25">
      <c r="A73" s="138">
        <v>1320</v>
      </c>
      <c r="B73" s="123" t="s">
        <v>148</v>
      </c>
      <c r="C73" s="124" t="s">
        <v>149</v>
      </c>
      <c r="D73" s="123" t="s">
        <v>150</v>
      </c>
      <c r="E73" s="124" t="s">
        <v>151</v>
      </c>
      <c r="F73" s="125" t="s">
        <v>2</v>
      </c>
      <c r="G73" s="136">
        <v>10.93</v>
      </c>
      <c r="H73" s="126" t="s">
        <v>63</v>
      </c>
      <c r="I73" s="127" t="s">
        <v>56</v>
      </c>
      <c r="J73" s="127"/>
      <c r="K73" s="127"/>
      <c r="L73" s="127"/>
    </row>
    <row r="74" spans="1:12" ht="30" customHeight="1" x14ac:dyDescent="0.25">
      <c r="A74" s="138">
        <v>1399</v>
      </c>
      <c r="B74" s="123" t="s">
        <v>645</v>
      </c>
      <c r="C74" s="124" t="s">
        <v>152</v>
      </c>
      <c r="D74" s="123" t="s">
        <v>153</v>
      </c>
      <c r="E74" s="124" t="s">
        <v>154</v>
      </c>
      <c r="F74" s="125" t="s">
        <v>2</v>
      </c>
      <c r="G74" s="136">
        <v>4.6399999999999997</v>
      </c>
      <c r="H74" s="126" t="s">
        <v>55</v>
      </c>
      <c r="I74" s="127" t="s">
        <v>56</v>
      </c>
      <c r="J74" s="127" t="s">
        <v>56</v>
      </c>
      <c r="K74" s="127" t="s">
        <v>56</v>
      </c>
      <c r="L74" s="127"/>
    </row>
    <row r="75" spans="1:12" ht="30" customHeight="1" x14ac:dyDescent="0.25">
      <c r="A75" s="138" t="s">
        <v>155</v>
      </c>
      <c r="B75" s="123" t="s">
        <v>608</v>
      </c>
      <c r="C75" s="124" t="s">
        <v>145</v>
      </c>
      <c r="D75" s="123" t="s">
        <v>156</v>
      </c>
      <c r="E75" s="124" t="s">
        <v>146</v>
      </c>
      <c r="F75" s="125" t="s">
        <v>2</v>
      </c>
      <c r="G75" s="136">
        <v>25.19</v>
      </c>
      <c r="H75" s="126" t="s">
        <v>63</v>
      </c>
      <c r="I75" s="127" t="s">
        <v>56</v>
      </c>
      <c r="J75" s="127"/>
      <c r="K75" s="127"/>
      <c r="L75" s="127"/>
    </row>
    <row r="76" spans="1:12" ht="30" customHeight="1" x14ac:dyDescent="0.25">
      <c r="A76" s="138">
        <v>3377</v>
      </c>
      <c r="B76" s="123" t="s">
        <v>613</v>
      </c>
      <c r="C76" s="124" t="s">
        <v>157</v>
      </c>
      <c r="D76" s="123" t="s">
        <v>554</v>
      </c>
      <c r="E76" s="124" t="s">
        <v>159</v>
      </c>
      <c r="F76" s="125"/>
      <c r="G76" s="136">
        <v>7.47</v>
      </c>
      <c r="H76" s="126" t="s">
        <v>55</v>
      </c>
      <c r="I76" s="127"/>
      <c r="J76" s="127"/>
      <c r="K76" s="127"/>
      <c r="L76" s="127"/>
    </row>
    <row r="77" spans="1:12" ht="30" customHeight="1" x14ac:dyDescent="0.25">
      <c r="A77" s="138">
        <v>3720</v>
      </c>
      <c r="B77" s="123" t="s">
        <v>445</v>
      </c>
      <c r="C77" s="124" t="s">
        <v>157</v>
      </c>
      <c r="D77" s="123" t="s">
        <v>158</v>
      </c>
      <c r="E77" s="124" t="s">
        <v>159</v>
      </c>
      <c r="F77" s="125" t="s">
        <v>2</v>
      </c>
      <c r="G77" s="136">
        <v>30</v>
      </c>
      <c r="H77" s="126" t="s">
        <v>55</v>
      </c>
      <c r="I77" s="127"/>
      <c r="J77" s="127"/>
      <c r="K77" s="127"/>
      <c r="L77" s="127"/>
    </row>
    <row r="78" spans="1:12" ht="30" customHeight="1" x14ac:dyDescent="0.25">
      <c r="A78" s="138">
        <v>3379</v>
      </c>
      <c r="B78" s="123" t="s">
        <v>446</v>
      </c>
      <c r="C78" s="124" t="s">
        <v>157</v>
      </c>
      <c r="D78" s="123" t="s">
        <v>160</v>
      </c>
      <c r="E78" s="124" t="s">
        <v>159</v>
      </c>
      <c r="F78" s="125" t="s">
        <v>2</v>
      </c>
      <c r="G78" s="136">
        <v>45</v>
      </c>
      <c r="H78" s="126" t="s">
        <v>55</v>
      </c>
      <c r="I78" s="127"/>
      <c r="J78" s="127"/>
      <c r="K78" s="127"/>
      <c r="L78" s="127"/>
    </row>
    <row r="79" spans="1:12" ht="30" customHeight="1" x14ac:dyDescent="0.25">
      <c r="A79" s="138">
        <v>3550</v>
      </c>
      <c r="B79" s="123" t="s">
        <v>161</v>
      </c>
      <c r="C79" s="124" t="s">
        <v>60</v>
      </c>
      <c r="D79" s="123" t="s">
        <v>475</v>
      </c>
      <c r="E79" s="124" t="s">
        <v>62</v>
      </c>
      <c r="F79" s="125"/>
      <c r="G79" s="136">
        <v>1.34</v>
      </c>
      <c r="H79" s="126" t="s">
        <v>55</v>
      </c>
      <c r="I79" s="127"/>
      <c r="J79" s="127"/>
      <c r="K79" s="127"/>
      <c r="L79" s="127"/>
    </row>
    <row r="80" spans="1:12" ht="30" customHeight="1" x14ac:dyDescent="0.25">
      <c r="A80" s="138">
        <v>4025</v>
      </c>
      <c r="B80" s="123" t="s">
        <v>162</v>
      </c>
      <c r="C80" s="124" t="s">
        <v>163</v>
      </c>
      <c r="D80" s="123" t="s">
        <v>164</v>
      </c>
      <c r="E80" s="124" t="s">
        <v>165</v>
      </c>
      <c r="F80" s="125" t="s">
        <v>2</v>
      </c>
      <c r="G80" s="136">
        <v>1000</v>
      </c>
      <c r="H80" s="126" t="s">
        <v>55</v>
      </c>
      <c r="I80" s="127"/>
      <c r="J80" s="127"/>
      <c r="K80" s="127"/>
      <c r="L80" s="127"/>
    </row>
    <row r="81" spans="1:12" ht="30" customHeight="1" x14ac:dyDescent="0.25">
      <c r="A81" s="138">
        <v>6059</v>
      </c>
      <c r="B81" s="123" t="s">
        <v>598</v>
      </c>
      <c r="C81" s="124" t="s">
        <v>57</v>
      </c>
      <c r="D81" s="123" t="s">
        <v>503</v>
      </c>
      <c r="E81" s="124" t="s">
        <v>58</v>
      </c>
      <c r="F81" s="125" t="s">
        <v>2</v>
      </c>
      <c r="G81" s="136">
        <v>5.19</v>
      </c>
      <c r="H81" s="126" t="s">
        <v>63</v>
      </c>
      <c r="I81" s="127"/>
      <c r="J81" s="127"/>
      <c r="K81" s="127"/>
      <c r="L81" s="127" t="s">
        <v>56</v>
      </c>
    </row>
    <row r="82" spans="1:12" ht="30" customHeight="1" x14ac:dyDescent="0.25">
      <c r="A82" s="138">
        <v>6059</v>
      </c>
      <c r="B82" s="123" t="s">
        <v>646</v>
      </c>
      <c r="C82" s="124" t="s">
        <v>57</v>
      </c>
      <c r="D82" s="123" t="s">
        <v>647</v>
      </c>
      <c r="E82" s="124" t="s">
        <v>58</v>
      </c>
      <c r="F82" s="125"/>
      <c r="G82" s="136">
        <v>5.19</v>
      </c>
      <c r="H82" s="126" t="s">
        <v>63</v>
      </c>
      <c r="I82" s="127"/>
      <c r="J82" s="127"/>
      <c r="K82" s="127"/>
      <c r="L82" s="127"/>
    </row>
    <row r="83" spans="1:12" ht="30" customHeight="1" x14ac:dyDescent="0.25">
      <c r="A83" s="138">
        <v>1647</v>
      </c>
      <c r="B83" s="123" t="s">
        <v>555</v>
      </c>
      <c r="C83" s="124" t="s">
        <v>121</v>
      </c>
      <c r="D83" s="123" t="s">
        <v>556</v>
      </c>
      <c r="E83" s="124" t="s">
        <v>121</v>
      </c>
      <c r="F83" s="125"/>
      <c r="G83" s="136">
        <v>8.48</v>
      </c>
      <c r="H83" s="126" t="s">
        <v>55</v>
      </c>
      <c r="I83" s="127"/>
      <c r="J83" s="127"/>
      <c r="K83" s="127"/>
      <c r="L83" s="127"/>
    </row>
    <row r="84" spans="1:12" ht="30" customHeight="1" x14ac:dyDescent="0.25">
      <c r="A84" s="138">
        <v>6106</v>
      </c>
      <c r="B84" s="123" t="s">
        <v>557</v>
      </c>
      <c r="C84" s="124" t="s">
        <v>166</v>
      </c>
      <c r="D84" s="123" t="s">
        <v>167</v>
      </c>
      <c r="E84" s="124" t="s">
        <v>168</v>
      </c>
      <c r="F84" s="125" t="s">
        <v>2</v>
      </c>
      <c r="G84" s="136">
        <v>12.3</v>
      </c>
      <c r="H84" s="126" t="s">
        <v>55</v>
      </c>
      <c r="I84" s="127"/>
      <c r="J84" s="127"/>
      <c r="K84" s="127"/>
      <c r="L84" s="127"/>
    </row>
    <row r="85" spans="1:12" ht="30" customHeight="1" x14ac:dyDescent="0.25">
      <c r="A85" s="138">
        <v>1937</v>
      </c>
      <c r="B85" s="123" t="s">
        <v>599</v>
      </c>
      <c r="C85" s="124" t="s">
        <v>104</v>
      </c>
      <c r="D85" s="123" t="s">
        <v>105</v>
      </c>
      <c r="E85" s="124" t="s">
        <v>106</v>
      </c>
      <c r="F85" s="125" t="s">
        <v>2</v>
      </c>
      <c r="G85" s="136">
        <v>21.89</v>
      </c>
      <c r="H85" s="126" t="s">
        <v>55</v>
      </c>
      <c r="I85" s="127" t="s">
        <v>56</v>
      </c>
      <c r="J85" s="127"/>
      <c r="K85" s="127"/>
      <c r="L85" s="127"/>
    </row>
    <row r="86" spans="1:12" ht="30" customHeight="1" x14ac:dyDescent="0.25">
      <c r="A86" s="138">
        <v>3138</v>
      </c>
      <c r="B86" s="123" t="s">
        <v>169</v>
      </c>
      <c r="C86" s="124" t="s">
        <v>57</v>
      </c>
      <c r="D86" s="123" t="s">
        <v>170</v>
      </c>
      <c r="E86" s="124" t="s">
        <v>58</v>
      </c>
      <c r="F86" s="125" t="s">
        <v>2</v>
      </c>
      <c r="G86" s="136">
        <v>6.7</v>
      </c>
      <c r="H86" s="126" t="s">
        <v>63</v>
      </c>
      <c r="I86" s="127" t="s">
        <v>56</v>
      </c>
      <c r="J86" s="127" t="s">
        <v>56</v>
      </c>
      <c r="K86" s="127"/>
      <c r="L86" s="127"/>
    </row>
    <row r="87" spans="1:12" ht="30" customHeight="1" x14ac:dyDescent="0.25">
      <c r="A87" s="138">
        <v>1548</v>
      </c>
      <c r="B87" s="123" t="s">
        <v>171</v>
      </c>
      <c r="C87" s="124" t="s">
        <v>172</v>
      </c>
      <c r="D87" s="123" t="s">
        <v>173</v>
      </c>
      <c r="E87" s="124" t="s">
        <v>174</v>
      </c>
      <c r="F87" s="125" t="s">
        <v>2</v>
      </c>
      <c r="G87" s="136">
        <v>11.63</v>
      </c>
      <c r="H87" s="126" t="s">
        <v>63</v>
      </c>
      <c r="I87" s="127" t="s">
        <v>56</v>
      </c>
      <c r="J87" s="127"/>
      <c r="K87" s="127"/>
      <c r="L87" s="127"/>
    </row>
    <row r="88" spans="1:12" ht="30" customHeight="1" x14ac:dyDescent="0.25">
      <c r="A88" s="134">
        <v>1220</v>
      </c>
      <c r="B88" s="123" t="s">
        <v>175</v>
      </c>
      <c r="C88" s="124" t="s">
        <v>176</v>
      </c>
      <c r="D88" s="123" t="s">
        <v>177</v>
      </c>
      <c r="E88" s="124" t="s">
        <v>178</v>
      </c>
      <c r="F88" s="125" t="s">
        <v>2</v>
      </c>
      <c r="G88" s="136">
        <v>36.5</v>
      </c>
      <c r="H88" s="128" t="s">
        <v>63</v>
      </c>
      <c r="I88" s="127"/>
      <c r="J88" s="127"/>
      <c r="K88" s="127"/>
      <c r="L88" s="127"/>
    </row>
    <row r="89" spans="1:12" ht="30" customHeight="1" x14ac:dyDescent="0.25">
      <c r="A89" s="134">
        <v>1967</v>
      </c>
      <c r="B89" s="123" t="s">
        <v>179</v>
      </c>
      <c r="C89" s="124" t="s">
        <v>104</v>
      </c>
      <c r="D89" s="123" t="s">
        <v>180</v>
      </c>
      <c r="E89" s="124" t="s">
        <v>106</v>
      </c>
      <c r="F89" s="125" t="s">
        <v>2</v>
      </c>
      <c r="G89" s="136">
        <v>7.25</v>
      </c>
      <c r="H89" s="128" t="s">
        <v>63</v>
      </c>
      <c r="I89" s="127" t="s">
        <v>56</v>
      </c>
      <c r="J89" s="127" t="s">
        <v>56</v>
      </c>
      <c r="K89" s="127"/>
      <c r="L89" s="127"/>
    </row>
    <row r="90" spans="1:12" ht="30" customHeight="1" x14ac:dyDescent="0.25">
      <c r="A90" s="138">
        <v>3217</v>
      </c>
      <c r="B90" s="123" t="s">
        <v>181</v>
      </c>
      <c r="C90" s="124" t="s">
        <v>57</v>
      </c>
      <c r="D90" s="123" t="s">
        <v>182</v>
      </c>
      <c r="E90" s="124" t="s">
        <v>58</v>
      </c>
      <c r="F90" s="125" t="s">
        <v>1</v>
      </c>
      <c r="G90" s="136">
        <v>4.08</v>
      </c>
      <c r="H90" s="126" t="s">
        <v>63</v>
      </c>
      <c r="I90" s="127" t="s">
        <v>56</v>
      </c>
      <c r="J90" s="127" t="s">
        <v>56</v>
      </c>
      <c r="K90" s="127" t="s">
        <v>56</v>
      </c>
      <c r="L90" s="127"/>
    </row>
    <row r="91" spans="1:12" ht="30" customHeight="1" x14ac:dyDescent="0.25">
      <c r="A91" s="138">
        <v>1607</v>
      </c>
      <c r="B91" s="123" t="s">
        <v>609</v>
      </c>
      <c r="C91" s="124" t="s">
        <v>84</v>
      </c>
      <c r="D91" s="123" t="s">
        <v>183</v>
      </c>
      <c r="E91" s="124" t="s">
        <v>86</v>
      </c>
      <c r="F91" s="125" t="s">
        <v>2</v>
      </c>
      <c r="G91" s="136">
        <v>17.78</v>
      </c>
      <c r="H91" s="126" t="s">
        <v>63</v>
      </c>
      <c r="I91" s="127" t="s">
        <v>56</v>
      </c>
      <c r="J91" s="127"/>
      <c r="K91" s="127"/>
      <c r="L91" s="127"/>
    </row>
    <row r="92" spans="1:12" ht="30" customHeight="1" x14ac:dyDescent="0.25">
      <c r="A92" s="138">
        <v>1356</v>
      </c>
      <c r="B92" s="123" t="s">
        <v>610</v>
      </c>
      <c r="C92" s="124" t="s">
        <v>511</v>
      </c>
      <c r="D92" s="123" t="s">
        <v>514</v>
      </c>
      <c r="E92" s="124" t="s">
        <v>513</v>
      </c>
      <c r="F92" s="125"/>
      <c r="G92" s="136">
        <v>4.51</v>
      </c>
      <c r="H92" s="126" t="s">
        <v>63</v>
      </c>
      <c r="I92" s="127" t="s">
        <v>56</v>
      </c>
      <c r="J92" s="127" t="s">
        <v>56</v>
      </c>
      <c r="K92" s="127"/>
      <c r="L92" s="127"/>
    </row>
    <row r="93" spans="1:12" ht="30" customHeight="1" x14ac:dyDescent="0.25">
      <c r="A93" s="138">
        <v>1356</v>
      </c>
      <c r="B93" s="123" t="s">
        <v>611</v>
      </c>
      <c r="C93" s="124" t="s">
        <v>511</v>
      </c>
      <c r="D93" s="123" t="s">
        <v>512</v>
      </c>
      <c r="E93" s="124" t="s">
        <v>513</v>
      </c>
      <c r="F93" s="125"/>
      <c r="G93" s="136">
        <v>2.95</v>
      </c>
      <c r="H93" s="128" t="s">
        <v>55</v>
      </c>
      <c r="I93" s="127"/>
      <c r="J93" s="127"/>
      <c r="K93" s="127"/>
      <c r="L93" s="127"/>
    </row>
    <row r="94" spans="1:12" ht="30" customHeight="1" x14ac:dyDescent="0.25">
      <c r="A94" s="138">
        <v>3209</v>
      </c>
      <c r="B94" s="123" t="s">
        <v>57</v>
      </c>
      <c r="C94" s="124" t="s">
        <v>57</v>
      </c>
      <c r="D94" s="123" t="s">
        <v>648</v>
      </c>
      <c r="E94" s="124" t="s">
        <v>58</v>
      </c>
      <c r="F94" s="125" t="s">
        <v>2</v>
      </c>
      <c r="G94" s="136">
        <v>2.4500000000000002</v>
      </c>
      <c r="H94" s="126" t="s">
        <v>63</v>
      </c>
      <c r="I94" s="127" t="s">
        <v>56</v>
      </c>
      <c r="J94" s="127" t="s">
        <v>56</v>
      </c>
      <c r="K94" s="127" t="s">
        <v>56</v>
      </c>
      <c r="L94" s="127" t="s">
        <v>56</v>
      </c>
    </row>
    <row r="95" spans="1:12" ht="30" customHeight="1" x14ac:dyDescent="0.25">
      <c r="A95" s="138">
        <v>1121</v>
      </c>
      <c r="B95" s="123" t="s">
        <v>184</v>
      </c>
      <c r="C95" s="124" t="s">
        <v>57</v>
      </c>
      <c r="D95" s="123" t="s">
        <v>649</v>
      </c>
      <c r="E95" s="124" t="s">
        <v>58</v>
      </c>
      <c r="F95" s="125" t="s">
        <v>1</v>
      </c>
      <c r="G95" s="136">
        <v>3</v>
      </c>
      <c r="H95" s="126" t="s">
        <v>63</v>
      </c>
      <c r="I95" s="127" t="s">
        <v>56</v>
      </c>
      <c r="J95" s="127" t="s">
        <v>56</v>
      </c>
      <c r="K95" s="127" t="s">
        <v>56</v>
      </c>
      <c r="L95" s="127" t="s">
        <v>56</v>
      </c>
    </row>
    <row r="96" spans="1:12" ht="30" customHeight="1" x14ac:dyDescent="0.25">
      <c r="A96" s="138">
        <v>6120</v>
      </c>
      <c r="B96" s="123" t="s">
        <v>493</v>
      </c>
      <c r="C96" s="124" t="s">
        <v>60</v>
      </c>
      <c r="D96" s="123" t="s">
        <v>494</v>
      </c>
      <c r="E96" s="124" t="s">
        <v>62</v>
      </c>
      <c r="F96" s="125"/>
      <c r="G96" s="136">
        <v>3.27</v>
      </c>
      <c r="H96" s="126" t="s">
        <v>63</v>
      </c>
      <c r="I96" s="127" t="s">
        <v>56</v>
      </c>
      <c r="J96" s="127" t="s">
        <v>56</v>
      </c>
      <c r="K96" s="127" t="s">
        <v>56</v>
      </c>
      <c r="L96" s="127" t="s">
        <v>56</v>
      </c>
    </row>
    <row r="97" spans="1:12" ht="30" customHeight="1" x14ac:dyDescent="0.25">
      <c r="A97" s="138">
        <v>6063</v>
      </c>
      <c r="B97" s="123" t="s">
        <v>612</v>
      </c>
      <c r="C97" s="124" t="s">
        <v>60</v>
      </c>
      <c r="D97" s="123" t="s">
        <v>558</v>
      </c>
      <c r="E97" s="124" t="s">
        <v>62</v>
      </c>
      <c r="F97" s="125"/>
      <c r="G97" s="136">
        <v>9.3000000000000007</v>
      </c>
      <c r="H97" s="126" t="s">
        <v>63</v>
      </c>
      <c r="I97" s="127"/>
      <c r="J97" s="127"/>
      <c r="K97" s="127"/>
      <c r="L97" s="127"/>
    </row>
    <row r="98" spans="1:12" ht="30" customHeight="1" x14ac:dyDescent="0.25">
      <c r="A98" s="138">
        <v>6064</v>
      </c>
      <c r="B98" s="123" t="s">
        <v>185</v>
      </c>
      <c r="C98" s="124" t="s">
        <v>60</v>
      </c>
      <c r="D98" s="123" t="s">
        <v>186</v>
      </c>
      <c r="E98" s="124" t="s">
        <v>62</v>
      </c>
      <c r="F98" s="125" t="s">
        <v>2</v>
      </c>
      <c r="G98" s="136">
        <v>41.07</v>
      </c>
      <c r="H98" s="126" t="s">
        <v>187</v>
      </c>
      <c r="I98" s="127"/>
      <c r="J98" s="127"/>
      <c r="K98" s="127"/>
      <c r="L98" s="127"/>
    </row>
    <row r="99" spans="1:12" ht="30" customHeight="1" x14ac:dyDescent="0.25">
      <c r="A99" s="138" t="s">
        <v>452</v>
      </c>
      <c r="B99" s="123" t="s">
        <v>614</v>
      </c>
      <c r="C99" s="124" t="s">
        <v>57</v>
      </c>
      <c r="D99" s="123" t="s">
        <v>188</v>
      </c>
      <c r="E99" s="124" t="s">
        <v>58</v>
      </c>
      <c r="F99" s="125" t="s">
        <v>2</v>
      </c>
      <c r="G99" s="136">
        <v>3.27</v>
      </c>
      <c r="H99" s="126" t="s">
        <v>63</v>
      </c>
      <c r="I99" s="127" t="s">
        <v>56</v>
      </c>
      <c r="J99" s="127" t="s">
        <v>56</v>
      </c>
      <c r="K99" s="127"/>
      <c r="L99" s="127" t="s">
        <v>56</v>
      </c>
    </row>
    <row r="100" spans="1:12" ht="30" customHeight="1" x14ac:dyDescent="0.25">
      <c r="A100" s="138">
        <v>3265</v>
      </c>
      <c r="B100" s="123" t="s">
        <v>456</v>
      </c>
      <c r="C100" s="124" t="s">
        <v>57</v>
      </c>
      <c r="D100" s="123" t="s">
        <v>650</v>
      </c>
      <c r="E100" s="124" t="s">
        <v>58</v>
      </c>
      <c r="F100" s="125" t="s">
        <v>2</v>
      </c>
      <c r="G100" s="136">
        <v>3.69</v>
      </c>
      <c r="H100" s="128" t="s">
        <v>63</v>
      </c>
      <c r="I100" s="127" t="s">
        <v>56</v>
      </c>
      <c r="J100" s="127" t="s">
        <v>56</v>
      </c>
      <c r="K100" s="127" t="s">
        <v>56</v>
      </c>
      <c r="L100" s="127" t="s">
        <v>56</v>
      </c>
    </row>
    <row r="101" spans="1:12" ht="30" customHeight="1" x14ac:dyDescent="0.25">
      <c r="A101" s="138">
        <v>3276</v>
      </c>
      <c r="B101" s="123" t="s">
        <v>501</v>
      </c>
      <c r="C101" s="124" t="s">
        <v>57</v>
      </c>
      <c r="D101" s="123" t="s">
        <v>502</v>
      </c>
      <c r="E101" s="124" t="s">
        <v>58</v>
      </c>
      <c r="F101" s="125"/>
      <c r="G101" s="136">
        <v>5.45</v>
      </c>
      <c r="H101" s="126" t="s">
        <v>63</v>
      </c>
      <c r="I101" s="127" t="s">
        <v>56</v>
      </c>
      <c r="J101" s="127" t="s">
        <v>56</v>
      </c>
      <c r="K101" s="127"/>
      <c r="L101" s="127" t="s">
        <v>56</v>
      </c>
    </row>
    <row r="102" spans="1:12" ht="30" customHeight="1" x14ac:dyDescent="0.25">
      <c r="A102" s="138">
        <v>1961</v>
      </c>
      <c r="B102" s="123" t="s">
        <v>651</v>
      </c>
      <c r="C102" s="124" t="s">
        <v>652</v>
      </c>
      <c r="D102" s="123" t="s">
        <v>651</v>
      </c>
      <c r="E102" s="124" t="s">
        <v>652</v>
      </c>
      <c r="F102" s="125"/>
      <c r="G102" s="136">
        <v>6.01</v>
      </c>
      <c r="H102" s="126" t="s">
        <v>63</v>
      </c>
      <c r="I102" s="127" t="s">
        <v>56</v>
      </c>
      <c r="J102" s="127" t="s">
        <v>56</v>
      </c>
      <c r="K102" s="127"/>
      <c r="L102" s="127" t="s">
        <v>56</v>
      </c>
    </row>
    <row r="103" spans="1:12" ht="30" customHeight="1" x14ac:dyDescent="0.25">
      <c r="A103" s="138">
        <v>3941</v>
      </c>
      <c r="B103" s="123" t="s">
        <v>191</v>
      </c>
      <c r="C103" s="124" t="s">
        <v>189</v>
      </c>
      <c r="D103" s="123" t="s">
        <v>192</v>
      </c>
      <c r="E103" s="124" t="s">
        <v>190</v>
      </c>
      <c r="F103" s="125" t="s">
        <v>2</v>
      </c>
      <c r="G103" s="136">
        <v>9.44</v>
      </c>
      <c r="H103" s="126" t="s">
        <v>63</v>
      </c>
      <c r="I103" s="127"/>
      <c r="J103" s="127"/>
      <c r="K103" s="127"/>
      <c r="L103" s="127" t="s">
        <v>56</v>
      </c>
    </row>
    <row r="104" spans="1:12" ht="30" customHeight="1" x14ac:dyDescent="0.25">
      <c r="A104" s="138">
        <v>1755</v>
      </c>
      <c r="B104" s="123" t="s">
        <v>616</v>
      </c>
      <c r="C104" s="124" t="s">
        <v>121</v>
      </c>
      <c r="D104" s="123" t="s">
        <v>193</v>
      </c>
      <c r="E104" s="124" t="s">
        <v>121</v>
      </c>
      <c r="F104" s="125" t="s">
        <v>2</v>
      </c>
      <c r="G104" s="136">
        <v>34.22</v>
      </c>
      <c r="H104" s="126" t="s">
        <v>63</v>
      </c>
      <c r="I104" s="127" t="s">
        <v>56</v>
      </c>
      <c r="J104" s="127"/>
      <c r="K104" s="127"/>
      <c r="L104" s="127"/>
    </row>
    <row r="105" spans="1:12" ht="30" customHeight="1" x14ac:dyDescent="0.25">
      <c r="A105" s="138">
        <v>1755</v>
      </c>
      <c r="B105" s="123" t="s">
        <v>617</v>
      </c>
      <c r="C105" s="124" t="s">
        <v>121</v>
      </c>
      <c r="D105" s="123" t="s">
        <v>194</v>
      </c>
      <c r="E105" s="124" t="s">
        <v>121</v>
      </c>
      <c r="F105" s="125" t="s">
        <v>2</v>
      </c>
      <c r="G105" s="136">
        <v>17.78</v>
      </c>
      <c r="H105" s="126" t="s">
        <v>63</v>
      </c>
      <c r="I105" s="127"/>
      <c r="J105" s="127"/>
      <c r="K105" s="127"/>
      <c r="L105" s="127"/>
    </row>
    <row r="106" spans="1:12" ht="30" customHeight="1" x14ac:dyDescent="0.25">
      <c r="A106" s="138">
        <v>1103</v>
      </c>
      <c r="B106" s="123" t="s">
        <v>606</v>
      </c>
      <c r="C106" s="124" t="s">
        <v>60</v>
      </c>
      <c r="D106" s="123" t="s">
        <v>472</v>
      </c>
      <c r="E106" s="124" t="s">
        <v>62</v>
      </c>
      <c r="F106" s="125" t="s">
        <v>2</v>
      </c>
      <c r="G106" s="136">
        <v>3.14</v>
      </c>
      <c r="H106" s="126" t="s">
        <v>63</v>
      </c>
      <c r="I106" s="127" t="s">
        <v>56</v>
      </c>
      <c r="J106" s="127" t="s">
        <v>56</v>
      </c>
      <c r="K106" s="127" t="s">
        <v>56</v>
      </c>
      <c r="L106" s="127" t="s">
        <v>56</v>
      </c>
    </row>
    <row r="107" spans="1:12" ht="30" customHeight="1" x14ac:dyDescent="0.25">
      <c r="A107" s="138">
        <v>1606</v>
      </c>
      <c r="B107" s="123" t="s">
        <v>615</v>
      </c>
      <c r="C107" s="124" t="s">
        <v>104</v>
      </c>
      <c r="D107" s="123" t="s">
        <v>195</v>
      </c>
      <c r="E107" s="124" t="s">
        <v>106</v>
      </c>
      <c r="F107" s="125" t="s">
        <v>1</v>
      </c>
      <c r="G107" s="136">
        <v>30.11</v>
      </c>
      <c r="H107" s="126" t="s">
        <v>55</v>
      </c>
      <c r="I107" s="127"/>
      <c r="J107" s="127"/>
      <c r="K107" s="127"/>
      <c r="L107" s="127"/>
    </row>
    <row r="108" spans="1:12" ht="30" customHeight="1" x14ac:dyDescent="0.25">
      <c r="A108" s="138">
        <v>1640</v>
      </c>
      <c r="B108" s="123" t="s">
        <v>619</v>
      </c>
      <c r="C108" s="124" t="s">
        <v>104</v>
      </c>
      <c r="D108" s="123" t="s">
        <v>196</v>
      </c>
      <c r="E108" s="124" t="s">
        <v>106</v>
      </c>
      <c r="F108" s="125" t="s">
        <v>1</v>
      </c>
      <c r="G108" s="136">
        <v>16.41</v>
      </c>
      <c r="H108" s="126" t="s">
        <v>55</v>
      </c>
      <c r="I108" s="127" t="s">
        <v>56</v>
      </c>
      <c r="J108" s="127"/>
      <c r="K108" s="127"/>
      <c r="L108" s="127"/>
    </row>
    <row r="109" spans="1:12" ht="30" customHeight="1" x14ac:dyDescent="0.25">
      <c r="A109" s="138">
        <v>1640</v>
      </c>
      <c r="B109" s="123" t="s">
        <v>618</v>
      </c>
      <c r="C109" s="124" t="s">
        <v>104</v>
      </c>
      <c r="D109" s="123" t="s">
        <v>197</v>
      </c>
      <c r="E109" s="124" t="s">
        <v>106</v>
      </c>
      <c r="F109" s="125" t="s">
        <v>2</v>
      </c>
      <c r="G109" s="136">
        <v>8.89</v>
      </c>
      <c r="H109" s="126" t="s">
        <v>55</v>
      </c>
      <c r="I109" s="127"/>
      <c r="J109" s="127"/>
      <c r="K109" s="127"/>
      <c r="L109" s="127"/>
    </row>
    <row r="110" spans="1:12" ht="30" customHeight="1" x14ac:dyDescent="0.25">
      <c r="A110" s="138">
        <v>1639</v>
      </c>
      <c r="B110" s="123" t="s">
        <v>450</v>
      </c>
      <c r="C110" s="124" t="s">
        <v>104</v>
      </c>
      <c r="D110" s="123" t="s">
        <v>198</v>
      </c>
      <c r="E110" s="124" t="s">
        <v>106</v>
      </c>
      <c r="F110" s="125" t="s">
        <v>1</v>
      </c>
      <c r="G110" s="136">
        <v>27.37</v>
      </c>
      <c r="H110" s="126" t="s">
        <v>55</v>
      </c>
      <c r="I110" s="127"/>
      <c r="J110" s="127"/>
      <c r="K110" s="127"/>
      <c r="L110" s="127"/>
    </row>
    <row r="111" spans="1:12" ht="30" customHeight="1" x14ac:dyDescent="0.25">
      <c r="A111" s="138">
        <v>1639</v>
      </c>
      <c r="B111" s="123" t="s">
        <v>199</v>
      </c>
      <c r="C111" s="124" t="s">
        <v>104</v>
      </c>
      <c r="D111" s="123" t="s">
        <v>200</v>
      </c>
      <c r="E111" s="124" t="s">
        <v>106</v>
      </c>
      <c r="F111" s="125" t="s">
        <v>1</v>
      </c>
      <c r="G111" s="136">
        <v>14.37</v>
      </c>
      <c r="H111" s="126" t="s">
        <v>55</v>
      </c>
      <c r="I111" s="127"/>
      <c r="J111" s="127"/>
      <c r="K111" s="127"/>
      <c r="L111" s="127"/>
    </row>
    <row r="112" spans="1:12" ht="30" customHeight="1" x14ac:dyDescent="0.25">
      <c r="A112" s="138">
        <v>3146</v>
      </c>
      <c r="B112" s="123" t="s">
        <v>201</v>
      </c>
      <c r="C112" s="124" t="s">
        <v>60</v>
      </c>
      <c r="D112" s="123" t="s">
        <v>202</v>
      </c>
      <c r="E112" s="124" t="s">
        <v>62</v>
      </c>
      <c r="F112" s="125"/>
      <c r="G112" s="136">
        <v>2.71</v>
      </c>
      <c r="H112" s="126" t="s">
        <v>55</v>
      </c>
      <c r="I112" s="127"/>
      <c r="J112" s="127"/>
      <c r="K112" s="127"/>
      <c r="L112" s="127"/>
    </row>
    <row r="113" spans="1:12" ht="30" customHeight="1" x14ac:dyDescent="0.25">
      <c r="A113" s="138">
        <v>5215</v>
      </c>
      <c r="B113" s="123" t="s">
        <v>681</v>
      </c>
      <c r="C113" s="124" t="s">
        <v>57</v>
      </c>
      <c r="D113" s="123" t="s">
        <v>203</v>
      </c>
      <c r="E113" s="124" t="s">
        <v>58</v>
      </c>
      <c r="F113" s="125" t="s">
        <v>2</v>
      </c>
      <c r="G113" s="136">
        <v>53.4</v>
      </c>
      <c r="H113" s="126" t="s">
        <v>63</v>
      </c>
      <c r="I113" s="127"/>
      <c r="J113" s="127"/>
      <c r="K113" s="127"/>
      <c r="L113" s="127" t="s">
        <v>56</v>
      </c>
    </row>
    <row r="114" spans="1:12" ht="30" customHeight="1" x14ac:dyDescent="0.25">
      <c r="A114" s="138">
        <v>3868</v>
      </c>
      <c r="B114" s="123" t="s">
        <v>682</v>
      </c>
      <c r="C114" s="124" t="s">
        <v>57</v>
      </c>
      <c r="D114" s="123" t="s">
        <v>211</v>
      </c>
      <c r="E114" s="124" t="s">
        <v>58</v>
      </c>
      <c r="F114" s="125"/>
      <c r="G114" s="136">
        <v>11.63</v>
      </c>
      <c r="H114" s="126" t="s">
        <v>55</v>
      </c>
      <c r="I114" s="127"/>
      <c r="J114" s="127"/>
      <c r="K114" s="127"/>
      <c r="L114" s="127" t="s">
        <v>56</v>
      </c>
    </row>
    <row r="115" spans="1:12" ht="30" customHeight="1" x14ac:dyDescent="0.25">
      <c r="A115" s="138">
        <v>3174</v>
      </c>
      <c r="B115" s="123" t="s">
        <v>204</v>
      </c>
      <c r="C115" s="124" t="s">
        <v>60</v>
      </c>
      <c r="D115" s="123" t="s">
        <v>205</v>
      </c>
      <c r="E115" s="124" t="s">
        <v>62</v>
      </c>
      <c r="F115" s="125" t="s">
        <v>2</v>
      </c>
      <c r="G115" s="136">
        <v>7.25</v>
      </c>
      <c r="H115" s="126" t="s">
        <v>63</v>
      </c>
      <c r="I115" s="127" t="s">
        <v>56</v>
      </c>
      <c r="J115" s="127" t="s">
        <v>56</v>
      </c>
      <c r="K115" s="127"/>
      <c r="L115" s="127" t="s">
        <v>56</v>
      </c>
    </row>
    <row r="116" spans="1:12" ht="30" customHeight="1" x14ac:dyDescent="0.25">
      <c r="A116" s="138">
        <v>3255</v>
      </c>
      <c r="B116" s="123" t="s">
        <v>505</v>
      </c>
      <c r="C116" s="124" t="s">
        <v>57</v>
      </c>
      <c r="D116" s="123" t="s">
        <v>506</v>
      </c>
      <c r="E116" s="124" t="s">
        <v>58</v>
      </c>
      <c r="F116" s="125" t="s">
        <v>2</v>
      </c>
      <c r="G116" s="136">
        <v>4.37</v>
      </c>
      <c r="H116" s="126" t="s">
        <v>63</v>
      </c>
      <c r="I116" s="127" t="s">
        <v>56</v>
      </c>
      <c r="J116" s="127" t="s">
        <v>56</v>
      </c>
      <c r="K116" s="127" t="s">
        <v>56</v>
      </c>
      <c r="L116" s="127" t="s">
        <v>56</v>
      </c>
    </row>
    <row r="117" spans="1:12" ht="30" customHeight="1" x14ac:dyDescent="0.25">
      <c r="A117" s="138">
        <v>1171</v>
      </c>
      <c r="B117" s="123" t="s">
        <v>457</v>
      </c>
      <c r="C117" s="124" t="s">
        <v>57</v>
      </c>
      <c r="D117" s="123" t="s">
        <v>458</v>
      </c>
      <c r="E117" s="124" t="s">
        <v>58</v>
      </c>
      <c r="F117" s="125" t="s">
        <v>2</v>
      </c>
      <c r="G117" s="136">
        <v>5.33</v>
      </c>
      <c r="H117" s="126" t="s">
        <v>63</v>
      </c>
      <c r="I117" s="127" t="s">
        <v>56</v>
      </c>
      <c r="J117" s="127" t="s">
        <v>56</v>
      </c>
      <c r="K117" s="127" t="s">
        <v>56</v>
      </c>
      <c r="L117" s="127" t="s">
        <v>56</v>
      </c>
    </row>
    <row r="118" spans="1:12" ht="30" customHeight="1" x14ac:dyDescent="0.25">
      <c r="A118" s="138">
        <v>6198</v>
      </c>
      <c r="B118" s="123" t="s">
        <v>559</v>
      </c>
      <c r="C118" s="124" t="s">
        <v>60</v>
      </c>
      <c r="D118" s="123" t="s">
        <v>560</v>
      </c>
      <c r="E118" s="124" t="s">
        <v>62</v>
      </c>
      <c r="F118" s="125" t="s">
        <v>1</v>
      </c>
      <c r="G118" s="136">
        <v>3</v>
      </c>
      <c r="H118" s="126" t="s">
        <v>63</v>
      </c>
      <c r="I118" s="127" t="s">
        <v>56</v>
      </c>
      <c r="J118" s="127" t="s">
        <v>56</v>
      </c>
      <c r="K118" s="127" t="s">
        <v>56</v>
      </c>
      <c r="L118" s="127" t="s">
        <v>56</v>
      </c>
    </row>
    <row r="119" spans="1:12" ht="30" customHeight="1" x14ac:dyDescent="0.25">
      <c r="A119" s="138">
        <v>6127</v>
      </c>
      <c r="B119" s="123" t="s">
        <v>653</v>
      </c>
      <c r="C119" s="124" t="s">
        <v>60</v>
      </c>
      <c r="D119" s="123" t="s">
        <v>654</v>
      </c>
      <c r="E119" s="124" t="s">
        <v>62</v>
      </c>
      <c r="F119" s="125" t="s">
        <v>2</v>
      </c>
      <c r="G119" s="136">
        <v>4.08</v>
      </c>
      <c r="H119" s="126" t="s">
        <v>63</v>
      </c>
      <c r="I119" s="127" t="s">
        <v>56</v>
      </c>
      <c r="J119" s="127" t="s">
        <v>56</v>
      </c>
      <c r="K119" s="127" t="s">
        <v>56</v>
      </c>
      <c r="L119" s="127" t="s">
        <v>56</v>
      </c>
    </row>
    <row r="120" spans="1:12" ht="30" customHeight="1" x14ac:dyDescent="0.25">
      <c r="A120" s="138">
        <v>3225</v>
      </c>
      <c r="B120" s="123" t="s">
        <v>655</v>
      </c>
      <c r="C120" s="124" t="s">
        <v>60</v>
      </c>
      <c r="D120" s="123" t="s">
        <v>656</v>
      </c>
      <c r="E120" s="124" t="s">
        <v>62</v>
      </c>
      <c r="F120" s="125" t="s">
        <v>2</v>
      </c>
      <c r="G120" s="136">
        <v>3.96</v>
      </c>
      <c r="H120" s="126" t="s">
        <v>63</v>
      </c>
      <c r="I120" s="127" t="s">
        <v>56</v>
      </c>
      <c r="J120" s="127" t="s">
        <v>56</v>
      </c>
      <c r="K120" s="127" t="s">
        <v>56</v>
      </c>
      <c r="L120" s="127" t="s">
        <v>56</v>
      </c>
    </row>
    <row r="121" spans="1:12" ht="30" customHeight="1" x14ac:dyDescent="0.25">
      <c r="A121" s="138">
        <v>6198</v>
      </c>
      <c r="B121" s="123" t="s">
        <v>476</v>
      </c>
      <c r="C121" s="124" t="s">
        <v>60</v>
      </c>
      <c r="D121" s="123" t="s">
        <v>206</v>
      </c>
      <c r="E121" s="124" t="s">
        <v>62</v>
      </c>
      <c r="F121" s="125" t="s">
        <v>1</v>
      </c>
      <c r="G121" s="136">
        <v>3</v>
      </c>
      <c r="H121" s="128" t="s">
        <v>63</v>
      </c>
      <c r="I121" s="127" t="s">
        <v>56</v>
      </c>
      <c r="J121" s="127" t="s">
        <v>56</v>
      </c>
      <c r="K121" s="127" t="s">
        <v>56</v>
      </c>
      <c r="L121" s="127" t="s">
        <v>56</v>
      </c>
    </row>
    <row r="122" spans="1:12" ht="30" customHeight="1" x14ac:dyDescent="0.25">
      <c r="A122" s="138">
        <v>3194</v>
      </c>
      <c r="B122" s="123" t="s">
        <v>207</v>
      </c>
      <c r="C122" s="124" t="s">
        <v>57</v>
      </c>
      <c r="D122" s="123" t="s">
        <v>208</v>
      </c>
      <c r="E122" s="124" t="s">
        <v>58</v>
      </c>
      <c r="F122" s="125" t="s">
        <v>2</v>
      </c>
      <c r="G122" s="136">
        <v>2.71</v>
      </c>
      <c r="H122" s="126" t="s">
        <v>63</v>
      </c>
      <c r="I122" s="127" t="s">
        <v>56</v>
      </c>
      <c r="J122" s="127"/>
      <c r="K122" s="127"/>
      <c r="L122" s="127" t="s">
        <v>56</v>
      </c>
    </row>
    <row r="123" spans="1:12" ht="30" customHeight="1" x14ac:dyDescent="0.25">
      <c r="A123" s="138">
        <v>3190</v>
      </c>
      <c r="B123" s="123" t="s">
        <v>621</v>
      </c>
      <c r="C123" s="124" t="s">
        <v>57</v>
      </c>
      <c r="D123" s="123" t="s">
        <v>478</v>
      </c>
      <c r="E123" s="124" t="s">
        <v>58</v>
      </c>
      <c r="F123" s="125" t="s">
        <v>2</v>
      </c>
      <c r="G123" s="136">
        <v>4.78</v>
      </c>
      <c r="H123" s="126" t="s">
        <v>63</v>
      </c>
      <c r="I123" s="127" t="s">
        <v>56</v>
      </c>
      <c r="J123" s="127" t="s">
        <v>56</v>
      </c>
      <c r="K123" s="127" t="s">
        <v>56</v>
      </c>
      <c r="L123" s="127" t="s">
        <v>56</v>
      </c>
    </row>
    <row r="124" spans="1:12" ht="30" customHeight="1" x14ac:dyDescent="0.25">
      <c r="A124" s="138" t="s">
        <v>209</v>
      </c>
      <c r="B124" s="123" t="s">
        <v>620</v>
      </c>
      <c r="C124" s="124" t="s">
        <v>57</v>
      </c>
      <c r="D124" s="123" t="s">
        <v>477</v>
      </c>
      <c r="E124" s="124" t="s">
        <v>58</v>
      </c>
      <c r="F124" s="125" t="s">
        <v>2</v>
      </c>
      <c r="G124" s="136">
        <v>5.45</v>
      </c>
      <c r="H124" s="126" t="s">
        <v>63</v>
      </c>
      <c r="I124" s="127" t="s">
        <v>56</v>
      </c>
      <c r="J124" s="127" t="s">
        <v>56</v>
      </c>
      <c r="K124" s="127" t="s">
        <v>56</v>
      </c>
      <c r="L124" s="127" t="s">
        <v>56</v>
      </c>
    </row>
    <row r="125" spans="1:12" ht="30" customHeight="1" x14ac:dyDescent="0.25">
      <c r="A125" s="138">
        <v>1115</v>
      </c>
      <c r="B125" s="123" t="s">
        <v>561</v>
      </c>
      <c r="C125" s="124" t="s">
        <v>125</v>
      </c>
      <c r="D125" s="123" t="s">
        <v>210</v>
      </c>
      <c r="E125" s="124" t="s">
        <v>125</v>
      </c>
      <c r="F125" s="125" t="s">
        <v>2</v>
      </c>
      <c r="G125" s="136">
        <v>5.19</v>
      </c>
      <c r="H125" s="126" t="s">
        <v>63</v>
      </c>
      <c r="I125" s="127" t="s">
        <v>56</v>
      </c>
      <c r="J125" s="127" t="s">
        <v>56</v>
      </c>
      <c r="K125" s="127"/>
      <c r="L125" s="127" t="s">
        <v>56</v>
      </c>
    </row>
    <row r="126" spans="1:12" ht="30" customHeight="1" x14ac:dyDescent="0.25">
      <c r="A126" s="138">
        <v>3703</v>
      </c>
      <c r="B126" s="123" t="s">
        <v>657</v>
      </c>
      <c r="C126" s="124" t="s">
        <v>57</v>
      </c>
      <c r="D126" s="123" t="s">
        <v>658</v>
      </c>
      <c r="E126" s="124" t="s">
        <v>58</v>
      </c>
      <c r="F126" s="125"/>
      <c r="G126" s="136">
        <v>3.82</v>
      </c>
      <c r="H126" s="126" t="s">
        <v>63</v>
      </c>
      <c r="I126" s="127" t="s">
        <v>56</v>
      </c>
      <c r="J126" s="127" t="s">
        <v>56</v>
      </c>
      <c r="K126" s="127"/>
      <c r="L126" s="127" t="s">
        <v>56</v>
      </c>
    </row>
    <row r="127" spans="1:12" ht="30" customHeight="1" x14ac:dyDescent="0.25">
      <c r="A127" s="138">
        <v>1843</v>
      </c>
      <c r="B127" s="123" t="s">
        <v>480</v>
      </c>
      <c r="C127" s="124" t="s">
        <v>57</v>
      </c>
      <c r="D127" s="123" t="s">
        <v>479</v>
      </c>
      <c r="E127" s="124" t="s">
        <v>58</v>
      </c>
      <c r="F127" s="125"/>
      <c r="G127" s="136">
        <v>5.0599999999999996</v>
      </c>
      <c r="H127" s="126" t="s">
        <v>63</v>
      </c>
      <c r="I127" s="127" t="s">
        <v>56</v>
      </c>
      <c r="J127" s="127" t="s">
        <v>56</v>
      </c>
      <c r="K127" s="127"/>
      <c r="L127" s="127" t="s">
        <v>56</v>
      </c>
    </row>
    <row r="128" spans="1:12" ht="30" customHeight="1" x14ac:dyDescent="0.25">
      <c r="A128" s="138">
        <v>6269</v>
      </c>
      <c r="B128" s="123" t="s">
        <v>659</v>
      </c>
      <c r="C128" s="124" t="s">
        <v>57</v>
      </c>
      <c r="D128" s="123" t="s">
        <v>660</v>
      </c>
      <c r="E128" s="124" t="s">
        <v>58</v>
      </c>
      <c r="F128" s="125"/>
      <c r="G128" s="136">
        <v>3.41</v>
      </c>
      <c r="H128" s="126" t="s">
        <v>63</v>
      </c>
      <c r="I128" s="127" t="s">
        <v>56</v>
      </c>
      <c r="J128" s="127" t="s">
        <v>56</v>
      </c>
      <c r="K128" s="127" t="s">
        <v>56</v>
      </c>
      <c r="L128" s="127" t="s">
        <v>56</v>
      </c>
    </row>
    <row r="129" spans="1:12" ht="30" customHeight="1" x14ac:dyDescent="0.25">
      <c r="A129" s="138" t="s">
        <v>562</v>
      </c>
      <c r="B129" s="123" t="s">
        <v>563</v>
      </c>
      <c r="C129" s="124" t="s">
        <v>57</v>
      </c>
      <c r="D129" s="123" t="s">
        <v>564</v>
      </c>
      <c r="E129" s="124" t="s">
        <v>58</v>
      </c>
      <c r="F129" s="125"/>
      <c r="G129" s="136">
        <v>2.71</v>
      </c>
      <c r="H129" s="128" t="s">
        <v>63</v>
      </c>
      <c r="I129" s="127"/>
      <c r="J129" s="127"/>
      <c r="K129" s="127"/>
      <c r="L129" s="127" t="s">
        <v>56</v>
      </c>
    </row>
    <row r="130" spans="1:12" ht="30" customHeight="1" x14ac:dyDescent="0.25">
      <c r="A130" s="138">
        <v>3112</v>
      </c>
      <c r="B130" s="123" t="s">
        <v>212</v>
      </c>
      <c r="C130" s="124" t="s">
        <v>213</v>
      </c>
      <c r="D130" s="123" t="s">
        <v>214</v>
      </c>
      <c r="E130" s="124" t="s">
        <v>215</v>
      </c>
      <c r="F130" s="125" t="s">
        <v>2</v>
      </c>
      <c r="G130" s="136">
        <v>1.77</v>
      </c>
      <c r="H130" s="126" t="s">
        <v>63</v>
      </c>
      <c r="I130" s="127" t="s">
        <v>56</v>
      </c>
      <c r="J130" s="127" t="s">
        <v>56</v>
      </c>
      <c r="K130" s="127" t="s">
        <v>56</v>
      </c>
      <c r="L130" s="127"/>
    </row>
    <row r="131" spans="1:12" ht="30" customHeight="1" x14ac:dyDescent="0.25">
      <c r="A131" s="138">
        <v>1052</v>
      </c>
      <c r="B131" s="123" t="s">
        <v>216</v>
      </c>
      <c r="C131" s="124" t="s">
        <v>217</v>
      </c>
      <c r="D131" s="123" t="s">
        <v>218</v>
      </c>
      <c r="E131" s="124" t="s">
        <v>219</v>
      </c>
      <c r="F131" s="125"/>
      <c r="G131" s="136">
        <v>2.59</v>
      </c>
      <c r="H131" s="126" t="s">
        <v>63</v>
      </c>
      <c r="I131" s="127" t="s">
        <v>56</v>
      </c>
      <c r="J131" s="127" t="s">
        <v>56</v>
      </c>
      <c r="K131" s="127"/>
      <c r="L131" s="127"/>
    </row>
    <row r="132" spans="1:12" ht="30" customHeight="1" x14ac:dyDescent="0.25">
      <c r="A132" s="138">
        <v>3925</v>
      </c>
      <c r="B132" s="123" t="s">
        <v>482</v>
      </c>
      <c r="C132" s="124" t="s">
        <v>57</v>
      </c>
      <c r="D132" s="123" t="s">
        <v>220</v>
      </c>
      <c r="E132" s="124" t="s">
        <v>58</v>
      </c>
      <c r="F132" s="125" t="s">
        <v>2</v>
      </c>
      <c r="G132" s="136">
        <v>12.73</v>
      </c>
      <c r="H132" s="126" t="s">
        <v>55</v>
      </c>
      <c r="I132" s="127" t="s">
        <v>56</v>
      </c>
      <c r="J132" s="127"/>
      <c r="K132" s="127"/>
      <c r="L132" s="127"/>
    </row>
    <row r="133" spans="1:12" ht="30" customHeight="1" x14ac:dyDescent="0.25">
      <c r="A133" s="138">
        <v>1324</v>
      </c>
      <c r="B133" s="123" t="s">
        <v>486</v>
      </c>
      <c r="C133" s="124" t="s">
        <v>222</v>
      </c>
      <c r="D133" s="123" t="s">
        <v>226</v>
      </c>
      <c r="E133" s="124" t="s">
        <v>222</v>
      </c>
      <c r="F133" s="125" t="s">
        <v>2</v>
      </c>
      <c r="G133" s="136">
        <v>19.850000000000001</v>
      </c>
      <c r="H133" s="126" t="s">
        <v>55</v>
      </c>
      <c r="I133" s="127" t="s">
        <v>56</v>
      </c>
      <c r="J133" s="127"/>
      <c r="K133" s="127"/>
      <c r="L133" s="127"/>
    </row>
    <row r="134" spans="1:12" ht="30" customHeight="1" x14ac:dyDescent="0.25">
      <c r="A134" s="138">
        <v>5113</v>
      </c>
      <c r="B134" s="123" t="s">
        <v>481</v>
      </c>
      <c r="C134" s="124" t="s">
        <v>57</v>
      </c>
      <c r="D134" s="123" t="s">
        <v>221</v>
      </c>
      <c r="E134" s="124" t="s">
        <v>58</v>
      </c>
      <c r="F134" s="125" t="s">
        <v>2</v>
      </c>
      <c r="G134" s="136">
        <v>12.73</v>
      </c>
      <c r="H134" s="126" t="s">
        <v>55</v>
      </c>
      <c r="I134" s="127" t="s">
        <v>56</v>
      </c>
      <c r="J134" s="127"/>
      <c r="K134" s="127"/>
      <c r="L134" s="127"/>
    </row>
    <row r="135" spans="1:12" ht="30" customHeight="1" x14ac:dyDescent="0.25">
      <c r="A135" s="138">
        <v>1444</v>
      </c>
      <c r="B135" s="129" t="s">
        <v>483</v>
      </c>
      <c r="C135" s="124" t="s">
        <v>222</v>
      </c>
      <c r="D135" s="123" t="s">
        <v>223</v>
      </c>
      <c r="E135" s="124" t="s">
        <v>222</v>
      </c>
      <c r="F135" s="125" t="s">
        <v>2</v>
      </c>
      <c r="G135" s="136">
        <v>15.04</v>
      </c>
      <c r="H135" s="126" t="s">
        <v>55</v>
      </c>
      <c r="I135" s="127" t="s">
        <v>56</v>
      </c>
      <c r="J135" s="127"/>
      <c r="K135" s="127"/>
      <c r="L135" s="127"/>
    </row>
    <row r="136" spans="1:12" ht="30" customHeight="1" x14ac:dyDescent="0.25">
      <c r="A136" s="138">
        <v>5107</v>
      </c>
      <c r="B136" s="123" t="s">
        <v>484</v>
      </c>
      <c r="C136" s="124" t="s">
        <v>57</v>
      </c>
      <c r="D136" s="123" t="s">
        <v>224</v>
      </c>
      <c r="E136" s="124" t="s">
        <v>58</v>
      </c>
      <c r="F136" s="125" t="s">
        <v>2</v>
      </c>
      <c r="G136" s="136">
        <v>12.73</v>
      </c>
      <c r="H136" s="128" t="s">
        <v>55</v>
      </c>
      <c r="I136" s="127" t="s">
        <v>56</v>
      </c>
      <c r="J136" s="127"/>
      <c r="K136" s="127"/>
      <c r="L136" s="127"/>
    </row>
    <row r="137" spans="1:12" ht="30" customHeight="1" x14ac:dyDescent="0.25">
      <c r="A137" s="138">
        <v>3585</v>
      </c>
      <c r="B137" s="123" t="s">
        <v>485</v>
      </c>
      <c r="C137" s="124" t="s">
        <v>57</v>
      </c>
      <c r="D137" s="123" t="s">
        <v>225</v>
      </c>
      <c r="E137" s="124" t="s">
        <v>58</v>
      </c>
      <c r="F137" s="125" t="s">
        <v>2</v>
      </c>
      <c r="G137" s="136">
        <v>12.73</v>
      </c>
      <c r="H137" s="126" t="s">
        <v>55</v>
      </c>
      <c r="I137" s="127" t="s">
        <v>56</v>
      </c>
      <c r="J137" s="127"/>
      <c r="K137" s="127"/>
      <c r="L137" s="127"/>
    </row>
    <row r="138" spans="1:12" ht="30" customHeight="1" x14ac:dyDescent="0.25">
      <c r="A138" s="138">
        <v>5114</v>
      </c>
      <c r="B138" s="123" t="s">
        <v>487</v>
      </c>
      <c r="C138" s="124" t="s">
        <v>57</v>
      </c>
      <c r="D138" s="123" t="s">
        <v>227</v>
      </c>
      <c r="E138" s="124" t="s">
        <v>58</v>
      </c>
      <c r="F138" s="125" t="s">
        <v>2</v>
      </c>
      <c r="G138" s="136">
        <v>10.67</v>
      </c>
      <c r="H138" s="126" t="s">
        <v>55</v>
      </c>
      <c r="I138" s="127" t="s">
        <v>56</v>
      </c>
      <c r="J138" s="127"/>
      <c r="K138" s="127"/>
      <c r="L138" s="127"/>
    </row>
    <row r="139" spans="1:12" ht="30" customHeight="1" x14ac:dyDescent="0.25">
      <c r="A139" s="138">
        <v>3626</v>
      </c>
      <c r="B139" s="123" t="s">
        <v>661</v>
      </c>
      <c r="C139" s="124" t="s">
        <v>57</v>
      </c>
      <c r="D139" s="123" t="s">
        <v>662</v>
      </c>
      <c r="E139" s="124" t="s">
        <v>58</v>
      </c>
      <c r="F139" s="125"/>
      <c r="G139" s="136">
        <v>2.71</v>
      </c>
      <c r="H139" s="126" t="s">
        <v>63</v>
      </c>
      <c r="I139" s="127" t="s">
        <v>56</v>
      </c>
      <c r="J139" s="127"/>
      <c r="K139" s="127"/>
      <c r="L139" s="127" t="s">
        <v>56</v>
      </c>
    </row>
    <row r="140" spans="1:12" ht="30" customHeight="1" x14ac:dyDescent="0.25">
      <c r="A140" s="138">
        <v>1154</v>
      </c>
      <c r="B140" s="123" t="s">
        <v>565</v>
      </c>
      <c r="C140" s="124" t="s">
        <v>228</v>
      </c>
      <c r="D140" s="123" t="s">
        <v>229</v>
      </c>
      <c r="E140" s="124" t="s">
        <v>143</v>
      </c>
      <c r="F140" s="125" t="s">
        <v>2</v>
      </c>
      <c r="G140" s="136">
        <v>19.850000000000001</v>
      </c>
      <c r="H140" s="126" t="s">
        <v>55</v>
      </c>
      <c r="I140" s="127" t="s">
        <v>56</v>
      </c>
      <c r="J140" s="127"/>
      <c r="K140" s="127"/>
      <c r="L140" s="127"/>
    </row>
    <row r="141" spans="1:12" ht="30" customHeight="1" x14ac:dyDescent="0.25">
      <c r="A141" s="138">
        <v>1027</v>
      </c>
      <c r="B141" s="123" t="s">
        <v>566</v>
      </c>
      <c r="C141" s="124" t="s">
        <v>230</v>
      </c>
      <c r="D141" s="123" t="s">
        <v>231</v>
      </c>
      <c r="E141" s="124" t="s">
        <v>66</v>
      </c>
      <c r="F141" s="125" t="s">
        <v>2</v>
      </c>
      <c r="G141" s="136">
        <v>20.52</v>
      </c>
      <c r="H141" s="126" t="s">
        <v>55</v>
      </c>
      <c r="I141" s="127" t="s">
        <v>56</v>
      </c>
      <c r="J141" s="127" t="s">
        <v>56</v>
      </c>
      <c r="K141" s="127"/>
      <c r="L141" s="127"/>
    </row>
    <row r="142" spans="1:12" ht="30" customHeight="1" x14ac:dyDescent="0.25">
      <c r="A142" s="138" t="s">
        <v>232</v>
      </c>
      <c r="B142" s="123" t="s">
        <v>567</v>
      </c>
      <c r="C142" s="124" t="s">
        <v>233</v>
      </c>
      <c r="D142" s="123" t="s">
        <v>236</v>
      </c>
      <c r="E142" s="124" t="s">
        <v>235</v>
      </c>
      <c r="F142" s="125" t="s">
        <v>2</v>
      </c>
      <c r="G142" s="136">
        <v>43.81</v>
      </c>
      <c r="H142" s="126" t="s">
        <v>55</v>
      </c>
      <c r="I142" s="127"/>
      <c r="J142" s="127"/>
      <c r="K142" s="127"/>
      <c r="L142" s="127"/>
    </row>
    <row r="143" spans="1:12" ht="30" customHeight="1" x14ac:dyDescent="0.25">
      <c r="A143" s="138" t="s">
        <v>232</v>
      </c>
      <c r="B143" s="123" t="s">
        <v>568</v>
      </c>
      <c r="C143" s="124" t="s">
        <v>233</v>
      </c>
      <c r="D143" s="123" t="s">
        <v>234</v>
      </c>
      <c r="E143" s="124" t="s">
        <v>235</v>
      </c>
      <c r="F143" s="125" t="s">
        <v>2</v>
      </c>
      <c r="G143" s="136">
        <v>22.59</v>
      </c>
      <c r="H143" s="126" t="s">
        <v>55</v>
      </c>
      <c r="I143" s="127"/>
      <c r="J143" s="127"/>
      <c r="K143" s="127"/>
      <c r="L143" s="127"/>
    </row>
    <row r="144" spans="1:12" ht="30" customHeight="1" x14ac:dyDescent="0.25">
      <c r="A144" s="138">
        <v>6005</v>
      </c>
      <c r="B144" s="123" t="s">
        <v>569</v>
      </c>
      <c r="C144" s="124" t="s">
        <v>237</v>
      </c>
      <c r="D144" s="123" t="s">
        <v>240</v>
      </c>
      <c r="E144" s="124" t="s">
        <v>239</v>
      </c>
      <c r="F144" s="125" t="s">
        <v>2</v>
      </c>
      <c r="G144" s="136">
        <v>35.880000000000003</v>
      </c>
      <c r="H144" s="126" t="s">
        <v>55</v>
      </c>
      <c r="I144" s="127" t="s">
        <v>56</v>
      </c>
      <c r="J144" s="127"/>
      <c r="K144" s="127"/>
      <c r="L144" s="127"/>
    </row>
    <row r="145" spans="1:12" ht="30" customHeight="1" x14ac:dyDescent="0.25">
      <c r="A145" s="138">
        <v>6005</v>
      </c>
      <c r="B145" s="123" t="s">
        <v>570</v>
      </c>
      <c r="C145" s="124" t="s">
        <v>237</v>
      </c>
      <c r="D145" s="123" t="s">
        <v>238</v>
      </c>
      <c r="E145" s="124" t="s">
        <v>239</v>
      </c>
      <c r="F145" s="125" t="s">
        <v>2</v>
      </c>
      <c r="G145" s="136">
        <v>18.62</v>
      </c>
      <c r="H145" s="126" t="s">
        <v>55</v>
      </c>
      <c r="I145" s="127"/>
      <c r="J145" s="127"/>
      <c r="K145" s="127"/>
      <c r="L145" s="127"/>
    </row>
    <row r="146" spans="1:12" ht="30" customHeight="1" x14ac:dyDescent="0.25">
      <c r="A146" s="138">
        <v>1101</v>
      </c>
      <c r="B146" s="123" t="s">
        <v>241</v>
      </c>
      <c r="C146" s="124" t="s">
        <v>60</v>
      </c>
      <c r="D146" s="123" t="s">
        <v>242</v>
      </c>
      <c r="E146" s="124" t="s">
        <v>62</v>
      </c>
      <c r="F146" s="125"/>
      <c r="G146" s="136">
        <v>1.77</v>
      </c>
      <c r="H146" s="126" t="s">
        <v>63</v>
      </c>
      <c r="I146" s="127" t="s">
        <v>56</v>
      </c>
      <c r="J146" s="127" t="s">
        <v>56</v>
      </c>
      <c r="K146" s="127"/>
      <c r="L146" s="127"/>
    </row>
    <row r="147" spans="1:12" ht="30" customHeight="1" x14ac:dyDescent="0.25">
      <c r="A147" s="138">
        <v>1151</v>
      </c>
      <c r="B147" s="123" t="s">
        <v>243</v>
      </c>
      <c r="C147" s="124" t="s">
        <v>60</v>
      </c>
      <c r="D147" s="123" t="s">
        <v>244</v>
      </c>
      <c r="E147" s="124" t="s">
        <v>60</v>
      </c>
      <c r="F147" s="125"/>
      <c r="G147" s="136">
        <v>2.04</v>
      </c>
      <c r="H147" s="126" t="s">
        <v>63</v>
      </c>
      <c r="I147" s="127" t="s">
        <v>56</v>
      </c>
      <c r="J147" s="127" t="s">
        <v>56</v>
      </c>
      <c r="K147" s="127"/>
      <c r="L147" s="127"/>
    </row>
    <row r="148" spans="1:12" ht="30" customHeight="1" x14ac:dyDescent="0.25">
      <c r="A148" s="138">
        <v>6025</v>
      </c>
      <c r="B148" s="123" t="s">
        <v>594</v>
      </c>
      <c r="C148" s="124" t="s">
        <v>60</v>
      </c>
      <c r="D148" s="123" t="s">
        <v>245</v>
      </c>
      <c r="E148" s="124" t="s">
        <v>62</v>
      </c>
      <c r="F148" s="125"/>
      <c r="G148" s="136">
        <v>5.45</v>
      </c>
      <c r="H148" s="126" t="s">
        <v>55</v>
      </c>
      <c r="I148" s="127" t="s">
        <v>56</v>
      </c>
      <c r="J148" s="127"/>
      <c r="K148" s="127"/>
      <c r="L148" s="127"/>
    </row>
    <row r="149" spans="1:12" ht="30" customHeight="1" x14ac:dyDescent="0.25">
      <c r="A149" s="138">
        <v>5119</v>
      </c>
      <c r="B149" s="123" t="s">
        <v>663</v>
      </c>
      <c r="C149" s="124" t="s">
        <v>246</v>
      </c>
      <c r="D149" s="123" t="s">
        <v>247</v>
      </c>
      <c r="E149" s="124" t="s">
        <v>248</v>
      </c>
      <c r="F149" s="125"/>
      <c r="G149" s="136">
        <v>10.119999999999999</v>
      </c>
      <c r="H149" s="126" t="s">
        <v>55</v>
      </c>
      <c r="I149" s="127"/>
      <c r="J149" s="127"/>
      <c r="K149" s="127"/>
      <c r="L149" s="127"/>
    </row>
    <row r="150" spans="1:12" ht="30" customHeight="1" x14ac:dyDescent="0.25">
      <c r="A150" s="138">
        <v>1541</v>
      </c>
      <c r="B150" s="123" t="s">
        <v>664</v>
      </c>
      <c r="C150" s="124" t="s">
        <v>176</v>
      </c>
      <c r="D150" s="123" t="s">
        <v>249</v>
      </c>
      <c r="E150" s="124" t="s">
        <v>178</v>
      </c>
      <c r="F150" s="125" t="s">
        <v>2</v>
      </c>
      <c r="G150" s="136">
        <v>9.0299999999999994</v>
      </c>
      <c r="H150" s="126" t="s">
        <v>55</v>
      </c>
      <c r="I150" s="127"/>
      <c r="J150" s="127"/>
      <c r="K150" s="127"/>
      <c r="L150" s="127"/>
    </row>
    <row r="151" spans="1:12" ht="30" customHeight="1" x14ac:dyDescent="0.25">
      <c r="A151" s="138">
        <v>5159</v>
      </c>
      <c r="B151" s="123" t="s">
        <v>250</v>
      </c>
      <c r="C151" s="124" t="s">
        <v>57</v>
      </c>
      <c r="D151" s="123" t="s">
        <v>251</v>
      </c>
      <c r="E151" s="124" t="s">
        <v>58</v>
      </c>
      <c r="F151" s="125"/>
      <c r="G151" s="136">
        <v>4.08</v>
      </c>
      <c r="H151" s="126" t="s">
        <v>63</v>
      </c>
      <c r="I151" s="127" t="s">
        <v>56</v>
      </c>
      <c r="J151" s="127"/>
      <c r="K151" s="127"/>
      <c r="L151" s="127" t="s">
        <v>56</v>
      </c>
    </row>
    <row r="152" spans="1:12" ht="30" customHeight="1" x14ac:dyDescent="0.25">
      <c r="A152" s="138">
        <v>3073</v>
      </c>
      <c r="B152" s="123" t="s">
        <v>252</v>
      </c>
      <c r="C152" s="124" t="s">
        <v>217</v>
      </c>
      <c r="D152" s="123" t="s">
        <v>253</v>
      </c>
      <c r="E152" s="124" t="s">
        <v>219</v>
      </c>
      <c r="F152" s="125"/>
      <c r="G152" s="136">
        <v>3.27</v>
      </c>
      <c r="H152" s="126" t="s">
        <v>63</v>
      </c>
      <c r="I152" s="127" t="s">
        <v>56</v>
      </c>
      <c r="J152" s="127" t="s">
        <v>56</v>
      </c>
      <c r="K152" s="127"/>
      <c r="L152" s="127" t="s">
        <v>56</v>
      </c>
    </row>
    <row r="153" spans="1:12" ht="30" customHeight="1" x14ac:dyDescent="0.25">
      <c r="A153" s="138">
        <v>6584</v>
      </c>
      <c r="B153" s="123" t="s">
        <v>571</v>
      </c>
      <c r="C153" s="124" t="s">
        <v>572</v>
      </c>
      <c r="D153" s="123" t="s">
        <v>573</v>
      </c>
      <c r="E153" s="124" t="s">
        <v>574</v>
      </c>
      <c r="F153" s="125"/>
      <c r="G153" s="136">
        <v>16.41</v>
      </c>
      <c r="H153" s="126" t="s">
        <v>55</v>
      </c>
      <c r="I153" s="127"/>
      <c r="J153" s="127"/>
      <c r="K153" s="127"/>
      <c r="L153" s="127"/>
    </row>
    <row r="154" spans="1:12" ht="30" customHeight="1" x14ac:dyDescent="0.25">
      <c r="A154" s="138">
        <v>1576</v>
      </c>
      <c r="B154" s="123" t="s">
        <v>489</v>
      </c>
      <c r="C154" s="124" t="s">
        <v>60</v>
      </c>
      <c r="D154" s="123" t="s">
        <v>254</v>
      </c>
      <c r="E154" s="124" t="s">
        <v>62</v>
      </c>
      <c r="F154" s="125" t="s">
        <v>2</v>
      </c>
      <c r="G154" s="136">
        <v>2.59</v>
      </c>
      <c r="H154" s="126" t="s">
        <v>63</v>
      </c>
      <c r="I154" s="127" t="s">
        <v>56</v>
      </c>
      <c r="J154" s="127" t="s">
        <v>56</v>
      </c>
      <c r="K154" s="127" t="s">
        <v>56</v>
      </c>
      <c r="L154" s="127" t="s">
        <v>56</v>
      </c>
    </row>
    <row r="155" spans="1:12" ht="30" customHeight="1" x14ac:dyDescent="0.25">
      <c r="A155" s="138">
        <v>1015</v>
      </c>
      <c r="B155" s="123" t="s">
        <v>488</v>
      </c>
      <c r="C155" s="124" t="s">
        <v>60</v>
      </c>
      <c r="D155" s="123" t="s">
        <v>255</v>
      </c>
      <c r="E155" s="124" t="s">
        <v>62</v>
      </c>
      <c r="F155" s="125" t="s">
        <v>2</v>
      </c>
      <c r="G155" s="136">
        <v>2.04</v>
      </c>
      <c r="H155" s="126" t="s">
        <v>63</v>
      </c>
      <c r="I155" s="127" t="s">
        <v>56</v>
      </c>
      <c r="J155" s="127" t="s">
        <v>56</v>
      </c>
      <c r="K155" s="127" t="s">
        <v>56</v>
      </c>
      <c r="L155" s="127" t="s">
        <v>56</v>
      </c>
    </row>
    <row r="156" spans="1:12" ht="30" customHeight="1" x14ac:dyDescent="0.25">
      <c r="A156" s="138">
        <v>1761</v>
      </c>
      <c r="B156" s="123" t="s">
        <v>575</v>
      </c>
      <c r="C156" s="124" t="s">
        <v>60</v>
      </c>
      <c r="D156" s="123" t="s">
        <v>490</v>
      </c>
      <c r="E156" s="124" t="s">
        <v>62</v>
      </c>
      <c r="F156" s="125"/>
      <c r="G156" s="136">
        <v>3.41</v>
      </c>
      <c r="H156" s="126" t="s">
        <v>63</v>
      </c>
      <c r="I156" s="127" t="s">
        <v>56</v>
      </c>
      <c r="J156" s="127" t="s">
        <v>56</v>
      </c>
      <c r="K156" s="127" t="s">
        <v>56</v>
      </c>
      <c r="L156" s="127" t="s">
        <v>56</v>
      </c>
    </row>
    <row r="157" spans="1:12" ht="30" customHeight="1" x14ac:dyDescent="0.25">
      <c r="A157" s="138">
        <v>3615</v>
      </c>
      <c r="B157" s="123" t="s">
        <v>576</v>
      </c>
      <c r="C157" s="124" t="s">
        <v>141</v>
      </c>
      <c r="D157" s="123" t="s">
        <v>577</v>
      </c>
      <c r="E157" s="124" t="s">
        <v>143</v>
      </c>
      <c r="F157" s="125" t="s">
        <v>2</v>
      </c>
      <c r="G157" s="136">
        <v>34.22</v>
      </c>
      <c r="H157" s="126" t="s">
        <v>55</v>
      </c>
      <c r="I157" s="127"/>
      <c r="J157" s="127"/>
      <c r="K157" s="127"/>
      <c r="L157" s="127"/>
    </row>
    <row r="158" spans="1:12" ht="30" customHeight="1" x14ac:dyDescent="0.25">
      <c r="A158" s="138">
        <v>3615</v>
      </c>
      <c r="B158" s="123" t="s">
        <v>578</v>
      </c>
      <c r="C158" s="124" t="s">
        <v>141</v>
      </c>
      <c r="D158" s="123" t="s">
        <v>579</v>
      </c>
      <c r="E158" s="124" t="s">
        <v>143</v>
      </c>
      <c r="F158" s="125" t="s">
        <v>2</v>
      </c>
      <c r="G158" s="136">
        <v>17.78</v>
      </c>
      <c r="H158" s="126" t="s">
        <v>55</v>
      </c>
      <c r="I158" s="127"/>
      <c r="J158" s="127"/>
      <c r="K158" s="127"/>
      <c r="L158" s="127"/>
    </row>
    <row r="159" spans="1:12" ht="30" customHeight="1" x14ac:dyDescent="0.25">
      <c r="A159" s="138">
        <v>3967</v>
      </c>
      <c r="B159" s="123" t="s">
        <v>665</v>
      </c>
      <c r="C159" s="124" t="s">
        <v>57</v>
      </c>
      <c r="D159" s="123" t="s">
        <v>666</v>
      </c>
      <c r="E159" s="124" t="s">
        <v>58</v>
      </c>
      <c r="F159" s="125"/>
      <c r="G159" s="136">
        <v>9.56</v>
      </c>
      <c r="H159" s="126" t="s">
        <v>63</v>
      </c>
      <c r="I159" s="127"/>
      <c r="J159" s="127"/>
      <c r="K159" s="127"/>
      <c r="L159" s="127" t="s">
        <v>56</v>
      </c>
    </row>
    <row r="160" spans="1:12" ht="30" customHeight="1" x14ac:dyDescent="0.25">
      <c r="A160" s="138">
        <v>1982</v>
      </c>
      <c r="B160" s="123" t="s">
        <v>667</v>
      </c>
      <c r="C160" s="124" t="s">
        <v>57</v>
      </c>
      <c r="D160" s="123" t="s">
        <v>498</v>
      </c>
      <c r="E160" s="124" t="s">
        <v>58</v>
      </c>
      <c r="F160" s="125" t="s">
        <v>2</v>
      </c>
      <c r="G160" s="136">
        <v>11.91</v>
      </c>
      <c r="H160" s="126" t="s">
        <v>63</v>
      </c>
      <c r="I160" s="127" t="s">
        <v>56</v>
      </c>
      <c r="J160" s="127"/>
      <c r="K160" s="127"/>
      <c r="L160" s="127" t="s">
        <v>56</v>
      </c>
    </row>
    <row r="161" spans="1:12" ht="30" customHeight="1" x14ac:dyDescent="0.25">
      <c r="A161" s="138">
        <v>3043</v>
      </c>
      <c r="B161" s="123" t="s">
        <v>256</v>
      </c>
      <c r="C161" s="124" t="s">
        <v>141</v>
      </c>
      <c r="D161" s="123" t="s">
        <v>257</v>
      </c>
      <c r="E161" s="124" t="s">
        <v>143</v>
      </c>
      <c r="F161" s="125"/>
      <c r="G161" s="136">
        <v>3.41</v>
      </c>
      <c r="H161" s="126" t="s">
        <v>63</v>
      </c>
      <c r="I161" s="127" t="s">
        <v>56</v>
      </c>
      <c r="J161" s="127" t="s">
        <v>56</v>
      </c>
      <c r="K161" s="127"/>
      <c r="L161" s="127" t="s">
        <v>56</v>
      </c>
    </row>
    <row r="162" spans="1:12" ht="30" customHeight="1" x14ac:dyDescent="0.25">
      <c r="A162" s="138">
        <v>1123</v>
      </c>
      <c r="B162" s="123" t="s">
        <v>258</v>
      </c>
      <c r="C162" s="124" t="s">
        <v>141</v>
      </c>
      <c r="D162" s="123" t="s">
        <v>259</v>
      </c>
      <c r="E162" s="124" t="s">
        <v>143</v>
      </c>
      <c r="F162" s="125"/>
      <c r="G162" s="136">
        <v>3.82</v>
      </c>
      <c r="H162" s="126" t="s">
        <v>63</v>
      </c>
      <c r="I162" s="127" t="s">
        <v>56</v>
      </c>
      <c r="J162" s="127" t="s">
        <v>56</v>
      </c>
      <c r="K162" s="127"/>
      <c r="L162" s="127" t="s">
        <v>56</v>
      </c>
    </row>
    <row r="163" spans="1:12" ht="30" customHeight="1" x14ac:dyDescent="0.25">
      <c r="A163" s="138">
        <v>1062</v>
      </c>
      <c r="B163" s="123" t="s">
        <v>260</v>
      </c>
      <c r="C163" s="124" t="s">
        <v>60</v>
      </c>
      <c r="D163" s="123" t="s">
        <v>261</v>
      </c>
      <c r="E163" s="124" t="s">
        <v>62</v>
      </c>
      <c r="F163" s="125"/>
      <c r="G163" s="136">
        <v>3.41</v>
      </c>
      <c r="H163" s="126" t="s">
        <v>63</v>
      </c>
      <c r="I163" s="127" t="s">
        <v>56</v>
      </c>
      <c r="J163" s="127"/>
      <c r="K163" s="127"/>
      <c r="L163" s="127" t="s">
        <v>56</v>
      </c>
    </row>
    <row r="164" spans="1:12" ht="30" customHeight="1" x14ac:dyDescent="0.25">
      <c r="A164" s="138">
        <v>3313</v>
      </c>
      <c r="B164" s="123" t="s">
        <v>262</v>
      </c>
      <c r="C164" s="124" t="s">
        <v>57</v>
      </c>
      <c r="D164" s="123" t="s">
        <v>263</v>
      </c>
      <c r="E164" s="124" t="s">
        <v>58</v>
      </c>
      <c r="F164" s="125" t="s">
        <v>2</v>
      </c>
      <c r="G164" s="136">
        <v>3.14</v>
      </c>
      <c r="H164" s="126" t="s">
        <v>63</v>
      </c>
      <c r="I164" s="127" t="s">
        <v>56</v>
      </c>
      <c r="J164" s="127" t="s">
        <v>56</v>
      </c>
      <c r="K164" s="127"/>
      <c r="L164" s="127" t="s">
        <v>56</v>
      </c>
    </row>
    <row r="165" spans="1:12" ht="30" customHeight="1" x14ac:dyDescent="0.25">
      <c r="A165" s="138">
        <v>1043</v>
      </c>
      <c r="B165" s="123" t="s">
        <v>454</v>
      </c>
      <c r="C165" s="124" t="s">
        <v>60</v>
      </c>
      <c r="D165" s="123" t="s">
        <v>455</v>
      </c>
      <c r="E165" s="124" t="s">
        <v>62</v>
      </c>
      <c r="F165" s="125"/>
      <c r="G165" s="136">
        <v>5.19</v>
      </c>
      <c r="H165" s="126" t="s">
        <v>63</v>
      </c>
      <c r="I165" s="127" t="s">
        <v>56</v>
      </c>
      <c r="J165" s="127"/>
      <c r="K165" s="127"/>
      <c r="L165" s="127" t="s">
        <v>56</v>
      </c>
    </row>
    <row r="166" spans="1:12" ht="30" customHeight="1" x14ac:dyDescent="0.25">
      <c r="A166" s="138">
        <v>6041</v>
      </c>
      <c r="B166" s="123" t="s">
        <v>668</v>
      </c>
      <c r="C166" s="124" t="s">
        <v>264</v>
      </c>
      <c r="D166" s="123" t="s">
        <v>265</v>
      </c>
      <c r="E166" s="124" t="s">
        <v>215</v>
      </c>
      <c r="F166" s="125" t="s">
        <v>2</v>
      </c>
      <c r="G166" s="136">
        <v>17.78</v>
      </c>
      <c r="H166" s="126" t="s">
        <v>55</v>
      </c>
      <c r="I166" s="127"/>
      <c r="J166" s="127"/>
      <c r="K166" s="127"/>
      <c r="L166" s="127"/>
    </row>
    <row r="167" spans="1:12" ht="30" customHeight="1" x14ac:dyDescent="0.25">
      <c r="A167" s="138" t="s">
        <v>266</v>
      </c>
      <c r="B167" s="123" t="s">
        <v>669</v>
      </c>
      <c r="C167" s="124" t="s">
        <v>222</v>
      </c>
      <c r="D167" s="123" t="s">
        <v>267</v>
      </c>
      <c r="E167" s="124" t="s">
        <v>222</v>
      </c>
      <c r="F167" s="125" t="s">
        <v>2</v>
      </c>
      <c r="G167" s="136">
        <v>18.48</v>
      </c>
      <c r="H167" s="126" t="s">
        <v>55</v>
      </c>
      <c r="I167" s="127"/>
      <c r="J167" s="127"/>
      <c r="K167" s="127"/>
      <c r="L167" s="127"/>
    </row>
    <row r="168" spans="1:12" ht="30" customHeight="1" x14ac:dyDescent="0.25">
      <c r="A168" s="138">
        <v>6121</v>
      </c>
      <c r="B168" s="123" t="s">
        <v>670</v>
      </c>
      <c r="C168" s="124" t="s">
        <v>60</v>
      </c>
      <c r="D168" s="123" t="s">
        <v>671</v>
      </c>
      <c r="E168" s="124" t="s">
        <v>62</v>
      </c>
      <c r="F168" s="125"/>
      <c r="G168" s="136">
        <v>1.9</v>
      </c>
      <c r="H168" s="126" t="s">
        <v>63</v>
      </c>
      <c r="I168" s="127" t="s">
        <v>56</v>
      </c>
      <c r="J168" s="127" t="s">
        <v>56</v>
      </c>
      <c r="K168" s="127"/>
      <c r="L168" s="127" t="s">
        <v>56</v>
      </c>
    </row>
    <row r="169" spans="1:12" ht="30" customHeight="1" x14ac:dyDescent="0.25">
      <c r="A169" s="138">
        <v>1147</v>
      </c>
      <c r="B169" s="123" t="s">
        <v>268</v>
      </c>
      <c r="C169" s="124" t="s">
        <v>57</v>
      </c>
      <c r="D169" s="123" t="s">
        <v>269</v>
      </c>
      <c r="E169" s="124" t="s">
        <v>58</v>
      </c>
      <c r="F169" s="125"/>
      <c r="G169" s="136">
        <v>2.3199999999999998</v>
      </c>
      <c r="H169" s="126" t="s">
        <v>63</v>
      </c>
      <c r="I169" s="127" t="s">
        <v>56</v>
      </c>
      <c r="J169" s="127" t="s">
        <v>56</v>
      </c>
      <c r="K169" s="127"/>
      <c r="L169" s="127" t="s">
        <v>56</v>
      </c>
    </row>
    <row r="170" spans="1:12" ht="30" customHeight="1" x14ac:dyDescent="0.25">
      <c r="A170" s="138" t="s">
        <v>270</v>
      </c>
      <c r="B170" s="123" t="s">
        <v>672</v>
      </c>
      <c r="C170" s="124" t="s">
        <v>57</v>
      </c>
      <c r="D170" s="123" t="s">
        <v>271</v>
      </c>
      <c r="E170" s="124" t="s">
        <v>58</v>
      </c>
      <c r="F170" s="125"/>
      <c r="G170" s="136">
        <v>2.1800000000000002</v>
      </c>
      <c r="H170" s="126" t="s">
        <v>63</v>
      </c>
      <c r="I170" s="127" t="s">
        <v>56</v>
      </c>
      <c r="J170" s="127" t="s">
        <v>56</v>
      </c>
      <c r="K170" s="127" t="s">
        <v>56</v>
      </c>
      <c r="L170" s="127" t="s">
        <v>56</v>
      </c>
    </row>
    <row r="171" spans="1:12" ht="30" customHeight="1" x14ac:dyDescent="0.25">
      <c r="A171" s="138">
        <v>3973</v>
      </c>
      <c r="B171" s="123" t="s">
        <v>673</v>
      </c>
      <c r="C171" s="124" t="s">
        <v>57</v>
      </c>
      <c r="D171" s="123" t="s">
        <v>580</v>
      </c>
      <c r="E171" s="124" t="s">
        <v>58</v>
      </c>
      <c r="F171" s="125"/>
      <c r="G171" s="136">
        <v>2.3199999999999998</v>
      </c>
      <c r="H171" s="126" t="s">
        <v>63</v>
      </c>
      <c r="I171" s="127" t="s">
        <v>56</v>
      </c>
      <c r="J171" s="127" t="s">
        <v>56</v>
      </c>
      <c r="K171" s="127" t="s">
        <v>56</v>
      </c>
      <c r="L171" s="127" t="s">
        <v>56</v>
      </c>
    </row>
    <row r="172" spans="1:12" ht="30" customHeight="1" x14ac:dyDescent="0.25">
      <c r="A172" s="138">
        <v>3706</v>
      </c>
      <c r="B172" s="123" t="s">
        <v>674</v>
      </c>
      <c r="C172" s="124" t="s">
        <v>57</v>
      </c>
      <c r="D172" s="123" t="s">
        <v>272</v>
      </c>
      <c r="E172" s="124" t="s">
        <v>58</v>
      </c>
      <c r="F172" s="125"/>
      <c r="G172" s="136">
        <v>2.4500000000000002</v>
      </c>
      <c r="H172" s="126" t="s">
        <v>63</v>
      </c>
      <c r="I172" s="127" t="s">
        <v>56</v>
      </c>
      <c r="J172" s="127" t="s">
        <v>56</v>
      </c>
      <c r="K172" s="127"/>
      <c r="L172" s="127" t="s">
        <v>56</v>
      </c>
    </row>
    <row r="173" spans="1:12" ht="30" customHeight="1" x14ac:dyDescent="0.25">
      <c r="A173" s="138">
        <v>3145</v>
      </c>
      <c r="B173" s="123" t="s">
        <v>675</v>
      </c>
      <c r="C173" s="124" t="s">
        <v>57</v>
      </c>
      <c r="D173" s="123" t="s">
        <v>273</v>
      </c>
      <c r="E173" s="124" t="s">
        <v>58</v>
      </c>
      <c r="F173" s="125"/>
      <c r="G173" s="136">
        <v>2.3199999999999998</v>
      </c>
      <c r="H173" s="126" t="s">
        <v>63</v>
      </c>
      <c r="I173" s="127" t="s">
        <v>56</v>
      </c>
      <c r="J173" s="127" t="s">
        <v>56</v>
      </c>
      <c r="K173" s="127" t="s">
        <v>56</v>
      </c>
      <c r="L173" s="127" t="s">
        <v>56</v>
      </c>
    </row>
    <row r="174" spans="1:12" ht="30" customHeight="1" x14ac:dyDescent="0.25">
      <c r="A174" s="138">
        <v>5149</v>
      </c>
      <c r="B174" s="123" t="s">
        <v>676</v>
      </c>
      <c r="C174" s="124" t="s">
        <v>57</v>
      </c>
      <c r="D174" s="123" t="s">
        <v>274</v>
      </c>
      <c r="E174" s="124" t="s">
        <v>58</v>
      </c>
      <c r="F174" s="125"/>
      <c r="G174" s="136">
        <v>2.4500000000000002</v>
      </c>
      <c r="H174" s="126" t="s">
        <v>63</v>
      </c>
      <c r="I174" s="127"/>
      <c r="J174" s="127"/>
      <c r="K174" s="127"/>
      <c r="L174" s="127" t="s">
        <v>56</v>
      </c>
    </row>
    <row r="175" spans="1:12" ht="30" customHeight="1" x14ac:dyDescent="0.25">
      <c r="A175" s="138">
        <v>3876</v>
      </c>
      <c r="B175" s="123" t="s">
        <v>677</v>
      </c>
      <c r="C175" s="124" t="s">
        <v>57</v>
      </c>
      <c r="D175" s="123" t="s">
        <v>678</v>
      </c>
      <c r="E175" s="124" t="s">
        <v>58</v>
      </c>
      <c r="F175" s="125"/>
      <c r="G175" s="136">
        <v>2.4500000000000002</v>
      </c>
      <c r="H175" s="126" t="s">
        <v>63</v>
      </c>
      <c r="I175" s="127" t="s">
        <v>56</v>
      </c>
      <c r="J175" s="127" t="s">
        <v>56</v>
      </c>
      <c r="K175" s="127"/>
      <c r="L175" s="127" t="s">
        <v>56</v>
      </c>
    </row>
    <row r="176" spans="1:12" ht="30" customHeight="1" x14ac:dyDescent="0.25">
      <c r="A176" s="138">
        <v>3824</v>
      </c>
      <c r="B176" s="123" t="s">
        <v>275</v>
      </c>
      <c r="C176" s="124" t="s">
        <v>141</v>
      </c>
      <c r="D176" s="123" t="s">
        <v>276</v>
      </c>
      <c r="E176" s="124" t="s">
        <v>143</v>
      </c>
      <c r="F176" s="125" t="s">
        <v>2</v>
      </c>
      <c r="G176" s="136">
        <v>2.4500000000000002</v>
      </c>
      <c r="H176" s="126" t="s">
        <v>63</v>
      </c>
      <c r="I176" s="127" t="s">
        <v>56</v>
      </c>
      <c r="J176" s="127"/>
      <c r="K176" s="127"/>
      <c r="L176" s="127" t="s">
        <v>56</v>
      </c>
    </row>
    <row r="177" spans="1:12" ht="30" customHeight="1" x14ac:dyDescent="0.25">
      <c r="A177" s="138">
        <v>1073</v>
      </c>
      <c r="B177" s="123" t="s">
        <v>581</v>
      </c>
      <c r="C177" s="124" t="s">
        <v>172</v>
      </c>
      <c r="D177" s="123" t="s">
        <v>277</v>
      </c>
      <c r="E177" s="124" t="s">
        <v>174</v>
      </c>
      <c r="F177" s="125" t="s">
        <v>2</v>
      </c>
      <c r="G177" s="136">
        <v>6.82</v>
      </c>
      <c r="H177" s="126" t="s">
        <v>55</v>
      </c>
      <c r="I177" s="127" t="s">
        <v>56</v>
      </c>
      <c r="J177" s="127" t="s">
        <v>56</v>
      </c>
      <c r="K177" s="127"/>
      <c r="L177" s="127"/>
    </row>
    <row r="178" spans="1:12" ht="30" customHeight="1" x14ac:dyDescent="0.25">
      <c r="A178" s="138">
        <v>3752</v>
      </c>
      <c r="B178" s="123" t="s">
        <v>582</v>
      </c>
      <c r="C178" s="124" t="s">
        <v>60</v>
      </c>
      <c r="D178" s="123" t="s">
        <v>278</v>
      </c>
      <c r="E178" s="124" t="s">
        <v>62</v>
      </c>
      <c r="F178" s="125" t="s">
        <v>2</v>
      </c>
      <c r="G178" s="136">
        <v>5.88</v>
      </c>
      <c r="H178" s="126" t="s">
        <v>55</v>
      </c>
      <c r="I178" s="127"/>
      <c r="J178" s="127"/>
      <c r="K178" s="127"/>
      <c r="L178" s="127"/>
    </row>
    <row r="179" spans="1:12" ht="30" customHeight="1" x14ac:dyDescent="0.25">
      <c r="A179" s="138">
        <v>3713</v>
      </c>
      <c r="B179" s="123" t="s">
        <v>622</v>
      </c>
      <c r="C179" s="124" t="s">
        <v>280</v>
      </c>
      <c r="D179" s="123" t="s">
        <v>281</v>
      </c>
      <c r="E179" s="124" t="s">
        <v>282</v>
      </c>
      <c r="F179" s="125" t="s">
        <v>2</v>
      </c>
      <c r="G179" s="136">
        <v>2.71</v>
      </c>
      <c r="H179" s="126" t="s">
        <v>63</v>
      </c>
      <c r="I179" s="127" t="s">
        <v>56</v>
      </c>
      <c r="J179" s="127"/>
      <c r="K179" s="127"/>
      <c r="L179" s="127"/>
    </row>
    <row r="180" spans="1:12" ht="30" customHeight="1" x14ac:dyDescent="0.25">
      <c r="A180" s="138">
        <v>1358</v>
      </c>
      <c r="B180" s="123" t="s">
        <v>583</v>
      </c>
      <c r="C180" s="124" t="s">
        <v>492</v>
      </c>
      <c r="D180" s="129" t="s">
        <v>283</v>
      </c>
      <c r="E180" s="124" t="s">
        <v>491</v>
      </c>
      <c r="F180" s="125" t="s">
        <v>2</v>
      </c>
      <c r="G180" s="136">
        <v>6.7</v>
      </c>
      <c r="H180" s="126" t="s">
        <v>55</v>
      </c>
      <c r="I180" s="127" t="s">
        <v>56</v>
      </c>
      <c r="J180" s="127"/>
      <c r="K180" s="127"/>
      <c r="L180" s="127"/>
    </row>
    <row r="181" spans="1:12" ht="30" customHeight="1" x14ac:dyDescent="0.25">
      <c r="A181" s="138">
        <v>1860</v>
      </c>
      <c r="B181" s="123" t="s">
        <v>584</v>
      </c>
      <c r="C181" s="124" t="s">
        <v>176</v>
      </c>
      <c r="D181" s="123" t="s">
        <v>284</v>
      </c>
      <c r="E181" s="124" t="s">
        <v>453</v>
      </c>
      <c r="F181" s="125" t="s">
        <v>2</v>
      </c>
      <c r="G181" s="136">
        <v>8.19</v>
      </c>
      <c r="H181" s="126" t="s">
        <v>55</v>
      </c>
      <c r="I181" s="127" t="s">
        <v>56</v>
      </c>
      <c r="J181" s="127" t="s">
        <v>56</v>
      </c>
      <c r="K181" s="127"/>
      <c r="L181" s="127"/>
    </row>
    <row r="182" spans="1:12" ht="30" customHeight="1" x14ac:dyDescent="0.25">
      <c r="A182" s="138">
        <v>1496</v>
      </c>
      <c r="B182" s="123" t="s">
        <v>585</v>
      </c>
      <c r="C182" s="124" t="s">
        <v>71</v>
      </c>
      <c r="D182" s="123" t="s">
        <v>286</v>
      </c>
      <c r="E182" s="124" t="s">
        <v>71</v>
      </c>
      <c r="F182" s="125" t="s">
        <v>2</v>
      </c>
      <c r="G182" s="136">
        <v>37.659999999999997</v>
      </c>
      <c r="H182" s="128" t="s">
        <v>55</v>
      </c>
      <c r="I182" s="127"/>
      <c r="J182" s="127"/>
      <c r="K182" s="127"/>
      <c r="L182" s="127"/>
    </row>
    <row r="183" spans="1:12" ht="30" customHeight="1" x14ac:dyDescent="0.25">
      <c r="A183" s="138">
        <v>1496</v>
      </c>
      <c r="B183" s="123" t="s">
        <v>586</v>
      </c>
      <c r="C183" s="124" t="s">
        <v>71</v>
      </c>
      <c r="D183" s="123" t="s">
        <v>285</v>
      </c>
      <c r="E183" s="124" t="s">
        <v>71</v>
      </c>
      <c r="F183" s="125" t="s">
        <v>2</v>
      </c>
      <c r="G183" s="136">
        <v>19.579999999999998</v>
      </c>
      <c r="H183" s="126" t="s">
        <v>55</v>
      </c>
      <c r="I183" s="127"/>
      <c r="J183" s="127"/>
      <c r="K183" s="127"/>
      <c r="L183" s="127"/>
    </row>
    <row r="184" spans="1:12" ht="30" customHeight="1" x14ac:dyDescent="0.25">
      <c r="A184" s="138">
        <v>1612</v>
      </c>
      <c r="B184" s="123" t="s">
        <v>587</v>
      </c>
      <c r="C184" s="124" t="s">
        <v>64</v>
      </c>
      <c r="D184" s="123" t="s">
        <v>588</v>
      </c>
      <c r="E184" s="124" t="s">
        <v>66</v>
      </c>
      <c r="F184" s="125" t="s">
        <v>2</v>
      </c>
      <c r="G184" s="136">
        <v>35.590000000000003</v>
      </c>
      <c r="H184" s="126" t="s">
        <v>55</v>
      </c>
      <c r="I184" s="127"/>
      <c r="J184" s="127"/>
      <c r="K184" s="127"/>
      <c r="L184" s="127"/>
    </row>
    <row r="185" spans="1:12" ht="30" customHeight="1" x14ac:dyDescent="0.25">
      <c r="A185" s="138">
        <v>1575</v>
      </c>
      <c r="B185" s="123" t="s">
        <v>589</v>
      </c>
      <c r="C185" s="124" t="s">
        <v>287</v>
      </c>
      <c r="D185" s="123" t="s">
        <v>288</v>
      </c>
      <c r="E185" s="124" t="s">
        <v>289</v>
      </c>
      <c r="F185" s="125" t="s">
        <v>2</v>
      </c>
      <c r="G185" s="136">
        <v>11.91</v>
      </c>
      <c r="H185" s="126" t="s">
        <v>55</v>
      </c>
      <c r="I185" s="127" t="s">
        <v>56</v>
      </c>
      <c r="J185" s="127"/>
      <c r="K185" s="127"/>
      <c r="L185" s="127"/>
    </row>
    <row r="186" spans="1:12" ht="30" customHeight="1" x14ac:dyDescent="0.25">
      <c r="A186" s="138">
        <v>6110</v>
      </c>
      <c r="B186" s="123" t="s">
        <v>679</v>
      </c>
      <c r="C186" s="124" t="s">
        <v>141</v>
      </c>
      <c r="D186" s="123" t="s">
        <v>292</v>
      </c>
      <c r="E186" s="124" t="s">
        <v>228</v>
      </c>
      <c r="F186" s="125" t="s">
        <v>2</v>
      </c>
      <c r="G186" s="136">
        <v>32.85</v>
      </c>
      <c r="H186" s="126" t="s">
        <v>55</v>
      </c>
      <c r="I186" s="127"/>
      <c r="J186" s="127"/>
      <c r="K186" s="127"/>
      <c r="L186" s="127"/>
    </row>
    <row r="187" spans="1:12" ht="30" customHeight="1" x14ac:dyDescent="0.25">
      <c r="A187" s="138">
        <v>6110</v>
      </c>
      <c r="B187" s="123" t="s">
        <v>680</v>
      </c>
      <c r="C187" s="124" t="s">
        <v>141</v>
      </c>
      <c r="D187" s="123" t="s">
        <v>290</v>
      </c>
      <c r="E187" s="124" t="s">
        <v>228</v>
      </c>
      <c r="F187" s="125" t="s">
        <v>2</v>
      </c>
      <c r="G187" s="136">
        <v>7.25</v>
      </c>
      <c r="H187" s="126" t="s">
        <v>55</v>
      </c>
      <c r="I187" s="127"/>
      <c r="J187" s="127"/>
      <c r="K187" s="127"/>
      <c r="L187" s="127"/>
    </row>
    <row r="188" spans="1:12" ht="30" customHeight="1" x14ac:dyDescent="0.25">
      <c r="A188" s="138">
        <v>3783</v>
      </c>
      <c r="B188" s="123" t="s">
        <v>590</v>
      </c>
      <c r="C188" s="124" t="s">
        <v>104</v>
      </c>
      <c r="D188" s="123" t="s">
        <v>591</v>
      </c>
      <c r="E188" s="124" t="s">
        <v>106</v>
      </c>
      <c r="F188" s="125"/>
      <c r="G188" s="136">
        <v>24.63</v>
      </c>
      <c r="H188" s="126" t="s">
        <v>55</v>
      </c>
      <c r="I188" s="127" t="s">
        <v>56</v>
      </c>
      <c r="J188" s="127"/>
      <c r="K188" s="127"/>
      <c r="L188" s="127"/>
    </row>
    <row r="189" spans="1:12" ht="30" customHeight="1" x14ac:dyDescent="0.25">
      <c r="A189" s="138"/>
      <c r="B189" s="123"/>
      <c r="C189" s="124"/>
      <c r="D189" s="123"/>
      <c r="E189" s="124"/>
      <c r="F189" s="125"/>
      <c r="G189" s="136"/>
      <c r="H189" s="126"/>
      <c r="I189" s="127"/>
      <c r="J189" s="127"/>
      <c r="K189" s="127"/>
      <c r="L189" s="127"/>
    </row>
    <row r="190" spans="1:12" ht="30" customHeight="1" x14ac:dyDescent="0.25">
      <c r="A190" s="138"/>
      <c r="B190" s="123"/>
      <c r="C190" s="124"/>
      <c r="D190" s="123"/>
      <c r="E190" s="124"/>
      <c r="F190" s="125"/>
      <c r="G190" s="136"/>
      <c r="H190" s="126"/>
      <c r="I190" s="127"/>
      <c r="J190" s="127"/>
      <c r="K190" s="127"/>
      <c r="L190" s="127"/>
    </row>
    <row r="191" spans="1:12" ht="30" customHeight="1" x14ac:dyDescent="0.25">
      <c r="A191" s="138"/>
      <c r="B191" s="123"/>
      <c r="C191" s="124"/>
      <c r="D191" s="123"/>
      <c r="E191" s="124"/>
      <c r="F191" s="125"/>
      <c r="G191" s="136"/>
      <c r="H191" s="126"/>
      <c r="I191" s="127"/>
      <c r="J191" s="127"/>
      <c r="K191" s="127"/>
      <c r="L191" s="127"/>
    </row>
    <row r="192" spans="1:12" ht="30" customHeight="1" x14ac:dyDescent="0.25">
      <c r="A192" s="138"/>
      <c r="B192" s="123"/>
      <c r="C192" s="124"/>
      <c r="D192" s="123"/>
      <c r="E192" s="124"/>
      <c r="F192" s="125"/>
      <c r="G192" s="136"/>
      <c r="H192" s="126"/>
      <c r="I192" s="127"/>
      <c r="J192" s="127"/>
      <c r="K192" s="127"/>
      <c r="L192" s="127"/>
    </row>
    <row r="193" spans="1:12" ht="30" customHeight="1" x14ac:dyDescent="0.25">
      <c r="A193" s="138"/>
      <c r="B193" s="123"/>
      <c r="C193" s="124"/>
      <c r="D193" s="123"/>
      <c r="E193" s="124"/>
      <c r="F193" s="125"/>
      <c r="G193" s="136"/>
      <c r="H193" s="126"/>
      <c r="I193" s="127"/>
      <c r="J193" s="127"/>
      <c r="K193" s="127"/>
      <c r="L193" s="127"/>
    </row>
    <row r="194" spans="1:12" ht="30" customHeight="1" x14ac:dyDescent="0.25">
      <c r="A194" s="138"/>
      <c r="B194" s="123"/>
      <c r="C194" s="124"/>
      <c r="D194" s="123"/>
      <c r="E194" s="124"/>
      <c r="F194" s="125"/>
      <c r="G194" s="136"/>
      <c r="H194" s="126"/>
      <c r="I194" s="127"/>
      <c r="J194" s="127"/>
      <c r="K194" s="127"/>
      <c r="L194" s="127"/>
    </row>
    <row r="195" spans="1:12" ht="30" customHeight="1" x14ac:dyDescent="0.25">
      <c r="A195" s="138"/>
      <c r="B195" s="123"/>
      <c r="C195" s="124"/>
      <c r="D195" s="123"/>
      <c r="E195" s="124"/>
      <c r="F195" s="125"/>
      <c r="G195" s="136"/>
      <c r="H195" s="126"/>
      <c r="I195" s="127"/>
      <c r="J195" s="127"/>
      <c r="K195" s="127"/>
      <c r="L195" s="127"/>
    </row>
    <row r="196" spans="1:12" ht="30" customHeight="1" x14ac:dyDescent="0.25">
      <c r="A196" s="138"/>
      <c r="B196" s="123"/>
      <c r="C196" s="124"/>
      <c r="D196" s="123"/>
      <c r="E196" s="124"/>
      <c r="F196" s="125"/>
      <c r="G196" s="136"/>
      <c r="H196" s="126"/>
      <c r="I196" s="127"/>
      <c r="J196" s="127"/>
      <c r="K196" s="127"/>
      <c r="L196" s="127"/>
    </row>
    <row r="197" spans="1:12" ht="30" customHeight="1" x14ac:dyDescent="0.25">
      <c r="A197" s="138"/>
      <c r="B197" s="123"/>
      <c r="C197" s="124"/>
      <c r="D197" s="123"/>
      <c r="E197" s="124"/>
      <c r="F197" s="125"/>
      <c r="G197" s="136"/>
      <c r="H197" s="126"/>
      <c r="I197" s="127"/>
      <c r="J197" s="127"/>
      <c r="K197" s="127"/>
      <c r="L197" s="127"/>
    </row>
    <row r="198" spans="1:12" ht="30" customHeight="1" x14ac:dyDescent="0.25">
      <c r="A198" s="138"/>
      <c r="B198" s="123"/>
      <c r="C198" s="124"/>
      <c r="D198" s="123"/>
      <c r="E198" s="124"/>
      <c r="F198" s="125"/>
      <c r="G198" s="136"/>
      <c r="H198" s="126"/>
      <c r="I198" s="127"/>
      <c r="J198" s="127"/>
      <c r="K198" s="127"/>
      <c r="L198" s="127"/>
    </row>
    <row r="199" spans="1:12" ht="30" customHeight="1" x14ac:dyDescent="0.25">
      <c r="A199" s="138"/>
      <c r="B199" s="123"/>
      <c r="C199" s="124"/>
      <c r="D199" s="123"/>
      <c r="E199" s="124"/>
      <c r="F199" s="125"/>
      <c r="G199" s="136"/>
      <c r="H199" s="126"/>
      <c r="I199" s="127"/>
      <c r="J199" s="127"/>
      <c r="K199" s="127"/>
      <c r="L199" s="127"/>
    </row>
    <row r="200" spans="1:12" ht="30" customHeight="1" x14ac:dyDescent="0.25">
      <c r="A200" s="122"/>
      <c r="B200" s="123"/>
      <c r="C200" s="124"/>
      <c r="D200" s="123"/>
      <c r="E200" s="124"/>
      <c r="F200" s="125"/>
      <c r="G200" s="136"/>
      <c r="H200" s="126"/>
      <c r="I200" s="127"/>
      <c r="J200" s="127"/>
      <c r="K200" s="127"/>
      <c r="L200" s="127"/>
    </row>
    <row r="201" spans="1:12" ht="30" customHeight="1" x14ac:dyDescent="0.25">
      <c r="A201" s="122"/>
      <c r="B201" s="123"/>
      <c r="C201" s="124"/>
      <c r="D201" s="123"/>
      <c r="E201" s="124"/>
      <c r="F201" s="125"/>
      <c r="G201" s="136"/>
      <c r="H201" s="126"/>
      <c r="I201" s="127"/>
      <c r="J201" s="127"/>
      <c r="K201" s="127"/>
      <c r="L201" s="127"/>
    </row>
    <row r="202" spans="1:12" ht="30" customHeight="1" x14ac:dyDescent="0.25">
      <c r="A202" s="122"/>
      <c r="B202" s="123"/>
      <c r="C202" s="124"/>
      <c r="D202" s="123"/>
      <c r="E202" s="124"/>
      <c r="F202" s="125"/>
      <c r="G202" s="136"/>
      <c r="H202" s="126"/>
      <c r="I202" s="127"/>
      <c r="J202" s="127"/>
      <c r="K202" s="127"/>
      <c r="L202" s="127"/>
    </row>
    <row r="203" spans="1:12" ht="30" customHeight="1" x14ac:dyDescent="0.25">
      <c r="A203" s="122"/>
      <c r="B203" s="123"/>
      <c r="C203" s="124"/>
      <c r="D203" s="123"/>
      <c r="E203" s="124"/>
      <c r="F203" s="125"/>
      <c r="G203" s="136"/>
      <c r="H203" s="126"/>
      <c r="I203" s="127"/>
      <c r="J203" s="127"/>
      <c r="K203" s="127"/>
      <c r="L203" s="127"/>
    </row>
    <row r="204" spans="1:12" ht="30" customHeight="1" x14ac:dyDescent="0.25">
      <c r="A204" s="122"/>
      <c r="B204" s="123"/>
      <c r="C204" s="124"/>
      <c r="D204" s="123"/>
      <c r="E204" s="124"/>
      <c r="F204" s="125"/>
      <c r="G204" s="136"/>
      <c r="H204" s="126"/>
      <c r="I204" s="127"/>
      <c r="J204" s="127"/>
      <c r="K204" s="127"/>
      <c r="L204" s="127"/>
    </row>
    <row r="205" spans="1:12" ht="30" customHeight="1" x14ac:dyDescent="0.25">
      <c r="A205" s="122"/>
      <c r="B205" s="123"/>
      <c r="C205" s="124"/>
      <c r="D205" s="123"/>
      <c r="E205" s="124"/>
      <c r="F205" s="125"/>
      <c r="G205" s="136"/>
      <c r="H205" s="126"/>
      <c r="I205" s="127"/>
      <c r="J205" s="127"/>
      <c r="K205" s="127"/>
      <c r="L205" s="127"/>
    </row>
    <row r="206" spans="1:12" ht="30" customHeight="1" x14ac:dyDescent="0.25">
      <c r="A206" s="122"/>
      <c r="B206" s="123"/>
      <c r="C206" s="124"/>
      <c r="D206" s="123"/>
      <c r="E206" s="124"/>
      <c r="F206" s="125"/>
      <c r="G206" s="136"/>
      <c r="H206" s="126"/>
      <c r="I206" s="127"/>
      <c r="J206" s="127"/>
      <c r="K206" s="127"/>
      <c r="L206" s="127"/>
    </row>
    <row r="207" spans="1:12" ht="30" customHeight="1" x14ac:dyDescent="0.25">
      <c r="A207" s="122"/>
      <c r="B207" s="123"/>
      <c r="C207" s="124"/>
      <c r="D207" s="123"/>
      <c r="E207" s="124"/>
      <c r="F207" s="125"/>
      <c r="G207" s="136"/>
      <c r="H207" s="126"/>
      <c r="I207" s="127"/>
      <c r="J207" s="127"/>
      <c r="K207" s="127"/>
      <c r="L207" s="127"/>
    </row>
    <row r="208" spans="1:12" ht="30" customHeight="1" x14ac:dyDescent="0.25">
      <c r="A208" s="122"/>
      <c r="B208" s="123"/>
      <c r="C208" s="124"/>
      <c r="D208" s="123"/>
      <c r="E208" s="124"/>
      <c r="F208" s="125"/>
      <c r="G208" s="136"/>
      <c r="H208" s="126"/>
      <c r="I208" s="127"/>
      <c r="J208" s="127"/>
      <c r="K208" s="127"/>
      <c r="L208" s="127"/>
    </row>
    <row r="209" spans="1:12" ht="30" customHeight="1" x14ac:dyDescent="0.25">
      <c r="A209" s="122"/>
      <c r="B209" s="123"/>
      <c r="C209" s="124"/>
      <c r="D209" s="123"/>
      <c r="E209" s="124"/>
      <c r="F209" s="125"/>
      <c r="G209" s="136"/>
      <c r="H209" s="128"/>
      <c r="I209" s="127"/>
      <c r="J209" s="127"/>
      <c r="K209" s="127"/>
      <c r="L209" s="127"/>
    </row>
    <row r="210" spans="1:12" ht="30" customHeight="1" x14ac:dyDescent="0.25">
      <c r="A210" s="122"/>
      <c r="B210" s="123"/>
      <c r="C210" s="124"/>
      <c r="D210" s="123"/>
      <c r="E210" s="124"/>
      <c r="F210" s="125"/>
      <c r="G210" s="136"/>
      <c r="H210" s="126"/>
      <c r="I210" s="127"/>
      <c r="J210" s="127"/>
      <c r="K210" s="127"/>
      <c r="L210" s="127"/>
    </row>
    <row r="211" spans="1:12" ht="30" customHeight="1" x14ac:dyDescent="0.25">
      <c r="A211" s="122"/>
      <c r="B211" s="123"/>
      <c r="C211" s="124"/>
      <c r="D211" s="123"/>
      <c r="E211" s="124"/>
      <c r="F211" s="125"/>
      <c r="G211" s="136"/>
      <c r="H211" s="126"/>
      <c r="I211" s="127"/>
      <c r="J211" s="127"/>
      <c r="K211" s="127"/>
      <c r="L211" s="127"/>
    </row>
    <row r="212" spans="1:12" ht="30" customHeight="1" x14ac:dyDescent="0.25">
      <c r="A212" s="122"/>
      <c r="B212" s="123"/>
      <c r="C212" s="124"/>
      <c r="D212" s="123"/>
      <c r="E212" s="124"/>
      <c r="F212" s="125"/>
      <c r="G212" s="136"/>
      <c r="H212" s="126"/>
      <c r="I212" s="127"/>
      <c r="J212" s="127"/>
      <c r="K212" s="127"/>
      <c r="L212" s="127"/>
    </row>
    <row r="213" spans="1:12" ht="30" customHeight="1" x14ac:dyDescent="0.25">
      <c r="A213" s="122"/>
      <c r="B213" s="123"/>
      <c r="C213" s="124"/>
      <c r="D213" s="123"/>
      <c r="E213" s="124"/>
      <c r="F213" s="125"/>
      <c r="G213" s="136"/>
      <c r="H213" s="126"/>
      <c r="I213" s="127"/>
      <c r="J213" s="127"/>
      <c r="K213" s="127"/>
      <c r="L213" s="127"/>
    </row>
    <row r="214" spans="1:12" ht="30" customHeight="1" x14ac:dyDescent="0.25">
      <c r="A214" s="132"/>
      <c r="B214" s="123"/>
      <c r="C214" s="124"/>
      <c r="D214" s="123"/>
      <c r="E214" s="124"/>
      <c r="F214" s="125"/>
      <c r="G214" s="136"/>
      <c r="H214" s="126"/>
      <c r="I214" s="127"/>
      <c r="J214" s="127"/>
      <c r="K214" s="127"/>
      <c r="L214" s="127"/>
    </row>
    <row r="215" spans="1:12" ht="30" customHeight="1" x14ac:dyDescent="0.25">
      <c r="A215" s="132"/>
      <c r="B215" s="123"/>
      <c r="C215" s="124"/>
      <c r="D215" s="123"/>
      <c r="E215" s="124"/>
      <c r="F215" s="125"/>
      <c r="G215" s="136"/>
      <c r="H215" s="126"/>
      <c r="I215" s="127"/>
      <c r="J215" s="127"/>
      <c r="K215" s="127"/>
      <c r="L215" s="127"/>
    </row>
    <row r="216" spans="1:12" ht="30" customHeight="1" x14ac:dyDescent="0.25">
      <c r="A216" s="132"/>
      <c r="B216" s="123"/>
      <c r="C216" s="124"/>
      <c r="D216" s="123"/>
      <c r="E216" s="124"/>
      <c r="F216" s="125"/>
      <c r="G216" s="136"/>
      <c r="H216" s="126"/>
      <c r="I216" s="127"/>
      <c r="J216" s="127"/>
      <c r="K216" s="127"/>
      <c r="L216" s="127"/>
    </row>
    <row r="217" spans="1:12" ht="30" customHeight="1" x14ac:dyDescent="0.25">
      <c r="A217" s="122"/>
      <c r="B217" s="123"/>
      <c r="C217" s="124"/>
      <c r="D217" s="123"/>
      <c r="E217" s="124"/>
      <c r="F217" s="125"/>
      <c r="G217" s="136"/>
      <c r="H217" s="126"/>
      <c r="I217" s="127"/>
      <c r="J217" s="127"/>
      <c r="K217" s="127"/>
      <c r="L217" s="127"/>
    </row>
    <row r="218" spans="1:12" ht="30" customHeight="1" x14ac:dyDescent="0.25">
      <c r="A218" s="122"/>
      <c r="B218" s="123"/>
      <c r="C218" s="124"/>
      <c r="D218" s="123"/>
      <c r="E218" s="124"/>
      <c r="F218" s="125"/>
      <c r="G218" s="136"/>
      <c r="H218" s="126"/>
      <c r="I218" s="127"/>
      <c r="J218" s="127"/>
      <c r="K218" s="127"/>
      <c r="L218" s="127"/>
    </row>
    <row r="219" spans="1:12" ht="30" customHeight="1" x14ac:dyDescent="0.25">
      <c r="A219" s="122"/>
      <c r="B219" s="123"/>
      <c r="C219" s="124"/>
      <c r="D219" s="123"/>
      <c r="E219" s="124"/>
      <c r="F219" s="125"/>
      <c r="G219" s="136"/>
      <c r="H219" s="126"/>
      <c r="I219" s="127"/>
      <c r="J219" s="127"/>
      <c r="K219" s="127"/>
      <c r="L219" s="127"/>
    </row>
    <row r="220" spans="1:12" ht="30" customHeight="1" x14ac:dyDescent="0.25">
      <c r="A220" s="122"/>
      <c r="B220" s="123"/>
      <c r="C220" s="124"/>
      <c r="D220" s="123"/>
      <c r="E220" s="124"/>
      <c r="F220" s="125"/>
      <c r="G220" s="136"/>
      <c r="H220" s="126"/>
      <c r="I220" s="127"/>
      <c r="J220" s="127"/>
      <c r="K220" s="127"/>
      <c r="L220" s="127"/>
    </row>
    <row r="221" spans="1:12" ht="30" customHeight="1" x14ac:dyDescent="0.25">
      <c r="A221" s="122"/>
      <c r="B221" s="123"/>
      <c r="C221" s="124"/>
      <c r="D221" s="123"/>
      <c r="E221" s="124"/>
      <c r="F221" s="125"/>
      <c r="G221" s="136"/>
      <c r="H221" s="126"/>
      <c r="I221" s="127"/>
      <c r="J221" s="127"/>
      <c r="K221" s="127"/>
      <c r="L221" s="127"/>
    </row>
    <row r="222" spans="1:12" ht="30" customHeight="1" x14ac:dyDescent="0.25">
      <c r="A222" s="122"/>
      <c r="B222" s="123"/>
      <c r="C222" s="124"/>
      <c r="D222" s="123"/>
      <c r="E222" s="124"/>
      <c r="F222" s="125"/>
      <c r="G222" s="136"/>
      <c r="H222" s="126"/>
      <c r="I222" s="127"/>
      <c r="J222" s="127"/>
      <c r="K222" s="127"/>
      <c r="L222" s="127"/>
    </row>
    <row r="223" spans="1:12" ht="30" customHeight="1" x14ac:dyDescent="0.25">
      <c r="A223" s="124"/>
      <c r="B223" s="123"/>
      <c r="C223" s="124"/>
      <c r="D223" s="123"/>
      <c r="E223" s="124"/>
      <c r="F223" s="125"/>
      <c r="G223" s="136"/>
      <c r="H223" s="128"/>
      <c r="I223" s="127"/>
      <c r="J223" s="127"/>
      <c r="K223" s="127"/>
      <c r="L223" s="127"/>
    </row>
    <row r="224" spans="1:12" ht="30" customHeight="1" x14ac:dyDescent="0.25">
      <c r="A224" s="124"/>
      <c r="B224" s="123"/>
      <c r="C224" s="124"/>
      <c r="D224" s="123"/>
      <c r="E224" s="124"/>
      <c r="F224" s="125"/>
      <c r="G224" s="136"/>
      <c r="H224" s="128"/>
      <c r="I224" s="127"/>
      <c r="J224" s="127"/>
      <c r="K224" s="127"/>
      <c r="L224" s="127"/>
    </row>
    <row r="225" spans="1:12" ht="30" customHeight="1" x14ac:dyDescent="0.25">
      <c r="A225" s="124"/>
      <c r="B225" s="123"/>
      <c r="C225" s="124"/>
      <c r="D225" s="123"/>
      <c r="E225" s="124"/>
      <c r="F225" s="125"/>
      <c r="G225" s="136"/>
      <c r="H225" s="128"/>
      <c r="I225" s="127"/>
      <c r="J225" s="127"/>
      <c r="K225" s="127"/>
      <c r="L225" s="127"/>
    </row>
    <row r="226" spans="1:12" ht="30" customHeight="1" x14ac:dyDescent="0.25">
      <c r="A226" s="124"/>
      <c r="B226" s="123"/>
      <c r="C226" s="124"/>
      <c r="D226" s="123"/>
      <c r="E226" s="124"/>
      <c r="F226" s="125"/>
      <c r="G226" s="136"/>
      <c r="H226" s="128"/>
      <c r="I226" s="127"/>
      <c r="J226" s="127"/>
      <c r="K226" s="127"/>
      <c r="L226" s="127"/>
    </row>
    <row r="227" spans="1:12" ht="30" customHeight="1" x14ac:dyDescent="0.25">
      <c r="A227" s="124"/>
      <c r="B227" s="123"/>
      <c r="C227" s="124"/>
      <c r="D227" s="123"/>
      <c r="E227" s="124"/>
      <c r="F227" s="125"/>
      <c r="G227" s="136"/>
      <c r="H227" s="128"/>
      <c r="I227" s="127"/>
      <c r="J227" s="127"/>
      <c r="K227" s="127"/>
      <c r="L227" s="127"/>
    </row>
    <row r="228" spans="1:12" ht="30" customHeight="1" x14ac:dyDescent="0.25">
      <c r="A228" s="124"/>
      <c r="B228" s="123"/>
      <c r="C228" s="124"/>
      <c r="D228" s="123"/>
      <c r="E228" s="124"/>
      <c r="F228" s="125"/>
      <c r="G228" s="136"/>
      <c r="H228" s="128"/>
      <c r="I228" s="127"/>
      <c r="J228" s="127"/>
      <c r="K228" s="127"/>
      <c r="L228" s="127"/>
    </row>
    <row r="229" spans="1:12" ht="30" customHeight="1" x14ac:dyDescent="0.25">
      <c r="A229" s="124"/>
      <c r="B229" s="123"/>
      <c r="C229" s="124"/>
      <c r="D229" s="123"/>
      <c r="E229" s="124"/>
      <c r="F229" s="125"/>
      <c r="G229" s="136"/>
      <c r="H229" s="128"/>
      <c r="I229" s="127"/>
      <c r="J229" s="127"/>
      <c r="K229" s="127"/>
      <c r="L229" s="127"/>
    </row>
    <row r="230" spans="1:12" ht="30" customHeight="1" x14ac:dyDescent="0.25">
      <c r="A230" s="124"/>
      <c r="B230" s="123"/>
      <c r="C230" s="124"/>
      <c r="D230" s="123"/>
      <c r="E230" s="124"/>
      <c r="F230" s="125"/>
      <c r="G230" s="136"/>
      <c r="H230" s="128"/>
      <c r="I230" s="127"/>
      <c r="J230" s="127"/>
      <c r="K230" s="127"/>
      <c r="L230" s="127"/>
    </row>
    <row r="231" spans="1:12" ht="30" customHeight="1" x14ac:dyDescent="0.25">
      <c r="A231" s="124"/>
      <c r="B231" s="123"/>
      <c r="C231" s="124"/>
      <c r="D231" s="123"/>
      <c r="E231" s="124"/>
      <c r="F231" s="125"/>
      <c r="G231" s="136"/>
      <c r="H231" s="128"/>
      <c r="I231" s="127"/>
      <c r="J231" s="127"/>
      <c r="K231" s="127"/>
      <c r="L231" s="127"/>
    </row>
    <row r="232" spans="1:12" ht="30" customHeight="1" x14ac:dyDescent="0.25">
      <c r="A232" s="124"/>
      <c r="B232" s="123"/>
      <c r="C232" s="124"/>
      <c r="D232" s="123"/>
      <c r="E232" s="124"/>
      <c r="F232" s="125"/>
      <c r="G232" s="136"/>
      <c r="H232" s="128"/>
      <c r="I232" s="127"/>
      <c r="J232" s="127"/>
      <c r="K232" s="127"/>
      <c r="L232" s="127"/>
    </row>
    <row r="233" spans="1:12" ht="30" customHeight="1" x14ac:dyDescent="0.25">
      <c r="A233" s="124"/>
      <c r="B233" s="123"/>
      <c r="C233" s="124"/>
      <c r="D233" s="123"/>
      <c r="E233" s="124"/>
      <c r="F233" s="125"/>
      <c r="G233" s="136"/>
      <c r="H233" s="128"/>
      <c r="I233" s="127"/>
      <c r="J233" s="127"/>
      <c r="K233" s="127"/>
      <c r="L233" s="127"/>
    </row>
    <row r="234" spans="1:12" ht="30" customHeight="1" x14ac:dyDescent="0.25">
      <c r="A234" s="124"/>
      <c r="B234" s="123"/>
      <c r="C234" s="124"/>
      <c r="D234" s="123"/>
      <c r="E234" s="124"/>
      <c r="F234" s="125"/>
      <c r="G234" s="136"/>
      <c r="H234" s="128"/>
      <c r="I234" s="127"/>
      <c r="J234" s="127"/>
      <c r="K234" s="127"/>
      <c r="L234" s="127"/>
    </row>
    <row r="235" spans="1:12" ht="30" customHeight="1" x14ac:dyDescent="0.25">
      <c r="A235" s="124"/>
      <c r="B235" s="123"/>
      <c r="C235" s="124"/>
      <c r="D235" s="123"/>
      <c r="E235" s="124"/>
      <c r="F235" s="125"/>
      <c r="G235" s="136"/>
      <c r="H235" s="128"/>
      <c r="I235" s="127"/>
      <c r="J235" s="127"/>
      <c r="K235" s="127"/>
      <c r="L235" s="127"/>
    </row>
    <row r="236" spans="1:12" ht="30" customHeight="1" x14ac:dyDescent="0.25">
      <c r="A236" s="124"/>
      <c r="B236" s="123"/>
      <c r="C236" s="124"/>
      <c r="D236" s="123"/>
      <c r="E236" s="124"/>
      <c r="F236" s="125"/>
      <c r="G236" s="136"/>
      <c r="H236" s="128"/>
      <c r="I236" s="127"/>
      <c r="J236" s="127"/>
      <c r="K236" s="127"/>
      <c r="L236" s="127"/>
    </row>
    <row r="237" spans="1:12" ht="30" customHeight="1" x14ac:dyDescent="0.25">
      <c r="A237" s="124"/>
      <c r="B237" s="123"/>
      <c r="C237" s="124"/>
      <c r="D237" s="123"/>
      <c r="E237" s="124"/>
      <c r="F237" s="125"/>
      <c r="G237" s="136"/>
      <c r="H237" s="128"/>
      <c r="I237" s="127"/>
      <c r="J237" s="127"/>
      <c r="K237" s="127"/>
      <c r="L237" s="127"/>
    </row>
    <row r="238" spans="1:12" ht="30" customHeight="1" x14ac:dyDescent="0.25">
      <c r="A238" s="124"/>
      <c r="B238" s="123"/>
      <c r="C238" s="124"/>
      <c r="D238" s="123"/>
      <c r="E238" s="124"/>
      <c r="F238" s="125"/>
      <c r="G238" s="136"/>
      <c r="H238" s="128"/>
      <c r="I238" s="127"/>
      <c r="J238" s="127"/>
      <c r="K238" s="127"/>
      <c r="L238" s="127"/>
    </row>
    <row r="239" spans="1:12" ht="30" customHeight="1" x14ac:dyDescent="0.25">
      <c r="A239" s="124"/>
      <c r="B239" s="123"/>
      <c r="C239" s="124"/>
      <c r="D239" s="123"/>
      <c r="E239" s="124"/>
      <c r="F239" s="125"/>
      <c r="G239" s="136"/>
      <c r="H239" s="128"/>
      <c r="I239" s="127"/>
      <c r="J239" s="127"/>
      <c r="K239" s="127"/>
      <c r="L239" s="127"/>
    </row>
    <row r="240" spans="1:12" ht="30" customHeight="1" x14ac:dyDescent="0.25">
      <c r="A240" s="124"/>
      <c r="B240" s="123"/>
      <c r="C240" s="124"/>
      <c r="D240" s="123"/>
      <c r="E240" s="124"/>
      <c r="F240" s="125"/>
      <c r="G240" s="136"/>
      <c r="H240" s="128"/>
      <c r="I240" s="127"/>
      <c r="J240" s="127"/>
      <c r="K240" s="127"/>
      <c r="L240" s="127"/>
    </row>
    <row r="241" spans="1:12" ht="30" customHeight="1" x14ac:dyDescent="0.25">
      <c r="A241" s="124"/>
      <c r="B241" s="123"/>
      <c r="C241" s="124"/>
      <c r="D241" s="123"/>
      <c r="E241" s="124"/>
      <c r="F241" s="125"/>
      <c r="G241" s="136"/>
      <c r="H241" s="128"/>
      <c r="I241" s="127"/>
      <c r="J241" s="127"/>
      <c r="K241" s="127"/>
      <c r="L241" s="127"/>
    </row>
    <row r="242" spans="1:12" ht="30" customHeight="1" x14ac:dyDescent="0.25">
      <c r="A242" s="124"/>
      <c r="B242" s="123"/>
      <c r="C242" s="124"/>
      <c r="D242" s="123"/>
      <c r="E242" s="124"/>
      <c r="F242" s="125"/>
      <c r="G242" s="136"/>
      <c r="H242" s="128"/>
      <c r="I242" s="127"/>
      <c r="J242" s="127"/>
      <c r="K242" s="127"/>
      <c r="L242" s="127"/>
    </row>
    <row r="243" spans="1:12" ht="30" customHeight="1" x14ac:dyDescent="0.25">
      <c r="A243" s="124"/>
      <c r="B243" s="123"/>
      <c r="C243" s="124"/>
      <c r="D243" s="123"/>
      <c r="E243" s="124"/>
      <c r="F243" s="125"/>
      <c r="G243" s="136"/>
      <c r="H243" s="128"/>
      <c r="I243" s="127"/>
      <c r="J243" s="127"/>
      <c r="K243" s="127"/>
      <c r="L243" s="127"/>
    </row>
    <row r="244" spans="1:12" ht="30" customHeight="1" x14ac:dyDescent="0.25">
      <c r="A244" s="124"/>
      <c r="B244" s="123"/>
      <c r="C244" s="124"/>
      <c r="D244" s="123"/>
      <c r="E244" s="124"/>
      <c r="F244" s="125"/>
      <c r="G244" s="136"/>
      <c r="H244" s="128"/>
      <c r="I244" s="127"/>
      <c r="J244" s="127"/>
      <c r="K244" s="127"/>
      <c r="L244" s="127"/>
    </row>
    <row r="245" spans="1:12" ht="30" customHeight="1" x14ac:dyDescent="0.25">
      <c r="A245" s="124"/>
      <c r="B245" s="123"/>
      <c r="C245" s="124"/>
      <c r="D245" s="123"/>
      <c r="E245" s="124"/>
      <c r="F245" s="125"/>
      <c r="G245" s="136"/>
      <c r="H245" s="128"/>
      <c r="I245" s="127"/>
      <c r="J245" s="127"/>
      <c r="K245" s="127"/>
      <c r="L245" s="127"/>
    </row>
    <row r="246" spans="1:12" ht="30" customHeight="1" x14ac:dyDescent="0.25">
      <c r="A246" s="124"/>
      <c r="B246" s="123"/>
      <c r="C246" s="124"/>
      <c r="D246" s="123"/>
      <c r="E246" s="124"/>
      <c r="F246" s="125"/>
      <c r="G246" s="136"/>
      <c r="H246" s="128"/>
      <c r="I246" s="127"/>
      <c r="J246" s="127"/>
      <c r="K246" s="127"/>
      <c r="L246" s="127"/>
    </row>
    <row r="247" spans="1:12" ht="30" customHeight="1" x14ac:dyDescent="0.25">
      <c r="A247" s="124"/>
      <c r="B247" s="123"/>
      <c r="C247" s="124"/>
      <c r="D247" s="123"/>
      <c r="E247" s="124"/>
      <c r="F247" s="125"/>
      <c r="G247" s="136"/>
      <c r="H247" s="128"/>
      <c r="I247" s="127"/>
      <c r="J247" s="127"/>
      <c r="K247" s="127"/>
      <c r="L247" s="127"/>
    </row>
    <row r="248" spans="1:12" ht="30" customHeight="1" x14ac:dyDescent="0.25">
      <c r="A248" s="124"/>
      <c r="B248" s="123"/>
      <c r="C248" s="124"/>
      <c r="D248" s="123"/>
      <c r="E248" s="124"/>
      <c r="F248" s="125"/>
      <c r="G248" s="136"/>
      <c r="H248" s="128"/>
      <c r="I248" s="127"/>
      <c r="J248" s="127"/>
      <c r="K248" s="127"/>
      <c r="L248" s="127"/>
    </row>
    <row r="249" spans="1:12" ht="30" customHeight="1" x14ac:dyDescent="0.25">
      <c r="A249" s="124"/>
      <c r="B249" s="123"/>
      <c r="C249" s="124"/>
      <c r="D249" s="123"/>
      <c r="E249" s="124"/>
      <c r="F249" s="125"/>
      <c r="G249" s="136"/>
      <c r="H249" s="128"/>
      <c r="I249" s="127"/>
      <c r="J249" s="127"/>
      <c r="K249" s="127"/>
      <c r="L249" s="127"/>
    </row>
    <row r="250" spans="1:12" ht="30" customHeight="1" x14ac:dyDescent="0.25">
      <c r="A250" s="124"/>
      <c r="B250" s="123"/>
      <c r="C250" s="124"/>
      <c r="D250" s="123"/>
      <c r="E250" s="124"/>
      <c r="F250" s="125"/>
      <c r="G250" s="136"/>
      <c r="H250" s="128"/>
      <c r="I250" s="127"/>
      <c r="J250" s="127"/>
      <c r="K250" s="127"/>
      <c r="L250" s="127"/>
    </row>
    <row r="251" spans="1:12" ht="30" customHeight="1" x14ac:dyDescent="0.25">
      <c r="A251" s="124"/>
      <c r="B251" s="123"/>
      <c r="C251" s="124"/>
      <c r="D251" s="123"/>
      <c r="E251" s="124"/>
      <c r="F251" s="125"/>
      <c r="G251" s="136"/>
      <c r="H251" s="128"/>
      <c r="I251" s="127"/>
      <c r="J251" s="127"/>
      <c r="K251" s="127"/>
      <c r="L251" s="127"/>
    </row>
    <row r="252" spans="1:12" x14ac:dyDescent="0.25"/>
    <row r="253" spans="1:12" x14ac:dyDescent="0.25"/>
  </sheetData>
  <sheetProtection algorithmName="SHA-512" hashValue="jOkURRfKfkgkKtNu1T6D9USaMCg5UwbGNG09jv3DkHkPw/icXD2wB/K8n/BunHiBgwU97Ljd5rCH1XVQ6rtuJA==" saltValue="EPt2Rxo6jfhVZRXE4l1Fgw==" spinCount="100000" sheet="1" sort="0"/>
  <conditionalFormatting sqref="H69">
    <cfRule type="expression" dxfId="27" priority="2">
      <formula>COUNTIF($C69,"*BIO*")&gt;0</formula>
    </cfRule>
  </conditionalFormatting>
  <conditionalFormatting sqref="H2:H68 H70:H207">
    <cfRule type="expression" dxfId="26" priority="3">
      <formula>COUNTIF($C2,"*BIO*")&gt;0</formula>
    </cfRule>
  </conditionalFormatting>
  <dataValidations disablePrompts="1" count="1">
    <dataValidation type="list" allowBlank="1" showInputMessage="1" showErrorMessage="1" sqref="H2:H251" xr:uid="{B5A2998F-9607-4F98-B4A1-43D037F16DCC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D3F11-DCF2-49AE-BB1A-344CFD42798D}">
  <sheetPr codeName="Feuil23"/>
  <dimension ref="A1:J254"/>
  <sheetViews>
    <sheetView workbookViewId="0">
      <pane ySplit="4" topLeftCell="A186" activePane="bottomLeft" state="frozen"/>
      <selection pane="bottomLeft" sqref="A1:H191"/>
    </sheetView>
  </sheetViews>
  <sheetFormatPr baseColWidth="10" defaultColWidth="0" defaultRowHeight="11.25" zeroHeight="1" x14ac:dyDescent="0.2"/>
  <cols>
    <col min="1" max="1" width="6.7109375" style="146" customWidth="1"/>
    <col min="2" max="2" width="35.85546875" style="146" customWidth="1"/>
    <col min="3" max="3" width="10.42578125" style="154" customWidth="1"/>
    <col min="4" max="4" width="6.7109375" style="154" customWidth="1"/>
    <col min="5" max="5" width="8" style="154" bestFit="1" customWidth="1"/>
    <col min="6" max="7" width="7.42578125" style="154" bestFit="1" customWidth="1"/>
    <col min="8" max="8" width="14.28515625" style="154" customWidth="1"/>
    <col min="9" max="9" width="1.7109375" style="146" customWidth="1"/>
    <col min="10" max="10" width="0" style="146" hidden="1" customWidth="1"/>
    <col min="11" max="16384" width="11.42578125" style="146" hidden="1"/>
  </cols>
  <sheetData>
    <row r="1" spans="1:9" ht="24.95" customHeight="1" x14ac:dyDescent="0.2">
      <c r="A1" s="478" t="s">
        <v>293</v>
      </c>
      <c r="B1" s="478"/>
      <c r="C1" s="478"/>
      <c r="D1" s="478"/>
      <c r="E1" s="478"/>
      <c r="F1" s="478"/>
      <c r="G1" s="478"/>
      <c r="H1" s="478"/>
    </row>
    <row r="2" spans="1:9" ht="20.100000000000001" customHeight="1" x14ac:dyDescent="0.2">
      <c r="A2" s="479" t="e">
        <f>#REF!</f>
        <v>#REF!</v>
      </c>
      <c r="B2" s="479"/>
      <c r="C2" s="479"/>
      <c r="D2" s="479"/>
      <c r="E2" s="479"/>
      <c r="F2" s="479"/>
      <c r="G2" s="479"/>
      <c r="H2" s="479"/>
    </row>
    <row r="3" spans="1:9" ht="15" customHeight="1" x14ac:dyDescent="0.2">
      <c r="A3" s="480" t="s">
        <v>294</v>
      </c>
      <c r="B3" s="480"/>
      <c r="C3" s="480"/>
      <c r="D3" s="480"/>
      <c r="E3" s="480"/>
      <c r="F3" s="480"/>
      <c r="G3" s="480"/>
      <c r="H3" s="480"/>
    </row>
    <row r="4" spans="1:9" ht="69.95" customHeight="1" x14ac:dyDescent="0.2">
      <c r="A4" s="147" t="s">
        <v>6</v>
      </c>
      <c r="B4" s="147" t="s">
        <v>7</v>
      </c>
      <c r="C4" s="147" t="s">
        <v>295</v>
      </c>
      <c r="D4" s="147" t="s">
        <v>44</v>
      </c>
      <c r="E4" s="148" t="s">
        <v>516</v>
      </c>
      <c r="F4" s="148" t="s">
        <v>296</v>
      </c>
      <c r="G4" s="148" t="s">
        <v>297</v>
      </c>
      <c r="H4" s="147" t="s">
        <v>8</v>
      </c>
      <c r="I4" s="149"/>
    </row>
    <row r="5" spans="1:9" ht="30" customHeight="1" x14ac:dyDescent="0.2">
      <c r="A5" s="162" t="e">
        <f xml:space="preserve"> IF(#REF!=0, "",#REF!)</f>
        <v>#REF!</v>
      </c>
      <c r="B5" s="150" t="str">
        <f>BDD!B2</f>
        <v>Açaï en poudre iofilisée BIO (env. 250g)</v>
      </c>
      <c r="C5" s="151">
        <f>BDD!G2</f>
        <v>30.11</v>
      </c>
      <c r="D5" s="152" t="str">
        <f>BDD!H2</f>
        <v>Pièce</v>
      </c>
      <c r="E5" s="153" t="str">
        <f>IF(BDD!I2="", "", "X")</f>
        <v/>
      </c>
      <c r="F5" s="153" t="str">
        <f>IF(BDD!J2="", "", "X")</f>
        <v/>
      </c>
      <c r="G5" s="153" t="str">
        <f>IF(BDD!K2="", "", "X")</f>
        <v/>
      </c>
      <c r="H5" s="153" t="str">
        <f>BDD!C2</f>
        <v>Brésil</v>
      </c>
    </row>
    <row r="6" spans="1:9" ht="30" customHeight="1" x14ac:dyDescent="0.2">
      <c r="A6" s="162" t="e">
        <f xml:space="preserve"> IF(#REF!=0, "",#REF!)</f>
        <v>#REF!</v>
      </c>
      <c r="B6" s="150" t="str">
        <f>BDD!B3</f>
        <v>Ail blanc ou violet BIO</v>
      </c>
      <c r="C6" s="151">
        <f>BDD!G3</f>
        <v>8.19</v>
      </c>
      <c r="D6" s="152" t="str">
        <f>BDD!H3</f>
        <v>kg</v>
      </c>
      <c r="E6" s="153" t="str">
        <f>IF(BDD!I3="", "", "X")</f>
        <v>X</v>
      </c>
      <c r="F6" s="153" t="str">
        <f>IF(BDD!J3="", "", "X")</f>
        <v/>
      </c>
      <c r="G6" s="153" t="str">
        <f>IF(BDD!K3="", "", "X")</f>
        <v/>
      </c>
      <c r="H6" s="153" t="str">
        <f>BDD!C3</f>
        <v>Malaga</v>
      </c>
    </row>
    <row r="7" spans="1:9" ht="30" customHeight="1" x14ac:dyDescent="0.2">
      <c r="A7" s="162" t="e">
        <f xml:space="preserve"> IF(#REF!=0, "",#REF!)</f>
        <v>#REF!</v>
      </c>
      <c r="B7" s="150" t="str">
        <f>BDD!B4</f>
        <v>Algue Chlorella en poudre BIO (env. 1kg)</v>
      </c>
      <c r="C7" s="151">
        <f>BDD!G4</f>
        <v>52.03</v>
      </c>
      <c r="D7" s="152" t="str">
        <f>BDD!H4</f>
        <v>Pièce</v>
      </c>
      <c r="E7" s="153" t="str">
        <f>IF(BDD!I4="", "", "X")</f>
        <v/>
      </c>
      <c r="F7" s="153" t="str">
        <f>IF(BDD!J4="", "", "X")</f>
        <v/>
      </c>
      <c r="G7" s="153" t="str">
        <f>IF(BDD!K4="", "", "X")</f>
        <v/>
      </c>
      <c r="H7" s="153" t="str">
        <f>BDD!C4</f>
        <v>Inde</v>
      </c>
    </row>
    <row r="8" spans="1:9" ht="30" customHeight="1" x14ac:dyDescent="0.2">
      <c r="A8" s="162" t="e">
        <f xml:space="preserve"> IF(#REF!=0, "",#REF!)</f>
        <v>#REF!</v>
      </c>
      <c r="B8" s="150" t="str">
        <f>BDD!B5</f>
        <v>Algue Chlorella en poudre BIO (env. 500g)</v>
      </c>
      <c r="C8" s="151">
        <f>BDD!G5</f>
        <v>26.7</v>
      </c>
      <c r="D8" s="152" t="str">
        <f>BDD!H5</f>
        <v>Pièce</v>
      </c>
      <c r="E8" s="153" t="str">
        <f>IF(BDD!I5="", "", "X")</f>
        <v/>
      </c>
      <c r="F8" s="153" t="str">
        <f>IF(BDD!J5="", "", "X")</f>
        <v/>
      </c>
      <c r="G8" s="153" t="str">
        <f>IF(BDD!K5="", "", "X")</f>
        <v/>
      </c>
      <c r="H8" s="153" t="str">
        <f>BDD!C5</f>
        <v>Inde</v>
      </c>
    </row>
    <row r="9" spans="1:9" ht="30" customHeight="1" x14ac:dyDescent="0.2">
      <c r="A9" s="162" t="e">
        <f xml:space="preserve"> IF(#REF!=0, "",#REF!)</f>
        <v>#REF!</v>
      </c>
      <c r="B9" s="150" t="str">
        <f>BDD!B6</f>
        <v>Algue Dulse déshydratée BIO (env. 1kg)</v>
      </c>
      <c r="C9" s="151">
        <f>BDD!G6</f>
        <v>82.17</v>
      </c>
      <c r="D9" s="152" t="str">
        <f>BDD!H6</f>
        <v>Pièce</v>
      </c>
      <c r="E9" s="153" t="str">
        <f>IF(BDD!I6="", "", "X")</f>
        <v/>
      </c>
      <c r="F9" s="153" t="str">
        <f>IF(BDD!J6="", "", "X")</f>
        <v/>
      </c>
      <c r="G9" s="153" t="str">
        <f>IF(BDD!K6="", "", "X")</f>
        <v/>
      </c>
      <c r="H9" s="153" t="str">
        <f>BDD!C6</f>
        <v>Irlande</v>
      </c>
    </row>
    <row r="10" spans="1:9" ht="30" customHeight="1" x14ac:dyDescent="0.2">
      <c r="A10" s="162" t="e">
        <f xml:space="preserve"> IF(#REF!=0, "",#REF!)</f>
        <v>#REF!</v>
      </c>
      <c r="B10" s="150" t="str">
        <f>BDD!B7</f>
        <v>Algue Dulse déshydratée BIO (env. 500g)</v>
      </c>
      <c r="C10" s="151">
        <f>BDD!G7</f>
        <v>41.77</v>
      </c>
      <c r="D10" s="152" t="str">
        <f>BDD!H7</f>
        <v>Pièce</v>
      </c>
      <c r="E10" s="153" t="str">
        <f>IF(BDD!I7="", "", "X")</f>
        <v/>
      </c>
      <c r="F10" s="153" t="str">
        <f>IF(BDD!J7="", "", "X")</f>
        <v/>
      </c>
      <c r="G10" s="153" t="str">
        <f>IF(BDD!K7="", "", "X")</f>
        <v/>
      </c>
      <c r="H10" s="153" t="str">
        <f>BDD!C7</f>
        <v>Irlande</v>
      </c>
    </row>
    <row r="11" spans="1:9" ht="30" customHeight="1" x14ac:dyDescent="0.2">
      <c r="A11" s="162" t="e">
        <f xml:space="preserve"> IF(#REF!=0, "",#REF!)</f>
        <v>#REF!</v>
      </c>
      <c r="B11" s="150" t="str">
        <f>BDD!B8</f>
        <v>Algue Kombu déshydratées BIO (env. 1kg)</v>
      </c>
      <c r="C11" s="151">
        <f>BDD!G8</f>
        <v>37.659999999999997</v>
      </c>
      <c r="D11" s="152" t="str">
        <f>BDD!H8</f>
        <v>Pièce</v>
      </c>
      <c r="E11" s="153" t="str">
        <f>IF(BDD!I8="", "", "X")</f>
        <v/>
      </c>
      <c r="F11" s="153" t="str">
        <f>IF(BDD!J8="", "", "X")</f>
        <v/>
      </c>
      <c r="G11" s="153" t="str">
        <f>IF(BDD!K8="", "", "X")</f>
        <v/>
      </c>
      <c r="H11" s="153" t="str">
        <f>BDD!C8</f>
        <v>Galice</v>
      </c>
    </row>
    <row r="12" spans="1:9" ht="30" customHeight="1" x14ac:dyDescent="0.2">
      <c r="A12" s="162" t="e">
        <f xml:space="preserve"> IF(#REF!=0, "",#REF!)</f>
        <v>#REF!</v>
      </c>
      <c r="B12" s="150" t="str">
        <f>BDD!B9</f>
        <v>Algue Kombu déshydratées BIO (env. 500g)</v>
      </c>
      <c r="C12" s="151">
        <f>BDD!G9</f>
        <v>19.579999999999998</v>
      </c>
      <c r="D12" s="152" t="str">
        <f>BDD!H9</f>
        <v>Pièce</v>
      </c>
      <c r="E12" s="153" t="str">
        <f>IF(BDD!I9="", "", "X")</f>
        <v/>
      </c>
      <c r="F12" s="153" t="str">
        <f>IF(BDD!J9="", "", "X")</f>
        <v/>
      </c>
      <c r="G12" s="153" t="str">
        <f>IF(BDD!K9="", "", "X")</f>
        <v/>
      </c>
      <c r="H12" s="153" t="str">
        <f>BDD!C9</f>
        <v>Galice</v>
      </c>
    </row>
    <row r="13" spans="1:9" ht="30" customHeight="1" x14ac:dyDescent="0.2">
      <c r="A13" s="162" t="e">
        <f xml:space="preserve"> IF(#REF!=0, "",#REF!)</f>
        <v>#REF!</v>
      </c>
      <c r="B13" s="150" t="str">
        <f>BDD!B10</f>
        <v>Algue Nori entière déshydratées BIO (env. 1kg)</v>
      </c>
      <c r="C13" s="151">
        <f>BDD!G10</f>
        <v>53.4</v>
      </c>
      <c r="D13" s="152" t="str">
        <f>BDD!H10</f>
        <v>Pièce</v>
      </c>
      <c r="E13" s="153" t="str">
        <f>IF(BDD!I10="", "", "X")</f>
        <v/>
      </c>
      <c r="F13" s="153" t="str">
        <f>IF(BDD!J10="", "", "X")</f>
        <v/>
      </c>
      <c r="G13" s="153" t="str">
        <f>IF(BDD!K10="", "", "X")</f>
        <v/>
      </c>
      <c r="H13" s="153" t="str">
        <f>BDD!C10</f>
        <v>Galice</v>
      </c>
    </row>
    <row r="14" spans="1:9" ht="30" customHeight="1" x14ac:dyDescent="0.2">
      <c r="A14" s="162" t="e">
        <f xml:space="preserve"> IF(#REF!=0, "",#REF!)</f>
        <v>#REF!</v>
      </c>
      <c r="B14" s="150" t="str">
        <f>BDD!B11</f>
        <v>Algue Nori entière déshydratées BIO (env. 500g)</v>
      </c>
      <c r="C14" s="151">
        <f>BDD!G11</f>
        <v>27.37</v>
      </c>
      <c r="D14" s="152" t="str">
        <f>BDD!H11</f>
        <v>Pièce</v>
      </c>
      <c r="E14" s="153" t="str">
        <f>IF(BDD!I11="", "", "X")</f>
        <v/>
      </c>
      <c r="F14" s="153" t="str">
        <f>IF(BDD!J11="", "", "X")</f>
        <v/>
      </c>
      <c r="G14" s="153" t="str">
        <f>IF(BDD!K11="", "", "X")</f>
        <v/>
      </c>
      <c r="H14" s="153" t="str">
        <f>BDD!C11</f>
        <v>Galice</v>
      </c>
    </row>
    <row r="15" spans="1:9" ht="30" customHeight="1" x14ac:dyDescent="0.2">
      <c r="A15" s="162" t="e">
        <f xml:space="preserve"> IF(#REF!=0, "",#REF!)</f>
        <v>#REF!</v>
      </c>
      <c r="B15" s="150" t="str">
        <f>BDD!B12</f>
        <v>Aloe Vera (feuille fraîche) BIO</v>
      </c>
      <c r="C15" s="151">
        <f>BDD!G12</f>
        <v>3.55</v>
      </c>
      <c r="D15" s="152" t="str">
        <f>BDD!H12</f>
        <v>Pièce</v>
      </c>
      <c r="E15" s="153" t="str">
        <f>IF(BDD!I12="", "", "X")</f>
        <v>X</v>
      </c>
      <c r="F15" s="153" t="str">
        <f>IF(BDD!J12="", "", "X")</f>
        <v>X</v>
      </c>
      <c r="G15" s="153" t="str">
        <f>IF(BDD!K12="", "", "X")</f>
        <v>X</v>
      </c>
      <c r="H15" s="153" t="str">
        <f>BDD!C12</f>
        <v>Malaga</v>
      </c>
    </row>
    <row r="16" spans="1:9" ht="30" customHeight="1" x14ac:dyDescent="0.2">
      <c r="A16" s="162" t="e">
        <f xml:space="preserve"> IF(#REF!=0, "",#REF!)</f>
        <v>#REF!</v>
      </c>
      <c r="B16" s="150" t="str">
        <f>BDD!B13</f>
        <v>Amande Desmayo avec coque</v>
      </c>
      <c r="C16" s="151">
        <f>BDD!G13</f>
        <v>4.08</v>
      </c>
      <c r="D16" s="152" t="str">
        <f>BDD!H13</f>
        <v>kg</v>
      </c>
      <c r="E16" s="153" t="str">
        <f>IF(BDD!I13="", "", "X")</f>
        <v/>
      </c>
      <c r="F16" s="153" t="str">
        <f>IF(BDD!J13="", "", "X")</f>
        <v/>
      </c>
      <c r="G16" s="153" t="str">
        <f>IF(BDD!K13="", "", "X")</f>
        <v/>
      </c>
      <c r="H16" s="153" t="str">
        <f>BDD!C13</f>
        <v>Grenade</v>
      </c>
    </row>
    <row r="17" spans="1:8" ht="30" customHeight="1" x14ac:dyDescent="0.2">
      <c r="A17" s="162" t="e">
        <f xml:space="preserve"> IF(#REF!=0, "",#REF!)</f>
        <v>#REF!</v>
      </c>
      <c r="B17" s="150" t="str">
        <f>BDD!B14</f>
        <v>Amande Lauren avec coque (saveur sucrée)</v>
      </c>
      <c r="C17" s="151">
        <f>BDD!G14</f>
        <v>3.41</v>
      </c>
      <c r="D17" s="152" t="str">
        <f>BDD!H14</f>
        <v>kg</v>
      </c>
      <c r="E17" s="153" t="str">
        <f>IF(BDD!I14="", "", "X")</f>
        <v>X</v>
      </c>
      <c r="F17" s="153" t="str">
        <f>IF(BDD!J14="", "", "X")</f>
        <v>X</v>
      </c>
      <c r="G17" s="153" t="str">
        <f>IF(BDD!K14="", "", "X")</f>
        <v>X</v>
      </c>
      <c r="H17" s="153" t="str">
        <f>BDD!C14</f>
        <v>Grenade</v>
      </c>
    </row>
    <row r="18" spans="1:8" ht="30" customHeight="1" x14ac:dyDescent="0.2">
      <c r="A18" s="162" t="e">
        <f xml:space="preserve"> IF(#REF!=0, "",#REF!)</f>
        <v>#REF!</v>
      </c>
      <c r="B18" s="150" t="str">
        <f>BDD!B15</f>
        <v>Amande Romera avec coque</v>
      </c>
      <c r="C18" s="151">
        <f>BDD!G15</f>
        <v>3.69</v>
      </c>
      <c r="D18" s="152" t="str">
        <f>BDD!H15</f>
        <v>kg</v>
      </c>
      <c r="E18" s="153" t="str">
        <f>IF(BDD!I15="", "", "X")</f>
        <v>X</v>
      </c>
      <c r="F18" s="153" t="str">
        <f>IF(BDD!J15="", "", "X")</f>
        <v/>
      </c>
      <c r="G18" s="153" t="str">
        <f>IF(BDD!K15="", "", "X")</f>
        <v/>
      </c>
      <c r="H18" s="153" t="str">
        <f>BDD!C15</f>
        <v>Malaga</v>
      </c>
    </row>
    <row r="19" spans="1:8" ht="30" customHeight="1" x14ac:dyDescent="0.2">
      <c r="A19" s="162" t="e">
        <f xml:space="preserve"> IF(#REF!=0, "",#REF!)</f>
        <v>#REF!</v>
      </c>
      <c r="B19" s="150" t="str">
        <f>BDD!B16</f>
        <v>Amande sans coque CRU BIO (env. 1kg)</v>
      </c>
      <c r="C19" s="151">
        <f>BDD!G16</f>
        <v>24.63</v>
      </c>
      <c r="D19" s="152" t="str">
        <f>BDD!H16</f>
        <v>Pièce</v>
      </c>
      <c r="E19" s="153" t="str">
        <f>IF(BDD!I16="", "", "X")</f>
        <v>X</v>
      </c>
      <c r="F19" s="153" t="str">
        <f>IF(BDD!J16="", "", "X")</f>
        <v/>
      </c>
      <c r="G19" s="153" t="str">
        <f>IF(BDD!K16="", "", "X")</f>
        <v/>
      </c>
      <c r="H19" s="153" t="str">
        <f>BDD!C16</f>
        <v>Grenade</v>
      </c>
    </row>
    <row r="20" spans="1:8" ht="30" customHeight="1" x14ac:dyDescent="0.2">
      <c r="A20" s="162" t="e">
        <f xml:space="preserve"> IF(#REF!=0, "",#REF!)</f>
        <v>#REF!</v>
      </c>
      <c r="B20" s="150" t="str">
        <f>BDD!B17</f>
        <v>Ananas (mûri sur plante, env. 2kg)
Super bon, couleur intense, très aromatique</v>
      </c>
      <c r="C20" s="151">
        <f>BDD!G17</f>
        <v>4.37</v>
      </c>
      <c r="D20" s="152" t="str">
        <f>BDD!H17</f>
        <v>kg</v>
      </c>
      <c r="E20" s="153" t="str">
        <f>IF(BDD!I17="", "", "X")</f>
        <v>X</v>
      </c>
      <c r="F20" s="153" t="str">
        <f>IF(BDD!J17="", "", "X")</f>
        <v>X</v>
      </c>
      <c r="G20" s="153" t="str">
        <f>IF(BDD!K17="", "", "X")</f>
        <v/>
      </c>
      <c r="H20" s="153" t="str">
        <f>BDD!C17</f>
        <v>Costa Rica</v>
      </c>
    </row>
    <row r="21" spans="1:8" ht="30" customHeight="1" x14ac:dyDescent="0.2">
      <c r="A21" s="162" t="e">
        <f xml:space="preserve"> IF(#REF!=0, "",#REF!)</f>
        <v>#REF!</v>
      </c>
      <c r="B21" s="150" t="str">
        <f>BDD!B18</f>
        <v>Ananas deshydraté BIO (env. 1kg)</v>
      </c>
      <c r="C21" s="151">
        <f>BDD!G18</f>
        <v>27.37</v>
      </c>
      <c r="D21" s="152" t="str">
        <f>BDD!H18</f>
        <v>Pièce</v>
      </c>
      <c r="E21" s="153" t="str">
        <f>IF(BDD!I18="", "", "X")</f>
        <v/>
      </c>
      <c r="F21" s="153" t="str">
        <f>IF(BDD!J18="", "", "X")</f>
        <v/>
      </c>
      <c r="G21" s="153" t="str">
        <f>IF(BDD!K18="", "", "X")</f>
        <v/>
      </c>
      <c r="H21" s="153" t="str">
        <f>BDD!C18</f>
        <v>Costa Rica</v>
      </c>
    </row>
    <row r="22" spans="1:8" ht="30" customHeight="1" x14ac:dyDescent="0.2">
      <c r="A22" s="162" t="e">
        <f xml:space="preserve"> IF(#REF!=0, "",#REF!)</f>
        <v>#REF!</v>
      </c>
      <c r="B22" s="150" t="str">
        <f>BDD!B19</f>
        <v>Arachides crues avec coque</v>
      </c>
      <c r="C22" s="151">
        <f>BDD!G19</f>
        <v>4.37</v>
      </c>
      <c r="D22" s="152" t="str">
        <f>BDD!H19</f>
        <v>kg</v>
      </c>
      <c r="E22" s="153" t="str">
        <f>IF(BDD!I19="", "", "X")</f>
        <v>X</v>
      </c>
      <c r="F22" s="153" t="str">
        <f>IF(BDD!J19="", "", "X")</f>
        <v>X</v>
      </c>
      <c r="G22" s="153" t="str">
        <f>IF(BDD!K19="", "", "X")</f>
        <v/>
      </c>
      <c r="H22" s="153" t="str">
        <f>BDD!C19</f>
        <v>Chine</v>
      </c>
    </row>
    <row r="23" spans="1:8" ht="30" customHeight="1" x14ac:dyDescent="0.2">
      <c r="A23" s="162" t="e">
        <f xml:space="preserve"> IF(#REF!=0, "",#REF!)</f>
        <v>#REF!</v>
      </c>
      <c r="B23" s="150" t="str">
        <f>BDD!B20</f>
        <v>Arachides sans coque pelé CRU BIO</v>
      </c>
      <c r="C23" s="151">
        <f>BDD!G20</f>
        <v>7.52</v>
      </c>
      <c r="D23" s="152" t="str">
        <f>BDD!H20</f>
        <v>kg</v>
      </c>
      <c r="E23" s="153" t="str">
        <f>IF(BDD!I20="", "", "X")</f>
        <v>X</v>
      </c>
      <c r="F23" s="153" t="str">
        <f>IF(BDD!J20="", "", "X")</f>
        <v>X</v>
      </c>
      <c r="G23" s="153" t="str">
        <f>IF(BDD!K20="", "", "X")</f>
        <v/>
      </c>
      <c r="H23" s="153" t="str">
        <f>BDD!C20</f>
        <v>Chine</v>
      </c>
    </row>
    <row r="24" spans="1:8" ht="30" customHeight="1" x14ac:dyDescent="0.2">
      <c r="A24" s="162" t="e">
        <f xml:space="preserve"> IF(#REF!=0, "",#REF!)</f>
        <v>#REF!</v>
      </c>
      <c r="B24" s="150" t="str">
        <f>BDD!B21</f>
        <v>Aubergine</v>
      </c>
      <c r="C24" s="151">
        <f>BDD!G21</f>
        <v>3.69</v>
      </c>
      <c r="D24" s="152" t="str">
        <f>BDD!H21</f>
        <v>kg</v>
      </c>
      <c r="E24" s="153" t="str">
        <f>IF(BDD!I21="", "", "X")</f>
        <v>X</v>
      </c>
      <c r="F24" s="153" t="str">
        <f>IF(BDD!J21="", "", "X")</f>
        <v>X</v>
      </c>
      <c r="G24" s="153" t="str">
        <f>IF(BDD!K21="", "", "X")</f>
        <v/>
      </c>
      <c r="H24" s="153" t="str">
        <f>BDD!C21</f>
        <v>Malaga</v>
      </c>
    </row>
    <row r="25" spans="1:8" ht="30" customHeight="1" x14ac:dyDescent="0.2">
      <c r="A25" s="162" t="e">
        <f xml:space="preserve"> IF(#REF!=0, "",#REF!)</f>
        <v>#REF!</v>
      </c>
      <c r="B25" s="150" t="str">
        <f>BDD!B22</f>
        <v>Avocat Bacon (grand)</v>
      </c>
      <c r="C25" s="151">
        <f>BDD!G22</f>
        <v>5.33</v>
      </c>
      <c r="D25" s="152" t="str">
        <f>BDD!H22</f>
        <v>kg</v>
      </c>
      <c r="E25" s="153" t="str">
        <f>IF(BDD!I22="", "", "X")</f>
        <v>X</v>
      </c>
      <c r="F25" s="153" t="str">
        <f>IF(BDD!J22="", "", "X")</f>
        <v>X</v>
      </c>
      <c r="G25" s="153" t="str">
        <f>IF(BDD!K22="", "", "X")</f>
        <v/>
      </c>
      <c r="H25" s="153" t="str">
        <f>BDD!C22</f>
        <v>Grenade</v>
      </c>
    </row>
    <row r="26" spans="1:8" ht="30" customHeight="1" x14ac:dyDescent="0.2">
      <c r="A26" s="162" t="e">
        <f xml:space="preserve"> IF(#REF!=0, "",#REF!)</f>
        <v>#REF!</v>
      </c>
      <c r="B26" s="150" t="str">
        <f>BDD!B23</f>
        <v>Avocat Bacon BIO</v>
      </c>
      <c r="C26" s="151">
        <f>BDD!G23</f>
        <v>5.45</v>
      </c>
      <c r="D26" s="152" t="str">
        <f>BDD!H23</f>
        <v>kg</v>
      </c>
      <c r="E26" s="153" t="str">
        <f>IF(BDD!I23="", "", "X")</f>
        <v>X</v>
      </c>
      <c r="F26" s="153" t="str">
        <f>IF(BDD!J23="", "", "X")</f>
        <v>X</v>
      </c>
      <c r="G26" s="153" t="str">
        <f>IF(BDD!K23="", "", "X")</f>
        <v/>
      </c>
      <c r="H26" s="153" t="str">
        <f>BDD!C23</f>
        <v>Grenade</v>
      </c>
    </row>
    <row r="27" spans="1:8" ht="30" customHeight="1" x14ac:dyDescent="0.2">
      <c r="A27" s="162" t="e">
        <f xml:space="preserve"> IF(#REF!=0, "",#REF!)</f>
        <v>#REF!</v>
      </c>
      <c r="B27" s="150" t="str">
        <f>BDD!B24</f>
        <v>Avocat Bacon Cocktail (petit calibre)</v>
      </c>
      <c r="C27" s="151">
        <f>BDD!G24</f>
        <v>5.74</v>
      </c>
      <c r="D27" s="152" t="str">
        <f>BDD!H24</f>
        <v>kg</v>
      </c>
      <c r="E27" s="153" t="str">
        <f>IF(BDD!I24="", "", "X")</f>
        <v/>
      </c>
      <c r="F27" s="153" t="str">
        <f>IF(BDD!J24="", "", "X")</f>
        <v/>
      </c>
      <c r="G27" s="153" t="str">
        <f>IF(BDD!K24="", "", "X")</f>
        <v/>
      </c>
      <c r="H27" s="153" t="str">
        <f>BDD!C24</f>
        <v>Grenade</v>
      </c>
    </row>
    <row r="28" spans="1:8" ht="30" customHeight="1" x14ac:dyDescent="0.2">
      <c r="A28" s="162" t="e">
        <f xml:space="preserve"> IF(#REF!=0, "",#REF!)</f>
        <v>#REF!</v>
      </c>
      <c r="B28" s="150" t="str">
        <f>BDD!B25</f>
        <v>Avocat Bacon médium BIO</v>
      </c>
      <c r="C28" s="151">
        <f>BDD!G25</f>
        <v>4.08</v>
      </c>
      <c r="D28" s="152" t="str">
        <f>BDD!H25</f>
        <v>kg</v>
      </c>
      <c r="E28" s="153" t="str">
        <f>IF(BDD!I25="", "", "X")</f>
        <v>X</v>
      </c>
      <c r="F28" s="153" t="str">
        <f>IF(BDD!J25="", "", "X")</f>
        <v>X</v>
      </c>
      <c r="G28" s="153" t="str">
        <f>IF(BDD!K25="", "", "X")</f>
        <v>X</v>
      </c>
      <c r="H28" s="153" t="str">
        <f>BDD!C25</f>
        <v>Malaga</v>
      </c>
    </row>
    <row r="29" spans="1:8" ht="30" customHeight="1" x14ac:dyDescent="0.2">
      <c r="A29" s="162" t="e">
        <f xml:space="preserve"> IF(#REF!=0, "",#REF!)</f>
        <v>#REF!</v>
      </c>
      <c r="B29" s="150" t="str">
        <f>BDD!B26</f>
        <v>Avocat Fuerte</v>
      </c>
      <c r="C29" s="151">
        <f>BDD!G26</f>
        <v>5.45</v>
      </c>
      <c r="D29" s="152" t="str">
        <f>BDD!H26</f>
        <v>kg</v>
      </c>
      <c r="E29" s="153" t="str">
        <f>IF(BDD!I26="", "", "X")</f>
        <v>X</v>
      </c>
      <c r="F29" s="153" t="str">
        <f>IF(BDD!J26="", "", "X")</f>
        <v>X</v>
      </c>
      <c r="G29" s="153" t="str">
        <f>IF(BDD!K26="", "", "X")</f>
        <v/>
      </c>
      <c r="H29" s="153" t="str">
        <f>BDD!C26</f>
        <v>Malaga</v>
      </c>
    </row>
    <row r="30" spans="1:8" ht="30" customHeight="1" x14ac:dyDescent="0.2">
      <c r="A30" s="162" t="e">
        <f xml:space="preserve"> IF(#REF!=0, "",#REF!)</f>
        <v>#REF!</v>
      </c>
      <c r="B30" s="150" t="str">
        <f>BDD!B27</f>
        <v>Avocat Fuerte BIO</v>
      </c>
      <c r="C30" s="151">
        <f>BDD!G27</f>
        <v>6.15</v>
      </c>
      <c r="D30" s="152" t="str">
        <f>BDD!H27</f>
        <v>kg</v>
      </c>
      <c r="E30" s="153" t="str">
        <f>IF(BDD!I27="", "", "X")</f>
        <v>X</v>
      </c>
      <c r="F30" s="153" t="str">
        <f>IF(BDD!J27="", "", "X")</f>
        <v>X</v>
      </c>
      <c r="G30" s="153" t="str">
        <f>IF(BDD!K27="", "", "X")</f>
        <v/>
      </c>
      <c r="H30" s="153" t="str">
        <f>BDD!C27</f>
        <v>Grenade</v>
      </c>
    </row>
    <row r="31" spans="1:8" ht="30" customHeight="1" x14ac:dyDescent="0.2">
      <c r="A31" s="162" t="e">
        <f xml:space="preserve"> IF(#REF!=0, "",#REF!)</f>
        <v>#REF!</v>
      </c>
      <c r="B31" s="150" t="str">
        <f>BDD!B28</f>
        <v>Baie de Goji BIO (env. 1kg)</v>
      </c>
      <c r="C31" s="151">
        <f>BDD!G28</f>
        <v>28.74</v>
      </c>
      <c r="D31" s="152" t="str">
        <f>BDD!H28</f>
        <v>Pièce</v>
      </c>
      <c r="E31" s="153" t="str">
        <f>IF(BDD!I28="", "", "X")</f>
        <v/>
      </c>
      <c r="F31" s="153" t="str">
        <f>IF(BDD!J28="", "", "X")</f>
        <v/>
      </c>
      <c r="G31" s="153" t="str">
        <f>IF(BDD!K28="", "", "X")</f>
        <v/>
      </c>
      <c r="H31" s="153" t="str">
        <f>BDD!C28</f>
        <v>Tibet</v>
      </c>
    </row>
    <row r="32" spans="1:8" ht="30" customHeight="1" x14ac:dyDescent="0.2">
      <c r="A32" s="162" t="e">
        <f xml:space="preserve"> IF(#REF!=0, "",#REF!)</f>
        <v>#REF!</v>
      </c>
      <c r="B32" s="150" t="str">
        <f>BDD!B29</f>
        <v>Baie de Goji BIO (envi. 500g)</v>
      </c>
      <c r="C32" s="151">
        <f>BDD!G29</f>
        <v>15.04</v>
      </c>
      <c r="D32" s="152" t="str">
        <f>BDD!H29</f>
        <v>Pièce</v>
      </c>
      <c r="E32" s="153" t="str">
        <f>IF(BDD!I29="", "", "X")</f>
        <v/>
      </c>
      <c r="F32" s="153" t="str">
        <f>IF(BDD!J29="", "", "X")</f>
        <v/>
      </c>
      <c r="G32" s="153" t="str">
        <f>IF(BDD!K29="", "", "X")</f>
        <v/>
      </c>
      <c r="H32" s="153" t="str">
        <f>BDD!C29</f>
        <v>Tibet</v>
      </c>
    </row>
    <row r="33" spans="1:8" ht="30" customHeight="1" x14ac:dyDescent="0.2">
      <c r="A33" s="162" t="e">
        <f xml:space="preserve"> IF(#REF!=0, "",#REF!)</f>
        <v>#REF!</v>
      </c>
      <c r="B33" s="150" t="str">
        <f>BDD!B30</f>
        <v>Banane Cavendish (mûri sur plante)</v>
      </c>
      <c r="C33" s="151">
        <f>BDD!G30</f>
        <v>4.08</v>
      </c>
      <c r="D33" s="152" t="str">
        <f>BDD!H30</f>
        <v>kg</v>
      </c>
      <c r="E33" s="153" t="str">
        <f>IF(BDD!I30="", "", "X")</f>
        <v>X</v>
      </c>
      <c r="F33" s="153" t="str">
        <f>IF(BDD!J30="", "", "X")</f>
        <v>X</v>
      </c>
      <c r="G33" s="153" t="str">
        <f>IF(BDD!K30="", "", "X")</f>
        <v>X</v>
      </c>
      <c r="H33" s="153" t="str">
        <f>BDD!C30</f>
        <v>Grenade</v>
      </c>
    </row>
    <row r="34" spans="1:8" ht="30" customHeight="1" x14ac:dyDescent="0.2">
      <c r="A34" s="162" t="e">
        <f xml:space="preserve"> IF(#REF!=0, "",#REF!)</f>
        <v>#REF!</v>
      </c>
      <c r="B34" s="150" t="str">
        <f>BDD!B31</f>
        <v>Banane Cavendish BIO/RECO
    - (robuste et ferme)</v>
      </c>
      <c r="C34" s="151">
        <f>BDD!G31</f>
        <v>4.78</v>
      </c>
      <c r="D34" s="152" t="str">
        <f>BDD!H31</f>
        <v>kg</v>
      </c>
      <c r="E34" s="153" t="str">
        <f>IF(BDD!I31="", "", "X")</f>
        <v>X</v>
      </c>
      <c r="F34" s="153" t="str">
        <f>IF(BDD!J31="", "", "X")</f>
        <v/>
      </c>
      <c r="G34" s="153" t="str">
        <f>IF(BDD!K31="", "", "X")</f>
        <v/>
      </c>
      <c r="H34" s="153" t="str">
        <f>BDD!C31</f>
        <v>Iles Canaries</v>
      </c>
    </row>
    <row r="35" spans="1:8" ht="30" customHeight="1" x14ac:dyDescent="0.2">
      <c r="A35" s="162" t="e">
        <f xml:space="preserve"> IF(#REF!=0, "",#REF!)</f>
        <v>#REF!</v>
      </c>
      <c r="B35" s="150" t="str">
        <f>BDD!B32</f>
        <v>Banane deshydratée BIO semi-sèche
    - (Production Rufino, env. 200g)</v>
      </c>
      <c r="C35" s="151">
        <f>BDD!G32</f>
        <v>4.78</v>
      </c>
      <c r="D35" s="152" t="str">
        <f>BDD!H32</f>
        <v>Pièce</v>
      </c>
      <c r="E35" s="153" t="str">
        <f>IF(BDD!I32="", "", "X")</f>
        <v/>
      </c>
      <c r="F35" s="153" t="str">
        <f>IF(BDD!J32="", "", "X")</f>
        <v/>
      </c>
      <c r="G35" s="153" t="str">
        <f>IF(BDD!K32="", "", "X")</f>
        <v/>
      </c>
      <c r="H35" s="153" t="str">
        <f>BDD!C32</f>
        <v>Grenade</v>
      </c>
    </row>
    <row r="36" spans="1:8" ht="30" customHeight="1" x14ac:dyDescent="0.2">
      <c r="A36" s="162" t="e">
        <f xml:space="preserve"> IF(#REF!=0, "",#REF!)</f>
        <v>#REF!</v>
      </c>
      <c r="B36" s="150" t="str">
        <f>BDD!B33</f>
        <v>Bâtons de cannelle BIO (env. 100g)</v>
      </c>
      <c r="C36" s="151">
        <f>BDD!G33</f>
        <v>8.07</v>
      </c>
      <c r="D36" s="152" t="str">
        <f>BDD!H33</f>
        <v>Pièce</v>
      </c>
      <c r="E36" s="153" t="str">
        <f>IF(BDD!I33="", "", "X")</f>
        <v/>
      </c>
      <c r="F36" s="153" t="str">
        <f>IF(BDD!J33="", "", "X")</f>
        <v/>
      </c>
      <c r="G36" s="153" t="str">
        <f>IF(BDD!K33="", "", "X")</f>
        <v/>
      </c>
      <c r="H36" s="153" t="str">
        <f>BDD!C33</f>
        <v>Inde</v>
      </c>
    </row>
    <row r="37" spans="1:8" ht="30" customHeight="1" x14ac:dyDescent="0.2">
      <c r="A37" s="162" t="e">
        <f xml:space="preserve"> IF(#REF!=0, "",#REF!)</f>
        <v>#REF!</v>
      </c>
      <c r="B37" s="150" t="str">
        <f>BDD!B34</f>
        <v>Betterave BIO</v>
      </c>
      <c r="C37" s="151">
        <f>BDD!G34</f>
        <v>2.3199999999999998</v>
      </c>
      <c r="D37" s="152" t="str">
        <f>BDD!H34</f>
        <v>kg</v>
      </c>
      <c r="E37" s="153" t="str">
        <f>IF(BDD!I34="", "", "X")</f>
        <v>X</v>
      </c>
      <c r="F37" s="153" t="str">
        <f>IF(BDD!J34="", "", "X")</f>
        <v/>
      </c>
      <c r="G37" s="153" t="str">
        <f>IF(BDD!K34="", "", "X")</f>
        <v/>
      </c>
      <c r="H37" s="153" t="str">
        <f>BDD!C34</f>
        <v>Malaga</v>
      </c>
    </row>
    <row r="38" spans="1:8" ht="30" customHeight="1" x14ac:dyDescent="0.2">
      <c r="A38" s="162" t="e">
        <f xml:space="preserve"> IF(#REF!=0, "",#REF!)</f>
        <v>#REF!</v>
      </c>
      <c r="B38" s="150" t="str">
        <f>BDD!B35</f>
        <v>Betterave en poudre BIO (env. 1kg)</v>
      </c>
      <c r="C38" s="151">
        <f>BDD!G35</f>
        <v>23.96</v>
      </c>
      <c r="D38" s="152" t="str">
        <f>BDD!H35</f>
        <v>Pièce</v>
      </c>
      <c r="E38" s="153" t="str">
        <f>IF(BDD!I35="", "", "X")</f>
        <v/>
      </c>
      <c r="F38" s="153" t="str">
        <f>IF(BDD!J35="", "", "X")</f>
        <v/>
      </c>
      <c r="G38" s="153" t="str">
        <f>IF(BDD!K35="", "", "X")</f>
        <v/>
      </c>
      <c r="H38" s="153" t="str">
        <f>BDD!C35</f>
        <v>Hongrie</v>
      </c>
    </row>
    <row r="39" spans="1:8" ht="30" customHeight="1" x14ac:dyDescent="0.2">
      <c r="A39" s="162" t="e">
        <f xml:space="preserve"> IF(#REF!=0, "",#REF!)</f>
        <v>#REF!</v>
      </c>
      <c r="B39" s="150" t="str">
        <f>BDD!B36</f>
        <v>Betterave en poudre BIO (env. 500g)</v>
      </c>
      <c r="C39" s="151">
        <f>BDD!G36</f>
        <v>12.73</v>
      </c>
      <c r="D39" s="152" t="str">
        <f>BDD!H36</f>
        <v>Pièce</v>
      </c>
      <c r="E39" s="153" t="str">
        <f>IF(BDD!I36="", "", "X")</f>
        <v/>
      </c>
      <c r="F39" s="153" t="str">
        <f>IF(BDD!J36="", "", "X")</f>
        <v/>
      </c>
      <c r="G39" s="153" t="str">
        <f>IF(BDD!K36="", "", "X")</f>
        <v/>
      </c>
      <c r="H39" s="153" t="str">
        <f>BDD!C36</f>
        <v>Hongrie</v>
      </c>
    </row>
    <row r="40" spans="1:8" ht="30" customHeight="1" x14ac:dyDescent="0.2">
      <c r="A40" s="162" t="e">
        <f xml:space="preserve"> IF(#REF!=0, "",#REF!)</f>
        <v>#REF!</v>
      </c>
      <c r="B40" s="150" t="str">
        <f>BDD!B37</f>
        <v>Beurre de cacao BIO (env. 1kg)</v>
      </c>
      <c r="C40" s="151">
        <f>BDD!G37</f>
        <v>23.26</v>
      </c>
      <c r="D40" s="152" t="str">
        <f>BDD!H37</f>
        <v>Pièce</v>
      </c>
      <c r="E40" s="153" t="str">
        <f>IF(BDD!I37="", "", "X")</f>
        <v/>
      </c>
      <c r="F40" s="153" t="str">
        <f>IF(BDD!J37="", "", "X")</f>
        <v/>
      </c>
      <c r="G40" s="153" t="str">
        <f>IF(BDD!K37="", "", "X")</f>
        <v/>
      </c>
      <c r="H40" s="153" t="str">
        <f>BDD!C37</f>
        <v>Pérou</v>
      </c>
    </row>
    <row r="41" spans="1:8" ht="30" customHeight="1" x14ac:dyDescent="0.2">
      <c r="A41" s="162" t="e">
        <f xml:space="preserve"> IF(#REF!=0, "",#REF!)</f>
        <v>#REF!</v>
      </c>
      <c r="B41" s="150" t="str">
        <f>BDD!B38</f>
        <v>Blette BIO</v>
      </c>
      <c r="C41" s="151">
        <f>BDD!G38</f>
        <v>5.45</v>
      </c>
      <c r="D41" s="152" t="str">
        <f>BDD!H38</f>
        <v>kg</v>
      </c>
      <c r="E41" s="153" t="str">
        <f>IF(BDD!I38="", "", "X")</f>
        <v/>
      </c>
      <c r="F41" s="153" t="str">
        <f>IF(BDD!J38="", "", "X")</f>
        <v/>
      </c>
      <c r="G41" s="153" t="str">
        <f>IF(BDD!K38="", "", "X")</f>
        <v/>
      </c>
      <c r="H41" s="153" t="str">
        <f>BDD!C38</f>
        <v>Grenade</v>
      </c>
    </row>
    <row r="42" spans="1:8" ht="30" customHeight="1" x14ac:dyDescent="0.2">
      <c r="A42" s="162" t="e">
        <f xml:space="preserve"> IF(#REF!=0, "",#REF!)</f>
        <v>#REF!</v>
      </c>
      <c r="B42" s="150" t="str">
        <f>BDD!B39</f>
        <v xml:space="preserve">Cacao en poudre CRU BIO (env. 1 kg) </v>
      </c>
      <c r="C42" s="151">
        <f>BDD!G39</f>
        <v>14.65</v>
      </c>
      <c r="D42" s="152" t="str">
        <f>BDD!H39</f>
        <v>Pièce</v>
      </c>
      <c r="E42" s="153" t="str">
        <f>IF(BDD!I39="", "", "X")</f>
        <v>X</v>
      </c>
      <c r="F42" s="153" t="str">
        <f>IF(BDD!J39="", "", "X")</f>
        <v/>
      </c>
      <c r="G42" s="153" t="str">
        <f>IF(BDD!K39="", "", "X")</f>
        <v/>
      </c>
      <c r="H42" s="153" t="str">
        <f>BDD!C39</f>
        <v>Pérou</v>
      </c>
    </row>
    <row r="43" spans="1:8" ht="30" customHeight="1" x14ac:dyDescent="0.2">
      <c r="A43" s="162" t="e">
        <f xml:space="preserve"> IF(#REF!=0, "",#REF!)</f>
        <v>#REF!</v>
      </c>
      <c r="B43" s="150" t="str">
        <f>BDD!B40</f>
        <v>Camu Camu en poudre BIO (env. 250g)</v>
      </c>
      <c r="C43" s="151">
        <f>BDD!G40</f>
        <v>18.48</v>
      </c>
      <c r="D43" s="152" t="str">
        <f>BDD!H40</f>
        <v>Pièce</v>
      </c>
      <c r="E43" s="153" t="str">
        <f>IF(BDD!I40="", "", "X")</f>
        <v/>
      </c>
      <c r="F43" s="153" t="str">
        <f>IF(BDD!J40="", "", "X")</f>
        <v/>
      </c>
      <c r="G43" s="153" t="str">
        <f>IF(BDD!K40="", "", "X")</f>
        <v/>
      </c>
      <c r="H43" s="153" t="str">
        <f>BDD!C40</f>
        <v>Pérou</v>
      </c>
    </row>
    <row r="44" spans="1:8" ht="30" customHeight="1" x14ac:dyDescent="0.2">
      <c r="A44" s="162" t="e">
        <f xml:space="preserve"> IF(#REF!=0, "",#REF!)</f>
        <v>#REF!</v>
      </c>
      <c r="B44" s="150" t="str">
        <f>BDD!B41</f>
        <v>Carambole / fruit étoilé</v>
      </c>
      <c r="C44" s="151">
        <f>BDD!G41</f>
        <v>4.92</v>
      </c>
      <c r="D44" s="152" t="str">
        <f>BDD!H41</f>
        <v>kg</v>
      </c>
      <c r="E44" s="153" t="str">
        <f>IF(BDD!I41="", "", "X")</f>
        <v>X</v>
      </c>
      <c r="F44" s="153" t="str">
        <f>IF(BDD!J41="", "", "X")</f>
        <v>X</v>
      </c>
      <c r="G44" s="153" t="str">
        <f>IF(BDD!K41="", "", "X")</f>
        <v/>
      </c>
      <c r="H44" s="153" t="str">
        <f>BDD!C41</f>
        <v>Grenade</v>
      </c>
    </row>
    <row r="45" spans="1:8" ht="30" customHeight="1" x14ac:dyDescent="0.2">
      <c r="A45" s="162" t="e">
        <f xml:space="preserve"> IF(#REF!=0, "",#REF!)</f>
        <v>#REF!</v>
      </c>
      <c r="B45" s="150" t="str">
        <f>BDD!B42</f>
        <v>Carotte avec fane</v>
      </c>
      <c r="C45" s="151">
        <f>BDD!G42</f>
        <v>3.14</v>
      </c>
      <c r="D45" s="152" t="str">
        <f>BDD!H42</f>
        <v>kg</v>
      </c>
      <c r="E45" s="153" t="str">
        <f>IF(BDD!I42="", "", "X")</f>
        <v>X</v>
      </c>
      <c r="F45" s="153" t="str">
        <f>IF(BDD!J42="", "", "X")</f>
        <v/>
      </c>
      <c r="G45" s="153" t="str">
        <f>IF(BDD!K42="", "", "X")</f>
        <v/>
      </c>
      <c r="H45" s="153" t="str">
        <f>BDD!C42</f>
        <v>Grenade</v>
      </c>
    </row>
    <row r="46" spans="1:8" ht="30" customHeight="1" x14ac:dyDescent="0.2">
      <c r="A46" s="162" t="e">
        <f xml:space="preserve"> IF(#REF!=0, "",#REF!)</f>
        <v>#REF!</v>
      </c>
      <c r="B46" s="150" t="str">
        <f>BDD!B43</f>
        <v>Carotte sans fane</v>
      </c>
      <c r="C46" s="151">
        <f>BDD!G43</f>
        <v>1.9</v>
      </c>
      <c r="D46" s="152" t="str">
        <f>BDD!H43</f>
        <v>kg</v>
      </c>
      <c r="E46" s="153" t="str">
        <f>IF(BDD!I43="", "", "X")</f>
        <v>X</v>
      </c>
      <c r="F46" s="153" t="str">
        <f>IF(BDD!J43="", "", "X")</f>
        <v>X</v>
      </c>
      <c r="G46" s="153" t="str">
        <f>IF(BDD!K43="", "", "X")</f>
        <v>X</v>
      </c>
      <c r="H46" s="153" t="str">
        <f>BDD!C43</f>
        <v>Grenade</v>
      </c>
    </row>
    <row r="47" spans="1:8" ht="30" customHeight="1" x14ac:dyDescent="0.2">
      <c r="A47" s="162" t="e">
        <f xml:space="preserve"> IF(#REF!=0, "",#REF!)</f>
        <v>#REF!</v>
      </c>
      <c r="B47" s="150" t="str">
        <f>BDD!B44</f>
        <v>Carotte sans fane BIO</v>
      </c>
      <c r="C47" s="151">
        <f>BDD!G44</f>
        <v>2.3199999999999998</v>
      </c>
      <c r="D47" s="152" t="str">
        <f>BDD!H44</f>
        <v>kg</v>
      </c>
      <c r="E47" s="153" t="str">
        <f>IF(BDD!I44="", "", "X")</f>
        <v>X</v>
      </c>
      <c r="F47" s="153" t="str">
        <f>IF(BDD!J44="", "", "X")</f>
        <v>X</v>
      </c>
      <c r="G47" s="153" t="str">
        <f>IF(BDD!K44="", "", "X")</f>
        <v/>
      </c>
      <c r="H47" s="153" t="str">
        <f>BDD!C44</f>
        <v>Malaga</v>
      </c>
    </row>
    <row r="48" spans="1:8" ht="30" customHeight="1" x14ac:dyDescent="0.2">
      <c r="A48" s="162" t="e">
        <f xml:space="preserve"> IF(#REF!=0, "",#REF!)</f>
        <v>#REF!</v>
      </c>
      <c r="B48" s="150" t="str">
        <f>BDD!B45</f>
        <v>Caroube de l'Alpujarra BIO (env 400g)</v>
      </c>
      <c r="C48" s="151">
        <f>BDD!G45</f>
        <v>1.34</v>
      </c>
      <c r="D48" s="152" t="str">
        <f>BDD!H45</f>
        <v>Pièce</v>
      </c>
      <c r="E48" s="153" t="str">
        <f>IF(BDD!I45="", "", "X")</f>
        <v/>
      </c>
      <c r="F48" s="153" t="str">
        <f>IF(BDD!J45="", "", "X")</f>
        <v/>
      </c>
      <c r="G48" s="153" t="str">
        <f>IF(BDD!K45="", "", "X")</f>
        <v/>
      </c>
      <c r="H48" s="153" t="str">
        <f>BDD!C45</f>
        <v>Grenade</v>
      </c>
    </row>
    <row r="49" spans="1:8" ht="30" customHeight="1" x14ac:dyDescent="0.2">
      <c r="A49" s="162" t="e">
        <f xml:space="preserve"> IF(#REF!=0, "",#REF!)</f>
        <v>#REF!</v>
      </c>
      <c r="B49" s="150" t="str">
        <f>BDD!B46</f>
        <v>Céleri vert</v>
      </c>
      <c r="C49" s="151">
        <f>BDD!G46</f>
        <v>3.41</v>
      </c>
      <c r="D49" s="152" t="str">
        <f>BDD!H46</f>
        <v>kg</v>
      </c>
      <c r="E49" s="153" t="str">
        <f>IF(BDD!I46="", "", "X")</f>
        <v>X</v>
      </c>
      <c r="F49" s="153" t="str">
        <f>IF(BDD!J46="", "", "X")</f>
        <v/>
      </c>
      <c r="G49" s="153" t="str">
        <f>IF(BDD!K46="", "", "X")</f>
        <v/>
      </c>
      <c r="H49" s="153" t="str">
        <f>BDD!C46</f>
        <v>Grenade</v>
      </c>
    </row>
    <row r="50" spans="1:8" ht="30" customHeight="1" x14ac:dyDescent="0.2">
      <c r="A50" s="162" t="e">
        <f xml:space="preserve"> IF(#REF!=0, "",#REF!)</f>
        <v>#REF!</v>
      </c>
      <c r="B50" s="150" t="str">
        <f>BDD!B47</f>
        <v>Céleri vert BIO</v>
      </c>
      <c r="C50" s="151">
        <f>BDD!G47</f>
        <v>3.69</v>
      </c>
      <c r="D50" s="152" t="str">
        <f>BDD!H47</f>
        <v>kg</v>
      </c>
      <c r="E50" s="153" t="str">
        <f>IF(BDD!I47="", "", "X")</f>
        <v>X</v>
      </c>
      <c r="F50" s="153" t="str">
        <f>IF(BDD!J47="", "", "X")</f>
        <v/>
      </c>
      <c r="G50" s="153" t="str">
        <f>IF(BDD!K47="", "", "X")</f>
        <v/>
      </c>
      <c r="H50" s="153" t="str">
        <f>BDD!C47</f>
        <v>Malaga</v>
      </c>
    </row>
    <row r="51" spans="1:8" ht="30" customHeight="1" x14ac:dyDescent="0.2">
      <c r="A51" s="162" t="e">
        <f xml:space="preserve"> IF(#REF!=0, "",#REF!)</f>
        <v>#REF!</v>
      </c>
      <c r="B51" s="150" t="str">
        <f>BDD!B48</f>
        <v>Chia BIO (env. 1kg)</v>
      </c>
      <c r="C51" s="151">
        <f>BDD!G48</f>
        <v>6.15</v>
      </c>
      <c r="D51" s="152" t="str">
        <f>BDD!H48</f>
        <v>Pièce</v>
      </c>
      <c r="E51" s="153" t="str">
        <f>IF(BDD!I48="", "", "X")</f>
        <v>X</v>
      </c>
      <c r="F51" s="153" t="str">
        <f>IF(BDD!J48="", "", "X")</f>
        <v/>
      </c>
      <c r="G51" s="153" t="str">
        <f>IF(BDD!K48="", "", "X")</f>
        <v/>
      </c>
      <c r="H51" s="153" t="str">
        <f>BDD!C48</f>
        <v>Bolivie</v>
      </c>
    </row>
    <row r="52" spans="1:8" ht="30" customHeight="1" x14ac:dyDescent="0.2">
      <c r="A52" s="162" t="e">
        <f xml:space="preserve"> IF(#REF!=0, "",#REF!)</f>
        <v>#REF!</v>
      </c>
      <c r="B52" s="150" t="str">
        <f>BDD!B49</f>
        <v>Chips de coco CRU BIO (env. 1kg)</v>
      </c>
      <c r="C52" s="151">
        <f>BDD!G49</f>
        <v>9.3000000000000007</v>
      </c>
      <c r="D52" s="152" t="str">
        <f>BDD!H49</f>
        <v>Pièce</v>
      </c>
      <c r="E52" s="153" t="str">
        <f>IF(BDD!I49="", "", "X")</f>
        <v>X</v>
      </c>
      <c r="F52" s="153" t="str">
        <f>IF(BDD!J49="", "", "X")</f>
        <v>X</v>
      </c>
      <c r="G52" s="153" t="str">
        <f>IF(BDD!K49="", "", "X")</f>
        <v/>
      </c>
      <c r="H52" s="153" t="str">
        <f>BDD!C49</f>
        <v>Sri Lanka</v>
      </c>
    </row>
    <row r="53" spans="1:8" ht="30" customHeight="1" x14ac:dyDescent="0.2">
      <c r="A53" s="162" t="e">
        <f xml:space="preserve"> IF(#REF!=0, "",#REF!)</f>
        <v>#REF!</v>
      </c>
      <c r="B53" s="150" t="str">
        <f>BDD!B50</f>
        <v>Chirimoya (grand)</v>
      </c>
      <c r="C53" s="151">
        <f>BDD!G50</f>
        <v>4.08</v>
      </c>
      <c r="D53" s="152" t="str">
        <f>BDD!H50</f>
        <v>kg</v>
      </c>
      <c r="E53" s="153" t="str">
        <f>IF(BDD!I50="", "", "X")</f>
        <v>X</v>
      </c>
      <c r="F53" s="153" t="str">
        <f>IF(BDD!J50="", "", "X")</f>
        <v>X</v>
      </c>
      <c r="G53" s="153" t="str">
        <f>IF(BDD!K50="", "", "X")</f>
        <v>X</v>
      </c>
      <c r="H53" s="153" t="str">
        <f>BDD!C50</f>
        <v>Grenade</v>
      </c>
    </row>
    <row r="54" spans="1:8" ht="30" customHeight="1" x14ac:dyDescent="0.2">
      <c r="A54" s="162" t="e">
        <f xml:space="preserve"> IF(#REF!=0, "",#REF!)</f>
        <v>#REF!</v>
      </c>
      <c r="B54" s="150" t="str">
        <f>BDD!B51</f>
        <v>Chirimoya BIO (production Rufino)</v>
      </c>
      <c r="C54" s="151">
        <f>BDD!G51</f>
        <v>5.0599999999999996</v>
      </c>
      <c r="D54" s="152" t="str">
        <f>BDD!H51</f>
        <v>kg</v>
      </c>
      <c r="E54" s="153" t="str">
        <f>IF(BDD!I51="", "", "X")</f>
        <v>X</v>
      </c>
      <c r="F54" s="153" t="str">
        <f>IF(BDD!J51="", "", "X")</f>
        <v>X</v>
      </c>
      <c r="G54" s="153" t="str">
        <f>IF(BDD!K51="", "", "X")</f>
        <v>X</v>
      </c>
      <c r="H54" s="153" t="str">
        <f>BDD!C51</f>
        <v>Grenade</v>
      </c>
    </row>
    <row r="55" spans="1:8" ht="30" customHeight="1" x14ac:dyDescent="0.2">
      <c r="A55" s="162" t="e">
        <f xml:space="preserve"> IF(#REF!=0, "",#REF!)</f>
        <v>#REF!</v>
      </c>
      <c r="B55" s="150" t="str">
        <f>BDD!B52</f>
        <v>Chou Kale BIO (production Rufino)</v>
      </c>
      <c r="C55" s="151">
        <f>BDD!G52</f>
        <v>6.56</v>
      </c>
      <c r="D55" s="152" t="str">
        <f>BDD!H52</f>
        <v>kg</v>
      </c>
      <c r="E55" s="153" t="str">
        <f>IF(BDD!I52="", "", "X")</f>
        <v>X</v>
      </c>
      <c r="F55" s="153" t="str">
        <f>IF(BDD!J52="", "", "X")</f>
        <v/>
      </c>
      <c r="G55" s="153" t="str">
        <f>IF(BDD!K52="", "", "X")</f>
        <v/>
      </c>
      <c r="H55" s="153" t="str">
        <f>BDD!C52</f>
        <v>Grenade</v>
      </c>
    </row>
    <row r="56" spans="1:8" ht="30" customHeight="1" x14ac:dyDescent="0.2">
      <c r="A56" s="162" t="e">
        <f xml:space="preserve"> IF(#REF!=0, "",#REF!)</f>
        <v>#REF!</v>
      </c>
      <c r="B56" s="150" t="str">
        <f>BDD!B53</f>
        <v>Chou Kale Winterbor Crespa BIO baby (Production de Rufino)</v>
      </c>
      <c r="C56" s="151">
        <f>BDD!G53</f>
        <v>6.15</v>
      </c>
      <c r="D56" s="152" t="str">
        <f>BDD!H53</f>
        <v>kg</v>
      </c>
      <c r="E56" s="153" t="str">
        <f>IF(BDD!I53="", "", "X")</f>
        <v>X</v>
      </c>
      <c r="F56" s="153" t="str">
        <f>IF(BDD!J53="", "", "X")</f>
        <v/>
      </c>
      <c r="G56" s="153" t="str">
        <f>IF(BDD!K53="", "", "X")</f>
        <v/>
      </c>
      <c r="H56" s="153" t="str">
        <f>BDD!C53</f>
        <v>Grenade</v>
      </c>
    </row>
    <row r="57" spans="1:8" ht="30" customHeight="1" x14ac:dyDescent="0.2">
      <c r="A57" s="162" t="e">
        <f xml:space="preserve"> IF(#REF!=0, "",#REF!)</f>
        <v>#REF!</v>
      </c>
      <c r="B57" s="150" t="str">
        <f>BDD!B54</f>
        <v>Chou vert BIO</v>
      </c>
      <c r="C57" s="151">
        <f>BDD!G54</f>
        <v>3</v>
      </c>
      <c r="D57" s="152" t="str">
        <f>BDD!H54</f>
        <v>kg</v>
      </c>
      <c r="E57" s="153" t="str">
        <f>IF(BDD!I54="", "", "X")</f>
        <v>X</v>
      </c>
      <c r="F57" s="153" t="str">
        <f>IF(BDD!J54="", "", "X")</f>
        <v/>
      </c>
      <c r="G57" s="153" t="str">
        <f>IF(BDD!K54="", "", "X")</f>
        <v/>
      </c>
      <c r="H57" s="153" t="str">
        <f>BDD!C54</f>
        <v>Malaga</v>
      </c>
    </row>
    <row r="58" spans="1:8" ht="30" customHeight="1" x14ac:dyDescent="0.2">
      <c r="A58" s="162" t="e">
        <f xml:space="preserve"> IF(#REF!=0, "",#REF!)</f>
        <v>#REF!</v>
      </c>
      <c r="B58" s="150" t="str">
        <f>BDD!B55</f>
        <v>Citron Caviar (culture naturelle, plateau 200g)</v>
      </c>
      <c r="C58" s="151">
        <f>BDD!G55</f>
        <v>10.93</v>
      </c>
      <c r="D58" s="152" t="str">
        <f>BDD!H55</f>
        <v>Pièce</v>
      </c>
      <c r="E58" s="153" t="str">
        <f>IF(BDD!I55="", "", "X")</f>
        <v/>
      </c>
      <c r="F58" s="153" t="str">
        <f>IF(BDD!J55="", "", "X")</f>
        <v/>
      </c>
      <c r="G58" s="153" t="str">
        <f>IF(BDD!K55="", "", "X")</f>
        <v/>
      </c>
      <c r="H58" s="153" t="str">
        <f>BDD!C55</f>
        <v>Salobrena</v>
      </c>
    </row>
    <row r="59" spans="1:8" ht="30" customHeight="1" x14ac:dyDescent="0.2">
      <c r="A59" s="162" t="e">
        <f xml:space="preserve"> IF(#REF!=0, "",#REF!)</f>
        <v>#REF!</v>
      </c>
      <c r="B59" s="150" t="str">
        <f>BDD!B56</f>
        <v>Citron Caviar (culture naturelle, plateau 500g)</v>
      </c>
      <c r="C59" s="151">
        <f>BDD!G56</f>
        <v>23.26</v>
      </c>
      <c r="D59" s="152" t="str">
        <f>BDD!H56</f>
        <v>Pièce</v>
      </c>
      <c r="E59" s="153" t="str">
        <f>IF(BDD!I56="", "", "X")</f>
        <v/>
      </c>
      <c r="F59" s="153" t="str">
        <f>IF(BDD!J56="", "", "X")</f>
        <v/>
      </c>
      <c r="G59" s="153" t="str">
        <f>IF(BDD!K56="", "", "X")</f>
        <v/>
      </c>
      <c r="H59" s="153" t="str">
        <f>BDD!C56</f>
        <v>Salobrena</v>
      </c>
    </row>
    <row r="60" spans="1:8" ht="30" customHeight="1" x14ac:dyDescent="0.2">
      <c r="A60" s="162" t="e">
        <f xml:space="preserve"> IF(#REF!=0, "",#REF!)</f>
        <v>#REF!</v>
      </c>
      <c r="B60" s="150" t="str">
        <f>BDD!B57</f>
        <v>Citron Caviar BIO
    - (plateau de 200g)</v>
      </c>
      <c r="C60" s="151">
        <f>BDD!G57</f>
        <v>12.3</v>
      </c>
      <c r="D60" s="152" t="str">
        <f>BDD!H57</f>
        <v>200g</v>
      </c>
      <c r="E60" s="153" t="str">
        <f>IF(BDD!I57="", "", "X")</f>
        <v/>
      </c>
      <c r="F60" s="153" t="str">
        <f>IF(BDD!J57="", "", "X")</f>
        <v/>
      </c>
      <c r="G60" s="153" t="str">
        <f>IF(BDD!K57="", "", "X")</f>
        <v/>
      </c>
      <c r="H60" s="153" t="str">
        <f>BDD!C57</f>
        <v>Grenade</v>
      </c>
    </row>
    <row r="61" spans="1:8" ht="30" customHeight="1" x14ac:dyDescent="0.2">
      <c r="A61" s="162" t="e">
        <f xml:space="preserve"> IF(#REF!=0, "",#REF!)</f>
        <v>#REF!</v>
      </c>
      <c r="B61" s="150" t="str">
        <f>BDD!B58</f>
        <v>Citron Caviar BIO
    - (plateau de 500g)</v>
      </c>
      <c r="C61" s="151">
        <f>BDD!G58</f>
        <v>26</v>
      </c>
      <c r="D61" s="152" t="str">
        <f>BDD!H58</f>
        <v>500g</v>
      </c>
      <c r="E61" s="153" t="str">
        <f>IF(BDD!I58="", "", "X")</f>
        <v/>
      </c>
      <c r="F61" s="153" t="str">
        <f>IF(BDD!J58="", "", "X")</f>
        <v/>
      </c>
      <c r="G61" s="153" t="str">
        <f>IF(BDD!K58="", "", "X")</f>
        <v/>
      </c>
      <c r="H61" s="153" t="str">
        <f>BDD!C58</f>
        <v>Grenade</v>
      </c>
    </row>
    <row r="62" spans="1:8" ht="30" customHeight="1" x14ac:dyDescent="0.2">
      <c r="A62" s="162" t="e">
        <f xml:space="preserve"> IF(#REF!=0, "",#REF!)</f>
        <v>#REF!</v>
      </c>
      <c r="B62" s="150" t="str">
        <f>BDD!B59</f>
        <v>Citron jaune (mûri sur plante)</v>
      </c>
      <c r="C62" s="151">
        <f>BDD!G59</f>
        <v>2.93</v>
      </c>
      <c r="D62" s="152" t="str">
        <f>BDD!H59</f>
        <v>kg</v>
      </c>
      <c r="E62" s="153" t="str">
        <f>IF(BDD!I59="", "", "X")</f>
        <v>X</v>
      </c>
      <c r="F62" s="153" t="str">
        <f>IF(BDD!J59="", "", "X")</f>
        <v>X</v>
      </c>
      <c r="G62" s="153" t="str">
        <f>IF(BDD!K59="", "", "X")</f>
        <v>X</v>
      </c>
      <c r="H62" s="153" t="str">
        <f>BDD!C59</f>
        <v>Grenade</v>
      </c>
    </row>
    <row r="63" spans="1:8" ht="30" customHeight="1" x14ac:dyDescent="0.2">
      <c r="A63" s="162" t="e">
        <f xml:space="preserve"> IF(#REF!=0, "",#REF!)</f>
        <v>#REF!</v>
      </c>
      <c r="B63" s="150" t="str">
        <f>BDD!B60</f>
        <v>Citron jaune BIO (seconde catégorie)</v>
      </c>
      <c r="C63" s="151">
        <f>BDD!G60</f>
        <v>1.77</v>
      </c>
      <c r="D63" s="152" t="str">
        <f>BDD!H60</f>
        <v>kg</v>
      </c>
      <c r="E63" s="153" t="str">
        <f>IF(BDD!I60="", "", "X")</f>
        <v>X</v>
      </c>
      <c r="F63" s="153" t="str">
        <f>IF(BDD!J60="", "", "X")</f>
        <v>X</v>
      </c>
      <c r="G63" s="153" t="str">
        <f>IF(BDD!K60="", "", "X")</f>
        <v>X</v>
      </c>
      <c r="H63" s="153" t="str">
        <f>BDD!C60</f>
        <v>Malaga</v>
      </c>
    </row>
    <row r="64" spans="1:8" ht="30" customHeight="1" x14ac:dyDescent="0.2">
      <c r="A64" s="162" t="e">
        <f xml:space="preserve"> IF(#REF!=0, "",#REF!)</f>
        <v>#REF!</v>
      </c>
      <c r="B64" s="150" t="str">
        <f>BDD!B61</f>
        <v xml:space="preserve">Citron jaune Verna BIO (mûri sur arbre)
    - (grand/moyen) </v>
      </c>
      <c r="C64" s="151">
        <f>BDD!G61</f>
        <v>3.14</v>
      </c>
      <c r="D64" s="152" t="str">
        <f>BDD!H61</f>
        <v>kg</v>
      </c>
      <c r="E64" s="153" t="str">
        <f>IF(BDD!I61="", "", "X")</f>
        <v>X</v>
      </c>
      <c r="F64" s="153" t="str">
        <f>IF(BDD!J61="", "", "X")</f>
        <v>X</v>
      </c>
      <c r="G64" s="153" t="str">
        <f>IF(BDD!K61="", "", "X")</f>
        <v>X</v>
      </c>
      <c r="H64" s="153" t="str">
        <f>BDD!C61</f>
        <v>Malaga</v>
      </c>
    </row>
    <row r="65" spans="1:8" ht="30" customHeight="1" x14ac:dyDescent="0.2">
      <c r="A65" s="162" t="e">
        <f xml:space="preserve"> IF(#REF!=0, "",#REF!)</f>
        <v>#REF!</v>
      </c>
      <c r="B65" s="150" t="str">
        <f>BDD!B62</f>
        <v>Citron vert</v>
      </c>
      <c r="C65" s="151">
        <f>BDD!G62</f>
        <v>3.14</v>
      </c>
      <c r="D65" s="152" t="str">
        <f>BDD!H62</f>
        <v>kg</v>
      </c>
      <c r="E65" s="153" t="str">
        <f>IF(BDD!I62="", "", "X")</f>
        <v>X</v>
      </c>
      <c r="F65" s="153" t="str">
        <f>IF(BDD!J62="", "", "X")</f>
        <v>X</v>
      </c>
      <c r="G65" s="153" t="str">
        <f>IF(BDD!K62="", "", "X")</f>
        <v/>
      </c>
      <c r="H65" s="153" t="str">
        <f>BDD!C62</f>
        <v>Grenade</v>
      </c>
    </row>
    <row r="66" spans="1:8" ht="30" customHeight="1" x14ac:dyDescent="0.2">
      <c r="A66" s="162" t="e">
        <f xml:space="preserve"> IF(#REF!=0, "",#REF!)</f>
        <v>#REF!</v>
      </c>
      <c r="B66" s="150" t="str">
        <f>BDD!B63</f>
        <v xml:space="preserve">Citronnelle BIO
    - (bouquet de 5 tiges) </v>
      </c>
      <c r="C66" s="151">
        <f>BDD!G63</f>
        <v>2.59</v>
      </c>
      <c r="D66" s="152" t="str">
        <f>BDD!H63</f>
        <v>Pièce</v>
      </c>
      <c r="E66" s="153" t="str">
        <f>IF(BDD!I63="", "", "X")</f>
        <v/>
      </c>
      <c r="F66" s="153" t="str">
        <f>IF(BDD!J63="", "", "X")</f>
        <v/>
      </c>
      <c r="G66" s="153" t="str">
        <f>IF(BDD!K63="", "", "X")</f>
        <v/>
      </c>
      <c r="H66" s="153" t="str">
        <f>BDD!C63</f>
        <v>Grenade</v>
      </c>
    </row>
    <row r="67" spans="1:8" ht="30" customHeight="1" x14ac:dyDescent="0.2">
      <c r="A67" s="162" t="e">
        <f xml:space="preserve"> IF(#REF!=0, "",#REF!)</f>
        <v>#REF!</v>
      </c>
      <c r="B67" s="150" t="str">
        <f>BDD!B64</f>
        <v>Coco Pagode fraîche</v>
      </c>
      <c r="C67" s="151">
        <f>BDD!G64</f>
        <v>4.51</v>
      </c>
      <c r="D67" s="152" t="str">
        <f>BDD!H64</f>
        <v>Pièce</v>
      </c>
      <c r="E67" s="153" t="str">
        <f>IF(BDD!I64="", "", "X")</f>
        <v>X</v>
      </c>
      <c r="F67" s="153" t="str">
        <f>IF(BDD!J64="", "", "X")</f>
        <v>X</v>
      </c>
      <c r="G67" s="153" t="str">
        <f>IF(BDD!K64="", "", "X")</f>
        <v/>
      </c>
      <c r="H67" s="153" t="str">
        <f>BDD!C64</f>
        <v>Taîlande</v>
      </c>
    </row>
    <row r="68" spans="1:8" ht="30" customHeight="1" x14ac:dyDescent="0.2">
      <c r="A68" s="162" t="e">
        <f xml:space="preserve"> IF(#REF!=0, "",#REF!)</f>
        <v>#REF!</v>
      </c>
      <c r="B68" s="150" t="str">
        <f>BDD!B65</f>
        <v>Coing</v>
      </c>
      <c r="C68" s="151">
        <f>BDD!G65</f>
        <v>2.3199999999999998</v>
      </c>
      <c r="D68" s="152" t="str">
        <f>BDD!H65</f>
        <v>kg</v>
      </c>
      <c r="E68" s="153" t="str">
        <f>IF(BDD!I65="", "", "X")</f>
        <v>X</v>
      </c>
      <c r="F68" s="153" t="str">
        <f>IF(BDD!J65="", "", "X")</f>
        <v>X</v>
      </c>
      <c r="G68" s="153" t="str">
        <f>IF(BDD!K65="", "", "X")</f>
        <v/>
      </c>
      <c r="H68" s="153" t="str">
        <f>BDD!C65</f>
        <v>Malaga</v>
      </c>
    </row>
    <row r="69" spans="1:8" ht="30" customHeight="1" x14ac:dyDescent="0.2">
      <c r="A69" s="162" t="e">
        <f xml:space="preserve"> IF(#REF!=0, "",#REF!)</f>
        <v>#REF!</v>
      </c>
      <c r="B69" s="150" t="str">
        <f>BDD!B66</f>
        <v>Concombre mini gourmet</v>
      </c>
      <c r="C69" s="151">
        <f>BDD!G66</f>
        <v>2.71</v>
      </c>
      <c r="D69" s="152" t="str">
        <f>BDD!H66</f>
        <v>kg</v>
      </c>
      <c r="E69" s="153" t="str">
        <f>IF(BDD!I66="", "", "X")</f>
        <v>X</v>
      </c>
      <c r="F69" s="153" t="str">
        <f>IF(BDD!J66="", "", "X")</f>
        <v>X</v>
      </c>
      <c r="G69" s="153" t="str">
        <f>IF(BDD!K66="", "", "X")</f>
        <v/>
      </c>
      <c r="H69" s="153" t="str">
        <f>BDD!C66</f>
        <v>Grenade</v>
      </c>
    </row>
    <row r="70" spans="1:8" ht="30" customHeight="1" x14ac:dyDescent="0.2">
      <c r="A70" s="162" t="e">
        <f xml:space="preserve"> IF(#REF!=0, "",#REF!)</f>
        <v>#REF!</v>
      </c>
      <c r="B70" s="150" t="str">
        <f>BDD!B67</f>
        <v>Courge Butternut BIO</v>
      </c>
      <c r="C70" s="151">
        <f>BDD!G67</f>
        <v>1.63</v>
      </c>
      <c r="D70" s="152" t="str">
        <f>BDD!H67</f>
        <v>kg</v>
      </c>
      <c r="E70" s="153" t="str">
        <f>IF(BDD!I67="", "", "X")</f>
        <v>X</v>
      </c>
      <c r="F70" s="153" t="str">
        <f>IF(BDD!J67="", "", "X")</f>
        <v/>
      </c>
      <c r="G70" s="153" t="str">
        <f>IF(BDD!K67="", "", "X")</f>
        <v/>
      </c>
      <c r="H70" s="153" t="str">
        <f>BDD!C67</f>
        <v>Malaga</v>
      </c>
    </row>
    <row r="71" spans="1:8" ht="30" customHeight="1" x14ac:dyDescent="0.2">
      <c r="A71" s="162" t="e">
        <f xml:space="preserve"> IF(#REF!=0, "",#REF!)</f>
        <v>#REF!</v>
      </c>
      <c r="B71" s="150" t="str">
        <f>BDD!B68</f>
        <v>Courgette BIO (2nd catégorie)</v>
      </c>
      <c r="C71" s="151">
        <f>BDD!G68</f>
        <v>3.14</v>
      </c>
      <c r="D71" s="152" t="str">
        <f>BDD!H68</f>
        <v>kg</v>
      </c>
      <c r="E71" s="153" t="str">
        <f>IF(BDD!I68="", "", "X")</f>
        <v>X</v>
      </c>
      <c r="F71" s="153" t="str">
        <f>IF(BDD!J68="", "", "X")</f>
        <v>X</v>
      </c>
      <c r="G71" s="153" t="str">
        <f>IF(BDD!K68="", "", "X")</f>
        <v>X</v>
      </c>
      <c r="H71" s="153" t="str">
        <f>BDD!C68</f>
        <v>Malaga</v>
      </c>
    </row>
    <row r="72" spans="1:8" ht="30" customHeight="1" x14ac:dyDescent="0.2">
      <c r="A72" s="162" t="e">
        <f xml:space="preserve"> IF(#REF!=0, "",#REF!)</f>
        <v>#REF!</v>
      </c>
      <c r="B72" s="150" t="str">
        <f>BDD!B69</f>
        <v>Crackers déshydratés CRU BIO (env. 200g)
    - (tomate, tournesol, sarrasin, lin, oignons, ...)</v>
      </c>
      <c r="C72" s="151">
        <f>BDD!G69</f>
        <v>7.38</v>
      </c>
      <c r="D72" s="152" t="str">
        <f>BDD!H69</f>
        <v>Pièce</v>
      </c>
      <c r="E72" s="153" t="str">
        <f>IF(BDD!I69="", "", "X")</f>
        <v/>
      </c>
      <c r="F72" s="153" t="str">
        <f>IF(BDD!J69="", "", "X")</f>
        <v/>
      </c>
      <c r="G72" s="153" t="str">
        <f>IF(BDD!K69="", "", "X")</f>
        <v/>
      </c>
      <c r="H72" s="153" t="str">
        <f>BDD!C69</f>
        <v>Espagne</v>
      </c>
    </row>
    <row r="73" spans="1:8" ht="30" customHeight="1" x14ac:dyDescent="0.2">
      <c r="A73" s="162" t="e">
        <f xml:space="preserve"> IF(#REF!=0, "",#REF!)</f>
        <v>#REF!</v>
      </c>
      <c r="B73" s="150" t="str">
        <f>BDD!B70</f>
        <v>Curcuma frais BIO (paquet 500g)</v>
      </c>
      <c r="C73" s="151">
        <f>BDD!G70</f>
        <v>9.56</v>
      </c>
      <c r="D73" s="152" t="str">
        <f>BDD!H70</f>
        <v>Pièce</v>
      </c>
      <c r="E73" s="153" t="str">
        <f>IF(BDD!I70="", "", "X")</f>
        <v>X</v>
      </c>
      <c r="F73" s="153" t="str">
        <f>IF(BDD!J70="", "", "X")</f>
        <v/>
      </c>
      <c r="G73" s="153" t="str">
        <f>IF(BDD!K70="", "", "X")</f>
        <v/>
      </c>
      <c r="H73" s="153" t="str">
        <f>BDD!C70</f>
        <v>Pérou</v>
      </c>
    </row>
    <row r="74" spans="1:8" ht="30" customHeight="1" x14ac:dyDescent="0.2">
      <c r="A74" s="162" t="e">
        <f xml:space="preserve"> IF(#REF!=0, "",#REF!)</f>
        <v>#REF!</v>
      </c>
      <c r="B74" s="150" t="str">
        <f>BDD!B71</f>
        <v>Dattes Deglet Nour en rame BIO</v>
      </c>
      <c r="C74" s="151">
        <f>BDD!G71</f>
        <v>12.3</v>
      </c>
      <c r="D74" s="152" t="str">
        <f>BDD!H71</f>
        <v>kg</v>
      </c>
      <c r="E74" s="153" t="str">
        <f>IF(BDD!I71="", "", "X")</f>
        <v>X</v>
      </c>
      <c r="F74" s="153" t="str">
        <f>IF(BDD!J71="", "", "X")</f>
        <v>X</v>
      </c>
      <c r="G74" s="153" t="str">
        <f>IF(BDD!K71="", "", "X")</f>
        <v/>
      </c>
      <c r="H74" s="153" t="str">
        <f>BDD!C71</f>
        <v>Israël</v>
      </c>
    </row>
    <row r="75" spans="1:8" ht="30" customHeight="1" x14ac:dyDescent="0.2">
      <c r="A75" s="162" t="e">
        <f xml:space="preserve"> IF(#REF!=0, "",#REF!)</f>
        <v>#REF!</v>
      </c>
      <c r="B75" s="150" t="str">
        <f>BDD!B72</f>
        <v>Dattes Deglet Nour sans rame BIO</v>
      </c>
      <c r="C75" s="151">
        <f>BDD!G72</f>
        <v>9.56</v>
      </c>
      <c r="D75" s="152" t="str">
        <f>BDD!H72</f>
        <v>kg</v>
      </c>
      <c r="E75" s="153" t="str">
        <f>IF(BDD!I72="", "", "X")</f>
        <v>X</v>
      </c>
      <c r="F75" s="153" t="str">
        <f>IF(BDD!J72="", "", "X")</f>
        <v>X</v>
      </c>
      <c r="G75" s="153" t="str">
        <f>IF(BDD!K72="", "", "X")</f>
        <v/>
      </c>
      <c r="H75" s="153" t="str">
        <f>BDD!C72</f>
        <v>Tunisie</v>
      </c>
    </row>
    <row r="76" spans="1:8" ht="30" customHeight="1" x14ac:dyDescent="0.2">
      <c r="A76" s="162" t="e">
        <f xml:space="preserve"> IF(#REF!=0, "",#REF!)</f>
        <v>#REF!</v>
      </c>
      <c r="B76" s="150" t="str">
        <f>BDD!B73</f>
        <v>Dattes Deglet sans noyau BIO</v>
      </c>
      <c r="C76" s="151">
        <f>BDD!G73</f>
        <v>10.93</v>
      </c>
      <c r="D76" s="152" t="str">
        <f>BDD!H73</f>
        <v>kg</v>
      </c>
      <c r="E76" s="153" t="str">
        <f>IF(BDD!I73="", "", "X")</f>
        <v>X</v>
      </c>
      <c r="F76" s="153" t="str">
        <f>IF(BDD!J73="", "", "X")</f>
        <v/>
      </c>
      <c r="G76" s="153" t="str">
        <f>IF(BDD!K73="", "", "X")</f>
        <v/>
      </c>
      <c r="H76" s="153" t="str">
        <f>BDD!C73</f>
        <v>Tunisie</v>
      </c>
    </row>
    <row r="77" spans="1:8" ht="30" customHeight="1" x14ac:dyDescent="0.2">
      <c r="A77" s="162" t="e">
        <f xml:space="preserve"> IF(#REF!=0, "",#REF!)</f>
        <v>#REF!</v>
      </c>
      <c r="B77" s="150" t="str">
        <f>BDD!B74</f>
        <v>Dattes Mazafati de Bam BIO (env. 250g)</v>
      </c>
      <c r="C77" s="151">
        <f>BDD!G74</f>
        <v>4.6399999999999997</v>
      </c>
      <c r="D77" s="152" t="str">
        <f>BDD!H74</f>
        <v>Pièce</v>
      </c>
      <c r="E77" s="153" t="str">
        <f>IF(BDD!I74="", "", "X")</f>
        <v>X</v>
      </c>
      <c r="F77" s="153" t="str">
        <f>IF(BDD!J74="", "", "X")</f>
        <v>X</v>
      </c>
      <c r="G77" s="153" t="str">
        <f>IF(BDD!K74="", "", "X")</f>
        <v>X</v>
      </c>
      <c r="H77" s="153" t="str">
        <f>BDD!C74</f>
        <v>Iran</v>
      </c>
    </row>
    <row r="78" spans="1:8" ht="30" customHeight="1" x14ac:dyDescent="0.2">
      <c r="A78" s="162" t="e">
        <f xml:space="preserve"> IF(#REF!=0, "",#REF!)</f>
        <v>#REF!</v>
      </c>
      <c r="B78" s="150" t="str">
        <f>BDD!B75</f>
        <v>Dattes Medjool Jumbo semi-sèche BIO</v>
      </c>
      <c r="C78" s="151">
        <f>BDD!G75</f>
        <v>25.19</v>
      </c>
      <c r="D78" s="152" t="str">
        <f>BDD!H75</f>
        <v>kg</v>
      </c>
      <c r="E78" s="153" t="str">
        <f>IF(BDD!I75="", "", "X")</f>
        <v>X</v>
      </c>
      <c r="F78" s="153" t="str">
        <f>IF(BDD!J75="", "", "X")</f>
        <v/>
      </c>
      <c r="G78" s="153" t="str">
        <f>IF(BDD!K75="", "", "X")</f>
        <v/>
      </c>
      <c r="H78" s="153" t="str">
        <f>BDD!C75</f>
        <v>Israël</v>
      </c>
    </row>
    <row r="79" spans="1:8" ht="30" customHeight="1" x14ac:dyDescent="0.2">
      <c r="A79" s="162" t="e">
        <f xml:space="preserve"> IF(#REF!=0, "",#REF!)</f>
        <v>#REF!</v>
      </c>
      <c r="B79" s="150" t="str">
        <f>BDD!B76</f>
        <v>Eau de mer micro-filtrée hypertonique
    - (n°1 : box 3L)</v>
      </c>
      <c r="C79" s="151">
        <f>BDD!G76</f>
        <v>7.47</v>
      </c>
      <c r="D79" s="152" t="str">
        <f>BDD!H76</f>
        <v>Pièce</v>
      </c>
      <c r="E79" s="153" t="str">
        <f>IF(BDD!I76="", "", "X")</f>
        <v/>
      </c>
      <c r="F79" s="153" t="str">
        <f>IF(BDD!J76="", "", "X")</f>
        <v/>
      </c>
      <c r="G79" s="153" t="str">
        <f>IF(BDD!K76="", "", "X")</f>
        <v/>
      </c>
      <c r="H79" s="153" t="str">
        <f>BDD!C76</f>
        <v>Ibiza</v>
      </c>
    </row>
    <row r="80" spans="1:8" ht="30" customHeight="1" x14ac:dyDescent="0.2">
      <c r="A80" s="162" t="e">
        <f xml:space="preserve"> IF(#REF!=0, "",#REF!)</f>
        <v>#REF!</v>
      </c>
      <c r="B80" s="150" t="str">
        <f>BDD!B77</f>
        <v>Eau de mer micro-filtrée hypertonique
    - (n°2 : box 11L)</v>
      </c>
      <c r="C80" s="151">
        <f>BDD!G77</f>
        <v>30</v>
      </c>
      <c r="D80" s="152" t="str">
        <f>BDD!H77</f>
        <v>Pièce</v>
      </c>
      <c r="E80" s="153" t="str">
        <f>IF(BDD!I77="", "", "X")</f>
        <v/>
      </c>
      <c r="F80" s="153" t="str">
        <f>IF(BDD!J77="", "", "X")</f>
        <v/>
      </c>
      <c r="G80" s="153" t="str">
        <f>IF(BDD!K77="", "", "X")</f>
        <v/>
      </c>
      <c r="H80" s="153" t="str">
        <f>BDD!C77</f>
        <v>Ibiza</v>
      </c>
    </row>
    <row r="81" spans="1:8" ht="30" customHeight="1" x14ac:dyDescent="0.2">
      <c r="A81" s="162" t="e">
        <f xml:space="preserve"> IF(#REF!=0, "",#REF!)</f>
        <v>#REF!</v>
      </c>
      <c r="B81" s="150" t="str">
        <f>BDD!B78</f>
        <v>Eau de mer micro-filtrée hypertonique
    - (n°3 : box 20L)</v>
      </c>
      <c r="C81" s="151">
        <f>BDD!G78</f>
        <v>45</v>
      </c>
      <c r="D81" s="152" t="str">
        <f>BDD!H78</f>
        <v>Pièce</v>
      </c>
      <c r="E81" s="153" t="str">
        <f>IF(BDD!I78="", "", "X")</f>
        <v/>
      </c>
      <c r="F81" s="153" t="str">
        <f>IF(BDD!J78="", "", "X")</f>
        <v/>
      </c>
      <c r="G81" s="153" t="str">
        <f>IF(BDD!K78="", "", "X")</f>
        <v/>
      </c>
      <c r="H81" s="153" t="str">
        <f>BDD!C78</f>
        <v>Ibiza</v>
      </c>
    </row>
    <row r="82" spans="1:8" ht="30" customHeight="1" x14ac:dyDescent="0.2">
      <c r="A82" s="162" t="e">
        <f xml:space="preserve"> IF(#REF!=0, "",#REF!)</f>
        <v>#REF!</v>
      </c>
      <c r="B82" s="150" t="str">
        <f>BDD!B79</f>
        <v>Epi de maïs doux frais</v>
      </c>
      <c r="C82" s="151">
        <f>BDD!G79</f>
        <v>1.34</v>
      </c>
      <c r="D82" s="152" t="str">
        <f>BDD!H79</f>
        <v>Pièce</v>
      </c>
      <c r="E82" s="153" t="str">
        <f>IF(BDD!I79="", "", "X")</f>
        <v/>
      </c>
      <c r="F82" s="153" t="str">
        <f>IF(BDD!J79="", "", "X")</f>
        <v/>
      </c>
      <c r="G82" s="153" t="str">
        <f>IF(BDD!K79="", "", "X")</f>
        <v/>
      </c>
      <c r="H82" s="153" t="str">
        <f>BDD!C79</f>
        <v>Malaga</v>
      </c>
    </row>
    <row r="83" spans="1:8" ht="30" customHeight="1" x14ac:dyDescent="0.2">
      <c r="A83" s="162" t="e">
        <f xml:space="preserve"> IF(#REF!=0, "",#REF!)</f>
        <v>#REF!</v>
      </c>
      <c r="B83" s="150" t="str">
        <f>BDD!B80</f>
        <v>Extracteur de jus ANGEL 5500</v>
      </c>
      <c r="C83" s="151">
        <f>BDD!G80</f>
        <v>1000</v>
      </c>
      <c r="D83" s="152" t="str">
        <f>BDD!H80</f>
        <v>Pièce</v>
      </c>
      <c r="E83" s="153" t="str">
        <f>IF(BDD!I80="", "", "X")</f>
        <v/>
      </c>
      <c r="F83" s="153" t="str">
        <f>IF(BDD!J80="", "", "X")</f>
        <v/>
      </c>
      <c r="G83" s="153" t="str">
        <f>IF(BDD!K80="", "", "X")</f>
        <v/>
      </c>
      <c r="H83" s="153" t="str">
        <f>BDD!C80</f>
        <v>Union européenne</v>
      </c>
    </row>
    <row r="84" spans="1:8" ht="30" customHeight="1" x14ac:dyDescent="0.2">
      <c r="A84" s="162" t="e">
        <f xml:space="preserve"> IF(#REF!=0, "",#REF!)</f>
        <v>#REF!</v>
      </c>
      <c r="B84" s="150" t="str">
        <f>BDD!B81</f>
        <v>Fane de Betterave Baby BIO
    - (Production de Rufino)</v>
      </c>
      <c r="C84" s="151">
        <f>BDD!G81</f>
        <v>5.19</v>
      </c>
      <c r="D84" s="152" t="str">
        <f>BDD!H81</f>
        <v>kg</v>
      </c>
      <c r="E84" s="153" t="str">
        <f>IF(BDD!I81="", "", "X")</f>
        <v/>
      </c>
      <c r="F84" s="153" t="str">
        <f>IF(BDD!J81="", "", "X")</f>
        <v/>
      </c>
      <c r="G84" s="153" t="str">
        <f>IF(BDD!K81="", "", "X")</f>
        <v/>
      </c>
      <c r="H84" s="153" t="str">
        <f>BDD!C81</f>
        <v>Grenade</v>
      </c>
    </row>
    <row r="85" spans="1:8" ht="30" customHeight="1" x14ac:dyDescent="0.2">
      <c r="A85" s="162" t="e">
        <f xml:space="preserve"> IF(#REF!=0, "",#REF!)</f>
        <v>#REF!</v>
      </c>
      <c r="B85" s="150" t="str">
        <f>BDD!B82</f>
        <v>Fane de betterave BIO (production Rufino)</v>
      </c>
      <c r="C85" s="151">
        <f>BDD!G82</f>
        <v>5.19</v>
      </c>
      <c r="D85" s="152" t="str">
        <f>BDD!H82</f>
        <v>kg</v>
      </c>
      <c r="E85" s="153" t="str">
        <f>IF(BDD!I82="", "", "X")</f>
        <v/>
      </c>
      <c r="F85" s="153" t="str">
        <f>IF(BDD!J82="", "", "X")</f>
        <v/>
      </c>
      <c r="G85" s="153" t="str">
        <f>IF(BDD!K82="", "", "X")</f>
        <v/>
      </c>
      <c r="H85" s="153" t="str">
        <f>BDD!C82</f>
        <v>Grenade</v>
      </c>
    </row>
    <row r="86" spans="1:8" ht="30" customHeight="1" x14ac:dyDescent="0.2">
      <c r="A86" s="162" t="e">
        <f xml:space="preserve"> IF(#REF!=0, "",#REF!)</f>
        <v>#REF!</v>
      </c>
      <c r="B86" s="150" t="str">
        <f>BDD!B83</f>
        <v>Farine de coco (env. 1kg)</v>
      </c>
      <c r="C86" s="151">
        <f>BDD!G83</f>
        <v>8.48</v>
      </c>
      <c r="D86" s="152" t="str">
        <f>BDD!H83</f>
        <v>Pièce</v>
      </c>
      <c r="E86" s="153" t="str">
        <f>IF(BDD!I83="", "", "X")</f>
        <v/>
      </c>
      <c r="F86" s="153" t="str">
        <f>IF(BDD!J83="", "", "X")</f>
        <v/>
      </c>
      <c r="G86" s="153" t="str">
        <f>IF(BDD!K83="", "", "X")</f>
        <v/>
      </c>
      <c r="H86" s="153" t="str">
        <f>BDD!C83</f>
        <v>Sri Lanka</v>
      </c>
    </row>
    <row r="87" spans="1:8" ht="30" customHeight="1" x14ac:dyDescent="0.2">
      <c r="A87" s="162" t="e">
        <f xml:space="preserve"> IF(#REF!=0, "",#REF!)</f>
        <v>#REF!</v>
      </c>
      <c r="B87" s="150" t="str">
        <f>BDD!B84</f>
        <v>Fenugrec en graines BIO (env. 500g)</v>
      </c>
      <c r="C87" s="151">
        <f>BDD!G84</f>
        <v>12.3</v>
      </c>
      <c r="D87" s="152" t="str">
        <f>BDD!H84</f>
        <v>Pièce</v>
      </c>
      <c r="E87" s="153" t="str">
        <f>IF(BDD!I84="", "", "X")</f>
        <v/>
      </c>
      <c r="F87" s="153" t="str">
        <f>IF(BDD!J84="", "", "X")</f>
        <v/>
      </c>
      <c r="G87" s="153" t="str">
        <f>IF(BDD!K84="", "", "X")</f>
        <v/>
      </c>
      <c r="H87" s="153" t="str">
        <f>BDD!C84</f>
        <v>Égypte</v>
      </c>
    </row>
    <row r="88" spans="1:8" ht="30" customHeight="1" x14ac:dyDescent="0.2">
      <c r="A88" s="162" t="e">
        <f xml:space="preserve"> IF(#REF!=0, "",#REF!)</f>
        <v>#REF!</v>
      </c>
      <c r="B88" s="150" t="str">
        <f>BDD!B85</f>
        <v>Fève de Cacao entière CRU BIO (env. 1kg)</v>
      </c>
      <c r="C88" s="151">
        <f>BDD!G85</f>
        <v>21.89</v>
      </c>
      <c r="D88" s="152" t="str">
        <f>BDD!H85</f>
        <v>Pièce</v>
      </c>
      <c r="E88" s="153" t="str">
        <f>IF(BDD!I85="", "", "X")</f>
        <v>X</v>
      </c>
      <c r="F88" s="153" t="str">
        <f>IF(BDD!J85="", "", "X")</f>
        <v/>
      </c>
      <c r="G88" s="153" t="str">
        <f>IF(BDD!K85="", "", "X")</f>
        <v/>
      </c>
      <c r="H88" s="153" t="str">
        <f>BDD!C85</f>
        <v>Pérou</v>
      </c>
    </row>
    <row r="89" spans="1:8" ht="30" customHeight="1" x14ac:dyDescent="0.2">
      <c r="A89" s="162" t="e">
        <f xml:space="preserve"> IF(#REF!=0, "",#REF!)</f>
        <v>#REF!</v>
      </c>
      <c r="B89" s="150" t="str">
        <f>BDD!B86</f>
        <v>Figue de Barbarie</v>
      </c>
      <c r="C89" s="151">
        <f>BDD!G86</f>
        <v>6.7</v>
      </c>
      <c r="D89" s="152" t="str">
        <f>BDD!H86</f>
        <v>kg</v>
      </c>
      <c r="E89" s="153" t="str">
        <f>IF(BDD!I86="", "", "X")</f>
        <v>X</v>
      </c>
      <c r="F89" s="153" t="str">
        <f>IF(BDD!J86="", "", "X")</f>
        <v>X</v>
      </c>
      <c r="G89" s="153" t="str">
        <f>IF(BDD!K86="", "", "X")</f>
        <v/>
      </c>
      <c r="H89" s="153" t="str">
        <f>BDD!C86</f>
        <v>Grenade</v>
      </c>
    </row>
    <row r="90" spans="1:8" ht="30" customHeight="1" x14ac:dyDescent="0.2">
      <c r="A90" s="162" t="e">
        <f xml:space="preserve"> IF(#REF!=0, "",#REF!)</f>
        <v>#REF!</v>
      </c>
      <c r="B90" s="150" t="str">
        <f>BDD!B87</f>
        <v>Figues sèches BIO</v>
      </c>
      <c r="C90" s="151">
        <f>BDD!G87</f>
        <v>11.63</v>
      </c>
      <c r="D90" s="152" t="str">
        <f>BDD!H87</f>
        <v>kg</v>
      </c>
      <c r="E90" s="153" t="str">
        <f>IF(BDD!I87="", "", "X")</f>
        <v>X</v>
      </c>
      <c r="F90" s="153" t="str">
        <f>IF(BDD!J87="", "", "X")</f>
        <v/>
      </c>
      <c r="G90" s="153" t="str">
        <f>IF(BDD!K87="", "", "X")</f>
        <v/>
      </c>
      <c r="H90" s="153" t="str">
        <f>BDD!C87</f>
        <v>Turquie</v>
      </c>
    </row>
    <row r="91" spans="1:8" ht="30" customHeight="1" x14ac:dyDescent="0.2">
      <c r="A91" s="162" t="e">
        <f xml:space="preserve"> IF(#REF!=0, "",#REF!)</f>
        <v>#REF!</v>
      </c>
      <c r="B91" s="150" t="str">
        <f>BDD!B88</f>
        <v>Fruits du Baobab en poudre BIO</v>
      </c>
      <c r="C91" s="151">
        <f>BDD!G88</f>
        <v>36.5</v>
      </c>
      <c r="D91" s="152" t="str">
        <f>BDD!H88</f>
        <v>kg</v>
      </c>
      <c r="E91" s="153" t="str">
        <f>IF(BDD!I88="", "", "X")</f>
        <v/>
      </c>
      <c r="F91" s="153" t="str">
        <f>IF(BDD!J88="", "", "X")</f>
        <v/>
      </c>
      <c r="G91" s="153" t="str">
        <f>IF(BDD!K88="", "", "X")</f>
        <v/>
      </c>
      <c r="H91" s="153" t="str">
        <f>BDD!C88</f>
        <v>Import</v>
      </c>
    </row>
    <row r="92" spans="1:8" ht="30" customHeight="1" x14ac:dyDescent="0.2">
      <c r="A92" s="162" t="e">
        <f xml:space="preserve"> IF(#REF!=0, "",#REF!)</f>
        <v>#REF!</v>
      </c>
      <c r="B92" s="150" t="str">
        <f>BDD!B89</f>
        <v>Gingembre BIO</v>
      </c>
      <c r="C92" s="151">
        <f>BDD!G89</f>
        <v>7.25</v>
      </c>
      <c r="D92" s="152" t="str">
        <f>BDD!H89</f>
        <v>kg</v>
      </c>
      <c r="E92" s="153" t="str">
        <f>IF(BDD!I89="", "", "X")</f>
        <v>X</v>
      </c>
      <c r="F92" s="153" t="str">
        <f>IF(BDD!J89="", "", "X")</f>
        <v>X</v>
      </c>
      <c r="G92" s="153" t="str">
        <f>IF(BDD!K89="", "", "X")</f>
        <v/>
      </c>
      <c r="H92" s="153" t="str">
        <f>BDD!C89</f>
        <v>Pérou</v>
      </c>
    </row>
    <row r="93" spans="1:8" ht="30" customHeight="1" x14ac:dyDescent="0.2">
      <c r="A93" s="162" t="e">
        <f xml:space="preserve"> IF(#REF!=0, "",#REF!)</f>
        <v>#REF!</v>
      </c>
      <c r="B93" s="150" t="str">
        <f>BDD!B90</f>
        <v>Goyave</v>
      </c>
      <c r="C93" s="151">
        <f>BDD!G90</f>
        <v>4.08</v>
      </c>
      <c r="D93" s="152" t="str">
        <f>BDD!H90</f>
        <v>kg</v>
      </c>
      <c r="E93" s="153" t="str">
        <f>IF(BDD!I90="", "", "X")</f>
        <v>X</v>
      </c>
      <c r="F93" s="153" t="str">
        <f>IF(BDD!J90="", "", "X")</f>
        <v>X</v>
      </c>
      <c r="G93" s="153" t="str">
        <f>IF(BDD!K90="", "", "X")</f>
        <v>X</v>
      </c>
      <c r="H93" s="153" t="str">
        <f>BDD!C90</f>
        <v>Grenade</v>
      </c>
    </row>
    <row r="94" spans="1:8" ht="30" customHeight="1" x14ac:dyDescent="0.2">
      <c r="A94" s="162" t="e">
        <f xml:space="preserve"> IF(#REF!=0, "",#REF!)</f>
        <v>#REF!</v>
      </c>
      <c r="B94" s="150" t="str">
        <f>BDD!B91</f>
        <v>Graines de chanvre pelées CRU BIO
    - (env. 1 kg)</v>
      </c>
      <c r="C94" s="151">
        <f>BDD!G91</f>
        <v>17.78</v>
      </c>
      <c r="D94" s="152" t="str">
        <f>BDD!H91</f>
        <v>kg</v>
      </c>
      <c r="E94" s="153" t="str">
        <f>IF(BDD!I91="", "", "X")</f>
        <v>X</v>
      </c>
      <c r="F94" s="153" t="str">
        <f>IF(BDD!J91="", "", "X")</f>
        <v/>
      </c>
      <c r="G94" s="153" t="str">
        <f>IF(BDD!K91="", "", "X")</f>
        <v/>
      </c>
      <c r="H94" s="153" t="str">
        <f>BDD!C91</f>
        <v>Chine</v>
      </c>
    </row>
    <row r="95" spans="1:8" ht="30" customHeight="1" x14ac:dyDescent="0.2">
      <c r="A95" s="162" t="e">
        <f xml:space="preserve"> IF(#REF!=0, "",#REF!)</f>
        <v>#REF!</v>
      </c>
      <c r="B95" s="150" t="str">
        <f>BDD!B92</f>
        <v>Graines de tournesol sans coque CRU BIO
    - (env. 1kg)</v>
      </c>
      <c r="C95" s="151">
        <f>BDD!G92</f>
        <v>4.51</v>
      </c>
      <c r="D95" s="152" t="str">
        <f>BDD!H92</f>
        <v>kg</v>
      </c>
      <c r="E95" s="153" t="str">
        <f>IF(BDD!I92="", "", "X")</f>
        <v>X</v>
      </c>
      <c r="F95" s="153" t="str">
        <f>IF(BDD!J92="", "", "X")</f>
        <v>X</v>
      </c>
      <c r="G95" s="153" t="str">
        <f>IF(BDD!K92="", "", "X")</f>
        <v/>
      </c>
      <c r="H95" s="153" t="str">
        <f>BDD!C92</f>
        <v>Bulgarie</v>
      </c>
    </row>
    <row r="96" spans="1:8" ht="30" customHeight="1" x14ac:dyDescent="0.2">
      <c r="A96" s="162" t="e">
        <f xml:space="preserve"> IF(#REF!=0, "",#REF!)</f>
        <v>#REF!</v>
      </c>
      <c r="B96" s="150" t="str">
        <f>BDD!B93</f>
        <v>Graines de tournesol sans coque CRU BIO
    - (env. 500g)</v>
      </c>
      <c r="C96" s="151">
        <f>BDD!G93</f>
        <v>2.95</v>
      </c>
      <c r="D96" s="152" t="str">
        <f>BDD!H93</f>
        <v>Pièce</v>
      </c>
      <c r="E96" s="153" t="str">
        <f>IF(BDD!I93="", "", "X")</f>
        <v/>
      </c>
      <c r="F96" s="153" t="str">
        <f>IF(BDD!J93="", "", "X")</f>
        <v/>
      </c>
      <c r="G96" s="153" t="str">
        <f>IF(BDD!K93="", "", "X")</f>
        <v/>
      </c>
      <c r="H96" s="153" t="str">
        <f>BDD!C93</f>
        <v>Bulgarie</v>
      </c>
    </row>
    <row r="97" spans="1:8" ht="30" customHeight="1" x14ac:dyDescent="0.2">
      <c r="A97" s="162" t="e">
        <f xml:space="preserve"> IF(#REF!=0, "",#REF!)</f>
        <v>#REF!</v>
      </c>
      <c r="B97" s="150" t="str">
        <f>BDD!B94</f>
        <v>Grenade</v>
      </c>
      <c r="C97" s="151">
        <f>BDD!G94</f>
        <v>2.4500000000000002</v>
      </c>
      <c r="D97" s="152" t="str">
        <f>BDD!H94</f>
        <v>kg</v>
      </c>
      <c r="E97" s="153" t="str">
        <f>IF(BDD!I94="", "", "X")</f>
        <v>X</v>
      </c>
      <c r="F97" s="153" t="str">
        <f>IF(BDD!J94="", "", "X")</f>
        <v>X</v>
      </c>
      <c r="G97" s="153" t="str">
        <f>IF(BDD!K94="", "", "X")</f>
        <v>X</v>
      </c>
      <c r="H97" s="153" t="str">
        <f>BDD!C94</f>
        <v>Grenade</v>
      </c>
    </row>
    <row r="98" spans="1:8" ht="30" customHeight="1" x14ac:dyDescent="0.2">
      <c r="A98" s="162" t="e">
        <f xml:space="preserve"> IF(#REF!=0, "",#REF!)</f>
        <v>#REF!</v>
      </c>
      <c r="B98" s="150" t="str">
        <f>BDD!B95</f>
        <v>Grenade BIO</v>
      </c>
      <c r="C98" s="151">
        <f>BDD!G95</f>
        <v>3</v>
      </c>
      <c r="D98" s="152" t="str">
        <f>BDD!H95</f>
        <v>kg</v>
      </c>
      <c r="E98" s="153" t="str">
        <f>IF(BDD!I95="", "", "X")</f>
        <v>X</v>
      </c>
      <c r="F98" s="153" t="str">
        <f>IF(BDD!J95="", "", "X")</f>
        <v>X</v>
      </c>
      <c r="G98" s="153" t="str">
        <f>IF(BDD!K95="", "", "X")</f>
        <v>X</v>
      </c>
      <c r="H98" s="153" t="str">
        <f>BDD!C95</f>
        <v>Grenade</v>
      </c>
    </row>
    <row r="99" spans="1:8" ht="30" customHeight="1" x14ac:dyDescent="0.2">
      <c r="A99" s="162" t="e">
        <f xml:space="preserve"> IF(#REF!=0, "",#REF!)</f>
        <v>#REF!</v>
      </c>
      <c r="B99" s="150" t="str">
        <f>BDD!B96</f>
        <v xml:space="preserve">Grenade Purple Queen BIO </v>
      </c>
      <c r="C99" s="151">
        <f>BDD!G96</f>
        <v>3.27</v>
      </c>
      <c r="D99" s="152" t="str">
        <f>BDD!H96</f>
        <v>kg</v>
      </c>
      <c r="E99" s="153" t="str">
        <f>IF(BDD!I96="", "", "X")</f>
        <v>X</v>
      </c>
      <c r="F99" s="153" t="str">
        <f>IF(BDD!J96="", "", "X")</f>
        <v>X</v>
      </c>
      <c r="G99" s="153" t="str">
        <f>IF(BDD!K96="", "", "X")</f>
        <v>X</v>
      </c>
      <c r="H99" s="153" t="str">
        <f>BDD!C96</f>
        <v>Malaga</v>
      </c>
    </row>
    <row r="100" spans="1:8" ht="30" customHeight="1" x14ac:dyDescent="0.2">
      <c r="A100" s="162" t="e">
        <f xml:space="preserve"> IF(#REF!=0, "",#REF!)</f>
        <v>#REF!</v>
      </c>
      <c r="B100" s="150" t="str">
        <f>BDD!B97</f>
        <v>Huile d'olive Alorena 1L BIO</v>
      </c>
      <c r="C100" s="151">
        <f>BDD!G97</f>
        <v>9.3000000000000007</v>
      </c>
      <c r="D100" s="152" t="str">
        <f>BDD!H97</f>
        <v>kg</v>
      </c>
      <c r="E100" s="153" t="str">
        <f>IF(BDD!I97="", "", "X")</f>
        <v/>
      </c>
      <c r="F100" s="153" t="str">
        <f>IF(BDD!J97="", "", "X")</f>
        <v/>
      </c>
      <c r="G100" s="153" t="str">
        <f>IF(BDD!K97="", "", "X")</f>
        <v/>
      </c>
      <c r="H100" s="153" t="str">
        <f>BDD!C97</f>
        <v>Malaga</v>
      </c>
    </row>
    <row r="101" spans="1:8" ht="30" customHeight="1" x14ac:dyDescent="0.2">
      <c r="A101" s="162" t="e">
        <f xml:space="preserve"> IF(#REF!=0, "",#REF!)</f>
        <v>#REF!</v>
      </c>
      <c r="B101" s="150" t="str">
        <f>BDD!B98</f>
        <v>Huile d'olive Aloreña 5L BIO</v>
      </c>
      <c r="C101" s="151">
        <f>BDD!G98</f>
        <v>41.07</v>
      </c>
      <c r="D101" s="152" t="str">
        <f>BDD!H98</f>
        <v>5l</v>
      </c>
      <c r="E101" s="153" t="str">
        <f>IF(BDD!I98="", "", "X")</f>
        <v/>
      </c>
      <c r="F101" s="153" t="str">
        <f>IF(BDD!J98="", "", "X")</f>
        <v/>
      </c>
      <c r="G101" s="153" t="str">
        <f>IF(BDD!K98="", "", "X")</f>
        <v/>
      </c>
      <c r="H101" s="153" t="str">
        <f>BDD!C98</f>
        <v>Malaga</v>
      </c>
    </row>
    <row r="102" spans="1:8" ht="30" customHeight="1" x14ac:dyDescent="0.2">
      <c r="A102" s="162" t="e">
        <f xml:space="preserve"> IF(#REF!=0, "",#REF!)</f>
        <v>#REF!</v>
      </c>
      <c r="B102" s="150" t="str">
        <f>BDD!B99</f>
        <v>Kaki différentes variétés
    - (persimon, rouge brillant, tomatero)</v>
      </c>
      <c r="C102" s="151">
        <f>BDD!G99</f>
        <v>3.27</v>
      </c>
      <c r="D102" s="152" t="str">
        <f>BDD!H99</f>
        <v>kg</v>
      </c>
      <c r="E102" s="153" t="str">
        <f>IF(BDD!I99="", "", "X")</f>
        <v>X</v>
      </c>
      <c r="F102" s="153" t="str">
        <f>IF(BDD!J99="", "", "X")</f>
        <v>X</v>
      </c>
      <c r="G102" s="153" t="str">
        <f>IF(BDD!K99="", "", "X")</f>
        <v/>
      </c>
      <c r="H102" s="153" t="str">
        <f>BDD!C99</f>
        <v>Grenade</v>
      </c>
    </row>
    <row r="103" spans="1:8" ht="30" customHeight="1" x14ac:dyDescent="0.2">
      <c r="A103" s="162" t="e">
        <f xml:space="preserve"> IF(#REF!=0, "",#REF!)</f>
        <v>#REF!</v>
      </c>
      <c r="B103" s="150" t="str">
        <f>BDD!B100</f>
        <v>Kaki Fuyu</v>
      </c>
      <c r="C103" s="151">
        <f>BDD!G100</f>
        <v>3.69</v>
      </c>
      <c r="D103" s="152" t="str">
        <f>BDD!H100</f>
        <v>kg</v>
      </c>
      <c r="E103" s="153" t="str">
        <f>IF(BDD!I100="", "", "X")</f>
        <v>X</v>
      </c>
      <c r="F103" s="153" t="str">
        <f>IF(BDD!J100="", "", "X")</f>
        <v>X</v>
      </c>
      <c r="G103" s="153" t="str">
        <f>IF(BDD!K100="", "", "X")</f>
        <v>X</v>
      </c>
      <c r="H103" s="153" t="str">
        <f>BDD!C100</f>
        <v>Grenade</v>
      </c>
    </row>
    <row r="104" spans="1:8" ht="30" customHeight="1" x14ac:dyDescent="0.2">
      <c r="A104" s="162" t="e">
        <f xml:space="preserve"> IF(#REF!=0, "",#REF!)</f>
        <v>#REF!</v>
      </c>
      <c r="B104" s="150" t="str">
        <f>BDD!B101</f>
        <v xml:space="preserve">Kiwi </v>
      </c>
      <c r="C104" s="151">
        <f>BDD!G101</f>
        <v>5.45</v>
      </c>
      <c r="D104" s="152" t="str">
        <f>BDD!H101</f>
        <v>kg</v>
      </c>
      <c r="E104" s="153" t="str">
        <f>IF(BDD!I101="", "", "X")</f>
        <v>X</v>
      </c>
      <c r="F104" s="153" t="str">
        <f>IF(BDD!J101="", "", "X")</f>
        <v>X</v>
      </c>
      <c r="G104" s="153" t="str">
        <f>IF(BDD!K101="", "", "X")</f>
        <v/>
      </c>
      <c r="H104" s="153" t="str">
        <f>BDD!C101</f>
        <v>Grenade</v>
      </c>
    </row>
    <row r="105" spans="1:8" ht="30" customHeight="1" x14ac:dyDescent="0.2">
      <c r="A105" s="162" t="e">
        <f xml:space="preserve"> IF(#REF!=0, "",#REF!)</f>
        <v>#REF!</v>
      </c>
      <c r="B105" s="150" t="str">
        <f>BDD!B102</f>
        <v>Kiwi  BIO</v>
      </c>
      <c r="C105" s="151">
        <f>BDD!G102</f>
        <v>6.01</v>
      </c>
      <c r="D105" s="152" t="str">
        <f>BDD!H102</f>
        <v>kg</v>
      </c>
      <c r="E105" s="153" t="str">
        <f>IF(BDD!I102="", "", "X")</f>
        <v>X</v>
      </c>
      <c r="F105" s="153" t="str">
        <f>IF(BDD!J102="", "", "X")</f>
        <v>X</v>
      </c>
      <c r="G105" s="153" t="str">
        <f>IF(BDD!K102="", "", "X")</f>
        <v/>
      </c>
      <c r="H105" s="153" t="str">
        <f>BDD!C102</f>
        <v>Portugal</v>
      </c>
    </row>
    <row r="106" spans="1:8" ht="30" customHeight="1" x14ac:dyDescent="0.2">
      <c r="A106" s="162" t="e">
        <f xml:space="preserve"> IF(#REF!=0, "",#REF!)</f>
        <v>#REF!</v>
      </c>
      <c r="B106" s="150" t="str">
        <f>BDD!B103</f>
        <v>Kiwi Sun Gold</v>
      </c>
      <c r="C106" s="151">
        <f>BDD!G103</f>
        <v>9.44</v>
      </c>
      <c r="D106" s="152" t="str">
        <f>BDD!H103</f>
        <v>kg</v>
      </c>
      <c r="E106" s="153" t="str">
        <f>IF(BDD!I103="", "", "X")</f>
        <v/>
      </c>
      <c r="F106" s="153" t="str">
        <f>IF(BDD!J103="", "", "X")</f>
        <v/>
      </c>
      <c r="G106" s="153" t="str">
        <f>IF(BDD!K103="", "", "X")</f>
        <v/>
      </c>
      <c r="H106" s="153" t="str">
        <f>BDD!C103</f>
        <v>Nouvelle
Zélande</v>
      </c>
    </row>
    <row r="107" spans="1:8" ht="30" customHeight="1" x14ac:dyDescent="0.2">
      <c r="A107" s="162" t="e">
        <f xml:space="preserve"> IF(#REF!=0, "",#REF!)</f>
        <v>#REF!</v>
      </c>
      <c r="B107" s="150" t="str">
        <f>BDD!B104</f>
        <v>Lait de coco en poudre CRU BIO (1kg)</v>
      </c>
      <c r="C107" s="151">
        <f>BDD!G104</f>
        <v>34.22</v>
      </c>
      <c r="D107" s="152" t="str">
        <f>BDD!H104</f>
        <v>kg</v>
      </c>
      <c r="E107" s="153" t="str">
        <f>IF(BDD!I104="", "", "X")</f>
        <v>X</v>
      </c>
      <c r="F107" s="153" t="str">
        <f>IF(BDD!J104="", "", "X")</f>
        <v/>
      </c>
      <c r="G107" s="153" t="str">
        <f>IF(BDD!K104="", "", "X")</f>
        <v/>
      </c>
      <c r="H107" s="153" t="str">
        <f>BDD!C104</f>
        <v>Sri Lanka</v>
      </c>
    </row>
    <row r="108" spans="1:8" ht="30" customHeight="1" x14ac:dyDescent="0.2">
      <c r="A108" s="162" t="e">
        <f xml:space="preserve"> IF(#REF!=0, "",#REF!)</f>
        <v>#REF!</v>
      </c>
      <c r="B108" s="150" t="str">
        <f>BDD!B105</f>
        <v>Lait de coco en poudre CRU BIO (500g)</v>
      </c>
      <c r="C108" s="151">
        <f>BDD!G105</f>
        <v>17.78</v>
      </c>
      <c r="D108" s="152" t="str">
        <f>BDD!H105</f>
        <v>kg</v>
      </c>
      <c r="E108" s="153" t="str">
        <f>IF(BDD!I105="", "", "X")</f>
        <v/>
      </c>
      <c r="F108" s="153" t="str">
        <f>IF(BDD!J105="", "", "X")</f>
        <v/>
      </c>
      <c r="G108" s="153" t="str">
        <f>IF(BDD!K105="", "", "X")</f>
        <v/>
      </c>
      <c r="H108" s="153" t="str">
        <f>BDD!C105</f>
        <v>Sri Lanka</v>
      </c>
    </row>
    <row r="109" spans="1:8" ht="30" customHeight="1" x14ac:dyDescent="0.2">
      <c r="A109" s="162" t="e">
        <f xml:space="preserve"> IF(#REF!=0, "",#REF!)</f>
        <v>#REF!</v>
      </c>
      <c r="B109" s="150" t="str">
        <f>BDD!B106</f>
        <v>Lima-Limon BIO (entre citron vert et jaune)
    - (Variété indienne)</v>
      </c>
      <c r="C109" s="151">
        <f>BDD!G106</f>
        <v>3.14</v>
      </c>
      <c r="D109" s="152" t="str">
        <f>BDD!H106</f>
        <v>kg</v>
      </c>
      <c r="E109" s="153" t="str">
        <f>IF(BDD!I106="", "", "X")</f>
        <v>X</v>
      </c>
      <c r="F109" s="153" t="str">
        <f>IF(BDD!J106="", "", "X")</f>
        <v>X</v>
      </c>
      <c r="G109" s="153" t="str">
        <f>IF(BDD!K106="", "", "X")</f>
        <v>X</v>
      </c>
      <c r="H109" s="153" t="str">
        <f>BDD!C106</f>
        <v>Malaga</v>
      </c>
    </row>
    <row r="110" spans="1:8" ht="30" customHeight="1" x14ac:dyDescent="0.2">
      <c r="A110" s="162" t="e">
        <f xml:space="preserve"> IF(#REF!=0, "",#REF!)</f>
        <v>#REF!</v>
      </c>
      <c r="B110" s="150" t="str">
        <f>BDD!B107</f>
        <v>Lucuma cru en poudre CRU BIO (env. 1 kg)</v>
      </c>
      <c r="C110" s="151">
        <f>BDD!G107</f>
        <v>30.11</v>
      </c>
      <c r="D110" s="152" t="str">
        <f>BDD!H107</f>
        <v>Pièce</v>
      </c>
      <c r="E110" s="153" t="str">
        <f>IF(BDD!I107="", "", "X")</f>
        <v/>
      </c>
      <c r="F110" s="153" t="str">
        <f>IF(BDD!J107="", "", "X")</f>
        <v/>
      </c>
      <c r="G110" s="153" t="str">
        <f>IF(BDD!K107="", "", "X")</f>
        <v/>
      </c>
      <c r="H110" s="153" t="str">
        <f>BDD!C107</f>
        <v>Pérou</v>
      </c>
    </row>
    <row r="111" spans="1:8" ht="30" customHeight="1" x14ac:dyDescent="0.2">
      <c r="A111" s="162" t="e">
        <f xml:space="preserve"> IF(#REF!=0, "",#REF!)</f>
        <v>#REF!</v>
      </c>
      <c r="B111" s="150" t="str">
        <f>BDD!B108</f>
        <v>Maca brute en poudre CRU BIO (env. 1kg)</v>
      </c>
      <c r="C111" s="151">
        <f>BDD!G108</f>
        <v>16.41</v>
      </c>
      <c r="D111" s="152" t="str">
        <f>BDD!H108</f>
        <v>Pièce</v>
      </c>
      <c r="E111" s="153" t="str">
        <f>IF(BDD!I108="", "", "X")</f>
        <v>X</v>
      </c>
      <c r="F111" s="153" t="str">
        <f>IF(BDD!J108="", "", "X")</f>
        <v/>
      </c>
      <c r="G111" s="153" t="str">
        <f>IF(BDD!K108="", "", "X")</f>
        <v/>
      </c>
      <c r="H111" s="153" t="str">
        <f>BDD!C108</f>
        <v>Pérou</v>
      </c>
    </row>
    <row r="112" spans="1:8" ht="30" customHeight="1" x14ac:dyDescent="0.2">
      <c r="A112" s="162" t="e">
        <f xml:space="preserve"> IF(#REF!=0, "",#REF!)</f>
        <v>#REF!</v>
      </c>
      <c r="B112" s="150" t="str">
        <f>BDD!B109</f>
        <v>Maca brute en poudre CRU BIO (env. 500g)</v>
      </c>
      <c r="C112" s="151">
        <f>BDD!G109</f>
        <v>8.89</v>
      </c>
      <c r="D112" s="152" t="str">
        <f>BDD!H109</f>
        <v>Pièce</v>
      </c>
      <c r="E112" s="153" t="str">
        <f>IF(BDD!I109="", "", "X")</f>
        <v/>
      </c>
      <c r="F112" s="153" t="str">
        <f>IF(BDD!J109="", "", "X")</f>
        <v/>
      </c>
      <c r="G112" s="153" t="str">
        <f>IF(BDD!K109="", "", "X")</f>
        <v/>
      </c>
      <c r="H112" s="153" t="str">
        <f>BDD!C109</f>
        <v>Pérou</v>
      </c>
    </row>
    <row r="113" spans="1:8" ht="30" customHeight="1" x14ac:dyDescent="0.2">
      <c r="A113" s="162" t="e">
        <f xml:space="preserve"> IF(#REF!=0, "",#REF!)</f>
        <v>#REF!</v>
      </c>
      <c r="B113" s="150" t="str">
        <f>BDD!B110</f>
        <v>Maca noire BIO (env. 1kg)</v>
      </c>
      <c r="C113" s="151">
        <f>BDD!G110</f>
        <v>27.37</v>
      </c>
      <c r="D113" s="152" t="str">
        <f>BDD!H110</f>
        <v>Pièce</v>
      </c>
      <c r="E113" s="153" t="str">
        <f>IF(BDD!I110="", "", "X")</f>
        <v/>
      </c>
      <c r="F113" s="153" t="str">
        <f>IF(BDD!J110="", "", "X")</f>
        <v/>
      </c>
      <c r="G113" s="153" t="str">
        <f>IF(BDD!K110="", "", "X")</f>
        <v/>
      </c>
      <c r="H113" s="153" t="str">
        <f>BDD!C110</f>
        <v>Pérou</v>
      </c>
    </row>
    <row r="114" spans="1:8" ht="30" customHeight="1" x14ac:dyDescent="0.2">
      <c r="A114" s="162" t="e">
        <f xml:space="preserve"> IF(#REF!=0, "",#REF!)</f>
        <v>#REF!</v>
      </c>
      <c r="B114" s="150" t="str">
        <f>BDD!B111</f>
        <v>Maca noire BIO (env. 500g)</v>
      </c>
      <c r="C114" s="151">
        <f>BDD!G111</f>
        <v>14.37</v>
      </c>
      <c r="D114" s="152" t="str">
        <f>BDD!H111</f>
        <v>Pièce</v>
      </c>
      <c r="E114" s="153" t="str">
        <f>IF(BDD!I111="", "", "X")</f>
        <v/>
      </c>
      <c r="F114" s="153" t="str">
        <f>IF(BDD!J111="", "", "X")</f>
        <v/>
      </c>
      <c r="G114" s="153" t="str">
        <f>IF(BDD!K111="", "", "X")</f>
        <v/>
      </c>
      <c r="H114" s="153" t="str">
        <f>BDD!C111</f>
        <v>Pérou</v>
      </c>
    </row>
    <row r="115" spans="1:8" ht="30" customHeight="1" x14ac:dyDescent="0.2">
      <c r="A115" s="162" t="e">
        <f xml:space="preserve"> IF(#REF!=0, "",#REF!)</f>
        <v>#REF!</v>
      </c>
      <c r="B115" s="150" t="str">
        <f>BDD!B112</f>
        <v>Maïs doux frais (plateau de 2 pièces)</v>
      </c>
      <c r="C115" s="151">
        <f>BDD!G112</f>
        <v>2.71</v>
      </c>
      <c r="D115" s="152" t="str">
        <f>BDD!H112</f>
        <v>Pièce</v>
      </c>
      <c r="E115" s="153" t="str">
        <f>IF(BDD!I112="", "", "X")</f>
        <v/>
      </c>
      <c r="F115" s="153" t="str">
        <f>IF(BDD!J112="", "", "X")</f>
        <v/>
      </c>
      <c r="G115" s="153" t="str">
        <f>IF(BDD!K112="", "", "X")</f>
        <v/>
      </c>
      <c r="H115" s="153" t="str">
        <f>BDD!C112</f>
        <v>Malaga</v>
      </c>
    </row>
    <row r="116" spans="1:8" ht="30" customHeight="1" x14ac:dyDescent="0.2">
      <c r="A116" s="162" t="e">
        <f xml:space="preserve"> IF(#REF!=0, "",#REF!)</f>
        <v>#REF!</v>
      </c>
      <c r="B116" s="150" t="str">
        <f>BDD!B113</f>
        <v>Mangue déshydratée Irwin gourmet (à basse température, tranches)</v>
      </c>
      <c r="C116" s="151">
        <f>BDD!G113</f>
        <v>53.4</v>
      </c>
      <c r="D116" s="152" t="str">
        <f>BDD!H113</f>
        <v>kg</v>
      </c>
      <c r="E116" s="153" t="str">
        <f>IF(BDD!I113="", "", "X")</f>
        <v/>
      </c>
      <c r="F116" s="153" t="str">
        <f>IF(BDD!J113="", "", "X")</f>
        <v/>
      </c>
      <c r="G116" s="153" t="str">
        <f>IF(BDD!K113="", "", "X")</f>
        <v/>
      </c>
      <c r="H116" s="153" t="str">
        <f>BDD!C113</f>
        <v>Grenade</v>
      </c>
    </row>
    <row r="117" spans="1:8" ht="30" customHeight="1" x14ac:dyDescent="0.2">
      <c r="A117" s="162" t="e">
        <f xml:space="preserve"> IF(#REF!=0, "",#REF!)</f>
        <v>#REF!</v>
      </c>
      <c r="B117" s="150" t="str">
        <f>BDD!B114</f>
        <v>Mangue déshydratée rouge Palmer (semi-sèche  de fabrication artisanale, env. 500g)</v>
      </c>
      <c r="C117" s="151">
        <f>BDD!G114</f>
        <v>11.63</v>
      </c>
      <c r="D117" s="152" t="str">
        <f>BDD!H114</f>
        <v>Pièce</v>
      </c>
      <c r="E117" s="153" t="str">
        <f>IF(BDD!I114="", "", "X")</f>
        <v/>
      </c>
      <c r="F117" s="153" t="str">
        <f>IF(BDD!J114="", "", "X")</f>
        <v/>
      </c>
      <c r="G117" s="153" t="str">
        <f>IF(BDD!K114="", "", "X")</f>
        <v/>
      </c>
      <c r="H117" s="153" t="str">
        <f>BDD!C114</f>
        <v>Grenade</v>
      </c>
    </row>
    <row r="118" spans="1:8" ht="30" customHeight="1" x14ac:dyDescent="0.2">
      <c r="A118" s="162" t="e">
        <f xml:space="preserve"> IF(#REF!=0, "",#REF!)</f>
        <v>#REF!</v>
      </c>
      <c r="B118" s="150" t="str">
        <f>BDD!B115</f>
        <v>Mangue Irwin (grande)</v>
      </c>
      <c r="C118" s="151">
        <f>BDD!G115</f>
        <v>7.25</v>
      </c>
      <c r="D118" s="152" t="str">
        <f>BDD!H115</f>
        <v>kg</v>
      </c>
      <c r="E118" s="153" t="str">
        <f>IF(BDD!I115="", "", "X")</f>
        <v>X</v>
      </c>
      <c r="F118" s="153" t="str">
        <f>IF(BDD!J115="", "", "X")</f>
        <v>X</v>
      </c>
      <c r="G118" s="153" t="str">
        <f>IF(BDD!K115="", "", "X")</f>
        <v/>
      </c>
      <c r="H118" s="153" t="str">
        <f>BDD!C115</f>
        <v>Malaga</v>
      </c>
    </row>
    <row r="119" spans="1:8" ht="30" customHeight="1" x14ac:dyDescent="0.2">
      <c r="A119" s="162" t="e">
        <f xml:space="preserve"> IF(#REF!=0, "",#REF!)</f>
        <v>#REF!</v>
      </c>
      <c r="B119" s="150" t="str">
        <f>BDD!B116</f>
        <v>Mangue Keitt</v>
      </c>
      <c r="C119" s="151">
        <f>BDD!G116</f>
        <v>4.37</v>
      </c>
      <c r="D119" s="152" t="str">
        <f>BDD!H116</f>
        <v>kg</v>
      </c>
      <c r="E119" s="153" t="str">
        <f>IF(BDD!I116="", "", "X")</f>
        <v>X</v>
      </c>
      <c r="F119" s="153" t="str">
        <f>IF(BDD!J116="", "", "X")</f>
        <v>X</v>
      </c>
      <c r="G119" s="153" t="str">
        <f>IF(BDD!K116="", "", "X")</f>
        <v>X</v>
      </c>
      <c r="H119" s="153" t="str">
        <f>BDD!C116</f>
        <v>Grenade</v>
      </c>
    </row>
    <row r="120" spans="1:8" ht="30" customHeight="1" x14ac:dyDescent="0.2">
      <c r="A120" s="162" t="e">
        <f xml:space="preserve"> IF(#REF!=0, "",#REF!)</f>
        <v>#REF!</v>
      </c>
      <c r="B120" s="150" t="str">
        <f>BDD!B117</f>
        <v>Mangue Keitt BIO</v>
      </c>
      <c r="C120" s="151">
        <f>BDD!G117</f>
        <v>5.33</v>
      </c>
      <c r="D120" s="152" t="str">
        <f>BDD!H117</f>
        <v>kg</v>
      </c>
      <c r="E120" s="153" t="str">
        <f>IF(BDD!I117="", "", "X")</f>
        <v>X</v>
      </c>
      <c r="F120" s="153" t="str">
        <f>IF(BDD!J117="", "", "X")</f>
        <v>X</v>
      </c>
      <c r="G120" s="153" t="str">
        <f>IF(BDD!K117="", "", "X")</f>
        <v>X</v>
      </c>
      <c r="H120" s="153" t="str">
        <f>BDD!C117</f>
        <v>Grenade</v>
      </c>
    </row>
    <row r="121" spans="1:8" ht="30" customHeight="1" x14ac:dyDescent="0.2">
      <c r="A121" s="162" t="e">
        <f xml:space="preserve"> IF(#REF!=0, "",#REF!)</f>
        <v>#REF!</v>
      </c>
      <c r="B121" s="150" t="str">
        <f>BDD!B118</f>
        <v>Mangue Keitt BIO (légères brûlures superficielles à côté du pédoncule causées par le soleil)</v>
      </c>
      <c r="C121" s="151">
        <f>BDD!G118</f>
        <v>3</v>
      </c>
      <c r="D121" s="152" t="str">
        <f>BDD!H118</f>
        <v>kg</v>
      </c>
      <c r="E121" s="153" t="str">
        <f>IF(BDD!I118="", "", "X")</f>
        <v>X</v>
      </c>
      <c r="F121" s="153" t="str">
        <f>IF(BDD!J118="", "", "X")</f>
        <v>X</v>
      </c>
      <c r="G121" s="153" t="str">
        <f>IF(BDD!K118="", "", "X")</f>
        <v>X</v>
      </c>
      <c r="H121" s="153" t="str">
        <f>BDD!C118</f>
        <v>Malaga</v>
      </c>
    </row>
    <row r="122" spans="1:8" ht="30" customHeight="1" x14ac:dyDescent="0.2">
      <c r="A122" s="162" t="e">
        <f xml:space="preserve"> IF(#REF!=0, "",#REF!)</f>
        <v>#REF!</v>
      </c>
      <c r="B122" s="150" t="str">
        <f>BDD!B119</f>
        <v>Mangue Keitt BIO (petit)</v>
      </c>
      <c r="C122" s="151">
        <f>BDD!G119</f>
        <v>4.08</v>
      </c>
      <c r="D122" s="152" t="str">
        <f>BDD!H119</f>
        <v>kg</v>
      </c>
      <c r="E122" s="153" t="str">
        <f>IF(BDD!I119="", "", "X")</f>
        <v>X</v>
      </c>
      <c r="F122" s="153" t="str">
        <f>IF(BDD!J119="", "", "X")</f>
        <v>X</v>
      </c>
      <c r="G122" s="153" t="str">
        <f>IF(BDD!K119="", "", "X")</f>
        <v>X</v>
      </c>
      <c r="H122" s="153" t="str">
        <f>BDD!C119</f>
        <v>Malaga</v>
      </c>
    </row>
    <row r="123" spans="1:8" ht="30" customHeight="1" x14ac:dyDescent="0.2">
      <c r="A123" s="162" t="e">
        <f xml:space="preserve"> IF(#REF!=0, "",#REF!)</f>
        <v>#REF!</v>
      </c>
      <c r="B123" s="150" t="str">
        <f>BDD!B120</f>
        <v>Mangue Kent (moyen) murie sur l'arbre</v>
      </c>
      <c r="C123" s="151">
        <f>BDD!G120</f>
        <v>3.96</v>
      </c>
      <c r="D123" s="152" t="str">
        <f>BDD!H120</f>
        <v>kg</v>
      </c>
      <c r="E123" s="153" t="str">
        <f>IF(BDD!I120="", "", "X")</f>
        <v>X</v>
      </c>
      <c r="F123" s="153" t="str">
        <f>IF(BDD!J120="", "", "X")</f>
        <v>X</v>
      </c>
      <c r="G123" s="153" t="str">
        <f>IF(BDD!K120="", "", "X")</f>
        <v>X</v>
      </c>
      <c r="H123" s="153" t="str">
        <f>BDD!C120</f>
        <v>Malaga</v>
      </c>
    </row>
    <row r="124" spans="1:8" ht="30" customHeight="1" x14ac:dyDescent="0.2">
      <c r="A124" s="162" t="e">
        <f xml:space="preserve"> IF(#REF!=0, "",#REF!)</f>
        <v>#REF!</v>
      </c>
      <c r="B124" s="150" t="str">
        <f>BDD!B121</f>
        <v>Mangue Kent Bio (légères brûlures superficielles à côté de la tige produites par le soleil)</v>
      </c>
      <c r="C124" s="151">
        <f>BDD!G121</f>
        <v>3</v>
      </c>
      <c r="D124" s="152" t="str">
        <f>BDD!H121</f>
        <v>kg</v>
      </c>
      <c r="E124" s="153" t="str">
        <f>IF(BDD!I121="", "", "X")</f>
        <v>X</v>
      </c>
      <c r="F124" s="153" t="str">
        <f>IF(BDD!J121="", "", "X")</f>
        <v>X</v>
      </c>
      <c r="G124" s="153" t="str">
        <f>IF(BDD!K121="", "", "X")</f>
        <v>X</v>
      </c>
      <c r="H124" s="153" t="str">
        <f>BDD!C121</f>
        <v>Malaga</v>
      </c>
    </row>
    <row r="125" spans="1:8" ht="30" customHeight="1" x14ac:dyDescent="0.2">
      <c r="A125" s="162" t="e">
        <f xml:space="preserve"> IF(#REF!=0, "",#REF!)</f>
        <v>#REF!</v>
      </c>
      <c r="B125" s="150" t="str">
        <f>BDD!B122</f>
        <v>Mangue Lipens</v>
      </c>
      <c r="C125" s="151">
        <f>BDD!G122</f>
        <v>2.71</v>
      </c>
      <c r="D125" s="152" t="str">
        <f>BDD!H122</f>
        <v>kg</v>
      </c>
      <c r="E125" s="153" t="str">
        <f>IF(BDD!I122="", "", "X")</f>
        <v>X</v>
      </c>
      <c r="F125" s="153" t="str">
        <f>IF(BDD!J122="", "", "X")</f>
        <v/>
      </c>
      <c r="G125" s="153" t="str">
        <f>IF(BDD!K122="", "", "X")</f>
        <v/>
      </c>
      <c r="H125" s="153" t="str">
        <f>BDD!C122</f>
        <v>Grenade</v>
      </c>
    </row>
    <row r="126" spans="1:8" ht="30" customHeight="1" x14ac:dyDescent="0.2">
      <c r="A126" s="162" t="e">
        <f xml:space="preserve"> IF(#REF!=0, "",#REF!)</f>
        <v>#REF!</v>
      </c>
      <c r="B126" s="150" t="str">
        <f>BDD!B123</f>
        <v>Mangue Osteen</v>
      </c>
      <c r="C126" s="151">
        <f>BDD!G123</f>
        <v>4.78</v>
      </c>
      <c r="D126" s="152" t="str">
        <f>BDD!H123</f>
        <v>kg</v>
      </c>
      <c r="E126" s="153" t="str">
        <f>IF(BDD!I123="", "", "X")</f>
        <v>X</v>
      </c>
      <c r="F126" s="153" t="str">
        <f>IF(BDD!J123="", "", "X")</f>
        <v>X</v>
      </c>
      <c r="G126" s="153" t="str">
        <f>IF(BDD!K123="", "", "X")</f>
        <v>X</v>
      </c>
      <c r="H126" s="153" t="str">
        <f>BDD!C123</f>
        <v>Grenade</v>
      </c>
    </row>
    <row r="127" spans="1:8" ht="30" customHeight="1" x14ac:dyDescent="0.2">
      <c r="A127" s="162" t="e">
        <f xml:space="preserve"> IF(#REF!=0, "",#REF!)</f>
        <v>#REF!</v>
      </c>
      <c r="B127" s="150" t="str">
        <f>BDD!B124</f>
        <v>Mangue Osteen (Ferme Eparadise, mûrie sur plante, récoltée quotidiennement)</v>
      </c>
      <c r="C127" s="151">
        <f>BDD!G124</f>
        <v>5.45</v>
      </c>
      <c r="D127" s="152" t="str">
        <f>BDD!H124</f>
        <v>kg</v>
      </c>
      <c r="E127" s="153" t="str">
        <f>IF(BDD!I124="", "", "X")</f>
        <v>X</v>
      </c>
      <c r="F127" s="153" t="str">
        <f>IF(BDD!J124="", "", "X")</f>
        <v>X</v>
      </c>
      <c r="G127" s="153" t="str">
        <f>IF(BDD!K124="", "", "X")</f>
        <v>X</v>
      </c>
      <c r="H127" s="153" t="str">
        <f>BDD!C124</f>
        <v>Grenade</v>
      </c>
    </row>
    <row r="128" spans="1:8" ht="30" customHeight="1" x14ac:dyDescent="0.2">
      <c r="A128" s="162" t="e">
        <f xml:space="preserve"> IF(#REF!=0, "",#REF!)</f>
        <v>#REF!</v>
      </c>
      <c r="B128" s="150" t="str">
        <f>BDD!B125</f>
        <v>Mangue Osteen BIO (Qualité supérieure, mûrie sur plante)</v>
      </c>
      <c r="C128" s="151">
        <f>BDD!G125</f>
        <v>5.19</v>
      </c>
      <c r="D128" s="152" t="str">
        <f>BDD!H125</f>
        <v>kg</v>
      </c>
      <c r="E128" s="153" t="str">
        <f>IF(BDD!I125="", "", "X")</f>
        <v>X</v>
      </c>
      <c r="F128" s="153" t="str">
        <f>IF(BDD!J125="", "", "X")</f>
        <v>X</v>
      </c>
      <c r="G128" s="153" t="str">
        <f>IF(BDD!K125="", "", "X")</f>
        <v/>
      </c>
      <c r="H128" s="153" t="str">
        <f>BDD!C125</f>
        <v>Salobrena</v>
      </c>
    </row>
    <row r="129" spans="1:8" ht="30" customHeight="1" x14ac:dyDescent="0.2">
      <c r="A129" s="162" t="e">
        <f xml:space="preserve"> IF(#REF!=0, "",#REF!)</f>
        <v>#REF!</v>
      </c>
      <c r="B129" s="150" t="str">
        <f>BDD!B126</f>
        <v>Mangue Osteen mini gourmet</v>
      </c>
      <c r="C129" s="151">
        <f>BDD!G126</f>
        <v>3.82</v>
      </c>
      <c r="D129" s="152" t="str">
        <f>BDD!H126</f>
        <v>kg</v>
      </c>
      <c r="E129" s="153" t="str">
        <f>IF(BDD!I126="", "", "X")</f>
        <v>X</v>
      </c>
      <c r="F129" s="153" t="str">
        <f>IF(BDD!J126="", "", "X")</f>
        <v>X</v>
      </c>
      <c r="G129" s="153" t="str">
        <f>IF(BDD!K126="", "", "X")</f>
        <v/>
      </c>
      <c r="H129" s="153" t="str">
        <f>BDD!C126</f>
        <v>Grenade</v>
      </c>
    </row>
    <row r="130" spans="1:8" ht="30" customHeight="1" x14ac:dyDescent="0.2">
      <c r="A130" s="162" t="e">
        <f xml:space="preserve"> IF(#REF!=0, "",#REF!)</f>
        <v>#REF!</v>
      </c>
      <c r="B130" s="150" t="str">
        <f>BDD!B127</f>
        <v>Mangue Palmer Rouge BIO (Grand)</v>
      </c>
      <c r="C130" s="151">
        <f>BDD!G127</f>
        <v>5.0599999999999996</v>
      </c>
      <c r="D130" s="152" t="str">
        <f>BDD!H127</f>
        <v>kg</v>
      </c>
      <c r="E130" s="153" t="str">
        <f>IF(BDD!I127="", "", "X")</f>
        <v>X</v>
      </c>
      <c r="F130" s="153" t="str">
        <f>IF(BDD!J127="", "", "X")</f>
        <v>X</v>
      </c>
      <c r="G130" s="153" t="str">
        <f>IF(BDD!K127="", "", "X")</f>
        <v/>
      </c>
      <c r="H130" s="153" t="str">
        <f>BDD!C127</f>
        <v>Grenade</v>
      </c>
    </row>
    <row r="131" spans="1:8" ht="30" customHeight="1" x14ac:dyDescent="0.2">
      <c r="A131" s="162" t="e">
        <f xml:space="preserve"> IF(#REF!=0, "",#REF!)</f>
        <v>#REF!</v>
      </c>
      <c r="B131" s="150" t="str">
        <f>BDD!B128</f>
        <v>Mangue Palmer rouge gourmet BIO</v>
      </c>
      <c r="C131" s="151">
        <f>BDD!G128</f>
        <v>3.41</v>
      </c>
      <c r="D131" s="152" t="str">
        <f>BDD!H128</f>
        <v>kg</v>
      </c>
      <c r="E131" s="153" t="str">
        <f>IF(BDD!I128="", "", "X")</f>
        <v>X</v>
      </c>
      <c r="F131" s="153" t="str">
        <f>IF(BDD!J128="", "", "X")</f>
        <v>X</v>
      </c>
      <c r="G131" s="153" t="str">
        <f>IF(BDD!K128="", "", "X")</f>
        <v>X</v>
      </c>
      <c r="H131" s="153" t="str">
        <f>BDD!C128</f>
        <v>Grenade</v>
      </c>
    </row>
    <row r="132" spans="1:8" ht="30" customHeight="1" x14ac:dyDescent="0.2">
      <c r="A132" s="162" t="e">
        <f xml:space="preserve"> IF(#REF!=0, "",#REF!)</f>
        <v>#REF!</v>
      </c>
      <c r="B132" s="150" t="str">
        <f>BDD!B129</f>
        <v>Mangue plusieurs variétés
    - (Haden, Irwin, Lipens, Osteen, Tommy Atkins)</v>
      </c>
      <c r="C132" s="151">
        <f>BDD!G129</f>
        <v>2.71</v>
      </c>
      <c r="D132" s="152" t="str">
        <f>BDD!H129</f>
        <v>kg</v>
      </c>
      <c r="E132" s="153" t="str">
        <f>IF(BDD!I129="", "", "X")</f>
        <v/>
      </c>
      <c r="F132" s="153" t="str">
        <f>IF(BDD!J129="", "", "X")</f>
        <v/>
      </c>
      <c r="G132" s="153" t="str">
        <f>IF(BDD!K129="", "", "X")</f>
        <v/>
      </c>
      <c r="H132" s="153" t="str">
        <f>BDD!C129</f>
        <v>Grenade</v>
      </c>
    </row>
    <row r="133" spans="1:8" ht="30" customHeight="1" x14ac:dyDescent="0.2">
      <c r="A133" s="162" t="e">
        <f xml:space="preserve"> IF(#REF!=0, "",#REF!)</f>
        <v>#REF!</v>
      </c>
      <c r="B133" s="150" t="str">
        <f>BDD!B130</f>
        <v>Melon peau de crapaud</v>
      </c>
      <c r="C133" s="151">
        <f>BDD!G130</f>
        <v>1.77</v>
      </c>
      <c r="D133" s="152" t="str">
        <f>BDD!H130</f>
        <v>kg</v>
      </c>
      <c r="E133" s="153" t="str">
        <f>IF(BDD!I130="", "", "X")</f>
        <v>X</v>
      </c>
      <c r="F133" s="153" t="str">
        <f>IF(BDD!J130="", "", "X")</f>
        <v>X</v>
      </c>
      <c r="G133" s="153" t="str">
        <f>IF(BDD!K130="", "", "X")</f>
        <v>X</v>
      </c>
      <c r="H133" s="153" t="str">
        <f>BDD!C130</f>
        <v>Cordova</v>
      </c>
    </row>
    <row r="134" spans="1:8" ht="30" customHeight="1" x14ac:dyDescent="0.2">
      <c r="A134" s="162" t="e">
        <f xml:space="preserve"> IF(#REF!=0, "",#REF!)</f>
        <v>#REF!</v>
      </c>
      <c r="B134" s="150" t="str">
        <f>BDD!B131</f>
        <v>Melon peau de crapaud BIO</v>
      </c>
      <c r="C134" s="151">
        <f>BDD!G131</f>
        <v>2.59</v>
      </c>
      <c r="D134" s="152" t="str">
        <f>BDD!H131</f>
        <v>kg</v>
      </c>
      <c r="E134" s="153" t="str">
        <f>IF(BDD!I131="", "", "X")</f>
        <v>X</v>
      </c>
      <c r="F134" s="153" t="str">
        <f>IF(BDD!J131="", "", "X")</f>
        <v>X</v>
      </c>
      <c r="G134" s="153" t="str">
        <f>IF(BDD!K131="", "", "X")</f>
        <v/>
      </c>
      <c r="H134" s="153" t="str">
        <f>BDD!C131</f>
        <v>Andalousie</v>
      </c>
    </row>
    <row r="135" spans="1:8" ht="30" customHeight="1" x14ac:dyDescent="0.2">
      <c r="A135" s="162" t="e">
        <f xml:space="preserve"> IF(#REF!=0, "",#REF!)</f>
        <v>#REF!</v>
      </c>
      <c r="B135" s="150" t="str">
        <f>BDD!B132</f>
        <v>Miel d'avocat (Bocal en verre 1kg)</v>
      </c>
      <c r="C135" s="151">
        <f>BDD!G132</f>
        <v>12.73</v>
      </c>
      <c r="D135" s="152" t="str">
        <f>BDD!H132</f>
        <v>Pièce</v>
      </c>
      <c r="E135" s="153" t="str">
        <f>IF(BDD!I132="", "", "X")</f>
        <v>X</v>
      </c>
      <c r="F135" s="153" t="str">
        <f>IF(BDD!J132="", "", "X")</f>
        <v/>
      </c>
      <c r="G135" s="153" t="str">
        <f>IF(BDD!K132="", "", "X")</f>
        <v/>
      </c>
      <c r="H135" s="153" t="str">
        <f>BDD!C132</f>
        <v>Grenade</v>
      </c>
    </row>
    <row r="136" spans="1:8" ht="30" customHeight="1" x14ac:dyDescent="0.2">
      <c r="A136" s="162" t="e">
        <f xml:space="preserve"> IF(#REF!=0, "",#REF!)</f>
        <v>#REF!</v>
      </c>
      <c r="B136" s="150" t="str">
        <f>BDD!B133</f>
        <v>Miel d'eucalyptus BIO (Bocal en verre 1kg)</v>
      </c>
      <c r="C136" s="151">
        <f>BDD!G133</f>
        <v>19.850000000000001</v>
      </c>
      <c r="D136" s="152" t="str">
        <f>BDD!H133</f>
        <v>Pièce</v>
      </c>
      <c r="E136" s="153" t="str">
        <f>IF(BDD!I133="", "", "X")</f>
        <v>X</v>
      </c>
      <c r="F136" s="153" t="str">
        <f>IF(BDD!J133="", "", "X")</f>
        <v/>
      </c>
      <c r="G136" s="153" t="str">
        <f>IF(BDD!K133="", "", "X")</f>
        <v/>
      </c>
      <c r="H136" s="153" t="str">
        <f>BDD!C133</f>
        <v>Huelva</v>
      </c>
    </row>
    <row r="137" spans="1:8" ht="30" customHeight="1" x14ac:dyDescent="0.2">
      <c r="A137" s="162" t="e">
        <f xml:space="preserve"> IF(#REF!=0, "",#REF!)</f>
        <v>#REF!</v>
      </c>
      <c r="B137" s="150" t="str">
        <f>BDD!B134</f>
        <v>Miel de Fleur d'oranger (Bocal en verre 1kg)</v>
      </c>
      <c r="C137" s="151">
        <f>BDD!G134</f>
        <v>12.73</v>
      </c>
      <c r="D137" s="152" t="str">
        <f>BDD!H134</f>
        <v>Pièce</v>
      </c>
      <c r="E137" s="153" t="str">
        <f>IF(BDD!I134="", "", "X")</f>
        <v>X</v>
      </c>
      <c r="F137" s="153" t="str">
        <f>IF(BDD!J134="", "", "X")</f>
        <v/>
      </c>
      <c r="G137" s="153" t="str">
        <f>IF(BDD!K134="", "", "X")</f>
        <v/>
      </c>
      <c r="H137" s="153" t="str">
        <f>BDD!C134</f>
        <v>Grenade</v>
      </c>
    </row>
    <row r="138" spans="1:8" ht="30" customHeight="1" x14ac:dyDescent="0.2">
      <c r="A138" s="162" t="e">
        <f xml:space="preserve"> IF(#REF!=0, "",#REF!)</f>
        <v>#REF!</v>
      </c>
      <c r="B138" s="150" t="str">
        <f>BDD!B135</f>
        <v>Miel de Huelva multifleurs sans filtration CRU BIO  
    - (Bocal en verre 1kg)</v>
      </c>
      <c r="C138" s="151">
        <f>BDD!G135</f>
        <v>15.04</v>
      </c>
      <c r="D138" s="152" t="str">
        <f>BDD!H135</f>
        <v>Pièce</v>
      </c>
      <c r="E138" s="153" t="str">
        <f>IF(BDD!I135="", "", "X")</f>
        <v>X</v>
      </c>
      <c r="F138" s="153" t="str">
        <f>IF(BDD!J135="", "", "X")</f>
        <v/>
      </c>
      <c r="G138" s="153" t="str">
        <f>IF(BDD!K135="", "", "X")</f>
        <v/>
      </c>
      <c r="H138" s="153" t="str">
        <f>BDD!C135</f>
        <v>Huelva</v>
      </c>
    </row>
    <row r="139" spans="1:8" ht="30" customHeight="1" x14ac:dyDescent="0.2">
      <c r="A139" s="162" t="e">
        <f xml:space="preserve"> IF(#REF!=0, "",#REF!)</f>
        <v>#REF!</v>
      </c>
      <c r="B139" s="150" t="str">
        <f>BDD!B136</f>
        <v>Miel de montagne (Bocal en verre 1kg)</v>
      </c>
      <c r="C139" s="151">
        <f>BDD!G136</f>
        <v>12.73</v>
      </c>
      <c r="D139" s="152" t="str">
        <f>BDD!H136</f>
        <v>Pièce</v>
      </c>
      <c r="E139" s="153" t="str">
        <f>IF(BDD!I136="", "", "X")</f>
        <v>X</v>
      </c>
      <c r="F139" s="153" t="str">
        <f>IF(BDD!J136="", "", "X")</f>
        <v/>
      </c>
      <c r="G139" s="153" t="str">
        <f>IF(BDD!K136="", "", "X")</f>
        <v/>
      </c>
      <c r="H139" s="153" t="str">
        <f>BDD!C136</f>
        <v>Grenade</v>
      </c>
    </row>
    <row r="140" spans="1:8" ht="30" customHeight="1" x14ac:dyDescent="0.2">
      <c r="A140" s="162" t="e">
        <f xml:space="preserve"> IF(#REF!=0, "",#REF!)</f>
        <v>#REF!</v>
      </c>
      <c r="B140" s="150" t="str">
        <f>BDD!B137</f>
        <v>Miel de Romarin (Bocal en verre 1kg)</v>
      </c>
      <c r="C140" s="151">
        <f>BDD!G137</f>
        <v>12.73</v>
      </c>
      <c r="D140" s="152" t="str">
        <f>BDD!H137</f>
        <v>Pièce</v>
      </c>
      <c r="E140" s="153" t="str">
        <f>IF(BDD!I137="", "", "X")</f>
        <v>X</v>
      </c>
      <c r="F140" s="153" t="str">
        <f>IF(BDD!J137="", "", "X")</f>
        <v/>
      </c>
      <c r="G140" s="153" t="str">
        <f>IF(BDD!K137="", "", "X")</f>
        <v/>
      </c>
      <c r="H140" s="153" t="str">
        <f>BDD!C137</f>
        <v>Grenade</v>
      </c>
    </row>
    <row r="141" spans="1:8" ht="30" customHeight="1" x14ac:dyDescent="0.2">
      <c r="A141" s="162" t="e">
        <f xml:space="preserve"> IF(#REF!=0, "",#REF!)</f>
        <v>#REF!</v>
      </c>
      <c r="B141" s="150" t="str">
        <f>BDD!B138</f>
        <v>Miel Multi-fleurs (Bocal en verre 1kg)</v>
      </c>
      <c r="C141" s="151">
        <f>BDD!G138</f>
        <v>10.67</v>
      </c>
      <c r="D141" s="152" t="str">
        <f>BDD!H138</f>
        <v>Pièce</v>
      </c>
      <c r="E141" s="153" t="str">
        <f>IF(BDD!I138="", "", "X")</f>
        <v>X</v>
      </c>
      <c r="F141" s="153" t="str">
        <f>IF(BDD!J138="", "", "X")</f>
        <v/>
      </c>
      <c r="G141" s="153" t="str">
        <f>IF(BDD!K138="", "", "X")</f>
        <v/>
      </c>
      <c r="H141" s="153" t="str">
        <f>BDD!C138</f>
        <v>Grenade</v>
      </c>
    </row>
    <row r="142" spans="1:8" ht="30" customHeight="1" x14ac:dyDescent="0.2">
      <c r="A142" s="162" t="e">
        <f xml:space="preserve"> IF(#REF!=0, "",#REF!)</f>
        <v>#REF!</v>
      </c>
      <c r="B142" s="150" t="str">
        <f>BDD!B139</f>
        <v>Néfle d'hiver</v>
      </c>
      <c r="C142" s="151">
        <f>BDD!G139</f>
        <v>2.71</v>
      </c>
      <c r="D142" s="152" t="str">
        <f>BDD!H139</f>
        <v>kg</v>
      </c>
      <c r="E142" s="153" t="str">
        <f>IF(BDD!I139="", "", "X")</f>
        <v>X</v>
      </c>
      <c r="F142" s="153" t="str">
        <f>IF(BDD!J139="", "", "X")</f>
        <v/>
      </c>
      <c r="G142" s="153" t="str">
        <f>IF(BDD!K139="", "", "X")</f>
        <v/>
      </c>
      <c r="H142" s="153" t="str">
        <f>BDD!C139</f>
        <v>Grenade</v>
      </c>
    </row>
    <row r="143" spans="1:8" ht="30" customHeight="1" x14ac:dyDescent="0.2">
      <c r="A143" s="162" t="e">
        <f xml:space="preserve"> IF(#REF!=0, "",#REF!)</f>
        <v>#REF!</v>
      </c>
      <c r="B143" s="150" t="str">
        <f>BDD!B140</f>
        <v>Noisette sans coque CRU BIO (env. 1kg)</v>
      </c>
      <c r="C143" s="151">
        <f>BDD!G140</f>
        <v>19.850000000000001</v>
      </c>
      <c r="D143" s="152" t="str">
        <f>BDD!H140</f>
        <v>Pièce</v>
      </c>
      <c r="E143" s="153" t="str">
        <f>IF(BDD!I140="", "", "X")</f>
        <v>X</v>
      </c>
      <c r="F143" s="153" t="str">
        <f>IF(BDD!J140="", "", "X")</f>
        <v/>
      </c>
      <c r="G143" s="153" t="str">
        <f>IF(BDD!K140="", "", "X")</f>
        <v/>
      </c>
      <c r="H143" s="153" t="str">
        <f>BDD!C140</f>
        <v>National</v>
      </c>
    </row>
    <row r="144" spans="1:8" ht="30" customHeight="1" x14ac:dyDescent="0.2">
      <c r="A144" s="162" t="e">
        <f xml:space="preserve"> IF(#REF!=0, "",#REF!)</f>
        <v>#REF!</v>
      </c>
      <c r="B144" s="150" t="str">
        <f>BDD!B141</f>
        <v>Noix de cajou BIO (env. 1kg)</v>
      </c>
      <c r="C144" s="151">
        <f>BDD!G141</f>
        <v>20.52</v>
      </c>
      <c r="D144" s="152" t="str">
        <f>BDD!H141</f>
        <v>Pièce</v>
      </c>
      <c r="E144" s="153" t="str">
        <f>IF(BDD!I141="", "", "X")</f>
        <v>X</v>
      </c>
      <c r="F144" s="153" t="str">
        <f>IF(BDD!J141="", "", "X")</f>
        <v>X</v>
      </c>
      <c r="G144" s="153" t="str">
        <f>IF(BDD!K141="", "", "X")</f>
        <v/>
      </c>
      <c r="H144" s="153" t="str">
        <f>BDD!C141</f>
        <v>Indes</v>
      </c>
    </row>
    <row r="145" spans="1:8" ht="30" customHeight="1" x14ac:dyDescent="0.2">
      <c r="A145" s="162" t="e">
        <f xml:space="preserve"> IF(#REF!=0, "",#REF!)</f>
        <v>#REF!</v>
      </c>
      <c r="B145" s="150" t="str">
        <f>BDD!B142</f>
        <v>Noix de Macadamia sans coque BIO
    - (env. 1kg)</v>
      </c>
      <c r="C145" s="151">
        <f>BDD!G142</f>
        <v>43.81</v>
      </c>
      <c r="D145" s="152" t="str">
        <f>BDD!H142</f>
        <v>Pièce</v>
      </c>
      <c r="E145" s="153" t="str">
        <f>IF(BDD!I142="", "", "X")</f>
        <v/>
      </c>
      <c r="F145" s="153" t="str">
        <f>IF(BDD!J142="", "", "X")</f>
        <v/>
      </c>
      <c r="G145" s="153" t="str">
        <f>IF(BDD!K142="", "", "X")</f>
        <v/>
      </c>
      <c r="H145" s="153" t="str">
        <f>BDD!C142</f>
        <v>Kenya</v>
      </c>
    </row>
    <row r="146" spans="1:8" ht="30" customHeight="1" x14ac:dyDescent="0.2">
      <c r="A146" s="162" t="e">
        <f xml:space="preserve"> IF(#REF!=0, "",#REF!)</f>
        <v>#REF!</v>
      </c>
      <c r="B146" s="150" t="str">
        <f>BDD!B143</f>
        <v>Noix de Macadamia sans coque BIO
    - (env. 500g)</v>
      </c>
      <c r="C146" s="151">
        <f>BDD!G143</f>
        <v>22.59</v>
      </c>
      <c r="D146" s="152" t="str">
        <f>BDD!H143</f>
        <v>Pièce</v>
      </c>
      <c r="E146" s="153" t="str">
        <f>IF(BDD!I143="", "", "X")</f>
        <v/>
      </c>
      <c r="F146" s="153" t="str">
        <f>IF(BDD!J143="", "", "X")</f>
        <v/>
      </c>
      <c r="G146" s="153" t="str">
        <f>IF(BDD!K143="", "", "X")</f>
        <v/>
      </c>
      <c r="H146" s="153" t="str">
        <f>BDD!C143</f>
        <v>Kenya</v>
      </c>
    </row>
    <row r="147" spans="1:8" ht="30" customHeight="1" x14ac:dyDescent="0.2">
      <c r="A147" s="162" t="e">
        <f xml:space="preserve"> IF(#REF!=0, "",#REF!)</f>
        <v>#REF!</v>
      </c>
      <c r="B147" s="150" t="str">
        <f>BDD!B144</f>
        <v>Noix de Pécan sans coque BIO (env. 1kg)</v>
      </c>
      <c r="C147" s="151">
        <f>BDD!G144</f>
        <v>35.880000000000003</v>
      </c>
      <c r="D147" s="152" t="str">
        <f>BDD!H144</f>
        <v>Pièce</v>
      </c>
      <c r="E147" s="153" t="str">
        <f>IF(BDD!I144="", "", "X")</f>
        <v>X</v>
      </c>
      <c r="F147" s="153" t="str">
        <f>IF(BDD!J144="", "", "X")</f>
        <v/>
      </c>
      <c r="G147" s="153" t="str">
        <f>IF(BDD!K144="", "", "X")</f>
        <v/>
      </c>
      <c r="H147" s="153" t="str">
        <f>BDD!C144</f>
        <v>Mexique</v>
      </c>
    </row>
    <row r="148" spans="1:8" ht="30" customHeight="1" x14ac:dyDescent="0.2">
      <c r="A148" s="162" t="e">
        <f xml:space="preserve"> IF(#REF!=0, "",#REF!)</f>
        <v>#REF!</v>
      </c>
      <c r="B148" s="150" t="str">
        <f>BDD!B145</f>
        <v>Noix de Pécan sans coque BIO (env. 500g)</v>
      </c>
      <c r="C148" s="151">
        <f>BDD!G145</f>
        <v>18.62</v>
      </c>
      <c r="D148" s="152" t="str">
        <f>BDD!H145</f>
        <v>Pièce</v>
      </c>
      <c r="E148" s="153" t="str">
        <f>IF(BDD!I145="", "", "X")</f>
        <v/>
      </c>
      <c r="F148" s="153" t="str">
        <f>IF(BDD!J145="", "", "X")</f>
        <v/>
      </c>
      <c r="G148" s="153" t="str">
        <f>IF(BDD!K145="", "", "X")</f>
        <v/>
      </c>
      <c r="H148" s="153" t="str">
        <f>BDD!C145</f>
        <v>Mexique</v>
      </c>
    </row>
    <row r="149" spans="1:8" ht="30" customHeight="1" x14ac:dyDescent="0.2">
      <c r="A149" s="162" t="e">
        <f xml:space="preserve"> IF(#REF!=0, "",#REF!)</f>
        <v>#REF!</v>
      </c>
      <c r="B149" s="150" t="str">
        <f>BDD!B146</f>
        <v>Oignon blanc BIO</v>
      </c>
      <c r="C149" s="151">
        <f>BDD!G146</f>
        <v>1.77</v>
      </c>
      <c r="D149" s="152" t="str">
        <f>BDD!H146</f>
        <v>kg</v>
      </c>
      <c r="E149" s="153" t="str">
        <f>IF(BDD!I146="", "", "X")</f>
        <v>X</v>
      </c>
      <c r="F149" s="153" t="str">
        <f>IF(BDD!J146="", "", "X")</f>
        <v>X</v>
      </c>
      <c r="G149" s="153" t="str">
        <f>IF(BDD!K146="", "", "X")</f>
        <v/>
      </c>
      <c r="H149" s="153" t="str">
        <f>BDD!C146</f>
        <v>Malaga</v>
      </c>
    </row>
    <row r="150" spans="1:8" ht="30" customHeight="1" x14ac:dyDescent="0.2">
      <c r="A150" s="162" t="e">
        <f xml:space="preserve"> IF(#REF!=0, "",#REF!)</f>
        <v>#REF!</v>
      </c>
      <c r="B150" s="150" t="str">
        <f>BDD!B147</f>
        <v>Oignon rouge BIO</v>
      </c>
      <c r="C150" s="151">
        <f>BDD!G147</f>
        <v>2.04</v>
      </c>
      <c r="D150" s="152" t="str">
        <f>BDD!H147</f>
        <v>kg</v>
      </c>
      <c r="E150" s="153" t="str">
        <f>IF(BDD!I147="", "", "X")</f>
        <v>X</v>
      </c>
      <c r="F150" s="153" t="str">
        <f>IF(BDD!J147="", "", "X")</f>
        <v>X</v>
      </c>
      <c r="G150" s="153" t="str">
        <f>IF(BDD!K147="", "", "X")</f>
        <v/>
      </c>
      <c r="H150" s="153" t="str">
        <f>BDD!C147</f>
        <v>Malaga</v>
      </c>
    </row>
    <row r="151" spans="1:8" ht="30" customHeight="1" x14ac:dyDescent="0.2">
      <c r="A151" s="162" t="e">
        <f xml:space="preserve"> IF(#REF!=0, "",#REF!)</f>
        <v>#REF!</v>
      </c>
      <c r="B151" s="150" t="str">
        <f>BDD!B148</f>
        <v>Olives Aloreña BIO non pasteurisées (Bocal 800g)</v>
      </c>
      <c r="C151" s="151">
        <f>BDD!G148</f>
        <v>5.45</v>
      </c>
      <c r="D151" s="152" t="str">
        <f>BDD!H148</f>
        <v>Pièce</v>
      </c>
      <c r="E151" s="153" t="str">
        <f>IF(BDD!I148="", "", "X")</f>
        <v>X</v>
      </c>
      <c r="F151" s="153" t="str">
        <f>IF(BDD!J148="", "", "X")</f>
        <v/>
      </c>
      <c r="G151" s="153" t="str">
        <f>IF(BDD!K148="", "", "X")</f>
        <v/>
      </c>
      <c r="H151" s="153" t="str">
        <f>BDD!C148</f>
        <v>Malaga</v>
      </c>
    </row>
    <row r="152" spans="1:8" ht="30" customHeight="1" x14ac:dyDescent="0.2">
      <c r="A152" s="162" t="e">
        <f xml:space="preserve"> IF(#REF!=0, "",#REF!)</f>
        <v>#REF!</v>
      </c>
      <c r="B152" s="150" t="str">
        <f>BDD!B149</f>
        <v>Olives fermentées BIO non pasteurisées (env. 450g, Fraîches, semi-sèches, sèches, au choix, sans sel, sans eau et sans autres ajouts)</v>
      </c>
      <c r="C152" s="151">
        <f>BDD!G149</f>
        <v>10.119999999999999</v>
      </c>
      <c r="D152" s="152" t="str">
        <f>BDD!H149</f>
        <v>Pièce</v>
      </c>
      <c r="E152" s="153" t="str">
        <f>IF(BDD!I149="", "", "X")</f>
        <v/>
      </c>
      <c r="F152" s="153" t="str">
        <f>IF(BDD!J149="", "", "X")</f>
        <v/>
      </c>
      <c r="G152" s="153" t="str">
        <f>IF(BDD!K149="", "", "X")</f>
        <v/>
      </c>
      <c r="H152" s="153" t="str">
        <f>BDD!C149</f>
        <v>Valence</v>
      </c>
    </row>
    <row r="153" spans="1:8" ht="30" customHeight="1" x14ac:dyDescent="0.2">
      <c r="A153" s="162" t="e">
        <f xml:space="preserve"> IF(#REF!=0, "",#REF!)</f>
        <v>#REF!</v>
      </c>
      <c r="B153" s="150" t="str">
        <f>BDD!B150</f>
        <v>Olives noires BIO (bocal 500g, sans noyau, semi-séchées, non pasteurisées)</v>
      </c>
      <c r="C153" s="151">
        <f>BDD!G150</f>
        <v>9.0299999999999994</v>
      </c>
      <c r="D153" s="152" t="str">
        <f>BDD!H150</f>
        <v>Pièce</v>
      </c>
      <c r="E153" s="153" t="str">
        <f>IF(BDD!I150="", "", "X")</f>
        <v/>
      </c>
      <c r="F153" s="153" t="str">
        <f>IF(BDD!J150="", "", "X")</f>
        <v/>
      </c>
      <c r="G153" s="153" t="str">
        <f>IF(BDD!K150="", "", "X")</f>
        <v/>
      </c>
      <c r="H153" s="153" t="str">
        <f>BDD!C150</f>
        <v>Import</v>
      </c>
    </row>
    <row r="154" spans="1:8" ht="30" customHeight="1" x14ac:dyDescent="0.2">
      <c r="A154" s="162" t="e">
        <f xml:space="preserve"> IF(#REF!=0, "",#REF!)</f>
        <v>#REF!</v>
      </c>
      <c r="B154" s="150" t="str">
        <f>BDD!B151</f>
        <v>Olives vertes Gordal Manzanilla fraîches</v>
      </c>
      <c r="C154" s="151">
        <f>BDD!G151</f>
        <v>4.08</v>
      </c>
      <c r="D154" s="152" t="str">
        <f>BDD!H151</f>
        <v>kg</v>
      </c>
      <c r="E154" s="153" t="str">
        <f>IF(BDD!I151="", "", "X")</f>
        <v>X</v>
      </c>
      <c r="F154" s="153" t="str">
        <f>IF(BDD!J151="", "", "X")</f>
        <v/>
      </c>
      <c r="G154" s="153" t="str">
        <f>IF(BDD!K151="", "", "X")</f>
        <v/>
      </c>
      <c r="H154" s="153" t="str">
        <f>BDD!C151</f>
        <v>Grenade</v>
      </c>
    </row>
    <row r="155" spans="1:8" ht="30" customHeight="1" x14ac:dyDescent="0.2">
      <c r="A155" s="162" t="e">
        <f xml:space="preserve"> IF(#REF!=0, "",#REF!)</f>
        <v>#REF!</v>
      </c>
      <c r="B155" s="150" t="str">
        <f>BDD!B152</f>
        <v>Orange Valencialate</v>
      </c>
      <c r="C155" s="151">
        <f>BDD!G152</f>
        <v>3.27</v>
      </c>
      <c r="D155" s="152" t="str">
        <f>BDD!H152</f>
        <v>kg</v>
      </c>
      <c r="E155" s="153" t="str">
        <f>IF(BDD!I152="", "", "X")</f>
        <v>X</v>
      </c>
      <c r="F155" s="153" t="str">
        <f>IF(BDD!J152="", "", "X")</f>
        <v>X</v>
      </c>
      <c r="G155" s="153" t="str">
        <f>IF(BDD!K152="", "", "X")</f>
        <v/>
      </c>
      <c r="H155" s="153" t="str">
        <f>BDD!C152</f>
        <v>Andalousie</v>
      </c>
    </row>
    <row r="156" spans="1:8" ht="30" customHeight="1" x14ac:dyDescent="0.2">
      <c r="A156" s="162" t="e">
        <f xml:space="preserve"> IF(#REF!=0, "",#REF!)</f>
        <v>#REF!</v>
      </c>
      <c r="B156" s="150" t="str">
        <f>BDD!B153</f>
        <v>Paprika épicé de la Vera BIO (env. 1kg)</v>
      </c>
      <c r="C156" s="151">
        <f>BDD!G153</f>
        <v>16.41</v>
      </c>
      <c r="D156" s="152" t="str">
        <f>BDD!H153</f>
        <v>Pièce</v>
      </c>
      <c r="E156" s="153" t="str">
        <f>IF(BDD!I153="", "", "X")</f>
        <v/>
      </c>
      <c r="F156" s="153" t="str">
        <f>IF(BDD!J153="", "", "X")</f>
        <v/>
      </c>
      <c r="G156" s="153" t="str">
        <f>IF(BDD!K153="", "", "X")</f>
        <v/>
      </c>
      <c r="H156" s="153" t="str">
        <f>BDD!C153</f>
        <v>Espagne
Sierra de Gredos</v>
      </c>
    </row>
    <row r="157" spans="1:8" ht="30" customHeight="1" x14ac:dyDescent="0.2">
      <c r="A157" s="162" t="e">
        <f xml:space="preserve"> IF(#REF!=0, "",#REF!)</f>
        <v>#REF!</v>
      </c>
      <c r="B157" s="150" t="str">
        <f>BDD!B154</f>
        <v>Patate douce BIO (Grande)</v>
      </c>
      <c r="C157" s="151">
        <f>BDD!G154</f>
        <v>2.59</v>
      </c>
      <c r="D157" s="152" t="str">
        <f>BDD!H154</f>
        <v>kg</v>
      </c>
      <c r="E157" s="153" t="str">
        <f>IF(BDD!I154="", "", "X")</f>
        <v>X</v>
      </c>
      <c r="F157" s="153" t="str">
        <f>IF(BDD!J154="", "", "X")</f>
        <v>X</v>
      </c>
      <c r="G157" s="153" t="str">
        <f>IF(BDD!K154="", "", "X")</f>
        <v>X</v>
      </c>
      <c r="H157" s="153" t="str">
        <f>BDD!C154</f>
        <v>Malaga</v>
      </c>
    </row>
    <row r="158" spans="1:8" ht="30" customHeight="1" x14ac:dyDescent="0.2">
      <c r="A158" s="162" t="e">
        <f xml:space="preserve"> IF(#REF!=0, "",#REF!)</f>
        <v>#REF!</v>
      </c>
      <c r="B158" s="150" t="str">
        <f>BDD!B155</f>
        <v>Patate douce BIO (Moyenne)</v>
      </c>
      <c r="C158" s="151">
        <f>BDD!G155</f>
        <v>2.04</v>
      </c>
      <c r="D158" s="152" t="str">
        <f>BDD!H155</f>
        <v>kg</v>
      </c>
      <c r="E158" s="153" t="str">
        <f>IF(BDD!I155="", "", "X")</f>
        <v>X</v>
      </c>
      <c r="F158" s="153" t="str">
        <f>IF(BDD!J155="", "", "X")</f>
        <v>X</v>
      </c>
      <c r="G158" s="153" t="str">
        <f>IF(BDD!K155="", "", "X")</f>
        <v>X</v>
      </c>
      <c r="H158" s="153" t="str">
        <f>BDD!C155</f>
        <v>Malaga</v>
      </c>
    </row>
    <row r="159" spans="1:8" ht="30" customHeight="1" x14ac:dyDescent="0.2">
      <c r="A159" s="162" t="e">
        <f xml:space="preserve"> IF(#REF!=0, "",#REF!)</f>
        <v>#REF!</v>
      </c>
      <c r="B159" s="150" t="str">
        <f>BDD!B156</f>
        <v>Patate Douce Violette BIO (Moyenne, grande) Nouvelle récolte</v>
      </c>
      <c r="C159" s="151">
        <f>BDD!G156</f>
        <v>3.41</v>
      </c>
      <c r="D159" s="152" t="str">
        <f>BDD!H156</f>
        <v>kg</v>
      </c>
      <c r="E159" s="153" t="str">
        <f>IF(BDD!I156="", "", "X")</f>
        <v>X</v>
      </c>
      <c r="F159" s="153" t="str">
        <f>IF(BDD!J156="", "", "X")</f>
        <v>X</v>
      </c>
      <c r="G159" s="153" t="str">
        <f>IF(BDD!K156="", "", "X")</f>
        <v>X</v>
      </c>
      <c r="H159" s="153" t="str">
        <f>BDD!C156</f>
        <v>Malaga</v>
      </c>
    </row>
    <row r="160" spans="1:8" ht="30" customHeight="1" x14ac:dyDescent="0.2">
      <c r="A160" s="162" t="e">
        <f xml:space="preserve"> IF(#REF!=0, "",#REF!)</f>
        <v>#REF!</v>
      </c>
      <c r="B160" s="150" t="str">
        <f>BDD!B157</f>
        <v>Pistache avec coque CRU (env. 1kg)</v>
      </c>
      <c r="C160" s="151">
        <f>BDD!G157</f>
        <v>34.22</v>
      </c>
      <c r="D160" s="152" t="str">
        <f>BDD!H157</f>
        <v>Pièce</v>
      </c>
      <c r="E160" s="153" t="str">
        <f>IF(BDD!I157="", "", "X")</f>
        <v/>
      </c>
      <c r="F160" s="153" t="str">
        <f>IF(BDD!J157="", "", "X")</f>
        <v/>
      </c>
      <c r="G160" s="153" t="str">
        <f>IF(BDD!K157="", "", "X")</f>
        <v/>
      </c>
      <c r="H160" s="153" t="str">
        <f>BDD!C157</f>
        <v>Espagne</v>
      </c>
    </row>
    <row r="161" spans="1:8" ht="30" customHeight="1" x14ac:dyDescent="0.2">
      <c r="A161" s="162" t="e">
        <f xml:space="preserve"> IF(#REF!=0, "",#REF!)</f>
        <v>#REF!</v>
      </c>
      <c r="B161" s="150" t="str">
        <f>BDD!B158</f>
        <v>Pistache avec coque CRU (env. 500g)</v>
      </c>
      <c r="C161" s="151">
        <f>BDD!G158</f>
        <v>17.78</v>
      </c>
      <c r="D161" s="152" t="str">
        <f>BDD!H158</f>
        <v>Pièce</v>
      </c>
      <c r="E161" s="153" t="str">
        <f>IF(BDD!I158="", "", "X")</f>
        <v/>
      </c>
      <c r="F161" s="153" t="str">
        <f>IF(BDD!J158="", "", "X")</f>
        <v/>
      </c>
      <c r="G161" s="153" t="str">
        <f>IF(BDD!K158="", "", "X")</f>
        <v/>
      </c>
      <c r="H161" s="153" t="str">
        <f>BDD!C158</f>
        <v>Espagne</v>
      </c>
    </row>
    <row r="162" spans="1:8" ht="30" customHeight="1" x14ac:dyDescent="0.2">
      <c r="A162" s="162" t="e">
        <f xml:space="preserve"> IF(#REF!=0, "",#REF!)</f>
        <v>#REF!</v>
      </c>
      <c r="B162" s="150" t="str">
        <f>BDD!B159</f>
        <v>Pitaya (fruit du dragon, jaune à l'extérieur et pulpe blanche)</v>
      </c>
      <c r="C162" s="151">
        <f>BDD!G159</f>
        <v>9.56</v>
      </c>
      <c r="D162" s="152" t="str">
        <f>BDD!H159</f>
        <v>kg</v>
      </c>
      <c r="E162" s="153" t="str">
        <f>IF(BDD!I159="", "", "X")</f>
        <v/>
      </c>
      <c r="F162" s="153" t="str">
        <f>IF(BDD!J159="", "", "X")</f>
        <v/>
      </c>
      <c r="G162" s="153" t="str">
        <f>IF(BDD!K159="", "", "X")</f>
        <v/>
      </c>
      <c r="H162" s="153" t="str">
        <f>BDD!C159</f>
        <v>Grenade</v>
      </c>
    </row>
    <row r="163" spans="1:8" ht="30" customHeight="1" x14ac:dyDescent="0.2">
      <c r="A163" s="162" t="e">
        <f xml:space="preserve"> IF(#REF!=0, "",#REF!)</f>
        <v>#REF!</v>
      </c>
      <c r="B163" s="150" t="str">
        <f>BDD!B160</f>
        <v>Pitaya rouge BIO</v>
      </c>
      <c r="C163" s="151">
        <f>BDD!G160</f>
        <v>11.91</v>
      </c>
      <c r="D163" s="152" t="str">
        <f>BDD!H160</f>
        <v>kg</v>
      </c>
      <c r="E163" s="153" t="str">
        <f>IF(BDD!I160="", "", "X")</f>
        <v>X</v>
      </c>
      <c r="F163" s="153" t="str">
        <f>IF(BDD!J160="", "", "X")</f>
        <v/>
      </c>
      <c r="G163" s="153" t="str">
        <f>IF(BDD!K160="", "", "X")</f>
        <v/>
      </c>
      <c r="H163" s="153" t="str">
        <f>BDD!C160</f>
        <v>Grenade</v>
      </c>
    </row>
    <row r="164" spans="1:8" ht="30" customHeight="1" x14ac:dyDescent="0.2">
      <c r="A164" s="162" t="e">
        <f xml:space="preserve"> IF(#REF!=0, "",#REF!)</f>
        <v>#REF!</v>
      </c>
      <c r="B164" s="150" t="str">
        <f>BDD!B161</f>
        <v xml:space="preserve">Poire Conférence  </v>
      </c>
      <c r="C164" s="151">
        <f>BDD!G161</f>
        <v>3.41</v>
      </c>
      <c r="D164" s="152" t="str">
        <f>BDD!H161</f>
        <v>kg</v>
      </c>
      <c r="E164" s="153" t="str">
        <f>IF(BDD!I161="", "", "X")</f>
        <v>X</v>
      </c>
      <c r="F164" s="153" t="str">
        <f>IF(BDD!J161="", "", "X")</f>
        <v>X</v>
      </c>
      <c r="G164" s="153" t="str">
        <f>IF(BDD!K161="", "", "X")</f>
        <v/>
      </c>
      <c r="H164" s="153" t="str">
        <f>BDD!C161</f>
        <v>Espagne</v>
      </c>
    </row>
    <row r="165" spans="1:8" ht="30" customHeight="1" x14ac:dyDescent="0.2">
      <c r="A165" s="162" t="e">
        <f xml:space="preserve"> IF(#REF!=0, "",#REF!)</f>
        <v>#REF!</v>
      </c>
      <c r="B165" s="150" t="str">
        <f>BDD!B162</f>
        <v>Poire Conférence BIO</v>
      </c>
      <c r="C165" s="151">
        <f>BDD!G162</f>
        <v>3.82</v>
      </c>
      <c r="D165" s="152" t="str">
        <f>BDD!H162</f>
        <v>kg</v>
      </c>
      <c r="E165" s="153" t="str">
        <f>IF(BDD!I162="", "", "X")</f>
        <v>X</v>
      </c>
      <c r="F165" s="153" t="str">
        <f>IF(BDD!J162="", "", "X")</f>
        <v>X</v>
      </c>
      <c r="G165" s="153" t="str">
        <f>IF(BDD!K162="", "", "X")</f>
        <v/>
      </c>
      <c r="H165" s="153" t="str">
        <f>BDD!C162</f>
        <v>Espagne</v>
      </c>
    </row>
    <row r="166" spans="1:8" ht="30" customHeight="1" x14ac:dyDescent="0.2">
      <c r="A166" s="162" t="e">
        <f xml:space="preserve"> IF(#REF!=0, "",#REF!)</f>
        <v>#REF!</v>
      </c>
      <c r="B166" s="150" t="str">
        <f>BDD!B163</f>
        <v>Poireau BIO</v>
      </c>
      <c r="C166" s="151">
        <f>BDD!G163</f>
        <v>3.41</v>
      </c>
      <c r="D166" s="152" t="str">
        <f>BDD!H163</f>
        <v>kg</v>
      </c>
      <c r="E166" s="153" t="str">
        <f>IF(BDD!I163="", "", "X")</f>
        <v>X</v>
      </c>
      <c r="F166" s="153" t="str">
        <f>IF(BDD!J163="", "", "X")</f>
        <v/>
      </c>
      <c r="G166" s="153" t="str">
        <f>IF(BDD!K163="", "", "X")</f>
        <v/>
      </c>
      <c r="H166" s="153" t="str">
        <f>BDD!C163</f>
        <v>Malaga</v>
      </c>
    </row>
    <row r="167" spans="1:8" ht="30" customHeight="1" x14ac:dyDescent="0.2">
      <c r="A167" s="162" t="e">
        <f xml:space="preserve"> IF(#REF!=0, "",#REF!)</f>
        <v>#REF!</v>
      </c>
      <c r="B167" s="150" t="str">
        <f>BDD!B164</f>
        <v>Poivron mini en couleur</v>
      </c>
      <c r="C167" s="151">
        <f>BDD!G164</f>
        <v>3.14</v>
      </c>
      <c r="D167" s="152" t="str">
        <f>BDD!H164</f>
        <v>kg</v>
      </c>
      <c r="E167" s="153" t="str">
        <f>IF(BDD!I164="", "", "X")</f>
        <v>X</v>
      </c>
      <c r="F167" s="153" t="str">
        <f>IF(BDD!J164="", "", "X")</f>
        <v>X</v>
      </c>
      <c r="G167" s="153" t="str">
        <f>IF(BDD!K164="", "", "X")</f>
        <v/>
      </c>
      <c r="H167" s="153" t="str">
        <f>BDD!C164</f>
        <v>Grenade</v>
      </c>
    </row>
    <row r="168" spans="1:8" ht="30" customHeight="1" x14ac:dyDescent="0.2">
      <c r="A168" s="162" t="e">
        <f xml:space="preserve"> IF(#REF!=0, "",#REF!)</f>
        <v>#REF!</v>
      </c>
      <c r="B168" s="150" t="str">
        <f>BDD!B165</f>
        <v>Poivron rouge Ramiro BIO</v>
      </c>
      <c r="C168" s="151">
        <f>BDD!G165</f>
        <v>5.19</v>
      </c>
      <c r="D168" s="152" t="str">
        <f>BDD!H165</f>
        <v>kg</v>
      </c>
      <c r="E168" s="153" t="str">
        <f>IF(BDD!I165="", "", "X")</f>
        <v>X</v>
      </c>
      <c r="F168" s="153" t="str">
        <f>IF(BDD!J165="", "", "X")</f>
        <v/>
      </c>
      <c r="G168" s="153" t="str">
        <f>IF(BDD!K165="", "", "X")</f>
        <v/>
      </c>
      <c r="H168" s="153" t="str">
        <f>BDD!C165</f>
        <v>Malaga</v>
      </c>
    </row>
    <row r="169" spans="1:8" ht="30" customHeight="1" x14ac:dyDescent="0.2">
      <c r="A169" s="162" t="e">
        <f xml:space="preserve"> IF(#REF!=0, "",#REF!)</f>
        <v>#REF!</v>
      </c>
      <c r="B169" s="150" t="str">
        <f>BDD!B166</f>
        <v>Polen Frais BIO (bocal 500g)</v>
      </c>
      <c r="C169" s="151">
        <f>BDD!G166</f>
        <v>17.78</v>
      </c>
      <c r="D169" s="152" t="str">
        <f>BDD!H166</f>
        <v>Pièce</v>
      </c>
      <c r="E169" s="153" t="str">
        <f>IF(BDD!I166="", "", "X")</f>
        <v/>
      </c>
      <c r="F169" s="153" t="str">
        <f>IF(BDD!J166="", "", "X")</f>
        <v/>
      </c>
      <c r="G169" s="153" t="str">
        <f>IF(BDD!K166="", "", "X")</f>
        <v/>
      </c>
      <c r="H169" s="153" t="str">
        <f>BDD!C166</f>
        <v>Cordoue</v>
      </c>
    </row>
    <row r="170" spans="1:8" ht="30" customHeight="1" x14ac:dyDescent="0.2">
      <c r="A170" s="162" t="e">
        <f xml:space="preserve"> IF(#REF!=0, "",#REF!)</f>
        <v>#REF!</v>
      </c>
      <c r="B170" s="150" t="str">
        <f>BDD!B167</f>
        <v>Polen sec BIO (bocal 500g)</v>
      </c>
      <c r="C170" s="151">
        <f>BDD!G167</f>
        <v>18.48</v>
      </c>
      <c r="D170" s="152" t="str">
        <f>BDD!H167</f>
        <v>Pièce</v>
      </c>
      <c r="E170" s="153" t="str">
        <f>IF(BDD!I167="", "", "X")</f>
        <v/>
      </c>
      <c r="F170" s="153" t="str">
        <f>IF(BDD!J167="", "", "X")</f>
        <v/>
      </c>
      <c r="G170" s="153" t="str">
        <f>IF(BDD!K167="", "", "X")</f>
        <v/>
      </c>
      <c r="H170" s="153" t="str">
        <f>BDD!C167</f>
        <v>Huelva</v>
      </c>
    </row>
    <row r="171" spans="1:8" ht="30" customHeight="1" x14ac:dyDescent="0.2">
      <c r="A171" s="162" t="e">
        <f xml:space="preserve"> IF(#REF!=0, "",#REF!)</f>
        <v>#REF!</v>
      </c>
      <c r="B171" s="150" t="str">
        <f>BDD!B168</f>
        <v>Pomme de terre Lucinda blanche BIO</v>
      </c>
      <c r="C171" s="151">
        <f>BDD!G168</f>
        <v>1.9</v>
      </c>
      <c r="D171" s="152" t="str">
        <f>BDD!H168</f>
        <v>kg</v>
      </c>
      <c r="E171" s="153" t="str">
        <f>IF(BDD!I168="", "", "X")</f>
        <v>X</v>
      </c>
      <c r="F171" s="153" t="str">
        <f>IF(BDD!J168="", "", "X")</f>
        <v>X</v>
      </c>
      <c r="G171" s="153" t="str">
        <f>IF(BDD!K168="", "", "X")</f>
        <v/>
      </c>
      <c r="H171" s="153" t="str">
        <f>BDD!C168</f>
        <v>Malaga</v>
      </c>
    </row>
    <row r="172" spans="1:8" ht="30" customHeight="1" x14ac:dyDescent="0.2">
      <c r="A172" s="162" t="e">
        <f xml:space="preserve"> IF(#REF!=0, "",#REF!)</f>
        <v>#REF!</v>
      </c>
      <c r="B172" s="150" t="str">
        <f>BDD!B169</f>
        <v>Pomme de terre rouge BIO</v>
      </c>
      <c r="C172" s="151">
        <f>BDD!G169</f>
        <v>2.3199999999999998</v>
      </c>
      <c r="D172" s="152" t="str">
        <f>BDD!H169</f>
        <v>kg</v>
      </c>
      <c r="E172" s="153" t="str">
        <f>IF(BDD!I169="", "", "X")</f>
        <v>X</v>
      </c>
      <c r="F172" s="153" t="str">
        <f>IF(BDD!J169="", "", "X")</f>
        <v>X</v>
      </c>
      <c r="G172" s="153" t="str">
        <f>IF(BDD!K169="", "", "X")</f>
        <v/>
      </c>
      <c r="H172" s="153" t="str">
        <f>BDD!C169</f>
        <v>Grenade</v>
      </c>
    </row>
    <row r="173" spans="1:8" ht="30" customHeight="1" x14ac:dyDescent="0.2">
      <c r="A173" s="162" t="e">
        <f xml:space="preserve"> IF(#REF!=0, "",#REF!)</f>
        <v>#REF!</v>
      </c>
      <c r="B173" s="150" t="str">
        <f>BDD!B170</f>
        <v>Pomme Golden</v>
      </c>
      <c r="C173" s="151">
        <f>BDD!G170</f>
        <v>2.1800000000000002</v>
      </c>
      <c r="D173" s="152" t="str">
        <f>BDD!H170</f>
        <v>kg</v>
      </c>
      <c r="E173" s="153" t="str">
        <f>IF(BDD!I170="", "", "X")</f>
        <v>X</v>
      </c>
      <c r="F173" s="153" t="str">
        <f>IF(BDD!J170="", "", "X")</f>
        <v>X</v>
      </c>
      <c r="G173" s="153" t="str">
        <f>IF(BDD!K170="", "", "X")</f>
        <v>X</v>
      </c>
      <c r="H173" s="153" t="str">
        <f>BDD!C170</f>
        <v>Grenade</v>
      </c>
    </row>
    <row r="174" spans="1:8" ht="30" customHeight="1" x14ac:dyDescent="0.2">
      <c r="A174" s="162" t="e">
        <f xml:space="preserve"> IF(#REF!=0, "",#REF!)</f>
        <v>#REF!</v>
      </c>
      <c r="B174" s="150" t="str">
        <f>BDD!B171</f>
        <v>Pomme Granny Smith</v>
      </c>
      <c r="C174" s="151">
        <f>BDD!G171</f>
        <v>2.3199999999999998</v>
      </c>
      <c r="D174" s="152" t="str">
        <f>BDD!H171</f>
        <v>kg</v>
      </c>
      <c r="E174" s="153" t="str">
        <f>IF(BDD!I171="", "", "X")</f>
        <v>X</v>
      </c>
      <c r="F174" s="153" t="str">
        <f>IF(BDD!J171="", "", "X")</f>
        <v>X</v>
      </c>
      <c r="G174" s="153" t="str">
        <f>IF(BDD!K171="", "", "X")</f>
        <v>X</v>
      </c>
      <c r="H174" s="153" t="str">
        <f>BDD!C171</f>
        <v>Grenade</v>
      </c>
    </row>
    <row r="175" spans="1:8" ht="30" customHeight="1" x14ac:dyDescent="0.2">
      <c r="A175" s="162" t="e">
        <f xml:space="preserve"> IF(#REF!=0, "",#REF!)</f>
        <v>#REF!</v>
      </c>
      <c r="B175" s="150" t="str">
        <f>BDD!B172</f>
        <v>Pomme Reineta</v>
      </c>
      <c r="C175" s="151">
        <f>BDD!G172</f>
        <v>2.4500000000000002</v>
      </c>
      <c r="D175" s="152" t="str">
        <f>BDD!H172</f>
        <v>kg</v>
      </c>
      <c r="E175" s="153" t="str">
        <f>IF(BDD!I172="", "", "X")</f>
        <v>X</v>
      </c>
      <c r="F175" s="153" t="str">
        <f>IF(BDD!J172="", "", "X")</f>
        <v>X</v>
      </c>
      <c r="G175" s="153" t="str">
        <f>IF(BDD!K172="", "", "X")</f>
        <v/>
      </c>
      <c r="H175" s="153" t="str">
        <f>BDD!C172</f>
        <v>Grenade</v>
      </c>
    </row>
    <row r="176" spans="1:8" ht="30" customHeight="1" x14ac:dyDescent="0.2">
      <c r="A176" s="162" t="e">
        <f xml:space="preserve"> IF(#REF!=0, "",#REF!)</f>
        <v>#REF!</v>
      </c>
      <c r="B176" s="150" t="str">
        <f>BDD!B173</f>
        <v>Pomme rouge Starky</v>
      </c>
      <c r="C176" s="151">
        <f>BDD!G173</f>
        <v>2.3199999999999998</v>
      </c>
      <c r="D176" s="152" t="str">
        <f>BDD!H173</f>
        <v>kg</v>
      </c>
      <c r="E176" s="153" t="str">
        <f>IF(BDD!I173="", "", "X")</f>
        <v>X</v>
      </c>
      <c r="F176" s="153" t="str">
        <f>IF(BDD!J173="", "", "X")</f>
        <v>X</v>
      </c>
      <c r="G176" s="153" t="str">
        <f>IF(BDD!K173="", "", "X")</f>
        <v>X</v>
      </c>
      <c r="H176" s="153" t="str">
        <f>BDD!C173</f>
        <v>Grenade</v>
      </c>
    </row>
    <row r="177" spans="1:8" ht="30" customHeight="1" x14ac:dyDescent="0.2">
      <c r="A177" s="162" t="e">
        <f xml:space="preserve"> IF(#REF!=0, "",#REF!)</f>
        <v>#REF!</v>
      </c>
      <c r="B177" s="150" t="str">
        <f>BDD!B174</f>
        <v>Pomme rouge Top Red</v>
      </c>
      <c r="C177" s="151">
        <f>BDD!G174</f>
        <v>2.4500000000000002</v>
      </c>
      <c r="D177" s="152" t="str">
        <f>BDD!H174</f>
        <v>kg</v>
      </c>
      <c r="E177" s="153" t="str">
        <f>IF(BDD!I174="", "", "X")</f>
        <v/>
      </c>
      <c r="F177" s="153" t="str">
        <f>IF(BDD!J174="", "", "X")</f>
        <v/>
      </c>
      <c r="G177" s="153" t="str">
        <f>IF(BDD!K174="", "", "X")</f>
        <v/>
      </c>
      <c r="H177" s="153" t="str">
        <f>BDD!C174</f>
        <v>Grenade</v>
      </c>
    </row>
    <row r="178" spans="1:8" ht="30" customHeight="1" x14ac:dyDescent="0.2">
      <c r="A178" s="162" t="e">
        <f xml:space="preserve"> IF(#REF!=0, "",#REF!)</f>
        <v>#REF!</v>
      </c>
      <c r="B178" s="150" t="str">
        <f>BDD!B175</f>
        <v>Pomme verte Doncella</v>
      </c>
      <c r="C178" s="151">
        <f>BDD!G175</f>
        <v>2.4500000000000002</v>
      </c>
      <c r="D178" s="152" t="str">
        <f>BDD!H175</f>
        <v>kg</v>
      </c>
      <c r="E178" s="153" t="str">
        <f>IF(BDD!I175="", "", "X")</f>
        <v>X</v>
      </c>
      <c r="F178" s="153" t="str">
        <f>IF(BDD!J175="", "", "X")</f>
        <v>X</v>
      </c>
      <c r="G178" s="153" t="str">
        <f>IF(BDD!K175="", "", "X")</f>
        <v/>
      </c>
      <c r="H178" s="153" t="str">
        <f>BDD!C175</f>
        <v>Grenade</v>
      </c>
    </row>
    <row r="179" spans="1:8" ht="30" customHeight="1" x14ac:dyDescent="0.2">
      <c r="A179" s="162" t="e">
        <f xml:space="preserve"> IF(#REF!=0, "",#REF!)</f>
        <v>#REF!</v>
      </c>
      <c r="B179" s="150" t="str">
        <f>BDD!B176</f>
        <v>Radis Daikon</v>
      </c>
      <c r="C179" s="151">
        <f>BDD!G176</f>
        <v>2.4500000000000002</v>
      </c>
      <c r="D179" s="152" t="str">
        <f>BDD!H176</f>
        <v>kg</v>
      </c>
      <c r="E179" s="153" t="str">
        <f>IF(BDD!I176="", "", "X")</f>
        <v>X</v>
      </c>
      <c r="F179" s="153" t="str">
        <f>IF(BDD!J176="", "", "X")</f>
        <v/>
      </c>
      <c r="G179" s="153" t="str">
        <f>IF(BDD!K176="", "", "X")</f>
        <v/>
      </c>
      <c r="H179" s="153" t="str">
        <f>BDD!C176</f>
        <v>Espagne</v>
      </c>
    </row>
    <row r="180" spans="1:8" ht="30" customHeight="1" x14ac:dyDescent="0.2">
      <c r="A180" s="162" t="e">
        <f xml:space="preserve"> IF(#REF!=0, "",#REF!)</f>
        <v>#REF!</v>
      </c>
      <c r="B180" s="150" t="str">
        <f>BDD!B177</f>
        <v>Raisin sec Sultana BIO
    - (env. 1kg)</v>
      </c>
      <c r="C180" s="151">
        <f>BDD!G177</f>
        <v>6.82</v>
      </c>
      <c r="D180" s="152" t="str">
        <f>BDD!H177</f>
        <v>Pièce</v>
      </c>
      <c r="E180" s="153" t="str">
        <f>IF(BDD!I177="", "", "X")</f>
        <v>X</v>
      </c>
      <c r="F180" s="153" t="str">
        <f>IF(BDD!J177="", "", "X")</f>
        <v>X</v>
      </c>
      <c r="G180" s="153" t="str">
        <f>IF(BDD!K177="", "", "X")</f>
        <v/>
      </c>
      <c r="H180" s="153" t="str">
        <f>BDD!C177</f>
        <v>Turquie</v>
      </c>
    </row>
    <row r="181" spans="1:8" ht="30" customHeight="1" x14ac:dyDescent="0.2">
      <c r="A181" s="162" t="e">
        <f xml:space="preserve"> IF(#REF!=0, "",#REF!)</f>
        <v>#REF!</v>
      </c>
      <c r="B181" s="150" t="str">
        <f>BDD!B178</f>
        <v>Raisins secs Muscat en grains
    - (env. 500g)</v>
      </c>
      <c r="C181" s="151">
        <f>BDD!G178</f>
        <v>5.88</v>
      </c>
      <c r="D181" s="152" t="str">
        <f>BDD!H178</f>
        <v>Pièce</v>
      </c>
      <c r="E181" s="153" t="str">
        <f>IF(BDD!I178="", "", "X")</f>
        <v/>
      </c>
      <c r="F181" s="153" t="str">
        <f>IF(BDD!J178="", "", "X")</f>
        <v/>
      </c>
      <c r="G181" s="153" t="str">
        <f>IF(BDD!K178="", "", "X")</f>
        <v/>
      </c>
      <c r="H181" s="153" t="str">
        <f>BDD!C178</f>
        <v>Malaga</v>
      </c>
    </row>
    <row r="182" spans="1:8" ht="30" customHeight="1" x14ac:dyDescent="0.2">
      <c r="A182" s="162" t="e">
        <f xml:space="preserve"> IF(#REF!=0, "",#REF!)</f>
        <v>#REF!</v>
      </c>
      <c r="B182" s="150" t="str">
        <f>BDD!B179</f>
        <v>Sel rose de l'Himalaya moulu
    - (sous vide, env. 1kg)</v>
      </c>
      <c r="C182" s="151">
        <f>BDD!G179</f>
        <v>2.71</v>
      </c>
      <c r="D182" s="152" t="str">
        <f>BDD!H179</f>
        <v>kg</v>
      </c>
      <c r="E182" s="153" t="str">
        <f>IF(BDD!I179="", "", "X")</f>
        <v>X</v>
      </c>
      <c r="F182" s="153" t="str">
        <f>IF(BDD!J179="", "", "X")</f>
        <v/>
      </c>
      <c r="G182" s="153" t="str">
        <f>IF(BDD!K179="", "", "X")</f>
        <v/>
      </c>
      <c r="H182" s="153" t="str">
        <f>BDD!C179</f>
        <v>Pakistan</v>
      </c>
    </row>
    <row r="183" spans="1:8" ht="30" customHeight="1" x14ac:dyDescent="0.2">
      <c r="A183" s="162" t="e">
        <f xml:space="preserve"> IF(#REF!=0, "",#REF!)</f>
        <v>#REF!</v>
      </c>
      <c r="B183" s="150" t="str">
        <f>BDD!B180</f>
        <v>Sésame CRU BIO (env. 1kg)</v>
      </c>
      <c r="C183" s="151">
        <f>BDD!G180</f>
        <v>6.7</v>
      </c>
      <c r="D183" s="152" t="str">
        <f>BDD!H180</f>
        <v>Pièce</v>
      </c>
      <c r="E183" s="153" t="str">
        <f>IF(BDD!I180="", "", "X")</f>
        <v>X</v>
      </c>
      <c r="F183" s="153" t="str">
        <f>IF(BDD!J180="", "", "X")</f>
        <v/>
      </c>
      <c r="G183" s="153" t="str">
        <f>IF(BDD!K180="", "", "X")</f>
        <v/>
      </c>
      <c r="H183" s="153" t="str">
        <f>BDD!C180</f>
        <v>Paraguay
Egypte</v>
      </c>
    </row>
    <row r="184" spans="1:8" ht="30" customHeight="1" x14ac:dyDescent="0.2">
      <c r="A184" s="162" t="e">
        <f xml:space="preserve"> IF(#REF!=0, "",#REF!)</f>
        <v>#REF!</v>
      </c>
      <c r="B184" s="150" t="str">
        <f>BDD!B181</f>
        <v>Souchet BIO (env. 1kg)</v>
      </c>
      <c r="C184" s="151">
        <f>BDD!G181</f>
        <v>8.19</v>
      </c>
      <c r="D184" s="152" t="str">
        <f>BDD!H181</f>
        <v>Pièce</v>
      </c>
      <c r="E184" s="153" t="str">
        <f>IF(BDD!I181="", "", "X")</f>
        <v>X</v>
      </c>
      <c r="F184" s="153" t="str">
        <f>IF(BDD!J181="", "", "X")</f>
        <v>X</v>
      </c>
      <c r="G184" s="153" t="str">
        <f>IF(BDD!K181="", "", "X")</f>
        <v/>
      </c>
      <c r="H184" s="153" t="str">
        <f>BDD!C181</f>
        <v>Import</v>
      </c>
    </row>
    <row r="185" spans="1:8" ht="30" customHeight="1" x14ac:dyDescent="0.2">
      <c r="A185" s="162" t="e">
        <f xml:space="preserve"> IF(#REF!=0, "",#REF!)</f>
        <v>#REF!</v>
      </c>
      <c r="B185" s="150" t="str">
        <f>BDD!B182</f>
        <v>Spaguetti de mer déshydraté BIO (env. 1kg)</v>
      </c>
      <c r="C185" s="151">
        <f>BDD!G182</f>
        <v>37.659999999999997</v>
      </c>
      <c r="D185" s="152" t="str">
        <f>BDD!H182</f>
        <v>Pièce</v>
      </c>
      <c r="E185" s="153" t="str">
        <f>IF(BDD!I182="", "", "X")</f>
        <v/>
      </c>
      <c r="F185" s="153" t="str">
        <f>IF(BDD!J182="", "", "X")</f>
        <v/>
      </c>
      <c r="G185" s="153" t="str">
        <f>IF(BDD!K182="", "", "X")</f>
        <v/>
      </c>
      <c r="H185" s="153" t="str">
        <f>BDD!C182</f>
        <v>Galice</v>
      </c>
    </row>
    <row r="186" spans="1:8" ht="30" customHeight="1" x14ac:dyDescent="0.2">
      <c r="A186" s="162" t="e">
        <f xml:space="preserve"> IF(#REF!=0, "",#REF!)</f>
        <v>#REF!</v>
      </c>
      <c r="B186" s="150" t="str">
        <f>BDD!B183</f>
        <v>Spaguetti de mer déshydraté BIO (env. 500g)</v>
      </c>
      <c r="C186" s="151">
        <f>BDD!G183</f>
        <v>19.579999999999998</v>
      </c>
      <c r="D186" s="152" t="str">
        <f>BDD!H183</f>
        <v>Pièce</v>
      </c>
      <c r="E186" s="153" t="str">
        <f>IF(BDD!I183="", "", "X")</f>
        <v/>
      </c>
      <c r="F186" s="153" t="str">
        <f>IF(BDD!J183="", "", "X")</f>
        <v/>
      </c>
      <c r="G186" s="153" t="str">
        <f>IF(BDD!K183="", "", "X")</f>
        <v/>
      </c>
      <c r="H186" s="153" t="str">
        <f>BDD!C183</f>
        <v>Galice</v>
      </c>
    </row>
    <row r="187" spans="1:8" ht="30" customHeight="1" x14ac:dyDescent="0.2">
      <c r="A187" s="162" t="e">
        <f xml:space="preserve"> IF(#REF!=0, "",#REF!)</f>
        <v>#REF!</v>
      </c>
      <c r="B187" s="150" t="str">
        <f>BDD!B184</f>
        <v>Spiruline en poudre</v>
      </c>
      <c r="C187" s="151">
        <f>BDD!G184</f>
        <v>35.590000000000003</v>
      </c>
      <c r="D187" s="152" t="str">
        <f>BDD!H184</f>
        <v>Pièce</v>
      </c>
      <c r="E187" s="153" t="str">
        <f>IF(BDD!I184="", "", "X")</f>
        <v/>
      </c>
      <c r="F187" s="153" t="str">
        <f>IF(BDD!J184="", "", "X")</f>
        <v/>
      </c>
      <c r="G187" s="153" t="str">
        <f>IF(BDD!K184="", "", "X")</f>
        <v/>
      </c>
      <c r="H187" s="153" t="str">
        <f>BDD!C184</f>
        <v>Inde</v>
      </c>
    </row>
    <row r="188" spans="1:8" ht="30" customHeight="1" x14ac:dyDescent="0.2">
      <c r="A188" s="162" t="e">
        <f xml:space="preserve"> IF(#REF!=0, "",#REF!)</f>
        <v>#REF!</v>
      </c>
      <c r="B188" s="150" t="str">
        <f>BDD!B185</f>
        <v>Sucre de coco BIO (env. 1kg)</v>
      </c>
      <c r="C188" s="151">
        <f>BDD!G185</f>
        <v>11.91</v>
      </c>
      <c r="D188" s="152" t="str">
        <f>BDD!H185</f>
        <v>Pièce</v>
      </c>
      <c r="E188" s="153" t="str">
        <f>IF(BDD!I185="", "", "X")</f>
        <v>X</v>
      </c>
      <c r="F188" s="153" t="str">
        <f>IF(BDD!J185="", "", "X")</f>
        <v/>
      </c>
      <c r="G188" s="153" t="str">
        <f>IF(BDD!K185="", "", "X")</f>
        <v/>
      </c>
      <c r="H188" s="153" t="str">
        <f>BDD!C185</f>
        <v>Indonésie</v>
      </c>
    </row>
    <row r="189" spans="1:8" ht="30" customHeight="1" x14ac:dyDescent="0.2">
      <c r="A189" s="162" t="e">
        <f xml:space="preserve"> IF(#REF!=0, "",#REF!)</f>
        <v>#REF!</v>
      </c>
      <c r="B189" s="150" t="str">
        <f>BDD!B186</f>
        <v>Tomate déshydratée CRU BIO (env. 1kg, à basse température 35º, qualité supérieure)</v>
      </c>
      <c r="C189" s="151">
        <f>BDD!G186</f>
        <v>32.85</v>
      </c>
      <c r="D189" s="152" t="str">
        <f>BDD!H186</f>
        <v>Pièce</v>
      </c>
      <c r="E189" s="153" t="str">
        <f>IF(BDD!I186="", "", "X")</f>
        <v/>
      </c>
      <c r="F189" s="153" t="str">
        <f>IF(BDD!J186="", "", "X")</f>
        <v/>
      </c>
      <c r="G189" s="153" t="str">
        <f>IF(BDD!K186="", "", "X")</f>
        <v/>
      </c>
      <c r="H189" s="153" t="str">
        <f>BDD!C186</f>
        <v>Espagne</v>
      </c>
    </row>
    <row r="190" spans="1:8" ht="30" customHeight="1" x14ac:dyDescent="0.2">
      <c r="A190" s="162" t="e">
        <f xml:space="preserve"> IF(#REF!=0, "",#REF!)</f>
        <v>#REF!</v>
      </c>
      <c r="B190" s="150" t="str">
        <f>BDD!B187</f>
        <v>Tomate déshydratée CRU BIO (env. 200g, à basse température 35º, qualité supérieure)</v>
      </c>
      <c r="C190" s="151">
        <f>BDD!G187</f>
        <v>7.25</v>
      </c>
      <c r="D190" s="152" t="str">
        <f>BDD!H187</f>
        <v>Pièce</v>
      </c>
      <c r="E190" s="153" t="str">
        <f>IF(BDD!I187="", "", "X")</f>
        <v/>
      </c>
      <c r="F190" s="153" t="str">
        <f>IF(BDD!J187="", "", "X")</f>
        <v/>
      </c>
      <c r="G190" s="153" t="str">
        <f>IF(BDD!K187="", "", "X")</f>
        <v/>
      </c>
      <c r="H190" s="153" t="str">
        <f>BDD!C187</f>
        <v>Espagne</v>
      </c>
    </row>
    <row r="191" spans="1:8" ht="30" customHeight="1" x14ac:dyDescent="0.2">
      <c r="A191" s="162" t="e">
        <f xml:space="preserve"> IF(#REF!=0, "",#REF!)</f>
        <v>#REF!</v>
      </c>
      <c r="B191" s="150" t="str">
        <f>BDD!B188</f>
        <v>Xylitol (sucre de bouleau) (env. 1kg)</v>
      </c>
      <c r="C191" s="151">
        <f>BDD!G188</f>
        <v>24.63</v>
      </c>
      <c r="D191" s="152" t="str">
        <f>BDD!H188</f>
        <v>Pièce</v>
      </c>
      <c r="E191" s="153" t="str">
        <f>IF(BDD!I188="", "", "X")</f>
        <v>X</v>
      </c>
      <c r="F191" s="153" t="str">
        <f>IF(BDD!J188="", "", "X")</f>
        <v/>
      </c>
      <c r="G191" s="153" t="str">
        <f>IF(BDD!K188="", "", "X")</f>
        <v/>
      </c>
      <c r="H191" s="153" t="str">
        <f>BDD!C188</f>
        <v>Pérou</v>
      </c>
    </row>
    <row r="192" spans="1:8" ht="30" customHeight="1" x14ac:dyDescent="0.2">
      <c r="A192" s="162" t="e">
        <f xml:space="preserve"> IF(#REF!=0, "",#REF!)</f>
        <v>#REF!</v>
      </c>
      <c r="B192" s="150">
        <f>BDD!B189</f>
        <v>0</v>
      </c>
      <c r="C192" s="151">
        <f>BDD!G189</f>
        <v>0</v>
      </c>
      <c r="D192" s="152">
        <f>BDD!H189</f>
        <v>0</v>
      </c>
      <c r="E192" s="153" t="str">
        <f>IF(BDD!I189="", "", "X")</f>
        <v/>
      </c>
      <c r="F192" s="153" t="str">
        <f>IF(BDD!J189="", "", "X")</f>
        <v/>
      </c>
      <c r="G192" s="153" t="str">
        <f>IF(BDD!K189="", "", "X")</f>
        <v/>
      </c>
      <c r="H192" s="153">
        <f>BDD!C189</f>
        <v>0</v>
      </c>
    </row>
    <row r="193" spans="1:8" ht="30" customHeight="1" x14ac:dyDescent="0.2">
      <c r="A193" s="162" t="e">
        <f xml:space="preserve"> IF(#REF!=0, "",#REF!)</f>
        <v>#REF!</v>
      </c>
      <c r="B193" s="150">
        <f>BDD!B190</f>
        <v>0</v>
      </c>
      <c r="C193" s="151">
        <f>BDD!G190</f>
        <v>0</v>
      </c>
      <c r="D193" s="152">
        <f>BDD!H190</f>
        <v>0</v>
      </c>
      <c r="E193" s="153" t="str">
        <f>IF(BDD!I190="", "", "X")</f>
        <v/>
      </c>
      <c r="F193" s="153" t="str">
        <f>IF(BDD!J190="", "", "X")</f>
        <v/>
      </c>
      <c r="G193" s="153" t="str">
        <f>IF(BDD!K190="", "", "X")</f>
        <v/>
      </c>
      <c r="H193" s="153">
        <f>BDD!C190</f>
        <v>0</v>
      </c>
    </row>
    <row r="194" spans="1:8" ht="30" customHeight="1" x14ac:dyDescent="0.2">
      <c r="A194" s="162" t="e">
        <f xml:space="preserve"> IF(#REF!=0, "",#REF!)</f>
        <v>#REF!</v>
      </c>
      <c r="B194" s="150">
        <f>BDD!B191</f>
        <v>0</v>
      </c>
      <c r="C194" s="151">
        <f>BDD!G191</f>
        <v>0</v>
      </c>
      <c r="D194" s="152">
        <f>BDD!H191</f>
        <v>0</v>
      </c>
      <c r="E194" s="153" t="str">
        <f>IF(BDD!I191="", "", "X")</f>
        <v/>
      </c>
      <c r="F194" s="153" t="str">
        <f>IF(BDD!J191="", "", "X")</f>
        <v/>
      </c>
      <c r="G194" s="153" t="str">
        <f>IF(BDD!K191="", "", "X")</f>
        <v/>
      </c>
      <c r="H194" s="153">
        <f>BDD!C191</f>
        <v>0</v>
      </c>
    </row>
    <row r="195" spans="1:8" ht="30" customHeight="1" x14ac:dyDescent="0.2">
      <c r="A195" s="162" t="e">
        <f xml:space="preserve"> IF(#REF!=0, "",#REF!)</f>
        <v>#REF!</v>
      </c>
      <c r="B195" s="150">
        <f>BDD!B192</f>
        <v>0</v>
      </c>
      <c r="C195" s="151">
        <f>BDD!G192</f>
        <v>0</v>
      </c>
      <c r="D195" s="152">
        <f>BDD!H192</f>
        <v>0</v>
      </c>
      <c r="E195" s="153" t="str">
        <f>IF(BDD!I192="", "", "X")</f>
        <v/>
      </c>
      <c r="F195" s="153" t="str">
        <f>IF(BDD!J192="", "", "X")</f>
        <v/>
      </c>
      <c r="G195" s="153" t="str">
        <f>IF(BDD!K192="", "", "X")</f>
        <v/>
      </c>
      <c r="H195" s="153">
        <f>BDD!C192</f>
        <v>0</v>
      </c>
    </row>
    <row r="196" spans="1:8" ht="30" customHeight="1" x14ac:dyDescent="0.2">
      <c r="A196" s="162" t="e">
        <f xml:space="preserve"> IF(#REF!=0, "",#REF!)</f>
        <v>#REF!</v>
      </c>
      <c r="B196" s="150">
        <f>BDD!B193</f>
        <v>0</v>
      </c>
      <c r="C196" s="151">
        <f>BDD!G193</f>
        <v>0</v>
      </c>
      <c r="D196" s="152">
        <f>BDD!H193</f>
        <v>0</v>
      </c>
      <c r="E196" s="153" t="str">
        <f>IF(BDD!I193="", "", "X")</f>
        <v/>
      </c>
      <c r="F196" s="153" t="str">
        <f>IF(BDD!J193="", "", "X")</f>
        <v/>
      </c>
      <c r="G196" s="153" t="str">
        <f>IF(BDD!K193="", "", "X")</f>
        <v/>
      </c>
      <c r="H196" s="153">
        <f>BDD!C193</f>
        <v>0</v>
      </c>
    </row>
    <row r="197" spans="1:8" ht="30" customHeight="1" x14ac:dyDescent="0.2">
      <c r="A197" s="162" t="e">
        <f xml:space="preserve"> IF(#REF!=0, "",#REF!)</f>
        <v>#REF!</v>
      </c>
      <c r="B197" s="150">
        <f>BDD!B194</f>
        <v>0</v>
      </c>
      <c r="C197" s="151">
        <f>BDD!G194</f>
        <v>0</v>
      </c>
      <c r="D197" s="152">
        <f>BDD!H194</f>
        <v>0</v>
      </c>
      <c r="E197" s="153" t="str">
        <f>IF(BDD!I194="", "", "X")</f>
        <v/>
      </c>
      <c r="F197" s="153" t="str">
        <f>IF(BDD!J194="", "", "X")</f>
        <v/>
      </c>
      <c r="G197" s="153" t="str">
        <f>IF(BDD!K194="", "", "X")</f>
        <v/>
      </c>
      <c r="H197" s="153">
        <f>BDD!C194</f>
        <v>0</v>
      </c>
    </row>
    <row r="198" spans="1:8" ht="30" customHeight="1" x14ac:dyDescent="0.2">
      <c r="A198" s="162" t="e">
        <f xml:space="preserve"> IF(#REF!=0, "",#REF!)</f>
        <v>#REF!</v>
      </c>
      <c r="B198" s="150">
        <f>BDD!B195</f>
        <v>0</v>
      </c>
      <c r="C198" s="151">
        <f>BDD!G195</f>
        <v>0</v>
      </c>
      <c r="D198" s="152">
        <f>BDD!H195</f>
        <v>0</v>
      </c>
      <c r="E198" s="153" t="str">
        <f>IF(BDD!I195="", "", "X")</f>
        <v/>
      </c>
      <c r="F198" s="153" t="str">
        <f>IF(BDD!J195="", "", "X")</f>
        <v/>
      </c>
      <c r="G198" s="153" t="str">
        <f>IF(BDD!K195="", "", "X")</f>
        <v/>
      </c>
      <c r="H198" s="153">
        <f>BDD!C195</f>
        <v>0</v>
      </c>
    </row>
    <row r="199" spans="1:8" ht="30" customHeight="1" x14ac:dyDescent="0.2">
      <c r="A199" s="162" t="e">
        <f xml:space="preserve"> IF(#REF!=0, "",#REF!)</f>
        <v>#REF!</v>
      </c>
      <c r="B199" s="150">
        <f>BDD!B196</f>
        <v>0</v>
      </c>
      <c r="C199" s="151">
        <f>BDD!G196</f>
        <v>0</v>
      </c>
      <c r="D199" s="152">
        <f>BDD!H196</f>
        <v>0</v>
      </c>
      <c r="E199" s="153" t="str">
        <f>IF(BDD!I196="", "", "X")</f>
        <v/>
      </c>
      <c r="F199" s="153" t="str">
        <f>IF(BDD!J196="", "", "X")</f>
        <v/>
      </c>
      <c r="G199" s="153" t="str">
        <f>IF(BDD!K196="", "", "X")</f>
        <v/>
      </c>
      <c r="H199" s="153">
        <f>BDD!C196</f>
        <v>0</v>
      </c>
    </row>
    <row r="200" spans="1:8" ht="30" customHeight="1" x14ac:dyDescent="0.2">
      <c r="A200" s="162" t="e">
        <f xml:space="preserve"> IF(#REF!=0, "",#REF!)</f>
        <v>#REF!</v>
      </c>
      <c r="B200" s="150">
        <f>BDD!B197</f>
        <v>0</v>
      </c>
      <c r="C200" s="151">
        <f>BDD!G197</f>
        <v>0</v>
      </c>
      <c r="D200" s="152">
        <f>BDD!H197</f>
        <v>0</v>
      </c>
      <c r="E200" s="153" t="str">
        <f>IF(BDD!I197="", "", "X")</f>
        <v/>
      </c>
      <c r="F200" s="153" t="str">
        <f>IF(BDD!J197="", "", "X")</f>
        <v/>
      </c>
      <c r="G200" s="153" t="str">
        <f>IF(BDD!K197="", "", "X")</f>
        <v/>
      </c>
      <c r="H200" s="153">
        <f>BDD!C197</f>
        <v>0</v>
      </c>
    </row>
    <row r="201" spans="1:8" ht="30" customHeight="1" x14ac:dyDescent="0.2">
      <c r="A201" s="162" t="e">
        <f xml:space="preserve"> IF(#REF!=0, "",#REF!)</f>
        <v>#REF!</v>
      </c>
      <c r="B201" s="150">
        <f>BDD!B198</f>
        <v>0</v>
      </c>
      <c r="C201" s="151">
        <f>BDD!G198</f>
        <v>0</v>
      </c>
      <c r="D201" s="152">
        <f>BDD!H198</f>
        <v>0</v>
      </c>
      <c r="E201" s="153" t="str">
        <f>IF(BDD!I198="", "", "X")</f>
        <v/>
      </c>
      <c r="F201" s="153" t="str">
        <f>IF(BDD!J198="", "", "X")</f>
        <v/>
      </c>
      <c r="G201" s="153" t="str">
        <f>IF(BDD!K198="", "", "X")</f>
        <v/>
      </c>
      <c r="H201" s="153">
        <f>BDD!C198</f>
        <v>0</v>
      </c>
    </row>
    <row r="202" spans="1:8" ht="30" customHeight="1" x14ac:dyDescent="0.2">
      <c r="A202" s="162" t="e">
        <f xml:space="preserve"> IF(#REF!=0, "",#REF!)</f>
        <v>#REF!</v>
      </c>
      <c r="B202" s="150">
        <f>BDD!B199</f>
        <v>0</v>
      </c>
      <c r="C202" s="151">
        <f>BDD!G199</f>
        <v>0</v>
      </c>
      <c r="D202" s="152">
        <f>BDD!H199</f>
        <v>0</v>
      </c>
      <c r="E202" s="153" t="str">
        <f>IF(BDD!I199="", "", "X")</f>
        <v/>
      </c>
      <c r="F202" s="153" t="str">
        <f>IF(BDD!J199="", "", "X")</f>
        <v/>
      </c>
      <c r="G202" s="153" t="str">
        <f>IF(BDD!K199="", "", "X")</f>
        <v/>
      </c>
      <c r="H202" s="153">
        <f>BDD!C199</f>
        <v>0</v>
      </c>
    </row>
    <row r="203" spans="1:8" ht="30" customHeight="1" x14ac:dyDescent="0.2">
      <c r="A203" s="162" t="e">
        <f xml:space="preserve"> IF(#REF!=0, "",#REF!)</f>
        <v>#REF!</v>
      </c>
      <c r="B203" s="150">
        <f>BDD!B200</f>
        <v>0</v>
      </c>
      <c r="C203" s="151">
        <f>BDD!G200</f>
        <v>0</v>
      </c>
      <c r="D203" s="152">
        <f>BDD!H200</f>
        <v>0</v>
      </c>
      <c r="E203" s="153" t="str">
        <f>IF(BDD!I200="", "", "X")</f>
        <v/>
      </c>
      <c r="F203" s="153" t="str">
        <f>IF(BDD!J200="", "", "X")</f>
        <v/>
      </c>
      <c r="G203" s="153" t="str">
        <f>IF(BDD!K200="", "", "X")</f>
        <v/>
      </c>
      <c r="H203" s="153">
        <f>BDD!C200</f>
        <v>0</v>
      </c>
    </row>
    <row r="204" spans="1:8" ht="30" customHeight="1" x14ac:dyDescent="0.2">
      <c r="A204" s="162" t="e">
        <f xml:space="preserve"> IF(#REF!=0, "",#REF!)</f>
        <v>#REF!</v>
      </c>
      <c r="B204" s="150">
        <f>BDD!B201</f>
        <v>0</v>
      </c>
      <c r="C204" s="151">
        <f>BDD!G201</f>
        <v>0</v>
      </c>
      <c r="D204" s="152">
        <f>BDD!H201</f>
        <v>0</v>
      </c>
      <c r="E204" s="153" t="str">
        <f>IF(BDD!I201="", "", "X")</f>
        <v/>
      </c>
      <c r="F204" s="153" t="str">
        <f>IF(BDD!J201="", "", "X")</f>
        <v/>
      </c>
      <c r="G204" s="153" t="str">
        <f>IF(BDD!K201="", "", "X")</f>
        <v/>
      </c>
      <c r="H204" s="153">
        <f>BDD!C201</f>
        <v>0</v>
      </c>
    </row>
    <row r="205" spans="1:8" ht="30" customHeight="1" x14ac:dyDescent="0.2">
      <c r="A205" s="162" t="e">
        <f xml:space="preserve"> IF(#REF!=0, "",#REF!)</f>
        <v>#REF!</v>
      </c>
      <c r="B205" s="150">
        <f>BDD!B202</f>
        <v>0</v>
      </c>
      <c r="C205" s="151">
        <f>BDD!G202</f>
        <v>0</v>
      </c>
      <c r="D205" s="152">
        <f>BDD!H202</f>
        <v>0</v>
      </c>
      <c r="E205" s="153" t="str">
        <f>IF(BDD!I202="", "", "X")</f>
        <v/>
      </c>
      <c r="F205" s="153" t="str">
        <f>IF(BDD!J202="", "", "X")</f>
        <v/>
      </c>
      <c r="G205" s="153" t="str">
        <f>IF(BDD!K202="", "", "X")</f>
        <v/>
      </c>
      <c r="H205" s="153">
        <f>BDD!C202</f>
        <v>0</v>
      </c>
    </row>
    <row r="206" spans="1:8" ht="30" customHeight="1" x14ac:dyDescent="0.2">
      <c r="A206" s="162" t="e">
        <f xml:space="preserve"> IF(#REF!=0, "",#REF!)</f>
        <v>#REF!</v>
      </c>
      <c r="B206" s="150">
        <f>BDD!B203</f>
        <v>0</v>
      </c>
      <c r="C206" s="151">
        <f>BDD!G203</f>
        <v>0</v>
      </c>
      <c r="D206" s="152">
        <f>BDD!H203</f>
        <v>0</v>
      </c>
      <c r="E206" s="153" t="str">
        <f>IF(BDD!I203="", "", "X")</f>
        <v/>
      </c>
      <c r="F206" s="153" t="str">
        <f>IF(BDD!J203="", "", "X")</f>
        <v/>
      </c>
      <c r="G206" s="153" t="str">
        <f>IF(BDD!K203="", "", "X")</f>
        <v/>
      </c>
      <c r="H206" s="153">
        <f>BDD!C203</f>
        <v>0</v>
      </c>
    </row>
    <row r="207" spans="1:8" ht="30" customHeight="1" x14ac:dyDescent="0.2">
      <c r="A207" s="162" t="e">
        <f xml:space="preserve"> IF(#REF!=0, "",#REF!)</f>
        <v>#REF!</v>
      </c>
      <c r="B207" s="150">
        <f>BDD!B204</f>
        <v>0</v>
      </c>
      <c r="C207" s="151">
        <f>BDD!G204</f>
        <v>0</v>
      </c>
      <c r="D207" s="152">
        <f>BDD!H204</f>
        <v>0</v>
      </c>
      <c r="E207" s="153" t="str">
        <f>IF(BDD!I204="", "", "X")</f>
        <v/>
      </c>
      <c r="F207" s="153" t="str">
        <f>IF(BDD!J204="", "", "X")</f>
        <v/>
      </c>
      <c r="G207" s="153" t="str">
        <f>IF(BDD!K204="", "", "X")</f>
        <v/>
      </c>
      <c r="H207" s="153">
        <f>BDD!C204</f>
        <v>0</v>
      </c>
    </row>
    <row r="208" spans="1:8" ht="30" customHeight="1" x14ac:dyDescent="0.2">
      <c r="A208" s="162" t="e">
        <f xml:space="preserve"> IF(#REF!=0, "",#REF!)</f>
        <v>#REF!</v>
      </c>
      <c r="B208" s="150">
        <f>BDD!B205</f>
        <v>0</v>
      </c>
      <c r="C208" s="151">
        <f>BDD!G205</f>
        <v>0</v>
      </c>
      <c r="D208" s="152">
        <f>BDD!H205</f>
        <v>0</v>
      </c>
      <c r="E208" s="153" t="str">
        <f>IF(BDD!I205="", "", "X")</f>
        <v/>
      </c>
      <c r="F208" s="153" t="str">
        <f>IF(BDD!J205="", "", "X")</f>
        <v/>
      </c>
      <c r="G208" s="153" t="str">
        <f>IF(BDD!K205="", "", "X")</f>
        <v/>
      </c>
      <c r="H208" s="153">
        <f>BDD!C205</f>
        <v>0</v>
      </c>
    </row>
    <row r="209" spans="1:8" ht="30" customHeight="1" x14ac:dyDescent="0.2">
      <c r="A209" s="162" t="e">
        <f xml:space="preserve"> IF(#REF!=0, "",#REF!)</f>
        <v>#REF!</v>
      </c>
      <c r="B209" s="150">
        <f>BDD!B206</f>
        <v>0</v>
      </c>
      <c r="C209" s="151">
        <f>BDD!G206</f>
        <v>0</v>
      </c>
      <c r="D209" s="152">
        <f>BDD!H206</f>
        <v>0</v>
      </c>
      <c r="E209" s="153" t="str">
        <f>IF(BDD!I206="", "", "X")</f>
        <v/>
      </c>
      <c r="F209" s="153" t="str">
        <f>IF(BDD!J206="", "", "X")</f>
        <v/>
      </c>
      <c r="G209" s="153" t="str">
        <f>IF(BDD!K206="", "", "X")</f>
        <v/>
      </c>
      <c r="H209" s="153">
        <f>BDD!C206</f>
        <v>0</v>
      </c>
    </row>
    <row r="210" spans="1:8" ht="30" customHeight="1" x14ac:dyDescent="0.2">
      <c r="A210" s="162" t="e">
        <f xml:space="preserve"> IF(#REF!=0, "",#REF!)</f>
        <v>#REF!</v>
      </c>
      <c r="B210" s="150">
        <f>BDD!B207</f>
        <v>0</v>
      </c>
      <c r="C210" s="151">
        <f>BDD!G207</f>
        <v>0</v>
      </c>
      <c r="D210" s="152">
        <f>BDD!H207</f>
        <v>0</v>
      </c>
      <c r="E210" s="153" t="str">
        <f>IF(BDD!I207="", "", "X")</f>
        <v/>
      </c>
      <c r="F210" s="153" t="str">
        <f>IF(BDD!J207="", "", "X")</f>
        <v/>
      </c>
      <c r="G210" s="153" t="str">
        <f>IF(BDD!K207="", "", "X")</f>
        <v/>
      </c>
      <c r="H210" s="153">
        <f>BDD!C207</f>
        <v>0</v>
      </c>
    </row>
    <row r="211" spans="1:8" ht="30" customHeight="1" x14ac:dyDescent="0.2">
      <c r="A211" s="162" t="e">
        <f xml:space="preserve"> IF(#REF!=0, "",#REF!)</f>
        <v>#REF!</v>
      </c>
      <c r="B211" s="150">
        <f>BDD!B208</f>
        <v>0</v>
      </c>
      <c r="C211" s="151">
        <f>BDD!G208</f>
        <v>0</v>
      </c>
      <c r="D211" s="152">
        <f>BDD!H208</f>
        <v>0</v>
      </c>
      <c r="E211" s="153" t="str">
        <f>IF(BDD!I208="", "", "X")</f>
        <v/>
      </c>
      <c r="F211" s="153" t="str">
        <f>IF(BDD!J208="", "", "X")</f>
        <v/>
      </c>
      <c r="G211" s="153" t="str">
        <f>IF(BDD!K208="", "", "X")</f>
        <v/>
      </c>
      <c r="H211" s="153">
        <f>BDD!C208</f>
        <v>0</v>
      </c>
    </row>
    <row r="212" spans="1:8" ht="30" customHeight="1" x14ac:dyDescent="0.2">
      <c r="A212" s="162" t="e">
        <f xml:space="preserve"> IF(#REF!=0, "",#REF!)</f>
        <v>#REF!</v>
      </c>
      <c r="B212" s="150">
        <f>BDD!B209</f>
        <v>0</v>
      </c>
      <c r="C212" s="151">
        <f>BDD!G209</f>
        <v>0</v>
      </c>
      <c r="D212" s="152">
        <f>BDD!H209</f>
        <v>0</v>
      </c>
      <c r="E212" s="153" t="str">
        <f>IF(BDD!I209="", "", "X")</f>
        <v/>
      </c>
      <c r="F212" s="153" t="str">
        <f>IF(BDD!J209="", "", "X")</f>
        <v/>
      </c>
      <c r="G212" s="153" t="str">
        <f>IF(BDD!K209="", "", "X")</f>
        <v/>
      </c>
      <c r="H212" s="153">
        <f>BDD!C209</f>
        <v>0</v>
      </c>
    </row>
    <row r="213" spans="1:8" ht="30" customHeight="1" x14ac:dyDescent="0.2">
      <c r="A213" s="162" t="e">
        <f xml:space="preserve"> IF(#REF!=0, "",#REF!)</f>
        <v>#REF!</v>
      </c>
      <c r="B213" s="150">
        <f>BDD!B210</f>
        <v>0</v>
      </c>
      <c r="C213" s="151">
        <f>BDD!G210</f>
        <v>0</v>
      </c>
      <c r="D213" s="152">
        <f>BDD!H210</f>
        <v>0</v>
      </c>
      <c r="E213" s="153" t="str">
        <f>IF(BDD!I210="", "", "X")</f>
        <v/>
      </c>
      <c r="F213" s="153" t="str">
        <f>IF(BDD!J210="", "", "X")</f>
        <v/>
      </c>
      <c r="G213" s="153" t="str">
        <f>IF(BDD!K210="", "", "X")</f>
        <v/>
      </c>
      <c r="H213" s="153">
        <f>BDD!C210</f>
        <v>0</v>
      </c>
    </row>
    <row r="214" spans="1:8" ht="30" customHeight="1" x14ac:dyDescent="0.2">
      <c r="A214" s="162" t="e">
        <f xml:space="preserve"> IF(#REF!=0, "",#REF!)</f>
        <v>#REF!</v>
      </c>
      <c r="B214" s="150">
        <f>BDD!B211</f>
        <v>0</v>
      </c>
      <c r="C214" s="151">
        <f>BDD!G211</f>
        <v>0</v>
      </c>
      <c r="D214" s="152">
        <f>BDD!H211</f>
        <v>0</v>
      </c>
      <c r="E214" s="153" t="str">
        <f>IF(BDD!I211="", "", "X")</f>
        <v/>
      </c>
      <c r="F214" s="153" t="str">
        <f>IF(BDD!J211="", "", "X")</f>
        <v/>
      </c>
      <c r="G214" s="153" t="str">
        <f>IF(BDD!K211="", "", "X")</f>
        <v/>
      </c>
      <c r="H214" s="153">
        <f>BDD!C211</f>
        <v>0</v>
      </c>
    </row>
    <row r="215" spans="1:8" ht="30" customHeight="1" x14ac:dyDescent="0.2">
      <c r="A215" s="162" t="e">
        <f xml:space="preserve"> IF(#REF!=0, "",#REF!)</f>
        <v>#REF!</v>
      </c>
      <c r="B215" s="150">
        <f>BDD!B212</f>
        <v>0</v>
      </c>
      <c r="C215" s="151">
        <f>BDD!G212</f>
        <v>0</v>
      </c>
      <c r="D215" s="152">
        <f>BDD!H212</f>
        <v>0</v>
      </c>
      <c r="E215" s="153" t="str">
        <f>IF(BDD!I212="", "", "X")</f>
        <v/>
      </c>
      <c r="F215" s="153" t="str">
        <f>IF(BDD!J212="", "", "X")</f>
        <v/>
      </c>
      <c r="G215" s="153" t="str">
        <f>IF(BDD!K212="", "", "X")</f>
        <v/>
      </c>
      <c r="H215" s="153">
        <f>BDD!C212</f>
        <v>0</v>
      </c>
    </row>
    <row r="216" spans="1:8" ht="30" customHeight="1" x14ac:dyDescent="0.2">
      <c r="A216" s="162" t="e">
        <f xml:space="preserve"> IF(#REF!=0, "",#REF!)</f>
        <v>#REF!</v>
      </c>
      <c r="B216" s="150">
        <f>BDD!B213</f>
        <v>0</v>
      </c>
      <c r="C216" s="151">
        <f>BDD!G213</f>
        <v>0</v>
      </c>
      <c r="D216" s="152">
        <f>BDD!H213</f>
        <v>0</v>
      </c>
      <c r="E216" s="153" t="str">
        <f>IF(BDD!I213="", "", "X")</f>
        <v/>
      </c>
      <c r="F216" s="153" t="str">
        <f>IF(BDD!J213="", "", "X")</f>
        <v/>
      </c>
      <c r="G216" s="153" t="str">
        <f>IF(BDD!K213="", "", "X")</f>
        <v/>
      </c>
      <c r="H216" s="153">
        <f>BDD!C213</f>
        <v>0</v>
      </c>
    </row>
    <row r="217" spans="1:8" x14ac:dyDescent="0.2">
      <c r="A217" s="162" t="e">
        <f xml:space="preserve"> IF(#REF!=0, "",#REF!)</f>
        <v>#REF!</v>
      </c>
      <c r="B217" s="150">
        <f>BDD!B214</f>
        <v>0</v>
      </c>
      <c r="C217" s="151">
        <f>BDD!G214</f>
        <v>0</v>
      </c>
      <c r="D217" s="152">
        <f>BDD!H214</f>
        <v>0</v>
      </c>
      <c r="E217" s="153" t="str">
        <f>IF(BDD!I214="", "", "X")</f>
        <v/>
      </c>
      <c r="F217" s="153" t="str">
        <f>IF(BDD!J214="", "", "X")</f>
        <v/>
      </c>
      <c r="G217" s="153" t="str">
        <f>IF(BDD!K214="", "", "X")</f>
        <v/>
      </c>
      <c r="H217" s="153">
        <f>BDD!C214</f>
        <v>0</v>
      </c>
    </row>
    <row r="218" spans="1:8" x14ac:dyDescent="0.2">
      <c r="A218" s="162" t="e">
        <f xml:space="preserve"> IF(#REF!=0, "",#REF!)</f>
        <v>#REF!</v>
      </c>
      <c r="B218" s="150">
        <f>BDD!B215</f>
        <v>0</v>
      </c>
      <c r="C218" s="151">
        <f>BDD!G215</f>
        <v>0</v>
      </c>
      <c r="D218" s="152">
        <f>BDD!H215</f>
        <v>0</v>
      </c>
      <c r="E218" s="153" t="str">
        <f>IF(BDD!I215="", "", "X")</f>
        <v/>
      </c>
      <c r="F218" s="153" t="str">
        <f>IF(BDD!J215="", "", "X")</f>
        <v/>
      </c>
      <c r="G218" s="153" t="str">
        <f>IF(BDD!K215="", "", "X")</f>
        <v/>
      </c>
      <c r="H218" s="153">
        <f>BDD!C215</f>
        <v>0</v>
      </c>
    </row>
    <row r="219" spans="1:8" x14ac:dyDescent="0.2">
      <c r="A219" s="162" t="e">
        <f xml:space="preserve"> IF(#REF!=0, "",#REF!)</f>
        <v>#REF!</v>
      </c>
      <c r="B219" s="150">
        <f>BDD!B216</f>
        <v>0</v>
      </c>
      <c r="C219" s="151">
        <f>BDD!G216</f>
        <v>0</v>
      </c>
      <c r="D219" s="152">
        <f>BDD!H216</f>
        <v>0</v>
      </c>
      <c r="E219" s="153" t="str">
        <f>IF(BDD!I216="", "", "X")</f>
        <v/>
      </c>
      <c r="F219" s="153" t="str">
        <f>IF(BDD!J216="", "", "X")</f>
        <v/>
      </c>
      <c r="G219" s="153" t="str">
        <f>IF(BDD!K216="", "", "X")</f>
        <v/>
      </c>
      <c r="H219" s="153">
        <f>BDD!C216</f>
        <v>0</v>
      </c>
    </row>
    <row r="220" spans="1:8" x14ac:dyDescent="0.2">
      <c r="A220" s="162" t="e">
        <f xml:space="preserve"> IF(#REF!=0, "",#REF!)</f>
        <v>#REF!</v>
      </c>
      <c r="B220" s="150">
        <f>BDD!B217</f>
        <v>0</v>
      </c>
      <c r="C220" s="151">
        <f>BDD!G217</f>
        <v>0</v>
      </c>
      <c r="D220" s="152">
        <f>BDD!H217</f>
        <v>0</v>
      </c>
      <c r="E220" s="153" t="str">
        <f>IF(BDD!I217="", "", "X")</f>
        <v/>
      </c>
      <c r="F220" s="153" t="str">
        <f>IF(BDD!J217="", "", "X")</f>
        <v/>
      </c>
      <c r="G220" s="153" t="str">
        <f>IF(BDD!K217="", "", "X")</f>
        <v/>
      </c>
      <c r="H220" s="153">
        <f>BDD!C217</f>
        <v>0</v>
      </c>
    </row>
    <row r="221" spans="1:8" x14ac:dyDescent="0.2">
      <c r="A221" s="162" t="e">
        <f xml:space="preserve"> IF(#REF!=0, "",#REF!)</f>
        <v>#REF!</v>
      </c>
      <c r="B221" s="150">
        <f>BDD!B218</f>
        <v>0</v>
      </c>
      <c r="C221" s="151">
        <f>BDD!G218</f>
        <v>0</v>
      </c>
      <c r="D221" s="152">
        <f>BDD!H218</f>
        <v>0</v>
      </c>
      <c r="E221" s="153" t="str">
        <f>IF(BDD!I218="", "", "X")</f>
        <v/>
      </c>
      <c r="F221" s="153" t="str">
        <f>IF(BDD!J218="", "", "X")</f>
        <v/>
      </c>
      <c r="G221" s="153" t="str">
        <f>IF(BDD!K218="", "", "X")</f>
        <v/>
      </c>
      <c r="H221" s="153">
        <f>BDD!C218</f>
        <v>0</v>
      </c>
    </row>
    <row r="222" spans="1:8" x14ac:dyDescent="0.2">
      <c r="A222" s="162" t="e">
        <f xml:space="preserve"> IF(#REF!=0, "",#REF!)</f>
        <v>#REF!</v>
      </c>
      <c r="B222" s="150">
        <f>BDD!B219</f>
        <v>0</v>
      </c>
      <c r="C222" s="151">
        <f>BDD!G219</f>
        <v>0</v>
      </c>
      <c r="D222" s="152">
        <f>BDD!H219</f>
        <v>0</v>
      </c>
      <c r="E222" s="153" t="str">
        <f>IF(BDD!I219="", "", "X")</f>
        <v/>
      </c>
      <c r="F222" s="153" t="str">
        <f>IF(BDD!J219="", "", "X")</f>
        <v/>
      </c>
      <c r="G222" s="153" t="str">
        <f>IF(BDD!K219="", "", "X")</f>
        <v/>
      </c>
      <c r="H222" s="153">
        <f>BDD!C219</f>
        <v>0</v>
      </c>
    </row>
    <row r="223" spans="1:8" x14ac:dyDescent="0.2">
      <c r="A223" s="162" t="e">
        <f xml:space="preserve"> IF(#REF!=0, "",#REF!)</f>
        <v>#REF!</v>
      </c>
      <c r="B223" s="150">
        <f>BDD!B220</f>
        <v>0</v>
      </c>
      <c r="C223" s="151">
        <f>BDD!G220</f>
        <v>0</v>
      </c>
      <c r="D223" s="152">
        <f>BDD!H220</f>
        <v>0</v>
      </c>
      <c r="E223" s="153" t="str">
        <f>IF(BDD!I220="", "", "X")</f>
        <v/>
      </c>
      <c r="F223" s="153" t="str">
        <f>IF(BDD!J220="", "", "X")</f>
        <v/>
      </c>
      <c r="G223" s="153" t="str">
        <f>IF(BDD!K220="", "", "X")</f>
        <v/>
      </c>
      <c r="H223" s="153">
        <f>BDD!C220</f>
        <v>0</v>
      </c>
    </row>
    <row r="224" spans="1:8" x14ac:dyDescent="0.2">
      <c r="A224" s="162" t="e">
        <f xml:space="preserve"> IF(#REF!=0, "",#REF!)</f>
        <v>#REF!</v>
      </c>
      <c r="B224" s="150">
        <f>BDD!B221</f>
        <v>0</v>
      </c>
      <c r="C224" s="151">
        <f>BDD!G221</f>
        <v>0</v>
      </c>
      <c r="D224" s="152">
        <f>BDD!H221</f>
        <v>0</v>
      </c>
      <c r="E224" s="153" t="str">
        <f>IF(BDD!I221="", "", "X")</f>
        <v/>
      </c>
      <c r="F224" s="153" t="str">
        <f>IF(BDD!J221="", "", "X")</f>
        <v/>
      </c>
      <c r="G224" s="153" t="str">
        <f>IF(BDD!K221="", "", "X")</f>
        <v/>
      </c>
      <c r="H224" s="153">
        <f>BDD!C221</f>
        <v>0</v>
      </c>
    </row>
    <row r="225" spans="1:8" x14ac:dyDescent="0.2">
      <c r="A225" s="162" t="e">
        <f xml:space="preserve"> IF(#REF!=0, "",#REF!)</f>
        <v>#REF!</v>
      </c>
      <c r="B225" s="150">
        <f>BDD!B222</f>
        <v>0</v>
      </c>
      <c r="C225" s="151">
        <f>BDD!G222</f>
        <v>0</v>
      </c>
      <c r="D225" s="152">
        <f>BDD!H222</f>
        <v>0</v>
      </c>
      <c r="E225" s="153" t="str">
        <f>IF(BDD!I222="", "", "X")</f>
        <v/>
      </c>
      <c r="F225" s="153" t="str">
        <f>IF(BDD!J222="", "", "X")</f>
        <v/>
      </c>
      <c r="G225" s="153" t="str">
        <f>IF(BDD!K222="", "", "X")</f>
        <v/>
      </c>
      <c r="H225" s="153">
        <f>BDD!C222</f>
        <v>0</v>
      </c>
    </row>
    <row r="226" spans="1:8" x14ac:dyDescent="0.2">
      <c r="A226" s="162" t="e">
        <f xml:space="preserve"> IF(#REF!=0, "",#REF!)</f>
        <v>#REF!</v>
      </c>
      <c r="B226" s="150">
        <f>BDD!B223</f>
        <v>0</v>
      </c>
      <c r="C226" s="151">
        <f>BDD!G223</f>
        <v>0</v>
      </c>
      <c r="D226" s="152">
        <f>BDD!H223</f>
        <v>0</v>
      </c>
      <c r="E226" s="153" t="str">
        <f>IF(BDD!I223="", "", "X")</f>
        <v/>
      </c>
      <c r="F226" s="153" t="str">
        <f>IF(BDD!J223="", "", "X")</f>
        <v/>
      </c>
      <c r="G226" s="153" t="str">
        <f>IF(BDD!K223="", "", "X")</f>
        <v/>
      </c>
      <c r="H226" s="153">
        <f>BDD!C223</f>
        <v>0</v>
      </c>
    </row>
    <row r="227" spans="1:8" x14ac:dyDescent="0.2">
      <c r="A227" s="162" t="e">
        <f xml:space="preserve"> IF(#REF!=0, "",#REF!)</f>
        <v>#REF!</v>
      </c>
      <c r="B227" s="150">
        <f>BDD!B224</f>
        <v>0</v>
      </c>
      <c r="C227" s="151">
        <f>BDD!G224</f>
        <v>0</v>
      </c>
      <c r="D227" s="152">
        <f>BDD!H224</f>
        <v>0</v>
      </c>
      <c r="E227" s="153" t="str">
        <f>IF(BDD!I224="", "", "X")</f>
        <v/>
      </c>
      <c r="F227" s="153" t="str">
        <f>IF(BDD!J224="", "", "X")</f>
        <v/>
      </c>
      <c r="G227" s="153" t="str">
        <f>IF(BDD!K224="", "", "X")</f>
        <v/>
      </c>
      <c r="H227" s="153">
        <f>BDD!C224</f>
        <v>0</v>
      </c>
    </row>
    <row r="228" spans="1:8" x14ac:dyDescent="0.2">
      <c r="A228" s="162" t="e">
        <f xml:space="preserve"> IF(#REF!=0, "",#REF!)</f>
        <v>#REF!</v>
      </c>
      <c r="B228" s="150">
        <f>BDD!B225</f>
        <v>0</v>
      </c>
      <c r="C228" s="151">
        <f>BDD!G225</f>
        <v>0</v>
      </c>
      <c r="D228" s="152">
        <f>BDD!H225</f>
        <v>0</v>
      </c>
      <c r="E228" s="153" t="str">
        <f>IF(BDD!I225="", "", "X")</f>
        <v/>
      </c>
      <c r="F228" s="153" t="str">
        <f>IF(BDD!J225="", "", "X")</f>
        <v/>
      </c>
      <c r="G228" s="153" t="str">
        <f>IF(BDD!K225="", "", "X")</f>
        <v/>
      </c>
      <c r="H228" s="153">
        <f>BDD!C225</f>
        <v>0</v>
      </c>
    </row>
    <row r="229" spans="1:8" x14ac:dyDescent="0.2">
      <c r="A229" s="162" t="e">
        <f xml:space="preserve"> IF(#REF!=0, "",#REF!)</f>
        <v>#REF!</v>
      </c>
      <c r="B229" s="150">
        <f>BDD!B226</f>
        <v>0</v>
      </c>
      <c r="C229" s="151">
        <f>BDD!G226</f>
        <v>0</v>
      </c>
      <c r="D229" s="152">
        <f>BDD!H226</f>
        <v>0</v>
      </c>
      <c r="E229" s="153" t="str">
        <f>IF(BDD!I226="", "", "X")</f>
        <v/>
      </c>
      <c r="F229" s="153" t="str">
        <f>IF(BDD!J226="", "", "X")</f>
        <v/>
      </c>
      <c r="G229" s="153" t="str">
        <f>IF(BDD!K226="", "", "X")</f>
        <v/>
      </c>
      <c r="H229" s="153">
        <f>BDD!C226</f>
        <v>0</v>
      </c>
    </row>
    <row r="230" spans="1:8" x14ac:dyDescent="0.2">
      <c r="A230" s="162" t="e">
        <f xml:space="preserve"> IF(#REF!=0, "",#REF!)</f>
        <v>#REF!</v>
      </c>
      <c r="B230" s="150">
        <f>BDD!B227</f>
        <v>0</v>
      </c>
      <c r="C230" s="151">
        <f>BDD!G227</f>
        <v>0</v>
      </c>
      <c r="D230" s="152">
        <f>BDD!H227</f>
        <v>0</v>
      </c>
      <c r="E230" s="153" t="str">
        <f>IF(BDD!I227="", "", "X")</f>
        <v/>
      </c>
      <c r="F230" s="153" t="str">
        <f>IF(BDD!J227="", "", "X")</f>
        <v/>
      </c>
      <c r="G230" s="153" t="str">
        <f>IF(BDD!K227="", "", "X")</f>
        <v/>
      </c>
      <c r="H230" s="153">
        <f>BDD!C227</f>
        <v>0</v>
      </c>
    </row>
    <row r="231" spans="1:8" x14ac:dyDescent="0.2">
      <c r="A231" s="162" t="e">
        <f xml:space="preserve"> IF(#REF!=0, "",#REF!)</f>
        <v>#REF!</v>
      </c>
      <c r="B231" s="150">
        <f>BDD!B228</f>
        <v>0</v>
      </c>
      <c r="C231" s="151">
        <f>BDD!G228</f>
        <v>0</v>
      </c>
      <c r="D231" s="152">
        <f>BDD!H228</f>
        <v>0</v>
      </c>
      <c r="E231" s="153" t="str">
        <f>IF(BDD!I228="", "", "X")</f>
        <v/>
      </c>
      <c r="F231" s="153" t="str">
        <f>IF(BDD!J228="", "", "X")</f>
        <v/>
      </c>
      <c r="G231" s="153" t="str">
        <f>IF(BDD!K228="", "", "X")</f>
        <v/>
      </c>
      <c r="H231" s="153">
        <f>BDD!C228</f>
        <v>0</v>
      </c>
    </row>
    <row r="232" spans="1:8" x14ac:dyDescent="0.2">
      <c r="A232" s="162" t="e">
        <f xml:space="preserve"> IF(#REF!=0, "",#REF!)</f>
        <v>#REF!</v>
      </c>
      <c r="B232" s="150">
        <f>BDD!B229</f>
        <v>0</v>
      </c>
      <c r="C232" s="151">
        <f>BDD!G229</f>
        <v>0</v>
      </c>
      <c r="D232" s="152">
        <f>BDD!H229</f>
        <v>0</v>
      </c>
      <c r="E232" s="153" t="str">
        <f>IF(BDD!I229="", "", "X")</f>
        <v/>
      </c>
      <c r="F232" s="153" t="str">
        <f>IF(BDD!J229="", "", "X")</f>
        <v/>
      </c>
      <c r="G232" s="153" t="str">
        <f>IF(BDD!K229="", "", "X")</f>
        <v/>
      </c>
      <c r="H232" s="153">
        <f>BDD!C229</f>
        <v>0</v>
      </c>
    </row>
    <row r="233" spans="1:8" x14ac:dyDescent="0.2">
      <c r="A233" s="162" t="e">
        <f xml:space="preserve"> IF(#REF!=0, "",#REF!)</f>
        <v>#REF!</v>
      </c>
      <c r="B233" s="150">
        <f>BDD!B230</f>
        <v>0</v>
      </c>
      <c r="C233" s="151">
        <f>BDD!G230</f>
        <v>0</v>
      </c>
      <c r="D233" s="152">
        <f>BDD!H230</f>
        <v>0</v>
      </c>
      <c r="E233" s="153" t="str">
        <f>IF(BDD!I230="", "", "X")</f>
        <v/>
      </c>
      <c r="F233" s="153" t="str">
        <f>IF(BDD!J230="", "", "X")</f>
        <v/>
      </c>
      <c r="G233" s="153" t="str">
        <f>IF(BDD!K230="", "", "X")</f>
        <v/>
      </c>
      <c r="H233" s="153">
        <f>BDD!C230</f>
        <v>0</v>
      </c>
    </row>
    <row r="234" spans="1:8" x14ac:dyDescent="0.2">
      <c r="A234" s="162" t="e">
        <f xml:space="preserve"> IF(#REF!=0, "",#REF!)</f>
        <v>#REF!</v>
      </c>
      <c r="B234" s="150">
        <f>BDD!B231</f>
        <v>0</v>
      </c>
      <c r="C234" s="151">
        <f>BDD!G231</f>
        <v>0</v>
      </c>
      <c r="D234" s="152">
        <f>BDD!H231</f>
        <v>0</v>
      </c>
      <c r="E234" s="153" t="str">
        <f>IF(BDD!I231="", "", "X")</f>
        <v/>
      </c>
      <c r="F234" s="153" t="str">
        <f>IF(BDD!J231="", "", "X")</f>
        <v/>
      </c>
      <c r="G234" s="153" t="str">
        <f>IF(BDD!K231="", "", "X")</f>
        <v/>
      </c>
      <c r="H234" s="153">
        <f>BDD!C231</f>
        <v>0</v>
      </c>
    </row>
    <row r="235" spans="1:8" x14ac:dyDescent="0.2">
      <c r="A235" s="162" t="e">
        <f xml:space="preserve"> IF(#REF!=0, "",#REF!)</f>
        <v>#REF!</v>
      </c>
      <c r="B235" s="150">
        <f>BDD!B232</f>
        <v>0</v>
      </c>
      <c r="C235" s="151">
        <f>BDD!G232</f>
        <v>0</v>
      </c>
      <c r="D235" s="152">
        <f>BDD!H232</f>
        <v>0</v>
      </c>
      <c r="E235" s="153" t="str">
        <f>IF(BDD!I232="", "", "X")</f>
        <v/>
      </c>
      <c r="F235" s="153" t="str">
        <f>IF(BDD!J232="", "", "X")</f>
        <v/>
      </c>
      <c r="G235" s="153" t="str">
        <f>IF(BDD!K232="", "", "X")</f>
        <v/>
      </c>
      <c r="H235" s="153">
        <f>BDD!C232</f>
        <v>0</v>
      </c>
    </row>
    <row r="236" spans="1:8" x14ac:dyDescent="0.2">
      <c r="A236" s="162" t="e">
        <f xml:space="preserve"> IF(#REF!=0, "",#REF!)</f>
        <v>#REF!</v>
      </c>
      <c r="B236" s="150">
        <f>BDD!B233</f>
        <v>0</v>
      </c>
      <c r="C236" s="151">
        <f>BDD!G233</f>
        <v>0</v>
      </c>
      <c r="D236" s="152">
        <f>BDD!H233</f>
        <v>0</v>
      </c>
      <c r="E236" s="153" t="str">
        <f>IF(BDD!I233="", "", "X")</f>
        <v/>
      </c>
      <c r="F236" s="153" t="str">
        <f>IF(BDD!J233="", "", "X")</f>
        <v/>
      </c>
      <c r="G236" s="153" t="str">
        <f>IF(BDD!K233="", "", "X")</f>
        <v/>
      </c>
      <c r="H236" s="153">
        <f>BDD!C233</f>
        <v>0</v>
      </c>
    </row>
    <row r="237" spans="1:8" x14ac:dyDescent="0.2">
      <c r="A237" s="162" t="e">
        <f xml:space="preserve"> IF(#REF!=0, "",#REF!)</f>
        <v>#REF!</v>
      </c>
      <c r="B237" s="150">
        <f>BDD!B234</f>
        <v>0</v>
      </c>
      <c r="C237" s="151">
        <f>BDD!G234</f>
        <v>0</v>
      </c>
      <c r="D237" s="152">
        <f>BDD!H234</f>
        <v>0</v>
      </c>
      <c r="E237" s="153" t="str">
        <f>IF(BDD!I234="", "", "X")</f>
        <v/>
      </c>
      <c r="F237" s="153" t="str">
        <f>IF(BDD!J234="", "", "X")</f>
        <v/>
      </c>
      <c r="G237" s="153" t="str">
        <f>IF(BDD!K234="", "", "X")</f>
        <v/>
      </c>
      <c r="H237" s="153">
        <f>BDD!C234</f>
        <v>0</v>
      </c>
    </row>
    <row r="238" spans="1:8" x14ac:dyDescent="0.2">
      <c r="A238" s="162" t="e">
        <f xml:space="preserve"> IF(#REF!=0, "",#REF!)</f>
        <v>#REF!</v>
      </c>
      <c r="B238" s="150">
        <f>BDD!B235</f>
        <v>0</v>
      </c>
      <c r="C238" s="151">
        <f>BDD!G235</f>
        <v>0</v>
      </c>
      <c r="D238" s="152">
        <f>BDD!H235</f>
        <v>0</v>
      </c>
      <c r="E238" s="153" t="str">
        <f>IF(BDD!I235="", "", "X")</f>
        <v/>
      </c>
      <c r="F238" s="153" t="str">
        <f>IF(BDD!J235="", "", "X")</f>
        <v/>
      </c>
      <c r="G238" s="153" t="str">
        <f>IF(BDD!K235="", "", "X")</f>
        <v/>
      </c>
      <c r="H238" s="153">
        <f>BDD!C235</f>
        <v>0</v>
      </c>
    </row>
    <row r="239" spans="1:8" x14ac:dyDescent="0.2">
      <c r="A239" s="162" t="e">
        <f xml:space="preserve"> IF(#REF!=0, "",#REF!)</f>
        <v>#REF!</v>
      </c>
      <c r="B239" s="150">
        <f>BDD!B236</f>
        <v>0</v>
      </c>
      <c r="C239" s="151">
        <f>BDD!G236</f>
        <v>0</v>
      </c>
      <c r="D239" s="152">
        <f>BDD!H236</f>
        <v>0</v>
      </c>
      <c r="E239" s="153" t="str">
        <f>IF(BDD!I236="", "", "X")</f>
        <v/>
      </c>
      <c r="F239" s="153" t="str">
        <f>IF(BDD!J236="", "", "X")</f>
        <v/>
      </c>
      <c r="G239" s="153" t="str">
        <f>IF(BDD!K236="", "", "X")</f>
        <v/>
      </c>
      <c r="H239" s="153">
        <f>BDD!C236</f>
        <v>0</v>
      </c>
    </row>
    <row r="240" spans="1:8" x14ac:dyDescent="0.2">
      <c r="A240" s="162" t="e">
        <f xml:space="preserve"> IF(#REF!=0, "",#REF!)</f>
        <v>#REF!</v>
      </c>
      <c r="B240" s="150">
        <f>BDD!B237</f>
        <v>0</v>
      </c>
      <c r="C240" s="151">
        <f>BDD!G237</f>
        <v>0</v>
      </c>
      <c r="D240" s="152">
        <f>BDD!H237</f>
        <v>0</v>
      </c>
      <c r="E240" s="153" t="str">
        <f>IF(BDD!I237="", "", "X")</f>
        <v/>
      </c>
      <c r="F240" s="153" t="str">
        <f>IF(BDD!J237="", "", "X")</f>
        <v/>
      </c>
      <c r="G240" s="153" t="str">
        <f>IF(BDD!K237="", "", "X")</f>
        <v/>
      </c>
      <c r="H240" s="153">
        <f>BDD!C237</f>
        <v>0</v>
      </c>
    </row>
    <row r="241" spans="1:8" x14ac:dyDescent="0.2">
      <c r="A241" s="162" t="e">
        <f xml:space="preserve"> IF(#REF!=0, "",#REF!)</f>
        <v>#REF!</v>
      </c>
      <c r="B241" s="150">
        <f>BDD!B238</f>
        <v>0</v>
      </c>
      <c r="C241" s="151">
        <f>BDD!G238</f>
        <v>0</v>
      </c>
      <c r="D241" s="152">
        <f>BDD!H238</f>
        <v>0</v>
      </c>
      <c r="E241" s="153" t="str">
        <f>IF(BDD!I238="", "", "X")</f>
        <v/>
      </c>
      <c r="F241" s="153" t="str">
        <f>IF(BDD!J238="", "", "X")</f>
        <v/>
      </c>
      <c r="G241" s="153" t="str">
        <f>IF(BDD!K238="", "", "X")</f>
        <v/>
      </c>
      <c r="H241" s="153">
        <f>BDD!C238</f>
        <v>0</v>
      </c>
    </row>
    <row r="242" spans="1:8" x14ac:dyDescent="0.2">
      <c r="A242" s="162" t="e">
        <f xml:space="preserve"> IF(#REF!=0, "",#REF!)</f>
        <v>#REF!</v>
      </c>
      <c r="B242" s="150">
        <f>BDD!B239</f>
        <v>0</v>
      </c>
      <c r="C242" s="151">
        <f>BDD!G239</f>
        <v>0</v>
      </c>
      <c r="D242" s="152">
        <f>BDD!H239</f>
        <v>0</v>
      </c>
      <c r="E242" s="153" t="str">
        <f>IF(BDD!I239="", "", "X")</f>
        <v/>
      </c>
      <c r="F242" s="153" t="str">
        <f>IF(BDD!J239="", "", "X")</f>
        <v/>
      </c>
      <c r="G242" s="153" t="str">
        <f>IF(BDD!K239="", "", "X")</f>
        <v/>
      </c>
      <c r="H242" s="153">
        <f>BDD!C239</f>
        <v>0</v>
      </c>
    </row>
    <row r="243" spans="1:8" x14ac:dyDescent="0.2">
      <c r="A243" s="162" t="e">
        <f xml:space="preserve"> IF(#REF!=0, "",#REF!)</f>
        <v>#REF!</v>
      </c>
      <c r="B243" s="150">
        <f>BDD!B240</f>
        <v>0</v>
      </c>
      <c r="C243" s="151">
        <f>BDD!G240</f>
        <v>0</v>
      </c>
      <c r="D243" s="152">
        <f>BDD!H240</f>
        <v>0</v>
      </c>
      <c r="E243" s="153" t="str">
        <f>IF(BDD!I240="", "", "X")</f>
        <v/>
      </c>
      <c r="F243" s="153" t="str">
        <f>IF(BDD!J240="", "", "X")</f>
        <v/>
      </c>
      <c r="G243" s="153" t="str">
        <f>IF(BDD!K240="", "", "X")</f>
        <v/>
      </c>
      <c r="H243" s="153">
        <f>BDD!C240</f>
        <v>0</v>
      </c>
    </row>
    <row r="244" spans="1:8" x14ac:dyDescent="0.2">
      <c r="A244" s="162" t="e">
        <f xml:space="preserve"> IF(#REF!=0, "",#REF!)</f>
        <v>#REF!</v>
      </c>
      <c r="B244" s="150">
        <f>BDD!B241</f>
        <v>0</v>
      </c>
      <c r="C244" s="151">
        <f>BDD!G241</f>
        <v>0</v>
      </c>
      <c r="D244" s="152">
        <f>BDD!H241</f>
        <v>0</v>
      </c>
      <c r="E244" s="153" t="str">
        <f>IF(BDD!I241="", "", "X")</f>
        <v/>
      </c>
      <c r="F244" s="153" t="str">
        <f>IF(BDD!J241="", "", "X")</f>
        <v/>
      </c>
      <c r="G244" s="153" t="str">
        <f>IF(BDD!K241="", "", "X")</f>
        <v/>
      </c>
      <c r="H244" s="153">
        <f>BDD!C241</f>
        <v>0</v>
      </c>
    </row>
    <row r="245" spans="1:8" x14ac:dyDescent="0.2">
      <c r="A245" s="162" t="e">
        <f xml:space="preserve"> IF(#REF!=0, "",#REF!)</f>
        <v>#REF!</v>
      </c>
      <c r="B245" s="150">
        <f>BDD!B242</f>
        <v>0</v>
      </c>
      <c r="C245" s="151">
        <f>BDD!G242</f>
        <v>0</v>
      </c>
      <c r="D245" s="152">
        <f>BDD!H242</f>
        <v>0</v>
      </c>
      <c r="E245" s="153" t="str">
        <f>IF(BDD!I242="", "", "X")</f>
        <v/>
      </c>
      <c r="F245" s="153" t="str">
        <f>IF(BDD!J242="", "", "X")</f>
        <v/>
      </c>
      <c r="G245" s="153" t="str">
        <f>IF(BDD!K242="", "", "X")</f>
        <v/>
      </c>
      <c r="H245" s="153">
        <f>BDD!C242</f>
        <v>0</v>
      </c>
    </row>
    <row r="246" spans="1:8" x14ac:dyDescent="0.2">
      <c r="A246" s="162" t="e">
        <f xml:space="preserve"> IF(#REF!=0, "",#REF!)</f>
        <v>#REF!</v>
      </c>
      <c r="B246" s="150">
        <f>BDD!B243</f>
        <v>0</v>
      </c>
      <c r="C246" s="151">
        <f>BDD!G243</f>
        <v>0</v>
      </c>
      <c r="D246" s="152">
        <f>BDD!H243</f>
        <v>0</v>
      </c>
      <c r="E246" s="153" t="str">
        <f>IF(BDD!I243="", "", "X")</f>
        <v/>
      </c>
      <c r="F246" s="153" t="str">
        <f>IF(BDD!J243="", "", "X")</f>
        <v/>
      </c>
      <c r="G246" s="153" t="str">
        <f>IF(BDD!K243="", "", "X")</f>
        <v/>
      </c>
      <c r="H246" s="153">
        <f>BDD!C243</f>
        <v>0</v>
      </c>
    </row>
    <row r="247" spans="1:8" x14ac:dyDescent="0.2">
      <c r="A247" s="162" t="e">
        <f xml:space="preserve"> IF(#REF!=0, "",#REF!)</f>
        <v>#REF!</v>
      </c>
      <c r="B247" s="150">
        <f>BDD!B244</f>
        <v>0</v>
      </c>
      <c r="C247" s="151">
        <f>BDD!G244</f>
        <v>0</v>
      </c>
      <c r="D247" s="152">
        <f>BDD!H244</f>
        <v>0</v>
      </c>
      <c r="E247" s="153" t="str">
        <f>IF(BDD!I244="", "", "X")</f>
        <v/>
      </c>
      <c r="F247" s="153" t="str">
        <f>IF(BDD!J244="", "", "X")</f>
        <v/>
      </c>
      <c r="G247" s="153" t="str">
        <f>IF(BDD!K244="", "", "X")</f>
        <v/>
      </c>
      <c r="H247" s="153">
        <f>BDD!C244</f>
        <v>0</v>
      </c>
    </row>
    <row r="248" spans="1:8" x14ac:dyDescent="0.2">
      <c r="A248" s="162" t="e">
        <f xml:space="preserve"> IF(#REF!=0, "",#REF!)</f>
        <v>#REF!</v>
      </c>
      <c r="B248" s="150">
        <f>BDD!B245</f>
        <v>0</v>
      </c>
      <c r="C248" s="151">
        <f>BDD!G245</f>
        <v>0</v>
      </c>
      <c r="D248" s="152">
        <f>BDD!H245</f>
        <v>0</v>
      </c>
      <c r="E248" s="153" t="str">
        <f>IF(BDD!I245="", "", "X")</f>
        <v/>
      </c>
      <c r="F248" s="153" t="str">
        <f>IF(BDD!J245="", "", "X")</f>
        <v/>
      </c>
      <c r="G248" s="153" t="str">
        <f>IF(BDD!K245="", "", "X")</f>
        <v/>
      </c>
      <c r="H248" s="153">
        <f>BDD!C245</f>
        <v>0</v>
      </c>
    </row>
    <row r="249" spans="1:8" x14ac:dyDescent="0.2">
      <c r="A249" s="162" t="e">
        <f xml:space="preserve"> IF(#REF!=0, "",#REF!)</f>
        <v>#REF!</v>
      </c>
      <c r="B249" s="150">
        <f>BDD!B246</f>
        <v>0</v>
      </c>
      <c r="C249" s="151">
        <f>BDD!G246</f>
        <v>0</v>
      </c>
      <c r="D249" s="152">
        <f>BDD!H246</f>
        <v>0</v>
      </c>
      <c r="E249" s="153" t="str">
        <f>IF(BDD!I246="", "", "X")</f>
        <v/>
      </c>
      <c r="F249" s="153" t="str">
        <f>IF(BDD!J246="", "", "X")</f>
        <v/>
      </c>
      <c r="G249" s="153" t="str">
        <f>IF(BDD!K246="", "", "X")</f>
        <v/>
      </c>
      <c r="H249" s="153">
        <f>BDD!C246</f>
        <v>0</v>
      </c>
    </row>
    <row r="250" spans="1:8" x14ac:dyDescent="0.2">
      <c r="A250" s="162" t="e">
        <f xml:space="preserve"> IF(#REF!=0, "",#REF!)</f>
        <v>#REF!</v>
      </c>
      <c r="B250" s="150">
        <f>BDD!B247</f>
        <v>0</v>
      </c>
      <c r="C250" s="151">
        <f>BDD!G247</f>
        <v>0</v>
      </c>
      <c r="D250" s="152">
        <f>BDD!H247</f>
        <v>0</v>
      </c>
      <c r="E250" s="153" t="str">
        <f>IF(BDD!I247="", "", "X")</f>
        <v/>
      </c>
      <c r="F250" s="153" t="str">
        <f>IF(BDD!J247="", "", "X")</f>
        <v/>
      </c>
      <c r="G250" s="153" t="str">
        <f>IF(BDD!K247="", "", "X")</f>
        <v/>
      </c>
      <c r="H250" s="153">
        <f>BDD!C247</f>
        <v>0</v>
      </c>
    </row>
    <row r="251" spans="1:8" x14ac:dyDescent="0.2">
      <c r="A251" s="162" t="e">
        <f xml:space="preserve"> IF(#REF!=0, "",#REF!)</f>
        <v>#REF!</v>
      </c>
      <c r="B251" s="150">
        <f>BDD!B248</f>
        <v>0</v>
      </c>
      <c r="C251" s="151">
        <f>BDD!G248</f>
        <v>0</v>
      </c>
      <c r="D251" s="152">
        <f>BDD!H248</f>
        <v>0</v>
      </c>
      <c r="E251" s="153" t="str">
        <f>IF(BDD!I248="", "", "X")</f>
        <v/>
      </c>
      <c r="F251" s="153" t="str">
        <f>IF(BDD!J248="", "", "X")</f>
        <v/>
      </c>
      <c r="G251" s="153" t="str">
        <f>IF(BDD!K248="", "", "X")</f>
        <v/>
      </c>
      <c r="H251" s="153">
        <f>BDD!C248</f>
        <v>0</v>
      </c>
    </row>
    <row r="252" spans="1:8" x14ac:dyDescent="0.2">
      <c r="A252" s="162" t="e">
        <f xml:space="preserve"> IF(#REF!=0, "",#REF!)</f>
        <v>#REF!</v>
      </c>
      <c r="B252" s="150">
        <f>BDD!B249</f>
        <v>0</v>
      </c>
      <c r="C252" s="151">
        <f>BDD!G249</f>
        <v>0</v>
      </c>
      <c r="D252" s="152">
        <f>BDD!H249</f>
        <v>0</v>
      </c>
      <c r="E252" s="153" t="str">
        <f>IF(BDD!I249="", "", "X")</f>
        <v/>
      </c>
      <c r="F252" s="153" t="str">
        <f>IF(BDD!J249="", "", "X")</f>
        <v/>
      </c>
      <c r="G252" s="153" t="str">
        <f>IF(BDD!K249="", "", "X")</f>
        <v/>
      </c>
      <c r="H252" s="153">
        <f>BDD!C249</f>
        <v>0</v>
      </c>
    </row>
    <row r="253" spans="1:8" x14ac:dyDescent="0.2">
      <c r="A253" s="162" t="e">
        <f xml:space="preserve"> IF(#REF!=0, "",#REF!)</f>
        <v>#REF!</v>
      </c>
      <c r="B253" s="150">
        <f>BDD!B250</f>
        <v>0</v>
      </c>
      <c r="C253" s="151">
        <f>BDD!G250</f>
        <v>0</v>
      </c>
      <c r="D253" s="152">
        <f>BDD!H250</f>
        <v>0</v>
      </c>
      <c r="E253" s="153" t="str">
        <f>IF(BDD!I250="", "", "X")</f>
        <v/>
      </c>
      <c r="F253" s="153" t="str">
        <f>IF(BDD!J250="", "", "X")</f>
        <v/>
      </c>
      <c r="G253" s="153" t="str">
        <f>IF(BDD!K250="", "", "X")</f>
        <v/>
      </c>
      <c r="H253" s="153">
        <f>BDD!C250</f>
        <v>0</v>
      </c>
    </row>
    <row r="254" spans="1:8" x14ac:dyDescent="0.2">
      <c r="A254" s="162" t="e">
        <f xml:space="preserve"> IF(#REF!=0, "",#REF!)</f>
        <v>#REF!</v>
      </c>
      <c r="E254" s="153" t="str">
        <f>IF(BDD!I250="", "", "X")</f>
        <v/>
      </c>
    </row>
  </sheetData>
  <sheetProtection algorithmName="SHA-512" hashValue="0bci31txJg1BVQ6d9Xb551kF0L5cvQXLZKixRBWiRmeuRB7rPkffcELGQJshgjqA7x3fvXT1xz2zr8wdasJCrQ==" saltValue="tp6jXXxqGDQh2idZX+Bg6Q==" spinCount="100000" sheet="1" objects="1" scenarios="1"/>
  <autoFilter ref="B4:G254" xr:uid="{F8ACE538-B882-3B44-8157-5B9F231EF8A5}"/>
  <mergeCells count="3">
    <mergeCell ref="A1:H1"/>
    <mergeCell ref="A2:H2"/>
    <mergeCell ref="A3:H3"/>
  </mergeCells>
  <printOptions horizontalCentered="1"/>
  <pageMargins left="0" right="0" top="0" bottom="0" header="0" footer="0"/>
  <pageSetup paperSize="0" scale="13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4"/>
  <dimension ref="A1:I24"/>
  <sheetViews>
    <sheetView showGridLines="0" zoomScale="150" workbookViewId="0">
      <selection activeCell="G24" sqref="G24"/>
    </sheetView>
  </sheetViews>
  <sheetFormatPr baseColWidth="10" defaultColWidth="0" defaultRowHeight="15" zeroHeight="1" x14ac:dyDescent="0.25"/>
  <cols>
    <col min="1" max="1" width="12.28515625" style="4" bestFit="1" customWidth="1"/>
    <col min="2" max="2" width="12" style="4" bestFit="1" customWidth="1"/>
    <col min="3" max="3" width="27.42578125" bestFit="1" customWidth="1"/>
    <col min="4" max="4" width="2.42578125" customWidth="1"/>
    <col min="5" max="5" width="13.85546875" style="3" customWidth="1"/>
    <col min="6" max="6" width="11.42578125" style="3" customWidth="1"/>
    <col min="7" max="7" width="27.42578125" style="3" customWidth="1"/>
    <col min="8" max="8" width="11.42578125" style="3" customWidth="1"/>
    <col min="9" max="9" width="0" hidden="1" customWidth="1"/>
    <col min="10" max="16384" width="11.42578125" hidden="1"/>
  </cols>
  <sheetData>
    <row r="1" spans="1:8" s="4" customFormat="1" x14ac:dyDescent="0.25">
      <c r="B1" s="481" t="s">
        <v>39</v>
      </c>
      <c r="C1" s="98" t="s">
        <v>14</v>
      </c>
      <c r="E1" s="3"/>
      <c r="F1" s="482" t="s">
        <v>298</v>
      </c>
      <c r="G1" s="484" t="s">
        <v>41</v>
      </c>
      <c r="H1" s="3"/>
    </row>
    <row r="2" spans="1:8" x14ac:dyDescent="0.25">
      <c r="B2" s="481"/>
      <c r="C2" s="121" t="e">
        <f>#REF!</f>
        <v>#REF!</v>
      </c>
      <c r="D2" s="4"/>
      <c r="F2" s="483"/>
      <c r="G2" s="485"/>
      <c r="H2" s="73"/>
    </row>
    <row r="3" spans="1:8" x14ac:dyDescent="0.25">
      <c r="A3" s="111" t="s">
        <v>299</v>
      </c>
      <c r="B3" s="111">
        <v>1</v>
      </c>
      <c r="C3" s="112" t="e">
        <f>#REF!</f>
        <v>#REF!</v>
      </c>
      <c r="D3" s="113"/>
      <c r="E3" s="114" t="e">
        <f>#REF!</f>
        <v>#REF!</v>
      </c>
      <c r="F3" s="115">
        <v>1</v>
      </c>
      <c r="G3" s="183" t="e">
        <f>#REF!</f>
        <v>#REF!</v>
      </c>
      <c r="H3" s="99"/>
    </row>
    <row r="4" spans="1:8" x14ac:dyDescent="0.25">
      <c r="A4" s="486" t="s">
        <v>451</v>
      </c>
      <c r="B4" s="116">
        <v>2</v>
      </c>
      <c r="C4" s="117" t="e">
        <f>#REF!</f>
        <v>#REF!</v>
      </c>
      <c r="D4" s="118"/>
      <c r="E4" s="119" t="e">
        <f>#REF!</f>
        <v>#REF!</v>
      </c>
      <c r="F4" s="120">
        <v>2</v>
      </c>
      <c r="G4" s="181" t="e">
        <f>#REF!</f>
        <v>#REF!</v>
      </c>
      <c r="H4" s="99"/>
    </row>
    <row r="5" spans="1:8" x14ac:dyDescent="0.25">
      <c r="A5" s="487"/>
      <c r="B5" s="111">
        <v>3</v>
      </c>
      <c r="C5" s="112" t="e">
        <f>#REF!</f>
        <v>#REF!</v>
      </c>
      <c r="D5" s="113"/>
      <c r="E5" s="114" t="e">
        <f>#REF!</f>
        <v>#REF!</v>
      </c>
      <c r="F5" s="115">
        <v>3</v>
      </c>
      <c r="G5" s="182" t="e">
        <f>#REF!</f>
        <v>#REF!</v>
      </c>
      <c r="H5" s="99"/>
    </row>
    <row r="6" spans="1:8" x14ac:dyDescent="0.25">
      <c r="A6" s="487"/>
      <c r="B6" s="116">
        <v>4</v>
      </c>
      <c r="C6" s="117" t="e">
        <f>#REF!</f>
        <v>#REF!</v>
      </c>
      <c r="D6" s="118"/>
      <c r="E6" s="119" t="e">
        <f>#REF!</f>
        <v>#REF!</v>
      </c>
      <c r="F6" s="120">
        <v>4</v>
      </c>
      <c r="G6" s="181" t="e">
        <f>#REF!</f>
        <v>#REF!</v>
      </c>
      <c r="H6" s="99"/>
    </row>
    <row r="7" spans="1:8" x14ac:dyDescent="0.25">
      <c r="A7" s="487"/>
      <c r="B7" s="111">
        <v>5</v>
      </c>
      <c r="C7" s="112" t="e">
        <f>#REF!</f>
        <v>#REF!</v>
      </c>
      <c r="D7" s="113"/>
      <c r="E7" s="114" t="e">
        <f>#REF!</f>
        <v>#REF!</v>
      </c>
      <c r="F7" s="115">
        <v>5</v>
      </c>
      <c r="G7" s="182" t="e">
        <f>#REF!</f>
        <v>#REF!</v>
      </c>
      <c r="H7" s="99"/>
    </row>
    <row r="8" spans="1:8" x14ac:dyDescent="0.25">
      <c r="A8" s="487"/>
      <c r="B8" s="116">
        <v>6</v>
      </c>
      <c r="C8" s="117" t="e">
        <f>#REF!</f>
        <v>#REF!</v>
      </c>
      <c r="D8" s="118"/>
      <c r="E8" s="119" t="e">
        <f>#REF!</f>
        <v>#REF!</v>
      </c>
      <c r="F8" s="120">
        <v>6</v>
      </c>
      <c r="G8" s="181" t="e">
        <f>#REF!</f>
        <v>#REF!</v>
      </c>
      <c r="H8" s="99"/>
    </row>
    <row r="9" spans="1:8" x14ac:dyDescent="0.25">
      <c r="A9" s="487"/>
      <c r="B9" s="111">
        <v>7</v>
      </c>
      <c r="C9" s="112" t="e">
        <f>#REF!</f>
        <v>#REF!</v>
      </c>
      <c r="D9" s="113"/>
      <c r="E9" s="114" t="e">
        <f>#REF!</f>
        <v>#REF!</v>
      </c>
      <c r="F9" s="115">
        <v>7</v>
      </c>
      <c r="G9" s="182" t="e">
        <f>#REF!</f>
        <v>#REF!</v>
      </c>
      <c r="H9" s="99"/>
    </row>
    <row r="10" spans="1:8" x14ac:dyDescent="0.25">
      <c r="A10" s="487"/>
      <c r="B10" s="116">
        <v>8</v>
      </c>
      <c r="C10" s="117" t="e">
        <f>#REF!</f>
        <v>#REF!</v>
      </c>
      <c r="D10" s="118"/>
      <c r="E10" s="119" t="e">
        <f>#REF!</f>
        <v>#REF!</v>
      </c>
      <c r="F10" s="120">
        <v>8</v>
      </c>
      <c r="G10" s="181" t="e">
        <f>#REF!</f>
        <v>#REF!</v>
      </c>
      <c r="H10" s="99"/>
    </row>
    <row r="11" spans="1:8" x14ac:dyDescent="0.25">
      <c r="A11" s="487"/>
      <c r="B11" s="111">
        <v>9</v>
      </c>
      <c r="C11" s="112" t="e">
        <f>#REF!</f>
        <v>#REF!</v>
      </c>
      <c r="D11" s="113"/>
      <c r="E11" s="114" t="e">
        <f>#REF!</f>
        <v>#REF!</v>
      </c>
      <c r="F11" s="115">
        <v>9</v>
      </c>
      <c r="G11" s="182" t="e">
        <f>#REF!</f>
        <v>#REF!</v>
      </c>
      <c r="H11" s="99"/>
    </row>
    <row r="12" spans="1:8" x14ac:dyDescent="0.25">
      <c r="A12" s="487"/>
      <c r="B12" s="116">
        <v>10</v>
      </c>
      <c r="C12" s="117" t="e">
        <f>#REF!</f>
        <v>#REF!</v>
      </c>
      <c r="D12" s="118"/>
      <c r="E12" s="119" t="e">
        <f>#REF!</f>
        <v>#REF!</v>
      </c>
      <c r="F12" s="120">
        <v>10</v>
      </c>
      <c r="G12" s="181" t="e">
        <f>#REF!</f>
        <v>#REF!</v>
      </c>
      <c r="H12" s="99"/>
    </row>
    <row r="13" spans="1:8" x14ac:dyDescent="0.25">
      <c r="A13" s="487"/>
      <c r="B13" s="111">
        <v>11</v>
      </c>
      <c r="C13" s="112" t="e">
        <f>#REF!</f>
        <v>#REF!</v>
      </c>
      <c r="D13" s="113"/>
      <c r="E13" s="114" t="e">
        <f>#REF!</f>
        <v>#REF!</v>
      </c>
      <c r="F13" s="115">
        <v>11</v>
      </c>
      <c r="G13" s="182" t="e">
        <f>#REF!</f>
        <v>#REF!</v>
      </c>
      <c r="H13" s="99"/>
    </row>
    <row r="14" spans="1:8" x14ac:dyDescent="0.25">
      <c r="A14" s="487"/>
      <c r="B14" s="116">
        <v>12</v>
      </c>
      <c r="C14" s="117" t="e">
        <f>#REF!</f>
        <v>#REF!</v>
      </c>
      <c r="D14" s="118"/>
      <c r="E14" s="119" t="e">
        <f>#REF!</f>
        <v>#REF!</v>
      </c>
      <c r="F14" s="120">
        <v>12</v>
      </c>
      <c r="G14" s="181" t="e">
        <f>#REF!</f>
        <v>#REF!</v>
      </c>
      <c r="H14" s="99"/>
    </row>
    <row r="15" spans="1:8" x14ac:dyDescent="0.25">
      <c r="A15" s="487"/>
      <c r="B15" s="111">
        <v>13</v>
      </c>
      <c r="C15" s="112" t="e">
        <f>#REF!</f>
        <v>#REF!</v>
      </c>
      <c r="D15" s="113"/>
      <c r="E15" s="114" t="e">
        <f>#REF!</f>
        <v>#REF!</v>
      </c>
      <c r="F15" s="115">
        <v>13</v>
      </c>
      <c r="G15" s="182" t="e">
        <f>#REF!</f>
        <v>#REF!</v>
      </c>
      <c r="H15" s="99"/>
    </row>
    <row r="16" spans="1:8" x14ac:dyDescent="0.25">
      <c r="A16" s="487"/>
      <c r="B16" s="116">
        <v>14</v>
      </c>
      <c r="C16" s="117" t="e">
        <f>#REF!</f>
        <v>#REF!</v>
      </c>
      <c r="D16" s="118"/>
      <c r="E16" s="119" t="e">
        <f>#REF!</f>
        <v>#REF!</v>
      </c>
      <c r="F16" s="120">
        <v>14</v>
      </c>
      <c r="G16" s="181" t="e">
        <f>#REF!</f>
        <v>#REF!</v>
      </c>
      <c r="H16" s="99"/>
    </row>
    <row r="17" spans="1:8" x14ac:dyDescent="0.25">
      <c r="A17" s="487"/>
      <c r="B17" s="111">
        <v>15</v>
      </c>
      <c r="C17" s="112" t="e">
        <f>#REF!</f>
        <v>#REF!</v>
      </c>
      <c r="D17" s="113"/>
      <c r="E17" s="114" t="e">
        <f>#REF!</f>
        <v>#REF!</v>
      </c>
      <c r="F17" s="115">
        <v>15</v>
      </c>
      <c r="G17" s="182" t="e">
        <f>#REF!</f>
        <v>#REF!</v>
      </c>
      <c r="H17" s="99"/>
    </row>
    <row r="18" spans="1:8" s="4" customFormat="1" x14ac:dyDescent="0.25">
      <c r="A18" s="487"/>
      <c r="B18" s="116">
        <v>16</v>
      </c>
      <c r="C18" s="117" t="e">
        <f>#REF!</f>
        <v>#REF!</v>
      </c>
      <c r="D18" s="118"/>
      <c r="E18" s="119" t="e">
        <f>#REF!</f>
        <v>#REF!</v>
      </c>
      <c r="F18" s="120">
        <v>16</v>
      </c>
      <c r="G18" s="181" t="e">
        <f>#REF!</f>
        <v>#REF!</v>
      </c>
      <c r="H18" s="99"/>
    </row>
    <row r="19" spans="1:8" s="4" customFormat="1" x14ac:dyDescent="0.25">
      <c r="A19" s="487"/>
      <c r="B19" s="111">
        <v>17</v>
      </c>
      <c r="C19" s="112" t="e">
        <f>#REF!</f>
        <v>#REF!</v>
      </c>
      <c r="D19" s="113"/>
      <c r="E19" s="114" t="e">
        <f>#REF!</f>
        <v>#REF!</v>
      </c>
      <c r="F19" s="115">
        <v>17</v>
      </c>
      <c r="G19" s="182" t="e">
        <f>#REF!</f>
        <v>#REF!</v>
      </c>
      <c r="H19" s="99"/>
    </row>
    <row r="20" spans="1:8" s="4" customFormat="1" x14ac:dyDescent="0.25">
      <c r="A20" s="487"/>
      <c r="B20" s="116">
        <v>18</v>
      </c>
      <c r="C20" s="117" t="e">
        <f>#REF!</f>
        <v>#REF!</v>
      </c>
      <c r="D20" s="118"/>
      <c r="E20" s="119" t="e">
        <f>#REF!</f>
        <v>#REF!</v>
      </c>
      <c r="F20" s="120">
        <v>18</v>
      </c>
      <c r="G20" s="181" t="e">
        <f>#REF!</f>
        <v>#REF!</v>
      </c>
      <c r="H20" s="99"/>
    </row>
    <row r="21" spans="1:8" s="4" customFormat="1" x14ac:dyDescent="0.25">
      <c r="A21" s="487"/>
      <c r="B21" s="111">
        <v>19</v>
      </c>
      <c r="C21" s="112" t="e">
        <f>#REF!</f>
        <v>#REF!</v>
      </c>
      <c r="D21" s="113"/>
      <c r="E21" s="114" t="e">
        <f>#REF!</f>
        <v>#REF!</v>
      </c>
      <c r="F21" s="115">
        <v>19</v>
      </c>
      <c r="G21" s="182" t="e">
        <f>#REF!</f>
        <v>#REF!</v>
      </c>
      <c r="H21" s="99"/>
    </row>
    <row r="22" spans="1:8" s="4" customFormat="1" x14ac:dyDescent="0.25">
      <c r="A22" s="487"/>
      <c r="B22" s="116">
        <v>20</v>
      </c>
      <c r="C22" s="117" t="e">
        <f>#REF!</f>
        <v>#REF!</v>
      </c>
      <c r="D22" s="118"/>
      <c r="E22" s="119" t="e">
        <f>#REF!</f>
        <v>#REF!</v>
      </c>
      <c r="F22" s="120">
        <v>20</v>
      </c>
      <c r="G22" s="181" t="e">
        <f>#REF!</f>
        <v>#REF!</v>
      </c>
      <c r="H22" s="99"/>
    </row>
    <row r="23" spans="1:8" hidden="1" x14ac:dyDescent="0.25">
      <c r="C23" s="4"/>
      <c r="D23" s="4"/>
    </row>
    <row r="24" spans="1:8" x14ac:dyDescent="0.25"/>
  </sheetData>
  <sheetProtection algorithmName="SHA-512" hashValue="SQrT/F04iuhd0sYv8rJU6m1GIRWI11rj3cW/bQeaVaxFTTDy0ex7w8n8NpyZItTX/6M+EE3pG9sznPmKJ3s8/Q==" saltValue="MU2ckedW70rozX3mynWfvw==" spinCount="100000" sheet="1" objects="1" scenarios="1"/>
  <mergeCells count="4">
    <mergeCell ref="B1:B2"/>
    <mergeCell ref="F1:F2"/>
    <mergeCell ref="G1:G2"/>
    <mergeCell ref="A4:A22"/>
  </mergeCells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5">
    <pageSetUpPr fitToPage="1"/>
  </sheetPr>
  <dimension ref="A1:D111"/>
  <sheetViews>
    <sheetView showGridLines="0" topLeftCell="A71" workbookViewId="0">
      <selection activeCell="E117" sqref="E117"/>
    </sheetView>
  </sheetViews>
  <sheetFormatPr baseColWidth="10" defaultColWidth="11.42578125" defaultRowHeight="14.25" outlineLevelCol="1" x14ac:dyDescent="0.25"/>
  <cols>
    <col min="1" max="1" width="34.42578125" style="15" customWidth="1" outlineLevel="1"/>
    <col min="2" max="2" width="55.42578125" style="16" customWidth="1" outlineLevel="1"/>
    <col min="3" max="3" width="15.42578125" style="15" customWidth="1" outlineLevel="1"/>
    <col min="4" max="4" width="17.7109375" style="15" customWidth="1" outlineLevel="1"/>
    <col min="5" max="16384" width="11.42578125" style="15"/>
  </cols>
  <sheetData>
    <row r="1" spans="1:4" ht="15" x14ac:dyDescent="0.2">
      <c r="A1" s="17" t="s">
        <v>300</v>
      </c>
      <c r="C1" s="18" t="s">
        <v>301</v>
      </c>
      <c r="D1" s="18" t="s">
        <v>302</v>
      </c>
    </row>
    <row r="2" spans="1:4" ht="15" x14ac:dyDescent="0.25">
      <c r="A2" s="19" t="s">
        <v>303</v>
      </c>
      <c r="B2" s="20" t="s">
        <v>304</v>
      </c>
      <c r="C2" s="21" t="s">
        <v>305</v>
      </c>
      <c r="D2" s="22" t="s">
        <v>306</v>
      </c>
    </row>
    <row r="3" spans="1:4" x14ac:dyDescent="0.25">
      <c r="A3" s="23" t="s">
        <v>307</v>
      </c>
      <c r="B3" s="16">
        <v>1</v>
      </c>
      <c r="C3" s="24">
        <v>86.25</v>
      </c>
      <c r="D3" s="24">
        <v>857.91</v>
      </c>
    </row>
    <row r="4" spans="1:4" x14ac:dyDescent="0.25">
      <c r="A4" s="23" t="s">
        <v>308</v>
      </c>
      <c r="B4" s="16">
        <v>2</v>
      </c>
      <c r="C4" s="24">
        <v>104.01</v>
      </c>
      <c r="D4" s="24">
        <v>1025.8699999999999</v>
      </c>
    </row>
    <row r="5" spans="1:4" x14ac:dyDescent="0.25">
      <c r="A5" s="23" t="s">
        <v>309</v>
      </c>
      <c r="B5" s="16">
        <v>3</v>
      </c>
      <c r="C5" s="24">
        <v>95.57</v>
      </c>
      <c r="D5" s="24">
        <v>940.78</v>
      </c>
    </row>
    <row r="6" spans="1:4" x14ac:dyDescent="0.25">
      <c r="A6" s="23" t="s">
        <v>310</v>
      </c>
      <c r="B6" s="16">
        <v>4</v>
      </c>
      <c r="C6" s="24">
        <v>112.56</v>
      </c>
      <c r="D6" s="24">
        <v>1142.8399999999999</v>
      </c>
    </row>
    <row r="7" spans="1:4" x14ac:dyDescent="0.25">
      <c r="A7" s="23" t="s">
        <v>311</v>
      </c>
      <c r="B7" s="16">
        <v>5</v>
      </c>
      <c r="C7" s="24">
        <v>121.71</v>
      </c>
      <c r="D7" s="24">
        <v>1208.1099999999999</v>
      </c>
    </row>
    <row r="8" spans="1:4" x14ac:dyDescent="0.25">
      <c r="A8" s="23" t="s">
        <v>312</v>
      </c>
      <c r="B8" s="16">
        <v>6</v>
      </c>
      <c r="C8" s="24">
        <v>124.01</v>
      </c>
      <c r="D8" s="24">
        <v>1223.32</v>
      </c>
    </row>
    <row r="9" spans="1:4" x14ac:dyDescent="0.25">
      <c r="A9" s="23" t="s">
        <v>313</v>
      </c>
      <c r="B9" s="16">
        <v>7</v>
      </c>
      <c r="C9" s="24">
        <v>95.02</v>
      </c>
      <c r="D9" s="24">
        <v>943.59</v>
      </c>
    </row>
    <row r="10" spans="1:4" x14ac:dyDescent="0.25">
      <c r="A10" s="23" t="s">
        <v>314</v>
      </c>
      <c r="B10" s="16">
        <v>8</v>
      </c>
      <c r="C10" s="24">
        <v>100.7</v>
      </c>
      <c r="D10" s="24">
        <v>997.57</v>
      </c>
    </row>
    <row r="11" spans="1:4" x14ac:dyDescent="0.25">
      <c r="A11" s="23" t="s">
        <v>315</v>
      </c>
      <c r="B11" s="16" t="s">
        <v>316</v>
      </c>
      <c r="C11" s="24">
        <v>137.27000000000001</v>
      </c>
      <c r="D11" s="24">
        <v>1372.73</v>
      </c>
    </row>
    <row r="12" spans="1:4" x14ac:dyDescent="0.25">
      <c r="A12" s="23" t="s">
        <v>317</v>
      </c>
      <c r="B12" s="16">
        <v>9</v>
      </c>
      <c r="C12" s="24">
        <v>93.52</v>
      </c>
      <c r="D12" s="24">
        <v>829.21</v>
      </c>
    </row>
    <row r="13" spans="1:4" x14ac:dyDescent="0.25">
      <c r="A13" s="23" t="s">
        <v>318</v>
      </c>
      <c r="B13" s="16">
        <v>10</v>
      </c>
      <c r="C13" s="24">
        <v>109.13</v>
      </c>
      <c r="D13" s="24">
        <v>1090.26</v>
      </c>
    </row>
    <row r="14" spans="1:4" x14ac:dyDescent="0.25">
      <c r="A14" s="23" t="s">
        <v>319</v>
      </c>
      <c r="B14" s="16">
        <v>11</v>
      </c>
      <c r="C14" s="24">
        <v>87.99</v>
      </c>
      <c r="D14" s="24">
        <v>849.64</v>
      </c>
    </row>
    <row r="15" spans="1:4" x14ac:dyDescent="0.25">
      <c r="A15" s="23" t="s">
        <v>320</v>
      </c>
      <c r="B15" s="16">
        <v>12</v>
      </c>
      <c r="C15" s="24">
        <v>113.85</v>
      </c>
      <c r="D15" s="24">
        <v>1138.57</v>
      </c>
    </row>
    <row r="16" spans="1:4" x14ac:dyDescent="0.25">
      <c r="A16" s="23" t="s">
        <v>321</v>
      </c>
      <c r="B16" s="16">
        <v>13</v>
      </c>
      <c r="C16" s="24">
        <v>113.12</v>
      </c>
      <c r="D16" s="24">
        <v>1094.58</v>
      </c>
    </row>
    <row r="17" spans="1:4" x14ac:dyDescent="0.25">
      <c r="A17" s="23" t="s">
        <v>322</v>
      </c>
      <c r="B17" s="16">
        <v>14</v>
      </c>
      <c r="C17" s="24">
        <v>89.01</v>
      </c>
      <c r="D17" s="24">
        <v>885.07</v>
      </c>
    </row>
    <row r="18" spans="1:4" x14ac:dyDescent="0.25">
      <c r="A18" s="23" t="s">
        <v>323</v>
      </c>
      <c r="B18" s="16" t="s">
        <v>324</v>
      </c>
      <c r="C18" s="24">
        <v>141.84</v>
      </c>
      <c r="D18" s="24">
        <v>1274.28</v>
      </c>
    </row>
    <row r="19" spans="1:4" x14ac:dyDescent="0.25">
      <c r="A19" s="23" t="s">
        <v>325</v>
      </c>
      <c r="B19" s="16">
        <v>15</v>
      </c>
      <c r="C19" s="24">
        <v>98.97</v>
      </c>
      <c r="D19" s="24">
        <v>983.84</v>
      </c>
    </row>
    <row r="20" spans="1:4" x14ac:dyDescent="0.25">
      <c r="A20" s="23" t="s">
        <v>326</v>
      </c>
      <c r="B20" s="16">
        <v>16</v>
      </c>
      <c r="C20" s="24">
        <v>77.23</v>
      </c>
      <c r="D20" s="24">
        <v>762.22</v>
      </c>
    </row>
    <row r="21" spans="1:4" x14ac:dyDescent="0.25">
      <c r="A21" s="23" t="s">
        <v>327</v>
      </c>
      <c r="B21" s="16">
        <v>17</v>
      </c>
      <c r="C21" s="24">
        <v>78.16</v>
      </c>
      <c r="D21" s="24">
        <v>773.08</v>
      </c>
    </row>
    <row r="22" spans="1:4" x14ac:dyDescent="0.25">
      <c r="A22" s="23" t="s">
        <v>328</v>
      </c>
      <c r="B22" s="16">
        <v>18</v>
      </c>
      <c r="C22" s="24">
        <v>145.44</v>
      </c>
      <c r="D22" s="24">
        <v>1454.53</v>
      </c>
    </row>
    <row r="23" spans="1:4" x14ac:dyDescent="0.25">
      <c r="A23" s="23" t="s">
        <v>329</v>
      </c>
      <c r="B23" s="16">
        <v>19</v>
      </c>
      <c r="C23" s="24">
        <v>93.17</v>
      </c>
      <c r="D23" s="24">
        <v>930.44</v>
      </c>
    </row>
    <row r="24" spans="1:4" x14ac:dyDescent="0.25">
      <c r="A24" s="23" t="s">
        <v>330</v>
      </c>
      <c r="B24" s="16">
        <v>21</v>
      </c>
      <c r="C24" s="24">
        <v>94</v>
      </c>
      <c r="D24" s="24">
        <v>940.43</v>
      </c>
    </row>
    <row r="25" spans="1:4" x14ac:dyDescent="0.25">
      <c r="A25" s="23" t="s">
        <v>331</v>
      </c>
      <c r="B25" s="16">
        <v>22</v>
      </c>
      <c r="C25" s="24">
        <v>92.52</v>
      </c>
      <c r="D25" s="24">
        <v>921.46</v>
      </c>
    </row>
    <row r="26" spans="1:4" x14ac:dyDescent="0.25">
      <c r="A26" s="23" t="s">
        <v>332</v>
      </c>
      <c r="B26" s="16">
        <v>23</v>
      </c>
      <c r="C26" s="24">
        <v>93.17</v>
      </c>
      <c r="D26" s="24">
        <v>930.44</v>
      </c>
    </row>
    <row r="27" spans="1:4" x14ac:dyDescent="0.25">
      <c r="A27" s="23" t="s">
        <v>333</v>
      </c>
      <c r="B27" s="16">
        <v>24</v>
      </c>
      <c r="C27" s="24">
        <v>103.86</v>
      </c>
      <c r="D27" s="24">
        <v>1012.09</v>
      </c>
    </row>
    <row r="28" spans="1:4" x14ac:dyDescent="0.25">
      <c r="A28" s="23" t="s">
        <v>334</v>
      </c>
      <c r="B28" s="16">
        <v>25</v>
      </c>
      <c r="C28" s="24">
        <v>99.65</v>
      </c>
      <c r="D28" s="24">
        <v>995.84</v>
      </c>
    </row>
    <row r="29" spans="1:4" x14ac:dyDescent="0.25">
      <c r="A29" s="23" t="s">
        <v>335</v>
      </c>
      <c r="B29" s="16">
        <v>26</v>
      </c>
      <c r="C29" s="24">
        <v>89.06</v>
      </c>
      <c r="D29" s="24">
        <v>897.05</v>
      </c>
    </row>
    <row r="30" spans="1:4" x14ac:dyDescent="0.25">
      <c r="A30" s="23" t="s">
        <v>336</v>
      </c>
      <c r="B30" s="16">
        <v>27</v>
      </c>
      <c r="C30" s="24">
        <v>98.81</v>
      </c>
      <c r="D30" s="24">
        <v>976.29</v>
      </c>
    </row>
    <row r="31" spans="1:4" x14ac:dyDescent="0.25">
      <c r="A31" s="23" t="s">
        <v>337</v>
      </c>
      <c r="B31" s="16">
        <v>28</v>
      </c>
      <c r="C31" s="24">
        <v>99.09</v>
      </c>
      <c r="D31" s="24">
        <v>1009.52</v>
      </c>
    </row>
    <row r="32" spans="1:4" x14ac:dyDescent="0.25">
      <c r="A32" s="23" t="s">
        <v>338</v>
      </c>
      <c r="B32" s="16">
        <v>29</v>
      </c>
      <c r="C32" s="24">
        <v>93.58</v>
      </c>
      <c r="D32" s="24">
        <v>929.2</v>
      </c>
    </row>
    <row r="33" spans="1:4" x14ac:dyDescent="0.25">
      <c r="A33" s="23" t="s">
        <v>339</v>
      </c>
      <c r="B33" s="16">
        <v>30</v>
      </c>
      <c r="C33" s="24">
        <v>113.12</v>
      </c>
      <c r="D33" s="24">
        <v>1094.58</v>
      </c>
    </row>
    <row r="34" spans="1:4" x14ac:dyDescent="0.25">
      <c r="A34" s="23" t="s">
        <v>340</v>
      </c>
      <c r="B34" s="16" t="s">
        <v>341</v>
      </c>
      <c r="C34" s="24">
        <v>121.8</v>
      </c>
      <c r="D34" s="24">
        <v>1076.72</v>
      </c>
    </row>
    <row r="35" spans="1:4" x14ac:dyDescent="0.25">
      <c r="A35" s="23" t="s">
        <v>342</v>
      </c>
      <c r="B35" s="16">
        <v>31</v>
      </c>
      <c r="C35" s="24">
        <v>80.25</v>
      </c>
      <c r="D35" s="24">
        <v>799.8</v>
      </c>
    </row>
    <row r="36" spans="1:4" x14ac:dyDescent="0.25">
      <c r="A36" s="23" t="s">
        <v>343</v>
      </c>
      <c r="B36" s="16">
        <v>32</v>
      </c>
      <c r="C36" s="24">
        <v>94.13</v>
      </c>
      <c r="D36" s="24">
        <v>923.26</v>
      </c>
    </row>
    <row r="37" spans="1:4" x14ac:dyDescent="0.25">
      <c r="A37" s="23" t="s">
        <v>344</v>
      </c>
      <c r="B37" s="16">
        <v>33</v>
      </c>
      <c r="C37" s="24">
        <v>89.04</v>
      </c>
      <c r="D37" s="24">
        <v>890.43</v>
      </c>
    </row>
    <row r="38" spans="1:4" x14ac:dyDescent="0.25">
      <c r="A38" s="23" t="s">
        <v>345</v>
      </c>
      <c r="B38" s="16">
        <v>34</v>
      </c>
      <c r="C38" s="24">
        <v>115.64</v>
      </c>
      <c r="D38" s="24">
        <v>1174.98</v>
      </c>
    </row>
    <row r="39" spans="1:4" x14ac:dyDescent="0.25">
      <c r="A39" s="23" t="s">
        <v>346</v>
      </c>
      <c r="B39" s="16">
        <v>35</v>
      </c>
      <c r="C39" s="24">
        <v>84.94</v>
      </c>
      <c r="D39" s="24">
        <v>844.69</v>
      </c>
    </row>
    <row r="40" spans="1:4" x14ac:dyDescent="0.25">
      <c r="A40" s="23" t="s">
        <v>347</v>
      </c>
      <c r="B40" s="16">
        <v>36</v>
      </c>
      <c r="C40" s="24">
        <v>93.76</v>
      </c>
      <c r="D40" s="24">
        <v>936.32</v>
      </c>
    </row>
    <row r="41" spans="1:4" x14ac:dyDescent="0.25">
      <c r="A41" s="23" t="s">
        <v>348</v>
      </c>
      <c r="B41" s="16">
        <v>37</v>
      </c>
      <c r="C41" s="24">
        <v>88.65</v>
      </c>
      <c r="D41" s="24">
        <v>886.43</v>
      </c>
    </row>
    <row r="42" spans="1:4" x14ac:dyDescent="0.25">
      <c r="A42" s="23" t="s">
        <v>349</v>
      </c>
      <c r="B42" s="16" t="s">
        <v>350</v>
      </c>
      <c r="C42" s="24">
        <v>136.24</v>
      </c>
      <c r="D42" s="24">
        <v>1215</v>
      </c>
    </row>
    <row r="43" spans="1:4" x14ac:dyDescent="0.25">
      <c r="A43" s="23" t="s">
        <v>351</v>
      </c>
      <c r="B43" s="16">
        <v>38</v>
      </c>
      <c r="C43" s="24">
        <v>93.36</v>
      </c>
      <c r="D43" s="24">
        <v>924.56</v>
      </c>
    </row>
    <row r="44" spans="1:4" x14ac:dyDescent="0.25">
      <c r="A44" s="23" t="s">
        <v>352</v>
      </c>
      <c r="B44" s="16">
        <v>39</v>
      </c>
      <c r="C44" s="24">
        <v>94</v>
      </c>
      <c r="D44" s="24">
        <v>940.43</v>
      </c>
    </row>
    <row r="45" spans="1:4" x14ac:dyDescent="0.25">
      <c r="A45" s="23" t="s">
        <v>353</v>
      </c>
      <c r="B45" s="16">
        <v>40</v>
      </c>
      <c r="C45" s="24">
        <v>64.42</v>
      </c>
      <c r="D45" s="24">
        <v>629.47</v>
      </c>
    </row>
    <row r="46" spans="1:4" x14ac:dyDescent="0.25">
      <c r="A46" s="23" t="s">
        <v>354</v>
      </c>
      <c r="B46" s="16">
        <v>41</v>
      </c>
      <c r="C46" s="24">
        <v>83.67</v>
      </c>
      <c r="D46" s="24">
        <v>848.9</v>
      </c>
    </row>
    <row r="47" spans="1:4" x14ac:dyDescent="0.25">
      <c r="A47" s="23" t="s">
        <v>355</v>
      </c>
      <c r="B47" s="16">
        <v>42</v>
      </c>
      <c r="C47" s="24">
        <v>87.95</v>
      </c>
      <c r="D47" s="24">
        <v>865.6</v>
      </c>
    </row>
    <row r="48" spans="1:4" x14ac:dyDescent="0.25">
      <c r="A48" s="23" t="s">
        <v>356</v>
      </c>
      <c r="B48" s="16">
        <v>43</v>
      </c>
      <c r="C48" s="24">
        <v>97.67</v>
      </c>
      <c r="D48" s="24">
        <v>963.12</v>
      </c>
    </row>
    <row r="49" spans="1:4" x14ac:dyDescent="0.25">
      <c r="A49" s="23" t="s">
        <v>357</v>
      </c>
      <c r="B49" s="16">
        <v>44</v>
      </c>
      <c r="C49" s="24">
        <v>93.1</v>
      </c>
      <c r="D49" s="24">
        <v>918.97</v>
      </c>
    </row>
    <row r="50" spans="1:4" x14ac:dyDescent="0.25">
      <c r="A50" s="23" t="s">
        <v>358</v>
      </c>
      <c r="B50" s="16">
        <v>45</v>
      </c>
      <c r="C50" s="24">
        <v>77.28</v>
      </c>
      <c r="D50" s="24">
        <v>784.59</v>
      </c>
    </row>
    <row r="51" spans="1:4" x14ac:dyDescent="0.25">
      <c r="A51" s="23" t="s">
        <v>359</v>
      </c>
      <c r="B51" s="16">
        <v>46</v>
      </c>
      <c r="C51" s="24">
        <v>117.53</v>
      </c>
      <c r="D51" s="24">
        <v>877.31</v>
      </c>
    </row>
    <row r="52" spans="1:4" x14ac:dyDescent="0.25">
      <c r="A52" s="23" t="s">
        <v>360</v>
      </c>
      <c r="B52" s="16">
        <v>47</v>
      </c>
      <c r="C52" s="24">
        <v>103.86</v>
      </c>
      <c r="D52" s="24">
        <v>1012.09</v>
      </c>
    </row>
    <row r="53" spans="1:4" x14ac:dyDescent="0.25">
      <c r="A53" s="23" t="s">
        <v>361</v>
      </c>
      <c r="B53" s="16">
        <v>48</v>
      </c>
      <c r="C53" s="24">
        <v>113.85</v>
      </c>
      <c r="D53" s="24">
        <v>1161.8699999999999</v>
      </c>
    </row>
    <row r="54" spans="1:4" x14ac:dyDescent="0.25">
      <c r="A54" s="23" t="s">
        <v>362</v>
      </c>
      <c r="B54" s="16">
        <v>49</v>
      </c>
      <c r="C54" s="24">
        <v>85.44</v>
      </c>
      <c r="D54" s="24">
        <v>843.5</v>
      </c>
    </row>
    <row r="55" spans="1:4" x14ac:dyDescent="0.25">
      <c r="A55" s="23" t="s">
        <v>363</v>
      </c>
      <c r="B55" s="16">
        <v>50</v>
      </c>
      <c r="C55" s="24">
        <v>102.1</v>
      </c>
      <c r="D55" s="24">
        <v>1014.18</v>
      </c>
    </row>
    <row r="56" spans="1:4" x14ac:dyDescent="0.25">
      <c r="A56" s="23" t="s">
        <v>364</v>
      </c>
      <c r="B56" s="16">
        <v>51</v>
      </c>
      <c r="C56" s="24">
        <v>94.55</v>
      </c>
      <c r="D56" s="24">
        <v>941.09</v>
      </c>
    </row>
    <row r="57" spans="1:4" x14ac:dyDescent="0.25">
      <c r="A57" s="23" t="s">
        <v>365</v>
      </c>
      <c r="B57" s="16">
        <v>52</v>
      </c>
      <c r="C57" s="24">
        <v>112.39</v>
      </c>
      <c r="D57" s="24">
        <v>1123.04</v>
      </c>
    </row>
    <row r="58" spans="1:4" x14ac:dyDescent="0.25">
      <c r="A58" s="23" t="s">
        <v>366</v>
      </c>
      <c r="B58" s="16">
        <v>53</v>
      </c>
      <c r="C58" s="24">
        <v>93.39</v>
      </c>
      <c r="D58" s="24">
        <v>919.13</v>
      </c>
    </row>
    <row r="59" spans="1:4" x14ac:dyDescent="0.25">
      <c r="A59" s="23" t="s">
        <v>367</v>
      </c>
      <c r="B59" s="16">
        <v>54</v>
      </c>
      <c r="C59" s="24">
        <v>96.78</v>
      </c>
      <c r="D59" s="24">
        <v>967.17</v>
      </c>
    </row>
    <row r="60" spans="1:4" x14ac:dyDescent="0.25">
      <c r="A60" s="23" t="s">
        <v>368</v>
      </c>
      <c r="B60" s="16">
        <v>55</v>
      </c>
      <c r="C60" s="24">
        <v>108.66</v>
      </c>
      <c r="D60" s="24">
        <v>1072.46</v>
      </c>
    </row>
    <row r="61" spans="1:4" x14ac:dyDescent="0.25">
      <c r="A61" s="23" t="s">
        <v>369</v>
      </c>
      <c r="B61" s="16">
        <v>56</v>
      </c>
      <c r="C61" s="24">
        <v>94.2</v>
      </c>
      <c r="D61" s="24">
        <v>934.63</v>
      </c>
    </row>
    <row r="62" spans="1:4" x14ac:dyDescent="0.25">
      <c r="A62" s="23" t="s">
        <v>370</v>
      </c>
      <c r="B62" s="16">
        <v>57</v>
      </c>
      <c r="C62" s="24">
        <v>107.22</v>
      </c>
      <c r="D62" s="24">
        <v>1057.69</v>
      </c>
    </row>
    <row r="63" spans="1:4" x14ac:dyDescent="0.25">
      <c r="A63" s="23" t="s">
        <v>371</v>
      </c>
      <c r="B63" s="16">
        <v>58</v>
      </c>
      <c r="C63" s="24">
        <v>133.86000000000001</v>
      </c>
      <c r="D63" s="24">
        <v>1338.54</v>
      </c>
    </row>
    <row r="64" spans="1:4" x14ac:dyDescent="0.25">
      <c r="A64" s="23" t="s">
        <v>372</v>
      </c>
      <c r="B64" s="16">
        <v>59</v>
      </c>
      <c r="C64" s="24">
        <v>96.97</v>
      </c>
      <c r="D64" s="24">
        <v>965.16</v>
      </c>
    </row>
    <row r="65" spans="1:4" x14ac:dyDescent="0.25">
      <c r="A65" s="23" t="s">
        <v>373</v>
      </c>
      <c r="B65" s="16">
        <v>60</v>
      </c>
      <c r="C65" s="24">
        <v>116.63</v>
      </c>
      <c r="D65" s="24">
        <v>962.22</v>
      </c>
    </row>
    <row r="66" spans="1:4" x14ac:dyDescent="0.25">
      <c r="A66" s="23" t="s">
        <v>374</v>
      </c>
      <c r="B66" s="16">
        <v>61</v>
      </c>
      <c r="C66" s="24">
        <v>96.83</v>
      </c>
      <c r="D66" s="24">
        <v>953.66</v>
      </c>
    </row>
    <row r="67" spans="1:4" x14ac:dyDescent="0.25">
      <c r="A67" s="23" t="s">
        <v>375</v>
      </c>
      <c r="B67" s="16">
        <v>62</v>
      </c>
      <c r="C67" s="24">
        <v>98.03</v>
      </c>
      <c r="D67" s="24">
        <v>978.35</v>
      </c>
    </row>
    <row r="68" spans="1:4" x14ac:dyDescent="0.25">
      <c r="A68" s="23" t="s">
        <v>376</v>
      </c>
      <c r="B68" s="16" t="s">
        <v>377</v>
      </c>
      <c r="C68" s="24">
        <v>125.65</v>
      </c>
      <c r="D68" s="24">
        <v>1117.6099999999999</v>
      </c>
    </row>
    <row r="69" spans="1:4" x14ac:dyDescent="0.25">
      <c r="A69" s="23" t="s">
        <v>378</v>
      </c>
      <c r="B69" s="16">
        <v>63</v>
      </c>
      <c r="C69" s="24">
        <v>82.75</v>
      </c>
      <c r="D69" s="24">
        <v>827.17</v>
      </c>
    </row>
    <row r="70" spans="1:4" x14ac:dyDescent="0.25">
      <c r="A70" s="23" t="s">
        <v>379</v>
      </c>
      <c r="B70" s="16" t="s">
        <v>380</v>
      </c>
      <c r="C70" s="24">
        <v>102.29</v>
      </c>
      <c r="D70" s="24">
        <v>860.75</v>
      </c>
    </row>
    <row r="71" spans="1:4" x14ac:dyDescent="0.25">
      <c r="A71" s="23" t="s">
        <v>381</v>
      </c>
      <c r="B71" s="16">
        <v>64</v>
      </c>
      <c r="C71" s="24">
        <v>49.41</v>
      </c>
      <c r="D71" s="24">
        <v>487.13</v>
      </c>
    </row>
    <row r="72" spans="1:4" x14ac:dyDescent="0.25">
      <c r="A72" s="23" t="s">
        <v>382</v>
      </c>
      <c r="B72" s="16" t="s">
        <v>383</v>
      </c>
      <c r="C72" s="24">
        <v>92.53</v>
      </c>
      <c r="D72" s="24">
        <v>781.13</v>
      </c>
    </row>
    <row r="73" spans="1:4" x14ac:dyDescent="0.25">
      <c r="A73" s="23" t="s">
        <v>384</v>
      </c>
      <c r="B73" s="16">
        <v>65</v>
      </c>
      <c r="C73" s="24">
        <v>60.73</v>
      </c>
      <c r="D73" s="24">
        <v>591.12</v>
      </c>
    </row>
    <row r="74" spans="1:4" x14ac:dyDescent="0.25">
      <c r="A74" s="23" t="s">
        <v>385</v>
      </c>
      <c r="B74" s="16">
        <v>66</v>
      </c>
      <c r="C74" s="24">
        <v>95.89</v>
      </c>
      <c r="D74" s="24">
        <v>922.25</v>
      </c>
    </row>
    <row r="75" spans="1:4" x14ac:dyDescent="0.25">
      <c r="A75" s="23" t="s">
        <v>386</v>
      </c>
      <c r="B75" s="16">
        <v>67</v>
      </c>
      <c r="C75" s="24">
        <v>94.88</v>
      </c>
      <c r="D75" s="24">
        <v>945.6</v>
      </c>
    </row>
    <row r="76" spans="1:4" x14ac:dyDescent="0.25">
      <c r="A76" s="23" t="s">
        <v>387</v>
      </c>
      <c r="B76" s="16">
        <v>68</v>
      </c>
      <c r="C76" s="24">
        <v>104.82</v>
      </c>
      <c r="D76" s="24">
        <v>1033.8699999999999</v>
      </c>
    </row>
    <row r="77" spans="1:4" x14ac:dyDescent="0.25">
      <c r="A77" s="23" t="s">
        <v>388</v>
      </c>
      <c r="B77" s="16">
        <v>69</v>
      </c>
      <c r="C77" s="24">
        <v>83.63</v>
      </c>
      <c r="D77" s="24">
        <v>834.62</v>
      </c>
    </row>
    <row r="78" spans="1:4" x14ac:dyDescent="0.25">
      <c r="A78" s="23" t="s">
        <v>389</v>
      </c>
      <c r="B78" s="16">
        <v>70</v>
      </c>
      <c r="C78" s="24">
        <v>100.18</v>
      </c>
      <c r="D78" s="24">
        <v>923.68</v>
      </c>
    </row>
    <row r="79" spans="1:4" x14ac:dyDescent="0.25">
      <c r="A79" s="23" t="s">
        <v>390</v>
      </c>
      <c r="B79" s="16">
        <v>71</v>
      </c>
      <c r="C79" s="24">
        <v>94.81</v>
      </c>
      <c r="D79" s="24">
        <v>936.03</v>
      </c>
    </row>
    <row r="80" spans="1:4" x14ac:dyDescent="0.25">
      <c r="A80" s="23" t="s">
        <v>391</v>
      </c>
      <c r="B80" s="16">
        <v>72</v>
      </c>
      <c r="C80" s="24">
        <v>80.319999999999993</v>
      </c>
      <c r="D80" s="24">
        <v>805.92</v>
      </c>
    </row>
    <row r="81" spans="1:4" x14ac:dyDescent="0.25">
      <c r="A81" s="23" t="s">
        <v>392</v>
      </c>
      <c r="B81" s="16" t="s">
        <v>393</v>
      </c>
      <c r="C81" s="24">
        <v>128.49</v>
      </c>
      <c r="D81" s="24">
        <v>1143.8499999999999</v>
      </c>
    </row>
    <row r="82" spans="1:4" x14ac:dyDescent="0.25">
      <c r="A82" s="23" t="s">
        <v>394</v>
      </c>
      <c r="B82" s="16">
        <v>73</v>
      </c>
      <c r="C82" s="24">
        <v>85.61</v>
      </c>
      <c r="D82" s="24">
        <v>853.41</v>
      </c>
    </row>
    <row r="83" spans="1:4" x14ac:dyDescent="0.25">
      <c r="A83" s="23" t="s">
        <v>395</v>
      </c>
      <c r="B83" s="16" t="s">
        <v>396</v>
      </c>
      <c r="C83" s="24">
        <v>138.87</v>
      </c>
      <c r="D83" s="24">
        <v>1236.6500000000001</v>
      </c>
    </row>
    <row r="84" spans="1:4" x14ac:dyDescent="0.25">
      <c r="A84" s="23" t="s">
        <v>397</v>
      </c>
      <c r="B84" s="16">
        <v>74</v>
      </c>
      <c r="C84" s="24">
        <v>96</v>
      </c>
      <c r="D84" s="24">
        <v>946.21</v>
      </c>
    </row>
    <row r="85" spans="1:4" x14ac:dyDescent="0.25">
      <c r="A85" s="23" t="s">
        <v>398</v>
      </c>
      <c r="B85" s="16">
        <v>75</v>
      </c>
      <c r="C85" s="24">
        <v>116.63</v>
      </c>
      <c r="D85" s="24">
        <v>925.67</v>
      </c>
    </row>
    <row r="86" spans="1:4" x14ac:dyDescent="0.25">
      <c r="A86" s="23" t="s">
        <v>399</v>
      </c>
      <c r="B86" s="16">
        <v>76</v>
      </c>
      <c r="C86" s="24">
        <v>100.03</v>
      </c>
      <c r="D86" s="24">
        <v>989.48</v>
      </c>
    </row>
    <row r="87" spans="1:4" x14ac:dyDescent="0.25">
      <c r="A87" s="23" t="s">
        <v>400</v>
      </c>
      <c r="B87" s="16">
        <v>77</v>
      </c>
      <c r="C87" s="24">
        <v>116.63</v>
      </c>
      <c r="D87" s="24">
        <v>926.15</v>
      </c>
    </row>
    <row r="88" spans="1:4" x14ac:dyDescent="0.25">
      <c r="A88" s="23" t="s">
        <v>401</v>
      </c>
      <c r="B88" s="16">
        <v>78</v>
      </c>
      <c r="C88" s="24">
        <v>110.14</v>
      </c>
      <c r="D88" s="24">
        <v>925.67</v>
      </c>
    </row>
    <row r="89" spans="1:4" x14ac:dyDescent="0.25">
      <c r="A89" s="23" t="s">
        <v>402</v>
      </c>
      <c r="B89" s="16">
        <v>79</v>
      </c>
      <c r="C89" s="24">
        <v>93.76</v>
      </c>
      <c r="D89" s="24">
        <v>936.32</v>
      </c>
    </row>
    <row r="90" spans="1:4" x14ac:dyDescent="0.25">
      <c r="A90" s="23" t="s">
        <v>403</v>
      </c>
      <c r="B90" s="16">
        <v>80</v>
      </c>
      <c r="C90" s="24">
        <v>105.34</v>
      </c>
      <c r="D90" s="24">
        <v>1041.69</v>
      </c>
    </row>
    <row r="91" spans="1:4" x14ac:dyDescent="0.25">
      <c r="A91" s="23" t="s">
        <v>404</v>
      </c>
      <c r="B91" s="16">
        <v>81</v>
      </c>
      <c r="C91" s="24">
        <v>96.33</v>
      </c>
      <c r="D91" s="24">
        <v>945.73</v>
      </c>
    </row>
    <row r="92" spans="1:4" x14ac:dyDescent="0.25">
      <c r="A92" s="23" t="s">
        <v>405</v>
      </c>
      <c r="B92" s="16">
        <v>82</v>
      </c>
      <c r="C92" s="24">
        <v>73.64</v>
      </c>
      <c r="D92" s="24">
        <v>736.38</v>
      </c>
    </row>
    <row r="93" spans="1:4" x14ac:dyDescent="0.25">
      <c r="A93" s="23" t="s">
        <v>406</v>
      </c>
      <c r="B93" s="16">
        <v>83</v>
      </c>
      <c r="C93" s="24">
        <v>127.17</v>
      </c>
      <c r="D93" s="24">
        <v>1223.32</v>
      </c>
    </row>
    <row r="94" spans="1:4" x14ac:dyDescent="0.25">
      <c r="A94" s="23" t="s">
        <v>407</v>
      </c>
      <c r="B94" s="16">
        <v>84</v>
      </c>
      <c r="C94" s="24">
        <v>105.22</v>
      </c>
      <c r="D94" s="24">
        <v>1021.97</v>
      </c>
    </row>
    <row r="95" spans="1:4" x14ac:dyDescent="0.25">
      <c r="A95" s="23" t="s">
        <v>408</v>
      </c>
      <c r="B95" s="16">
        <v>85</v>
      </c>
      <c r="C95" s="24">
        <v>84.7</v>
      </c>
      <c r="D95" s="24">
        <v>837.53</v>
      </c>
    </row>
    <row r="96" spans="1:4" x14ac:dyDescent="0.25">
      <c r="A96" s="23" t="s">
        <v>409</v>
      </c>
      <c r="B96" s="16">
        <v>86</v>
      </c>
      <c r="C96" s="24">
        <v>84.96</v>
      </c>
      <c r="D96" s="24">
        <v>849.72</v>
      </c>
    </row>
    <row r="97" spans="1:4" x14ac:dyDescent="0.25">
      <c r="A97" s="23" t="s">
        <v>410</v>
      </c>
      <c r="B97" s="16">
        <v>87</v>
      </c>
      <c r="C97" s="24">
        <v>84.38</v>
      </c>
      <c r="D97" s="24">
        <v>843.84</v>
      </c>
    </row>
    <row r="98" spans="1:4" x14ac:dyDescent="0.25">
      <c r="A98" s="23" t="s">
        <v>411</v>
      </c>
      <c r="B98" s="16">
        <v>88</v>
      </c>
      <c r="C98" s="24">
        <v>105.98</v>
      </c>
      <c r="D98" s="24">
        <v>1046.27</v>
      </c>
    </row>
    <row r="99" spans="1:4" x14ac:dyDescent="0.25">
      <c r="A99" s="23" t="s">
        <v>412</v>
      </c>
      <c r="B99" s="16">
        <v>89</v>
      </c>
      <c r="C99" s="24">
        <v>136.06</v>
      </c>
      <c r="D99" s="24">
        <v>1360.59</v>
      </c>
    </row>
    <row r="100" spans="1:4" x14ac:dyDescent="0.25">
      <c r="A100" s="23" t="s">
        <v>413</v>
      </c>
      <c r="B100" s="16">
        <v>90</v>
      </c>
      <c r="C100" s="24">
        <v>92.47</v>
      </c>
      <c r="D100" s="24">
        <v>876.54</v>
      </c>
    </row>
    <row r="101" spans="1:4" x14ac:dyDescent="0.25">
      <c r="A101" s="23" t="s">
        <v>414</v>
      </c>
      <c r="B101" s="16">
        <v>91</v>
      </c>
      <c r="C101" s="24">
        <v>110.14</v>
      </c>
      <c r="D101" s="24">
        <v>925.67</v>
      </c>
    </row>
    <row r="102" spans="1:4" x14ac:dyDescent="0.25">
      <c r="A102" s="23" t="s">
        <v>415</v>
      </c>
      <c r="B102" s="16">
        <v>92</v>
      </c>
      <c r="C102" s="24">
        <v>110.14</v>
      </c>
      <c r="D102" s="24">
        <v>925.67</v>
      </c>
    </row>
    <row r="103" spans="1:4" x14ac:dyDescent="0.25">
      <c r="A103" s="23" t="s">
        <v>416</v>
      </c>
      <c r="B103" s="16">
        <v>93</v>
      </c>
      <c r="C103" s="24">
        <v>110.14</v>
      </c>
      <c r="D103" s="24">
        <v>925.67</v>
      </c>
    </row>
    <row r="104" spans="1:4" x14ac:dyDescent="0.25">
      <c r="A104" s="23" t="s">
        <v>417</v>
      </c>
      <c r="B104" s="16">
        <v>94</v>
      </c>
      <c r="C104" s="24">
        <v>110.14</v>
      </c>
      <c r="D104" s="24">
        <v>925.67</v>
      </c>
    </row>
    <row r="105" spans="1:4" x14ac:dyDescent="0.25">
      <c r="A105" s="23" t="s">
        <v>418</v>
      </c>
      <c r="B105" s="16">
        <v>95</v>
      </c>
      <c r="C105" s="24">
        <v>110.14</v>
      </c>
      <c r="D105" s="24">
        <v>925.67</v>
      </c>
    </row>
    <row r="106" spans="1:4" x14ac:dyDescent="0.25">
      <c r="A106" s="23" t="s">
        <v>419</v>
      </c>
      <c r="B106" s="16">
        <v>98</v>
      </c>
      <c r="C106" s="24">
        <v>134.93</v>
      </c>
      <c r="D106" s="24">
        <v>1329.53</v>
      </c>
    </row>
    <row r="107" spans="1:4" x14ac:dyDescent="0.25">
      <c r="A107" s="23" t="s">
        <v>521</v>
      </c>
      <c r="B107" s="16" t="s">
        <v>420</v>
      </c>
      <c r="C107" s="24">
        <v>100</v>
      </c>
      <c r="D107" s="24">
        <v>1000</v>
      </c>
    </row>
    <row r="108" spans="1:4" x14ac:dyDescent="0.25">
      <c r="A108" s="23" t="s">
        <v>522</v>
      </c>
      <c r="B108" s="159" t="s">
        <v>520</v>
      </c>
      <c r="C108" s="24">
        <v>429.62</v>
      </c>
      <c r="D108" s="24">
        <v>429.62</v>
      </c>
    </row>
    <row r="109" spans="1:4" x14ac:dyDescent="0.25">
      <c r="A109" s="23" t="s">
        <v>525</v>
      </c>
      <c r="B109" s="16" t="s">
        <v>527</v>
      </c>
      <c r="C109" s="24">
        <v>337.74</v>
      </c>
      <c r="D109" s="24">
        <v>337.74</v>
      </c>
    </row>
    <row r="110" spans="1:4" x14ac:dyDescent="0.25">
      <c r="A110" s="160" t="s">
        <v>526</v>
      </c>
      <c r="B110" s="159" t="s">
        <v>524</v>
      </c>
      <c r="C110" s="161">
        <v>308.89</v>
      </c>
      <c r="D110" s="161">
        <v>308.89</v>
      </c>
    </row>
    <row r="111" spans="1:4" x14ac:dyDescent="0.25">
      <c r="A111" s="23"/>
      <c r="B111" s="16" t="s">
        <v>421</v>
      </c>
      <c r="C111" s="24"/>
      <c r="D111" s="24"/>
    </row>
  </sheetData>
  <sheetProtection algorithmName="SHA-512" hashValue="dTwDMziTnJalords4fumd2FDVqAXuea/8sLu9fWrpEl+EsbAk13/uYCLbDUZckeR9HK0KyIZ5D7Cz8u5/kA1sg==" saltValue="R0MnUnHLQS/VZqMdybKJ5Q==" spinCount="100000" sheet="1" objects="1" scenarios="1"/>
  <pageMargins left="0" right="0" top="0.90551181102362177" bottom="0.90551181102362177" header="0" footer="0"/>
  <pageSetup paperSize="9" fitToHeight="0" orientation="portrait" verticalDpi="0"/>
  <headerFooter>
    <oddHeader>&amp;L&amp;G&amp;R&amp;"Arial,Italique"&amp;8Edité le &amp;D à &amp;T</oddHeader>
    <oddFooter>&amp;R&amp;9&amp;P / &amp;N&amp;C&amp;"Arial,Italique"&amp;6DOCUMENT CONFIDENTIEL_x000D_Toute reproduction, traduction, adaptation et divulgation est strictement interdite sauf accord écrit de son émetteur._x000D_</oddFooter>
  </headerFooter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6">
    <pageSetUpPr fitToPage="1"/>
  </sheetPr>
  <dimension ref="A1:C101"/>
  <sheetViews>
    <sheetView showGridLines="0" topLeftCell="A66" workbookViewId="0">
      <selection activeCell="C106" sqref="C106"/>
    </sheetView>
  </sheetViews>
  <sheetFormatPr baseColWidth="10" defaultColWidth="11.42578125" defaultRowHeight="14.25" outlineLevelCol="1" x14ac:dyDescent="0.25"/>
  <cols>
    <col min="1" max="1" width="34.42578125" style="15" customWidth="1" outlineLevel="1"/>
    <col min="2" max="2" width="7.42578125" style="16" customWidth="1" outlineLevel="1"/>
    <col min="3" max="3" width="24.42578125" style="15" customWidth="1" outlineLevel="1"/>
    <col min="4" max="16384" width="11.42578125" style="15"/>
  </cols>
  <sheetData>
    <row r="1" spans="1:3" ht="15.75" x14ac:dyDescent="0.25">
      <c r="A1" s="17" t="s">
        <v>300</v>
      </c>
      <c r="B1" s="4"/>
      <c r="C1" s="18" t="s">
        <v>422</v>
      </c>
    </row>
    <row r="2" spans="1:3" ht="15" x14ac:dyDescent="0.25">
      <c r="A2" s="25" t="s">
        <v>303</v>
      </c>
      <c r="B2" s="26" t="s">
        <v>304</v>
      </c>
      <c r="C2" s="27" t="s">
        <v>423</v>
      </c>
    </row>
    <row r="3" spans="1:3" x14ac:dyDescent="0.25">
      <c r="A3" s="23" t="s">
        <v>307</v>
      </c>
      <c r="B3" s="16">
        <v>1</v>
      </c>
      <c r="C3" s="24">
        <v>241.9</v>
      </c>
    </row>
    <row r="4" spans="1:3" x14ac:dyDescent="0.25">
      <c r="A4" s="23" t="s">
        <v>308</v>
      </c>
      <c r="B4" s="16">
        <v>2</v>
      </c>
      <c r="C4" s="24">
        <v>303.3</v>
      </c>
    </row>
    <row r="5" spans="1:3" x14ac:dyDescent="0.25">
      <c r="A5" s="23" t="s">
        <v>309</v>
      </c>
      <c r="B5" s="16">
        <v>3</v>
      </c>
      <c r="C5" s="24">
        <v>255.7</v>
      </c>
    </row>
    <row r="6" spans="1:3" x14ac:dyDescent="0.25">
      <c r="A6" s="23" t="s">
        <v>310</v>
      </c>
      <c r="B6" s="16">
        <v>4</v>
      </c>
      <c r="C6" s="24">
        <v>262.7</v>
      </c>
    </row>
    <row r="7" spans="1:3" x14ac:dyDescent="0.25">
      <c r="A7" s="23" t="s">
        <v>311</v>
      </c>
      <c r="B7" s="16">
        <v>5</v>
      </c>
      <c r="C7" s="24">
        <v>295.60000000000002</v>
      </c>
    </row>
    <row r="8" spans="1:3" x14ac:dyDescent="0.25">
      <c r="A8" s="23" t="s">
        <v>312</v>
      </c>
      <c r="B8" s="16">
        <v>6</v>
      </c>
      <c r="C8" s="24">
        <v>295.60000000000002</v>
      </c>
    </row>
    <row r="9" spans="1:3" x14ac:dyDescent="0.25">
      <c r="A9" s="23" t="s">
        <v>313</v>
      </c>
      <c r="B9" s="16">
        <v>7</v>
      </c>
      <c r="C9" s="24">
        <v>286.3</v>
      </c>
    </row>
    <row r="10" spans="1:3" x14ac:dyDescent="0.25">
      <c r="A10" s="23" t="s">
        <v>314</v>
      </c>
      <c r="B10" s="16">
        <v>8</v>
      </c>
      <c r="C10" s="24">
        <v>298.3</v>
      </c>
    </row>
    <row r="11" spans="1:3" x14ac:dyDescent="0.25">
      <c r="A11" s="23" t="s">
        <v>317</v>
      </c>
      <c r="B11" s="16">
        <v>9</v>
      </c>
      <c r="C11" s="24">
        <v>197.3</v>
      </c>
    </row>
    <row r="12" spans="1:3" x14ac:dyDescent="0.25">
      <c r="A12" s="23" t="s">
        <v>318</v>
      </c>
      <c r="B12" s="16">
        <v>10</v>
      </c>
      <c r="C12" s="24">
        <v>316</v>
      </c>
    </row>
    <row r="13" spans="1:3" x14ac:dyDescent="0.25">
      <c r="A13" s="23" t="s">
        <v>319</v>
      </c>
      <c r="B13" s="16">
        <v>11</v>
      </c>
      <c r="C13" s="24">
        <v>179.7</v>
      </c>
    </row>
    <row r="14" spans="1:3" x14ac:dyDescent="0.25">
      <c r="A14" s="23" t="s">
        <v>320</v>
      </c>
      <c r="B14" s="16">
        <v>12</v>
      </c>
      <c r="C14" s="24">
        <v>268.8</v>
      </c>
    </row>
    <row r="15" spans="1:3" x14ac:dyDescent="0.25">
      <c r="A15" s="23" t="s">
        <v>321</v>
      </c>
      <c r="B15" s="16">
        <v>13</v>
      </c>
      <c r="C15" s="24">
        <v>239.6</v>
      </c>
    </row>
    <row r="16" spans="1:3" x14ac:dyDescent="0.25">
      <c r="A16" s="23" t="s">
        <v>322</v>
      </c>
      <c r="B16" s="16">
        <v>14</v>
      </c>
      <c r="C16" s="24">
        <v>258.89999999999998</v>
      </c>
    </row>
    <row r="17" spans="1:3" x14ac:dyDescent="0.25">
      <c r="A17" s="23" t="s">
        <v>325</v>
      </c>
      <c r="B17" s="16">
        <v>15</v>
      </c>
      <c r="C17" s="24">
        <v>264.10000000000002</v>
      </c>
    </row>
    <row r="18" spans="1:3" x14ac:dyDescent="0.25">
      <c r="A18" s="23" t="s">
        <v>326</v>
      </c>
      <c r="B18" s="16">
        <v>16</v>
      </c>
      <c r="C18" s="24">
        <v>180.1</v>
      </c>
    </row>
    <row r="19" spans="1:3" x14ac:dyDescent="0.25">
      <c r="A19" s="23" t="s">
        <v>327</v>
      </c>
      <c r="B19" s="16">
        <v>17</v>
      </c>
      <c r="C19" s="24">
        <v>181.7</v>
      </c>
    </row>
    <row r="20" spans="1:3" x14ac:dyDescent="0.25">
      <c r="A20" s="23" t="s">
        <v>328</v>
      </c>
      <c r="B20" s="16">
        <v>18</v>
      </c>
      <c r="C20" s="24">
        <v>383.8</v>
      </c>
    </row>
    <row r="21" spans="1:3" x14ac:dyDescent="0.25">
      <c r="A21" s="23" t="s">
        <v>329</v>
      </c>
      <c r="B21" s="16">
        <v>19</v>
      </c>
      <c r="C21" s="24">
        <v>221.8</v>
      </c>
    </row>
    <row r="22" spans="1:3" x14ac:dyDescent="0.25">
      <c r="A22" s="23" t="s">
        <v>330</v>
      </c>
      <c r="B22" s="16">
        <v>21</v>
      </c>
      <c r="C22" s="24">
        <v>266.7</v>
      </c>
    </row>
    <row r="23" spans="1:3" x14ac:dyDescent="0.25">
      <c r="A23" s="23" t="s">
        <v>331</v>
      </c>
      <c r="B23" s="16">
        <v>22</v>
      </c>
      <c r="C23" s="24">
        <v>267.39999999999998</v>
      </c>
    </row>
    <row r="24" spans="1:3" x14ac:dyDescent="0.25">
      <c r="A24" s="23" t="s">
        <v>332</v>
      </c>
      <c r="B24" s="16">
        <v>23</v>
      </c>
      <c r="C24" s="24">
        <v>221.8</v>
      </c>
    </row>
    <row r="25" spans="1:3" x14ac:dyDescent="0.25">
      <c r="A25" s="23" t="s">
        <v>333</v>
      </c>
      <c r="B25" s="16">
        <v>24</v>
      </c>
      <c r="C25" s="24">
        <v>259.8</v>
      </c>
    </row>
    <row r="26" spans="1:3" x14ac:dyDescent="0.25">
      <c r="A26" s="23" t="s">
        <v>334</v>
      </c>
      <c r="B26" s="16">
        <v>25</v>
      </c>
      <c r="C26" s="24">
        <v>279.7</v>
      </c>
    </row>
    <row r="27" spans="1:3" x14ac:dyDescent="0.25">
      <c r="A27" s="23" t="s">
        <v>335</v>
      </c>
      <c r="B27" s="16">
        <v>26</v>
      </c>
      <c r="C27" s="24">
        <v>286.3</v>
      </c>
    </row>
    <row r="28" spans="1:3" x14ac:dyDescent="0.25">
      <c r="A28" s="23" t="s">
        <v>336</v>
      </c>
      <c r="B28" s="16">
        <v>27</v>
      </c>
      <c r="C28" s="24">
        <v>293.60000000000002</v>
      </c>
    </row>
    <row r="29" spans="1:3" x14ac:dyDescent="0.25">
      <c r="A29" s="23" t="s">
        <v>337</v>
      </c>
      <c r="B29" s="16">
        <v>28</v>
      </c>
      <c r="C29" s="24">
        <v>243.7</v>
      </c>
    </row>
    <row r="30" spans="1:3" x14ac:dyDescent="0.25">
      <c r="A30" s="23" t="s">
        <v>338</v>
      </c>
      <c r="B30" s="16">
        <v>29</v>
      </c>
      <c r="C30" s="24">
        <v>273.7</v>
      </c>
    </row>
    <row r="31" spans="1:3" x14ac:dyDescent="0.25">
      <c r="A31" s="23" t="s">
        <v>339</v>
      </c>
      <c r="B31" s="16">
        <v>30</v>
      </c>
      <c r="C31" s="24">
        <v>262.7</v>
      </c>
    </row>
    <row r="32" spans="1:3" x14ac:dyDescent="0.25">
      <c r="A32" s="23" t="s">
        <v>342</v>
      </c>
      <c r="B32" s="16">
        <v>31</v>
      </c>
      <c r="C32" s="24">
        <v>182.5</v>
      </c>
    </row>
    <row r="33" spans="1:3" x14ac:dyDescent="0.25">
      <c r="A33" s="23" t="s">
        <v>343</v>
      </c>
      <c r="B33" s="16">
        <v>32</v>
      </c>
      <c r="C33" s="24">
        <v>203.3</v>
      </c>
    </row>
    <row r="34" spans="1:3" x14ac:dyDescent="0.25">
      <c r="A34" s="23" t="s">
        <v>344</v>
      </c>
      <c r="B34" s="16">
        <v>33</v>
      </c>
      <c r="C34" s="24">
        <v>195.5</v>
      </c>
    </row>
    <row r="35" spans="1:3" x14ac:dyDescent="0.25">
      <c r="A35" s="23" t="s">
        <v>345</v>
      </c>
      <c r="B35" s="16">
        <v>34</v>
      </c>
      <c r="C35" s="24">
        <v>262.7</v>
      </c>
    </row>
    <row r="36" spans="1:3" x14ac:dyDescent="0.25">
      <c r="A36" s="23" t="s">
        <v>346</v>
      </c>
      <c r="B36" s="16">
        <v>35</v>
      </c>
      <c r="C36" s="24">
        <v>236.2</v>
      </c>
    </row>
    <row r="37" spans="1:3" x14ac:dyDescent="0.25">
      <c r="A37" s="23" t="s">
        <v>347</v>
      </c>
      <c r="B37" s="16">
        <v>36</v>
      </c>
      <c r="C37" s="24">
        <v>225</v>
      </c>
    </row>
    <row r="38" spans="1:3" x14ac:dyDescent="0.25">
      <c r="A38" s="23" t="s">
        <v>348</v>
      </c>
      <c r="B38" s="16">
        <v>37</v>
      </c>
      <c r="C38" s="24">
        <v>229.6</v>
      </c>
    </row>
    <row r="39" spans="1:3" x14ac:dyDescent="0.25">
      <c r="A39" s="23" t="s">
        <v>351</v>
      </c>
      <c r="B39" s="16">
        <v>38</v>
      </c>
      <c r="C39" s="24">
        <v>262.3</v>
      </c>
    </row>
    <row r="40" spans="1:3" x14ac:dyDescent="0.25">
      <c r="A40" s="23" t="s">
        <v>352</v>
      </c>
      <c r="B40" s="16">
        <v>39</v>
      </c>
      <c r="C40" s="24">
        <v>269.7</v>
      </c>
    </row>
    <row r="41" spans="1:3" x14ac:dyDescent="0.25">
      <c r="A41" s="23" t="s">
        <v>353</v>
      </c>
      <c r="B41" s="16">
        <v>40</v>
      </c>
      <c r="C41" s="24">
        <v>157.30000000000001</v>
      </c>
    </row>
    <row r="42" spans="1:3" x14ac:dyDescent="0.25">
      <c r="A42" s="23" t="s">
        <v>354</v>
      </c>
      <c r="B42" s="16">
        <v>41</v>
      </c>
      <c r="C42" s="24">
        <v>243.7</v>
      </c>
    </row>
    <row r="43" spans="1:3" x14ac:dyDescent="0.25">
      <c r="A43" s="23" t="s">
        <v>355</v>
      </c>
      <c r="B43" s="16">
        <v>42</v>
      </c>
      <c r="C43" s="24">
        <v>229.1</v>
      </c>
    </row>
    <row r="44" spans="1:3" x14ac:dyDescent="0.25">
      <c r="A44" s="23" t="s">
        <v>356</v>
      </c>
      <c r="B44" s="16">
        <v>43</v>
      </c>
      <c r="C44" s="24">
        <v>259.60000000000002</v>
      </c>
    </row>
    <row r="45" spans="1:3" x14ac:dyDescent="0.25">
      <c r="A45" s="23" t="s">
        <v>357</v>
      </c>
      <c r="B45" s="16">
        <v>44</v>
      </c>
      <c r="C45" s="24">
        <v>249.2</v>
      </c>
    </row>
    <row r="46" spans="1:3" x14ac:dyDescent="0.25">
      <c r="A46" s="23" t="s">
        <v>358</v>
      </c>
      <c r="B46" s="16">
        <v>45</v>
      </c>
      <c r="C46" s="24">
        <v>229.2</v>
      </c>
    </row>
    <row r="47" spans="1:3" x14ac:dyDescent="0.25">
      <c r="A47" s="23" t="s">
        <v>359</v>
      </c>
      <c r="B47" s="16">
        <v>46</v>
      </c>
      <c r="C47" s="24">
        <v>232.4</v>
      </c>
    </row>
    <row r="48" spans="1:3" x14ac:dyDescent="0.25">
      <c r="A48" s="23" t="s">
        <v>360</v>
      </c>
      <c r="B48" s="16">
        <v>47</v>
      </c>
      <c r="C48" s="24">
        <v>259.8</v>
      </c>
    </row>
    <row r="49" spans="1:3" x14ac:dyDescent="0.25">
      <c r="A49" s="23" t="s">
        <v>361</v>
      </c>
      <c r="B49" s="16">
        <v>48</v>
      </c>
      <c r="C49" s="24">
        <v>325.89999999999998</v>
      </c>
    </row>
    <row r="50" spans="1:3" x14ac:dyDescent="0.25">
      <c r="A50" s="23" t="s">
        <v>362</v>
      </c>
      <c r="B50" s="16">
        <v>49</v>
      </c>
      <c r="C50" s="24">
        <v>219.7</v>
      </c>
    </row>
    <row r="51" spans="1:3" x14ac:dyDescent="0.25">
      <c r="A51" s="23" t="s">
        <v>363</v>
      </c>
      <c r="B51" s="16">
        <v>50</v>
      </c>
      <c r="C51" s="24">
        <v>281.8</v>
      </c>
    </row>
    <row r="52" spans="1:3" x14ac:dyDescent="0.25">
      <c r="A52" s="23" t="s">
        <v>364</v>
      </c>
      <c r="B52" s="16">
        <v>51</v>
      </c>
      <c r="C52" s="24">
        <v>288.89999999999998</v>
      </c>
    </row>
    <row r="53" spans="1:3" x14ac:dyDescent="0.25">
      <c r="A53" s="23" t="s">
        <v>365</v>
      </c>
      <c r="B53" s="16">
        <v>52</v>
      </c>
      <c r="C53" s="24">
        <v>333.9</v>
      </c>
    </row>
    <row r="54" spans="1:3" x14ac:dyDescent="0.25">
      <c r="A54" s="23" t="s">
        <v>366</v>
      </c>
      <c r="B54" s="16">
        <v>53</v>
      </c>
      <c r="C54" s="24">
        <v>248.8</v>
      </c>
    </row>
    <row r="55" spans="1:3" x14ac:dyDescent="0.25">
      <c r="A55" s="23" t="s">
        <v>367</v>
      </c>
      <c r="B55" s="16">
        <v>54</v>
      </c>
      <c r="C55" s="24">
        <v>305.7</v>
      </c>
    </row>
    <row r="56" spans="1:3" x14ac:dyDescent="0.25">
      <c r="A56" s="23" t="s">
        <v>368</v>
      </c>
      <c r="B56" s="16">
        <v>55</v>
      </c>
      <c r="C56" s="24">
        <v>323.5</v>
      </c>
    </row>
    <row r="57" spans="1:3" x14ac:dyDescent="0.25">
      <c r="A57" s="23" t="s">
        <v>369</v>
      </c>
      <c r="B57" s="16">
        <v>56</v>
      </c>
      <c r="C57" s="24">
        <v>272</v>
      </c>
    </row>
    <row r="58" spans="1:3" x14ac:dyDescent="0.25">
      <c r="A58" s="23" t="s">
        <v>370</v>
      </c>
      <c r="B58" s="16">
        <v>57</v>
      </c>
      <c r="C58" s="24">
        <v>321</v>
      </c>
    </row>
    <row r="59" spans="1:3" x14ac:dyDescent="0.25">
      <c r="A59" s="23" t="s">
        <v>371</v>
      </c>
      <c r="B59" s="16">
        <v>58</v>
      </c>
      <c r="C59" s="24">
        <v>368.3</v>
      </c>
    </row>
    <row r="60" spans="1:3" x14ac:dyDescent="0.25">
      <c r="A60" s="23" t="s">
        <v>372</v>
      </c>
      <c r="B60" s="16">
        <v>59</v>
      </c>
      <c r="C60" s="24">
        <v>290.7</v>
      </c>
    </row>
    <row r="61" spans="1:3" x14ac:dyDescent="0.25">
      <c r="A61" s="23" t="s">
        <v>373</v>
      </c>
      <c r="B61" s="16">
        <v>60</v>
      </c>
      <c r="C61" s="24">
        <v>269.2</v>
      </c>
    </row>
    <row r="62" spans="1:3" x14ac:dyDescent="0.25">
      <c r="A62" s="23" t="s">
        <v>374</v>
      </c>
      <c r="B62" s="16">
        <v>61</v>
      </c>
      <c r="C62" s="24">
        <v>270.60000000000002</v>
      </c>
    </row>
    <row r="63" spans="1:3" x14ac:dyDescent="0.25">
      <c r="A63" s="23" t="s">
        <v>375</v>
      </c>
      <c r="B63" s="16">
        <v>62</v>
      </c>
      <c r="C63" s="24">
        <v>293.3</v>
      </c>
    </row>
    <row r="64" spans="1:3" x14ac:dyDescent="0.25">
      <c r="A64" s="23" t="s">
        <v>378</v>
      </c>
      <c r="B64" s="16">
        <v>63</v>
      </c>
      <c r="C64" s="24">
        <v>236.4</v>
      </c>
    </row>
    <row r="65" spans="1:3" x14ac:dyDescent="0.25">
      <c r="A65" s="23" t="s">
        <v>381</v>
      </c>
      <c r="B65" s="16">
        <v>64</v>
      </c>
      <c r="C65" s="24">
        <v>141.1</v>
      </c>
    </row>
    <row r="66" spans="1:3" x14ac:dyDescent="0.25">
      <c r="A66" s="23" t="s">
        <v>384</v>
      </c>
      <c r="B66" s="16">
        <v>65</v>
      </c>
      <c r="C66" s="24">
        <v>147.30000000000001</v>
      </c>
    </row>
    <row r="67" spans="1:3" x14ac:dyDescent="0.25">
      <c r="A67" s="23" t="s">
        <v>385</v>
      </c>
      <c r="B67" s="16">
        <v>66</v>
      </c>
      <c r="C67" s="24">
        <v>192.9</v>
      </c>
    </row>
    <row r="68" spans="1:3" x14ac:dyDescent="0.25">
      <c r="A68" s="23" t="s">
        <v>386</v>
      </c>
      <c r="B68" s="16">
        <v>67</v>
      </c>
      <c r="C68" s="24">
        <v>294.7</v>
      </c>
    </row>
    <row r="69" spans="1:3" x14ac:dyDescent="0.25">
      <c r="A69" s="23" t="s">
        <v>387</v>
      </c>
      <c r="B69" s="16">
        <v>68</v>
      </c>
      <c r="C69" s="24">
        <v>309.8</v>
      </c>
    </row>
    <row r="70" spans="1:3" x14ac:dyDescent="0.25">
      <c r="A70" s="23" t="s">
        <v>388</v>
      </c>
      <c r="B70" s="16">
        <v>69</v>
      </c>
      <c r="C70" s="24">
        <v>225.6</v>
      </c>
    </row>
    <row r="71" spans="1:3" x14ac:dyDescent="0.25">
      <c r="A71" s="23" t="s">
        <v>389</v>
      </c>
      <c r="B71" s="16">
        <v>70</v>
      </c>
      <c r="C71" s="24">
        <v>314.2</v>
      </c>
    </row>
    <row r="72" spans="1:3" x14ac:dyDescent="0.25">
      <c r="A72" s="23" t="s">
        <v>390</v>
      </c>
      <c r="B72" s="16">
        <v>71</v>
      </c>
      <c r="C72" s="24">
        <v>255.5</v>
      </c>
    </row>
    <row r="73" spans="1:3" x14ac:dyDescent="0.25">
      <c r="A73" s="23" t="s">
        <v>391</v>
      </c>
      <c r="B73" s="16">
        <v>72</v>
      </c>
      <c r="C73" s="24">
        <v>228.6</v>
      </c>
    </row>
    <row r="74" spans="1:3" x14ac:dyDescent="0.25">
      <c r="A74" s="23" t="s">
        <v>394</v>
      </c>
      <c r="B74" s="16">
        <v>73</v>
      </c>
      <c r="C74" s="24">
        <v>245.7</v>
      </c>
    </row>
    <row r="75" spans="1:3" x14ac:dyDescent="0.25">
      <c r="A75" s="23" t="s">
        <v>397</v>
      </c>
      <c r="B75" s="16">
        <v>74</v>
      </c>
      <c r="C75" s="24">
        <v>261.7</v>
      </c>
    </row>
    <row r="76" spans="1:3" x14ac:dyDescent="0.25">
      <c r="A76" s="23" t="s">
        <v>398</v>
      </c>
      <c r="B76" s="16">
        <v>75</v>
      </c>
      <c r="C76" s="24">
        <v>263.10000000000002</v>
      </c>
    </row>
    <row r="77" spans="1:3" x14ac:dyDescent="0.25">
      <c r="A77" s="23" t="s">
        <v>399</v>
      </c>
      <c r="B77" s="16">
        <v>76</v>
      </c>
      <c r="C77" s="24">
        <v>295.7</v>
      </c>
    </row>
    <row r="78" spans="1:3" x14ac:dyDescent="0.25">
      <c r="A78" s="23" t="s">
        <v>400</v>
      </c>
      <c r="B78" s="16">
        <v>77</v>
      </c>
      <c r="C78" s="24">
        <v>263.2</v>
      </c>
    </row>
    <row r="79" spans="1:3" x14ac:dyDescent="0.25">
      <c r="A79" s="23" t="s">
        <v>401</v>
      </c>
      <c r="B79" s="16">
        <v>78</v>
      </c>
      <c r="C79" s="24">
        <v>263.10000000000002</v>
      </c>
    </row>
    <row r="80" spans="1:3" x14ac:dyDescent="0.25">
      <c r="A80" s="23" t="s">
        <v>402</v>
      </c>
      <c r="B80" s="16">
        <v>79</v>
      </c>
      <c r="C80" s="24">
        <v>225</v>
      </c>
    </row>
    <row r="81" spans="1:3" x14ac:dyDescent="0.25">
      <c r="A81" s="23" t="s">
        <v>403</v>
      </c>
      <c r="B81" s="16">
        <v>80</v>
      </c>
      <c r="C81" s="24">
        <v>302</v>
      </c>
    </row>
    <row r="82" spans="1:3" x14ac:dyDescent="0.25">
      <c r="A82" s="23" t="s">
        <v>404</v>
      </c>
      <c r="B82" s="16">
        <v>81</v>
      </c>
      <c r="C82" s="24">
        <v>207.3</v>
      </c>
    </row>
    <row r="83" spans="1:3" x14ac:dyDescent="0.25">
      <c r="A83" s="23" t="s">
        <v>405</v>
      </c>
      <c r="B83" s="16">
        <v>82</v>
      </c>
      <c r="C83" s="24">
        <v>172.2</v>
      </c>
    </row>
    <row r="84" spans="1:3" x14ac:dyDescent="0.25">
      <c r="A84" s="23" t="s">
        <v>406</v>
      </c>
      <c r="B84" s="16">
        <v>83</v>
      </c>
      <c r="C84" s="24">
        <v>262.7</v>
      </c>
    </row>
    <row r="85" spans="1:3" x14ac:dyDescent="0.25">
      <c r="A85" s="23" t="s">
        <v>407</v>
      </c>
      <c r="B85" s="16">
        <v>84</v>
      </c>
      <c r="C85" s="24">
        <v>226.5</v>
      </c>
    </row>
    <row r="86" spans="1:3" x14ac:dyDescent="0.25">
      <c r="A86" s="23" t="s">
        <v>408</v>
      </c>
      <c r="B86" s="16">
        <v>85</v>
      </c>
      <c r="C86" s="24">
        <v>218.6</v>
      </c>
    </row>
    <row r="87" spans="1:3" x14ac:dyDescent="0.25">
      <c r="A87" s="23" t="s">
        <v>409</v>
      </c>
      <c r="B87" s="16">
        <v>86</v>
      </c>
      <c r="C87" s="24">
        <v>208.9</v>
      </c>
    </row>
    <row r="88" spans="1:3" x14ac:dyDescent="0.25">
      <c r="A88" s="23" t="s">
        <v>410</v>
      </c>
      <c r="B88" s="16">
        <v>87</v>
      </c>
      <c r="C88" s="24">
        <v>205.7</v>
      </c>
    </row>
    <row r="89" spans="1:3" x14ac:dyDescent="0.25">
      <c r="A89" s="23" t="s">
        <v>411</v>
      </c>
      <c r="B89" s="16">
        <v>88</v>
      </c>
      <c r="C89" s="24">
        <v>319</v>
      </c>
    </row>
    <row r="90" spans="1:3" x14ac:dyDescent="0.25">
      <c r="A90" s="23" t="s">
        <v>412</v>
      </c>
      <c r="B90" s="16">
        <v>89</v>
      </c>
      <c r="C90" s="24">
        <v>364.6</v>
      </c>
    </row>
    <row r="91" spans="1:3" x14ac:dyDescent="0.25">
      <c r="A91" s="23" t="s">
        <v>413</v>
      </c>
      <c r="B91" s="16">
        <v>90</v>
      </c>
      <c r="C91" s="24">
        <v>294.2</v>
      </c>
    </row>
    <row r="92" spans="1:3" x14ac:dyDescent="0.25">
      <c r="A92" s="23" t="s">
        <v>414</v>
      </c>
      <c r="B92" s="16">
        <v>91</v>
      </c>
      <c r="C92" s="24">
        <v>263.10000000000002</v>
      </c>
    </row>
    <row r="93" spans="1:3" x14ac:dyDescent="0.25">
      <c r="A93" s="23" t="s">
        <v>415</v>
      </c>
      <c r="B93" s="16">
        <v>92</v>
      </c>
      <c r="C93" s="24">
        <v>263.10000000000002</v>
      </c>
    </row>
    <row r="94" spans="1:3" x14ac:dyDescent="0.25">
      <c r="A94" s="23" t="s">
        <v>416</v>
      </c>
      <c r="B94" s="16">
        <v>93</v>
      </c>
      <c r="C94" s="24">
        <v>263.10000000000002</v>
      </c>
    </row>
    <row r="95" spans="1:3" x14ac:dyDescent="0.25">
      <c r="A95" s="23" t="s">
        <v>417</v>
      </c>
      <c r="B95" s="16">
        <v>94</v>
      </c>
      <c r="C95" s="24">
        <v>263.10000000000002</v>
      </c>
    </row>
    <row r="96" spans="1:3" x14ac:dyDescent="0.25">
      <c r="A96" s="23" t="s">
        <v>418</v>
      </c>
      <c r="B96" s="16">
        <v>95</v>
      </c>
      <c r="C96" s="24">
        <v>263.10000000000002</v>
      </c>
    </row>
    <row r="97" spans="1:3" x14ac:dyDescent="0.25">
      <c r="A97" s="23" t="s">
        <v>419</v>
      </c>
      <c r="B97" s="16">
        <v>98</v>
      </c>
      <c r="C97" s="24">
        <v>321.89999999999998</v>
      </c>
    </row>
    <row r="98" spans="1:3" x14ac:dyDescent="0.25">
      <c r="A98" s="23" t="s">
        <v>523</v>
      </c>
      <c r="B98" s="16" t="s">
        <v>420</v>
      </c>
      <c r="C98" s="24">
        <v>270</v>
      </c>
    </row>
    <row r="99" spans="1:3" x14ac:dyDescent="0.25">
      <c r="A99" s="23" t="s">
        <v>522</v>
      </c>
      <c r="B99" s="16" t="s">
        <v>520</v>
      </c>
      <c r="C99" s="24">
        <v>429.62</v>
      </c>
    </row>
    <row r="100" spans="1:3" x14ac:dyDescent="0.25">
      <c r="A100" s="23" t="s">
        <v>525</v>
      </c>
      <c r="B100" s="16" t="s">
        <v>527</v>
      </c>
      <c r="C100" s="24">
        <v>337.74</v>
      </c>
    </row>
    <row r="101" spans="1:3" x14ac:dyDescent="0.25">
      <c r="A101" s="160" t="s">
        <v>526</v>
      </c>
      <c r="B101" s="159" t="s">
        <v>524</v>
      </c>
      <c r="C101" s="161">
        <v>308.89</v>
      </c>
    </row>
  </sheetData>
  <sheetProtection algorithmName="SHA-512" hashValue="roV3BFJ9cDUO/oVBL2dBliFxkR3sDQGlErFiq2ZnHjlcGs6YA80Xi/6Zm8SQlVeEg0xxNG5MNDpCoNO8Y8SwmA==" saltValue="IX/0+vOUg1BkSnR9N81fPw==" spinCount="100000" sheet="1" objects="1" scenarios="1"/>
  <pageMargins left="0" right="0" top="0.90551181102362177" bottom="0.90551181102362177" header="0" footer="0"/>
  <pageSetup paperSize="9" fitToHeight="0" orientation="portrait" verticalDpi="0"/>
  <headerFooter>
    <oddHeader>&amp;L&amp;G&amp;R&amp;"Arial,Italique"&amp;8Edité le &amp;D à &amp;T</oddHeader>
    <oddFooter>&amp;R&amp;9&amp;P / &amp;N&amp;C&amp;"Arial,Italique"&amp;6DOCUMENT CONFIDENTIEL_x000D_Toute reproduction, traduction, adaptation et divulgation est strictement interdite sauf accord écrit de son émetteur._x000D_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7"/>
  <dimension ref="A1:F270"/>
  <sheetViews>
    <sheetView showGridLines="0" zoomScale="75" workbookViewId="0">
      <pane ySplit="3" topLeftCell="A184" activePane="bottomLeft" state="frozen"/>
      <selection activeCell="F19" sqref="F19"/>
      <selection pane="bottomLeft" activeCell="D2" sqref="D2"/>
    </sheetView>
  </sheetViews>
  <sheetFormatPr baseColWidth="10" defaultColWidth="0" defaultRowHeight="18" zeroHeight="1" outlineLevelRow="1" outlineLevelCol="1" x14ac:dyDescent="0.25"/>
  <cols>
    <col min="1" max="1" width="22.140625" style="29" customWidth="1" outlineLevel="1"/>
    <col min="2" max="2" width="89.85546875" style="28" customWidth="1" outlineLevel="1"/>
    <col min="3" max="3" width="31.42578125" style="30" customWidth="1" outlineLevel="1"/>
    <col min="4" max="4" width="27" style="31" customWidth="1" outlineLevel="1"/>
    <col min="5" max="5" width="3.85546875" style="32" customWidth="1"/>
    <col min="6" max="6" width="0" style="28" hidden="1" customWidth="1"/>
    <col min="7" max="16384" width="11.42578125" style="28" hidden="1"/>
  </cols>
  <sheetData>
    <row r="1" spans="1:5" s="33" customFormat="1" ht="43.5" outlineLevel="1" thickTop="1" x14ac:dyDescent="0.25">
      <c r="A1" s="71" t="s">
        <v>424</v>
      </c>
      <c r="B1" s="488" t="s">
        <v>425</v>
      </c>
      <c r="C1" s="489"/>
      <c r="D1" s="489"/>
      <c r="E1" s="34"/>
    </row>
    <row r="2" spans="1:5" s="35" customFormat="1" ht="33.75" customHeight="1" outlineLevel="1" thickBot="1" x14ac:dyDescent="0.3">
      <c r="A2" s="72" t="e">
        <f>#REF!</f>
        <v>#REF!</v>
      </c>
      <c r="B2" s="78" t="s">
        <v>426</v>
      </c>
      <c r="C2" s="79" t="s">
        <v>427</v>
      </c>
      <c r="D2" s="36" t="e">
        <f>SUM(D4:D250)</f>
        <v>#REF!</v>
      </c>
      <c r="E2" s="37"/>
    </row>
    <row r="3" spans="1:5" s="38" customFormat="1" ht="24" outlineLevel="1" thickTop="1" x14ac:dyDescent="0.25">
      <c r="A3" s="70" t="s">
        <v>428</v>
      </c>
      <c r="B3" s="39" t="s">
        <v>429</v>
      </c>
      <c r="C3" s="39" t="s">
        <v>430</v>
      </c>
      <c r="D3" s="40" t="s">
        <v>431</v>
      </c>
      <c r="E3" s="41"/>
    </row>
    <row r="4" spans="1:5" ht="36" x14ac:dyDescent="0.25">
      <c r="A4" s="68">
        <f>BDD!A2</f>
        <v>6096</v>
      </c>
      <c r="B4" s="42" t="str">
        <f>BDD!D2</f>
        <v>Acai Iofilizado en polvo BIO (env. 250 grs.) ¡¡¡Calidad superior!!! Conservacion refrigerada</v>
      </c>
      <c r="C4" s="43" t="str">
        <f>BDD!E2</f>
        <v>Brasil</v>
      </c>
      <c r="D4" s="44" t="e">
        <f>#REF!</f>
        <v>#REF!</v>
      </c>
      <c r="E4" s="28"/>
    </row>
    <row r="5" spans="1:5" x14ac:dyDescent="0.25">
      <c r="A5" s="68" t="str">
        <f>BDD!A3</f>
        <v>1100-1312</v>
      </c>
      <c r="B5" s="42" t="str">
        <f>BDD!D3</f>
        <v>Ajo blanco o morado BIO</v>
      </c>
      <c r="C5" s="43" t="str">
        <f>BDD!E3</f>
        <v>Málaga</v>
      </c>
      <c r="D5" s="44" t="e">
        <f>#REF!</f>
        <v>#REF!</v>
      </c>
      <c r="E5" s="28"/>
    </row>
    <row r="6" spans="1:5" x14ac:dyDescent="0.25">
      <c r="A6" s="68">
        <f>BDD!A4</f>
        <v>1497</v>
      </c>
      <c r="B6" s="42" t="str">
        <f>BDD!D4</f>
        <v>Alga Chlorella polvo BIO (env. 1 kg.)</v>
      </c>
      <c r="C6" s="43" t="str">
        <f>BDD!E4</f>
        <v>India</v>
      </c>
      <c r="D6" s="44" t="e">
        <f>#REF!</f>
        <v>#REF!</v>
      </c>
      <c r="E6" s="28"/>
    </row>
    <row r="7" spans="1:5" x14ac:dyDescent="0.25">
      <c r="A7" s="68">
        <f>BDD!A5</f>
        <v>1497</v>
      </c>
      <c r="B7" s="42" t="str">
        <f>BDD!D5</f>
        <v>Alga Chlorella polvo BIO (env. 500 grs.)</v>
      </c>
      <c r="C7" s="43" t="str">
        <f>BDD!E5</f>
        <v>India</v>
      </c>
      <c r="D7" s="44" t="e">
        <f>#REF!</f>
        <v>#REF!</v>
      </c>
      <c r="E7" s="28"/>
    </row>
    <row r="8" spans="1:5" x14ac:dyDescent="0.25">
      <c r="A8" s="68">
        <f>BDD!A6</f>
        <v>1189</v>
      </c>
      <c r="B8" s="42" t="str">
        <f>BDD!D6</f>
        <v>Alga Dulse deshidratada BIO (env. 1 kg.)</v>
      </c>
      <c r="C8" s="43" t="str">
        <f>BDD!E6</f>
        <v>Irlande</v>
      </c>
      <c r="D8" s="44" t="e">
        <f>#REF!</f>
        <v>#REF!</v>
      </c>
      <c r="E8" s="28"/>
    </row>
    <row r="9" spans="1:5" s="45" customFormat="1" ht="19.5" x14ac:dyDescent="0.25">
      <c r="A9" s="68">
        <f>BDD!A7</f>
        <v>1189</v>
      </c>
      <c r="B9" s="42" t="str">
        <f>BDD!D7</f>
        <v>Alga Dulse deshidratada BIO (env. 500 grs.)</v>
      </c>
      <c r="C9" s="43" t="str">
        <f>BDD!E7</f>
        <v>Irlande</v>
      </c>
      <c r="D9" s="44" t="e">
        <f>#REF!</f>
        <v>#REF!</v>
      </c>
      <c r="E9" s="46"/>
    </row>
    <row r="10" spans="1:5" s="45" customFormat="1" ht="19.5" x14ac:dyDescent="0.25">
      <c r="A10" s="68">
        <f>BDD!A8</f>
        <v>6073</v>
      </c>
      <c r="B10" s="42" t="str">
        <f>BDD!D8</f>
        <v>Alga Kombu deshidratada BIO (env. 1 kg.)</v>
      </c>
      <c r="C10" s="43" t="str">
        <f>BDD!E8</f>
        <v>Galicia</v>
      </c>
      <c r="D10" s="44" t="e">
        <f>#REF!</f>
        <v>#REF!</v>
      </c>
      <c r="E10" s="46"/>
    </row>
    <row r="11" spans="1:5" x14ac:dyDescent="0.25">
      <c r="A11" s="68">
        <f>BDD!A9</f>
        <v>6073</v>
      </c>
      <c r="B11" s="42" t="str">
        <f>BDD!D9</f>
        <v>Alga Kombu deshidratada BIO (env. 500 grs.)</v>
      </c>
      <c r="C11" s="43" t="str">
        <f>BDD!E9</f>
        <v>Galicia</v>
      </c>
      <c r="D11" s="44" t="e">
        <f>#REF!</f>
        <v>#REF!</v>
      </c>
      <c r="E11" s="28"/>
    </row>
    <row r="12" spans="1:5" x14ac:dyDescent="0.25">
      <c r="A12" s="68">
        <f>BDD!A10</f>
        <v>1096</v>
      </c>
      <c r="B12" s="42" t="str">
        <f>BDD!D10</f>
        <v>Alga Kombu deshidratada BIO (env. 1 kg.)</v>
      </c>
      <c r="C12" s="43" t="str">
        <f>BDD!E10</f>
        <v>Galicia</v>
      </c>
      <c r="D12" s="44" t="e">
        <f>#REF!</f>
        <v>#REF!</v>
      </c>
      <c r="E12" s="28"/>
    </row>
    <row r="13" spans="1:5" s="38" customFormat="1" x14ac:dyDescent="0.25">
      <c r="A13" s="68">
        <f>BDD!A11</f>
        <v>1096</v>
      </c>
      <c r="B13" s="42" t="str">
        <f>BDD!D11</f>
        <v>Alga Nori entera deshidratada BIO (env. 500 grs.)</v>
      </c>
      <c r="C13" s="43" t="str">
        <f>BDD!E11</f>
        <v>Galicia</v>
      </c>
      <c r="D13" s="44" t="e">
        <f>#REF!</f>
        <v>#REF!</v>
      </c>
      <c r="E13" s="41"/>
    </row>
    <row r="14" spans="1:5" ht="36" x14ac:dyDescent="0.25">
      <c r="A14" s="68">
        <f>BDD!A12</f>
        <v>1102</v>
      </c>
      <c r="B14" s="42" t="str">
        <f>BDD!D12</f>
        <v>Aloe Vera hoja fresca BIO (por pieza) ¡¡¡Plantas con más de 40 años!!!</v>
      </c>
      <c r="C14" s="43" t="str">
        <f>BDD!E12</f>
        <v>Málaga</v>
      </c>
      <c r="D14" s="44" t="e">
        <f>#REF!</f>
        <v>#REF!</v>
      </c>
      <c r="E14" s="28"/>
    </row>
    <row r="15" spans="1:5" s="45" customFormat="1" ht="19.5" x14ac:dyDescent="0.25">
      <c r="A15" s="68">
        <f>BDD!A13</f>
        <v>5035</v>
      </c>
      <c r="B15" s="42" t="str">
        <f>BDD!D13</f>
        <v>Almendra Desmayo con cáscara local</v>
      </c>
      <c r="C15" s="43" t="str">
        <f>BDD!E13</f>
        <v>Granada</v>
      </c>
      <c r="D15" s="44" t="e">
        <f>#REF!</f>
        <v>#REF!</v>
      </c>
      <c r="E15" s="46"/>
    </row>
    <row r="16" spans="1:5" ht="54" x14ac:dyDescent="0.25">
      <c r="A16" s="68">
        <f>BDD!A14</f>
        <v>5147</v>
      </c>
      <c r="B16" s="42" t="str">
        <f>BDD!D14</f>
        <v>Almendra Lauren con cáscara semimollar. Sabor dulce, nueva cosecha, local (procedente de finca con cultivo orgánico sin certificar)</v>
      </c>
      <c r="C16" s="43" t="str">
        <f>BDD!E14</f>
        <v>Granada</v>
      </c>
      <c r="D16" s="44" t="e">
        <f>#REF!</f>
        <v>#REF!</v>
      </c>
      <c r="E16" s="28"/>
    </row>
    <row r="17" spans="1:5" x14ac:dyDescent="0.25">
      <c r="A17" s="68">
        <f>BDD!A15</f>
        <v>5127</v>
      </c>
      <c r="B17" s="42" t="str">
        <f>BDD!D15</f>
        <v>Almendra Romera con cáscara local</v>
      </c>
      <c r="C17" s="43" t="str">
        <f>BDD!E15</f>
        <v>Málaga</v>
      </c>
      <c r="D17" s="44" t="e">
        <f>#REF!</f>
        <v>#REF!</v>
      </c>
      <c r="E17" s="28"/>
    </row>
    <row r="18" spans="1:5" x14ac:dyDescent="0.25">
      <c r="A18" s="68">
        <f>BDD!A16</f>
        <v>1197</v>
      </c>
      <c r="B18" s="42" t="str">
        <f>BDD!D16</f>
        <v>Almendra Comuna cruda sin cáscara BIO (env. 1 kg.)</v>
      </c>
      <c r="C18" s="43" t="str">
        <f>BDD!E16</f>
        <v>Granada</v>
      </c>
      <c r="D18" s="44" t="e">
        <f>#REF!</f>
        <v>#REF!</v>
      </c>
      <c r="E18" s="28"/>
    </row>
    <row r="19" spans="1:5" ht="36" x14ac:dyDescent="0.25">
      <c r="A19" s="68">
        <f>BDD!A17</f>
        <v>3020</v>
      </c>
      <c r="B19" s="42" t="str">
        <f>BDD!D17</f>
        <v>Piña madurada en planta (recibida por avión) ¡¡¡Súper buena, color intenso, muy aromática!!!</v>
      </c>
      <c r="C19" s="43" t="str">
        <f>BDD!E17</f>
        <v>Costa Rica</v>
      </c>
      <c r="D19" s="44" t="e">
        <f>#REF!</f>
        <v>#REF!</v>
      </c>
      <c r="E19" s="28"/>
    </row>
    <row r="20" spans="1:5" s="45" customFormat="1" ht="19.5" x14ac:dyDescent="0.25">
      <c r="A20" s="68">
        <f>BDD!A18</f>
        <v>1338</v>
      </c>
      <c r="B20" s="42" t="str">
        <f>BDD!D18</f>
        <v>Piña deshidratada BIO (env. 1 kg.)</v>
      </c>
      <c r="C20" s="43" t="str">
        <f>BDD!E18</f>
        <v>Costa Rica</v>
      </c>
      <c r="D20" s="44" t="e">
        <f>#REF!</f>
        <v>#REF!</v>
      </c>
      <c r="E20" s="46"/>
    </row>
    <row r="21" spans="1:5" x14ac:dyDescent="0.25">
      <c r="A21" s="68">
        <f>BDD!A19</f>
        <v>3785</v>
      </c>
      <c r="B21" s="42" t="str">
        <f>BDD!D19</f>
        <v>Cacahuete crudo con cáscara</v>
      </c>
      <c r="C21" s="43" t="str">
        <f>BDD!E19</f>
        <v>China</v>
      </c>
      <c r="D21" s="44" t="e">
        <f>#REF!</f>
        <v>#REF!</v>
      </c>
      <c r="E21" s="28"/>
    </row>
    <row r="22" spans="1:5" x14ac:dyDescent="0.25">
      <c r="A22" s="68">
        <f>BDD!A20</f>
        <v>1827</v>
      </c>
      <c r="B22" s="42" t="str">
        <f>BDD!D20</f>
        <v>Cacahuete crudo sin cáscara repelado BIO</v>
      </c>
      <c r="C22" s="43" t="str">
        <f>BDD!E20</f>
        <v>China</v>
      </c>
      <c r="D22" s="44" t="e">
        <f>#REF!</f>
        <v>#REF!</v>
      </c>
      <c r="E22" s="28"/>
    </row>
    <row r="23" spans="1:5" x14ac:dyDescent="0.25">
      <c r="A23" s="68">
        <f>BDD!A21</f>
        <v>1008</v>
      </c>
      <c r="B23" s="42" t="str">
        <f>BDD!D21</f>
        <v>Berenjena BIO ¡¡¡Súper oferta!!!</v>
      </c>
      <c r="C23" s="43" t="str">
        <f>BDD!E21</f>
        <v>Málaga</v>
      </c>
      <c r="D23" s="44" t="e">
        <f>#REF!</f>
        <v>#REF!</v>
      </c>
      <c r="E23" s="28"/>
    </row>
    <row r="24" spans="1:5" x14ac:dyDescent="0.25">
      <c r="A24" s="68">
        <f>BDD!A22</f>
        <v>3001</v>
      </c>
      <c r="B24" s="42" t="str">
        <f>BDD!D22</f>
        <v>Aguacate Bacon local (nueva temporada, calibre grande)</v>
      </c>
      <c r="C24" s="43" t="str">
        <f>BDD!E22</f>
        <v>Granada</v>
      </c>
      <c r="D24" s="44" t="e">
        <f>#REF!</f>
        <v>#REF!</v>
      </c>
      <c r="E24" s="28"/>
    </row>
    <row r="25" spans="1:5" x14ac:dyDescent="0.25">
      <c r="A25" s="68">
        <f>BDD!A23</f>
        <v>1001</v>
      </c>
      <c r="B25" s="42" t="str">
        <f>BDD!D23</f>
        <v>Aguacate Bacon BIO</v>
      </c>
      <c r="C25" s="43" t="str">
        <f>BDD!E23</f>
        <v>Granada</v>
      </c>
      <c r="D25" s="44" t="e">
        <f>#REF!</f>
        <v>#REF!</v>
      </c>
      <c r="E25" s="28"/>
    </row>
    <row r="26" spans="1:5" s="45" customFormat="1" ht="19.5" x14ac:dyDescent="0.25">
      <c r="A26" s="68">
        <f>BDD!A24</f>
        <v>3944</v>
      </c>
      <c r="B26" s="42" t="str">
        <f>BDD!D24</f>
        <v>Aguacate Bacon cocktail local</v>
      </c>
      <c r="C26" s="43" t="str">
        <f>BDD!E24</f>
        <v>Granada</v>
      </c>
      <c r="D26" s="44" t="e">
        <f>#REF!</f>
        <v>#REF!</v>
      </c>
      <c r="E26" s="46"/>
    </row>
    <row r="27" spans="1:5" ht="36" x14ac:dyDescent="0.25">
      <c r="A27" s="68" t="str">
        <f>BDD!A25</f>
        <v>6119-1265</v>
      </c>
      <c r="B27" s="42" t="str">
        <f>BDD!D25</f>
        <v>Aguacate Bacon BIO Mediano (piezas 100 a 150 grs.) Finca con certificado ecológico desde 1985 ¡¡¡Oferta!!!</v>
      </c>
      <c r="C27" s="43" t="str">
        <f>BDD!E25</f>
        <v>Málaga</v>
      </c>
      <c r="D27" s="44" t="e">
        <f>#REF!</f>
        <v>#REF!</v>
      </c>
      <c r="E27" s="28"/>
    </row>
    <row r="28" spans="1:5" x14ac:dyDescent="0.25">
      <c r="A28" s="68">
        <f>BDD!A26</f>
        <v>3048</v>
      </c>
      <c r="B28" s="42" t="str">
        <f>BDD!D26</f>
        <v>Aguacate Fuerte local</v>
      </c>
      <c r="C28" s="43" t="str">
        <f>BDD!E26</f>
        <v>Málaga</v>
      </c>
      <c r="D28" s="44" t="e">
        <f>#REF!</f>
        <v>#REF!</v>
      </c>
      <c r="E28" s="28"/>
    </row>
    <row r="29" spans="1:5" x14ac:dyDescent="0.25">
      <c r="A29" s="68">
        <f>BDD!A27</f>
        <v>1200</v>
      </c>
      <c r="B29" s="42" t="str">
        <f>BDD!D27</f>
        <v>Aguacate Fuerte BIO</v>
      </c>
      <c r="C29" s="43" t="str">
        <f>BDD!E27</f>
        <v>Granada</v>
      </c>
      <c r="D29" s="44" t="e">
        <f>#REF!</f>
        <v>#REF!</v>
      </c>
      <c r="E29" s="28"/>
    </row>
    <row r="30" spans="1:5" s="38" customFormat="1" x14ac:dyDescent="0.25">
      <c r="A30" s="68">
        <f>BDD!A28</f>
        <v>1527</v>
      </c>
      <c r="B30" s="42" t="str">
        <f>BDD!D28</f>
        <v>Bayas de Goji BIO (env. 1 kg.)</v>
      </c>
      <c r="C30" s="43" t="str">
        <f>BDD!E28</f>
        <v>Tíbet</v>
      </c>
      <c r="D30" s="44" t="e">
        <f>#REF!</f>
        <v>#REF!</v>
      </c>
      <c r="E30" s="41"/>
    </row>
    <row r="31" spans="1:5" x14ac:dyDescent="0.25">
      <c r="A31" s="68">
        <f>BDD!A29</f>
        <v>1527</v>
      </c>
      <c r="B31" s="42" t="str">
        <f>BDD!D29</f>
        <v>Bayas de Goji BIO (env. 500 grs.)</v>
      </c>
      <c r="C31" s="43" t="str">
        <f>BDD!E29</f>
        <v>Tíbet</v>
      </c>
      <c r="D31" s="44" t="e">
        <f>#REF!</f>
        <v>#REF!</v>
      </c>
      <c r="E31" s="28"/>
    </row>
    <row r="32" spans="1:5" x14ac:dyDescent="0.25">
      <c r="A32" s="68">
        <f>BDD!A30</f>
        <v>3033</v>
      </c>
      <c r="B32" s="42" t="str">
        <f>BDD!D30</f>
        <v>Plátano Cavendish local (madurado en la planta) ¡¡¡Excelente!!!</v>
      </c>
      <c r="C32" s="43" t="str">
        <f>BDD!E30</f>
        <v>Granada</v>
      </c>
      <c r="D32" s="44" t="e">
        <f>#REF!</f>
        <v>#REF!</v>
      </c>
      <c r="E32" s="28"/>
    </row>
    <row r="33" spans="1:5" x14ac:dyDescent="0.25">
      <c r="A33" s="68" t="str">
        <f>BDD!A31</f>
        <v>1007-2364</v>
      </c>
      <c r="B33" s="42" t="str">
        <f>BDD!D31</f>
        <v>Plátano Cavendish de las Islas BIO/RECO</v>
      </c>
      <c r="C33" s="43" t="str">
        <f>BDD!E31</f>
        <v>Canarias</v>
      </c>
      <c r="D33" s="44" t="e">
        <f>#REF!</f>
        <v>#REF!</v>
      </c>
      <c r="E33" s="28"/>
    </row>
    <row r="34" spans="1:5" ht="36" x14ac:dyDescent="0.25">
      <c r="A34" s="68">
        <f>BDD!A32</f>
        <v>3746</v>
      </c>
      <c r="B34" s="42" t="str">
        <f>BDD!D32</f>
        <v>Plátano deshidratado semi-seco artesanal, escogidos de nuestra propia producción ecológica (env. 200 grs.)</v>
      </c>
      <c r="C34" s="43" t="str">
        <f>BDD!E32</f>
        <v>Granada</v>
      </c>
      <c r="D34" s="44" t="e">
        <f>#REF!</f>
        <v>#REF!</v>
      </c>
      <c r="E34" s="28"/>
    </row>
    <row r="35" spans="1:5" x14ac:dyDescent="0.25">
      <c r="A35" s="68">
        <f>BDD!A33</f>
        <v>1458</v>
      </c>
      <c r="B35" s="42" t="str">
        <f>BDD!D33</f>
        <v>Canela en rama BIO (env. 100 grs.)</v>
      </c>
      <c r="C35" s="43" t="str">
        <f>BDD!E33</f>
        <v>India</v>
      </c>
      <c r="D35" s="44" t="e">
        <f>#REF!</f>
        <v>#REF!</v>
      </c>
      <c r="E35" s="28"/>
    </row>
    <row r="36" spans="1:5" x14ac:dyDescent="0.25">
      <c r="A36" s="68" t="str">
        <f>BDD!A34</f>
        <v>1124-1275-1679</v>
      </c>
      <c r="B36" s="42" t="str">
        <f>BDD!D34</f>
        <v>Remolacha BIO</v>
      </c>
      <c r="C36" s="43" t="str">
        <f>BDD!E34</f>
        <v>Málaga</v>
      </c>
      <c r="D36" s="44" t="e">
        <f>#REF!</f>
        <v>#REF!</v>
      </c>
      <c r="E36" s="28"/>
    </row>
    <row r="37" spans="1:5" x14ac:dyDescent="0.25">
      <c r="A37" s="68">
        <f>BDD!A35</f>
        <v>1696</v>
      </c>
      <c r="B37" s="42" t="str">
        <f>BDD!D35</f>
        <v>Remolacha en polvo BIO (env. 1 kg.)</v>
      </c>
      <c r="C37" s="43" t="str">
        <f>BDD!E35</f>
        <v>Hungría</v>
      </c>
      <c r="D37" s="44" t="e">
        <f>#REF!</f>
        <v>#REF!</v>
      </c>
      <c r="E37" s="28"/>
    </row>
    <row r="38" spans="1:5" x14ac:dyDescent="0.25">
      <c r="A38" s="68">
        <f>BDD!A36</f>
        <v>1696</v>
      </c>
      <c r="B38" s="42" t="str">
        <f>BDD!D36</f>
        <v>Remolacha en polvo BIO (env. 500 grs.)</v>
      </c>
      <c r="C38" s="43" t="str">
        <f>BDD!E36</f>
        <v>Hungría</v>
      </c>
      <c r="D38" s="44" t="e">
        <f>#REF!</f>
        <v>#REF!</v>
      </c>
      <c r="E38" s="28"/>
    </row>
    <row r="39" spans="1:5" x14ac:dyDescent="0.25">
      <c r="A39" s="68">
        <f>BDD!A37</f>
        <v>1758</v>
      </c>
      <c r="B39" s="42" t="str">
        <f>BDD!D37</f>
        <v>Manteca de cacao BIO (env. 1 kg.)</v>
      </c>
      <c r="C39" s="43" t="str">
        <f>BDD!E37</f>
        <v>Perú</v>
      </c>
      <c r="D39" s="44" t="e">
        <f>#REF!</f>
        <v>#REF!</v>
      </c>
      <c r="E39" s="28"/>
    </row>
    <row r="40" spans="1:5" ht="36" x14ac:dyDescent="0.25">
      <c r="A40" s="68">
        <f>BDD!A38</f>
        <v>1257</v>
      </c>
      <c r="B40" s="42" t="str">
        <f>BDD!D38</f>
        <v>Acelga Baby verde BIO producción propia (ideal para ensaladas o batidos)</v>
      </c>
      <c r="C40" s="43" t="str">
        <f>BDD!E38</f>
        <v>Granada</v>
      </c>
      <c r="D40" s="44" t="e">
        <f>#REF!</f>
        <v>#REF!</v>
      </c>
      <c r="E40" s="28"/>
    </row>
    <row r="41" spans="1:5" x14ac:dyDescent="0.25">
      <c r="A41" s="68">
        <f>BDD!A39</f>
        <v>1597</v>
      </c>
      <c r="B41" s="42" t="str">
        <f>BDD!D39</f>
        <v>Cacao en polvo crudo BIO (env. 1 kg.)</v>
      </c>
      <c r="C41" s="43" t="str">
        <f>BDD!E39</f>
        <v>Perú</v>
      </c>
      <c r="D41" s="44" t="e">
        <f>#REF!</f>
        <v>#REF!</v>
      </c>
      <c r="E41" s="28"/>
    </row>
    <row r="42" spans="1:5" ht="36" x14ac:dyDescent="0.25">
      <c r="A42" s="68">
        <f>BDD!A40</f>
        <v>6099</v>
      </c>
      <c r="B42" s="42" t="str">
        <f>BDD!D40</f>
        <v>Camu Camu en polvo BIO (env. 250 grs.) Conservacion refrigerada</v>
      </c>
      <c r="C42" s="43" t="str">
        <f>BDD!E40</f>
        <v>Perú</v>
      </c>
      <c r="D42" s="44" t="e">
        <f>#REF!</f>
        <v>#REF!</v>
      </c>
      <c r="E42" s="28"/>
    </row>
    <row r="43" spans="1:5" x14ac:dyDescent="0.25">
      <c r="A43" s="68">
        <f>BDD!A41</f>
        <v>3210</v>
      </c>
      <c r="B43" s="42" t="str">
        <f>BDD!D41</f>
        <v>Carambola/Star Fruit local</v>
      </c>
      <c r="C43" s="43" t="str">
        <f>BDD!E41</f>
        <v>Granada</v>
      </c>
      <c r="D43" s="44" t="e">
        <f>#REF!</f>
        <v>#REF!</v>
      </c>
      <c r="E43" s="28"/>
    </row>
    <row r="44" spans="1:5" x14ac:dyDescent="0.25">
      <c r="A44" s="68">
        <f>BDD!A42</f>
        <v>5075</v>
      </c>
      <c r="B44" s="42" t="str">
        <f>BDD!D42</f>
        <v>Zanahoria con rama local</v>
      </c>
      <c r="C44" s="43" t="str">
        <f>BDD!E42</f>
        <v>Granada</v>
      </c>
      <c r="D44" s="44" t="e">
        <f>#REF!</f>
        <v>#REF!</v>
      </c>
      <c r="E44" s="28"/>
    </row>
    <row r="45" spans="1:5" x14ac:dyDescent="0.25">
      <c r="A45" s="68">
        <f>BDD!A43</f>
        <v>3017</v>
      </c>
      <c r="B45" s="42" t="str">
        <f>BDD!D43</f>
        <v>Zanahoria sin rama local</v>
      </c>
      <c r="C45" s="43" t="str">
        <f>BDD!E43</f>
        <v>Granada</v>
      </c>
      <c r="D45" s="44" t="e">
        <f>#REF!</f>
        <v>#REF!</v>
      </c>
      <c r="E45" s="28"/>
    </row>
    <row r="46" spans="1:5" x14ac:dyDescent="0.25">
      <c r="A46" s="68">
        <f>BDD!A44</f>
        <v>1034</v>
      </c>
      <c r="B46" s="42" t="str">
        <f>BDD!D44</f>
        <v>Zanahoria sin rama BIO</v>
      </c>
      <c r="C46" s="43" t="str">
        <f>BDD!E44</f>
        <v>Malaga</v>
      </c>
      <c r="D46" s="44" t="e">
        <f>#REF!</f>
        <v>#REF!</v>
      </c>
      <c r="E46" s="28"/>
    </row>
    <row r="47" spans="1:5" ht="36" x14ac:dyDescent="0.25">
      <c r="A47" s="68">
        <f>BDD!A45</f>
        <v>6117</v>
      </c>
      <c r="B47" s="42" t="str">
        <f>BDD!D45</f>
        <v>Algarroba BIO de la Alpujarra al natural en vaina (nueva cosecha) (env. 400 grs.)</v>
      </c>
      <c r="C47" s="43" t="str">
        <f>BDD!E45</f>
        <v>Granada</v>
      </c>
      <c r="D47" s="44" t="e">
        <f>#REF!</f>
        <v>#REF!</v>
      </c>
      <c r="E47" s="28"/>
    </row>
    <row r="48" spans="1:5" s="45" customFormat="1" ht="19.5" x14ac:dyDescent="0.25">
      <c r="A48" s="68">
        <f>BDD!A46</f>
        <v>3023</v>
      </c>
      <c r="B48" s="42" t="str">
        <f>BDD!D46</f>
        <v>Apio verde local</v>
      </c>
      <c r="C48" s="43" t="str">
        <f>BDD!E46</f>
        <v>Granada</v>
      </c>
      <c r="D48" s="44" t="e">
        <f>#REF!</f>
        <v>#REF!</v>
      </c>
      <c r="E48" s="46"/>
    </row>
    <row r="49" spans="1:5" s="45" customFormat="1" ht="19.5" x14ac:dyDescent="0.25">
      <c r="A49" s="68">
        <f>BDD!A47</f>
        <v>1117</v>
      </c>
      <c r="B49" s="42" t="str">
        <f>BDD!D47</f>
        <v>Apio verde BIO</v>
      </c>
      <c r="C49" s="43" t="str">
        <f>BDD!E47</f>
        <v>Málaga</v>
      </c>
      <c r="D49" s="44" t="e">
        <f>#REF!</f>
        <v>#REF!</v>
      </c>
      <c r="E49" s="46"/>
    </row>
    <row r="50" spans="1:5" x14ac:dyDescent="0.25">
      <c r="A50" s="68">
        <f>BDD!A48</f>
        <v>1572</v>
      </c>
      <c r="B50" s="42" t="str">
        <f>BDD!D48</f>
        <v>Chía semillas BIO (env. 1 kg.)</v>
      </c>
      <c r="C50" s="43" t="str">
        <f>BDD!E48</f>
        <v>Bolivia</v>
      </c>
      <c r="D50" s="44" t="e">
        <f>#REF!</f>
        <v>#REF!</v>
      </c>
      <c r="E50" s="28"/>
    </row>
    <row r="51" spans="1:5" x14ac:dyDescent="0.25">
      <c r="A51" s="68">
        <f>BDD!A49</f>
        <v>1611</v>
      </c>
      <c r="B51" s="42" t="str">
        <f>BDD!D49</f>
        <v>Chips de coco crudo BIO (env. 1 kg.)</v>
      </c>
      <c r="C51" s="43" t="str">
        <f>BDD!E49</f>
        <v>Sri Lanka</v>
      </c>
      <c r="D51" s="44" t="e">
        <f>#REF!</f>
        <v>#REF!</v>
      </c>
      <c r="E51" s="28"/>
    </row>
    <row r="52" spans="1:5" s="45" customFormat="1" ht="36" x14ac:dyDescent="0.25">
      <c r="A52" s="68">
        <f>BDD!A50</f>
        <v>3032</v>
      </c>
      <c r="B52" s="42" t="str">
        <f>BDD!D50</f>
        <v>Chirimoya local ( producción propia en proceso de reconversión a la agricultura ecológica). Piezas grandes</v>
      </c>
      <c r="C52" s="43" t="str">
        <f>BDD!E50</f>
        <v>Granada</v>
      </c>
      <c r="D52" s="44" t="e">
        <f>#REF!</f>
        <v>#REF!</v>
      </c>
      <c r="E52" s="46"/>
    </row>
    <row r="53" spans="1:5" s="38" customFormat="1" x14ac:dyDescent="0.25">
      <c r="A53" s="68">
        <f>BDD!A51</f>
        <v>1178</v>
      </c>
      <c r="B53" s="42" t="str">
        <f>BDD!D51</f>
        <v>Chirimoya BIO (produción propia, nueva temporada)</v>
      </c>
      <c r="C53" s="43" t="str">
        <f>BDD!E51</f>
        <v>Granada</v>
      </c>
      <c r="D53" s="44" t="e">
        <f>#REF!</f>
        <v>#REF!</v>
      </c>
      <c r="E53" s="41"/>
    </row>
    <row r="54" spans="1:5" x14ac:dyDescent="0.25">
      <c r="A54" s="68">
        <f>BDD!A52</f>
        <v>1209</v>
      </c>
      <c r="B54" s="42" t="str">
        <f>BDD!D52</f>
        <v>Col Kale Lacitano/Cavolo Nero BIO baby (producción propia)</v>
      </c>
      <c r="C54" s="43" t="str">
        <f>BDD!E52</f>
        <v>Granada</v>
      </c>
      <c r="D54" s="44" t="e">
        <f>#REF!</f>
        <v>#REF!</v>
      </c>
      <c r="E54" s="28"/>
    </row>
    <row r="55" spans="1:5" x14ac:dyDescent="0.25">
      <c r="A55" s="68">
        <f>BDD!A53</f>
        <v>1626</v>
      </c>
      <c r="B55" s="42" t="str">
        <f>BDD!D53</f>
        <v>Col Kale Winterbor Crespa BIO baby. Producción Propia</v>
      </c>
      <c r="C55" s="43" t="str">
        <f>BDD!E53</f>
        <v>Granada</v>
      </c>
      <c r="D55" s="44" t="e">
        <f>#REF!</f>
        <v>#REF!</v>
      </c>
      <c r="E55" s="28"/>
    </row>
    <row r="56" spans="1:5" x14ac:dyDescent="0.25">
      <c r="A56" s="68">
        <f>BDD!A54</f>
        <v>1006</v>
      </c>
      <c r="B56" s="42" t="str">
        <f>BDD!D54</f>
        <v>Col verde lisa BIO</v>
      </c>
      <c r="C56" s="43" t="str">
        <f>BDD!E54</f>
        <v>Málaga</v>
      </c>
      <c r="D56" s="44" t="e">
        <f>#REF!</f>
        <v>#REF!</v>
      </c>
      <c r="E56" s="28"/>
    </row>
    <row r="57" spans="1:5" ht="36" x14ac:dyDescent="0.25">
      <c r="A57" s="68">
        <f>BDD!A55</f>
        <v>5037</v>
      </c>
      <c r="B57" s="42" t="str">
        <f>BDD!D55</f>
        <v>Caviar cítrico/citrus australasica local, piezas de 0,10/0,15 grs., cultivo natural .Precio por bandeja de 200 grs.</v>
      </c>
      <c r="C57" s="43" t="str">
        <f>BDD!E55</f>
        <v>Salobreña</v>
      </c>
      <c r="D57" s="44" t="e">
        <f>#REF!</f>
        <v>#REF!</v>
      </c>
      <c r="E57" s="28"/>
    </row>
    <row r="58" spans="1:5" ht="36" x14ac:dyDescent="0.25">
      <c r="A58" s="68">
        <f>BDD!A56</f>
        <v>5037</v>
      </c>
      <c r="B58" s="42" t="str">
        <f>BDD!D56</f>
        <v>Caviar cítrico/citrus australasica local, piezas de 0,10/0,15 grs., cultivo natural (precio por bandeja de 500 grs.)</v>
      </c>
      <c r="C58" s="43" t="str">
        <f>BDD!E56</f>
        <v>Salobreña</v>
      </c>
      <c r="D58" s="44" t="e">
        <f>#REF!</f>
        <v>#REF!</v>
      </c>
      <c r="E58" s="28"/>
    </row>
    <row r="59" spans="1:5" ht="36" x14ac:dyDescent="0.25">
      <c r="A59" s="68">
        <f>BDD!A57</f>
        <v>6019</v>
      </c>
      <c r="B59" s="42" t="str">
        <f>BDD!D57</f>
        <v>Caviar cítrico/citrus australasica BIO, piezas de 0,10/0,15 grs. (precio por bandeja de 200 grs.)</v>
      </c>
      <c r="C59" s="43" t="str">
        <f>BDD!E57</f>
        <v>Granada</v>
      </c>
      <c r="D59" s="44" t="e">
        <f>#REF!</f>
        <v>#REF!</v>
      </c>
      <c r="E59" s="28"/>
    </row>
    <row r="60" spans="1:5" ht="36" x14ac:dyDescent="0.25">
      <c r="A60" s="68">
        <f>BDD!A58</f>
        <v>6019</v>
      </c>
      <c r="B60" s="42" t="str">
        <f>BDD!D58</f>
        <v>Caviar cítrico/citrus australasica BIO, piezas de 0,10/0,15 grs. (precio por bandeja de 500 grs.)</v>
      </c>
      <c r="C60" s="43" t="str">
        <f>BDD!E58</f>
        <v>Granada</v>
      </c>
      <c r="D60" s="44" t="e">
        <f>#REF!</f>
        <v>#REF!</v>
      </c>
      <c r="E60" s="28"/>
    </row>
    <row r="61" spans="1:5" x14ac:dyDescent="0.25">
      <c r="A61" s="68">
        <f>BDD!A59</f>
        <v>3421</v>
      </c>
      <c r="B61" s="42" t="str">
        <f>BDD!D59</f>
        <v>Limón local amarillo madurado en el árbol</v>
      </c>
      <c r="C61" s="43" t="str">
        <f>BDD!E59</f>
        <v>Granada</v>
      </c>
      <c r="D61" s="44" t="e">
        <f>#REF!</f>
        <v>#REF!</v>
      </c>
      <c r="E61" s="28"/>
    </row>
    <row r="62" spans="1:5" s="47" customFormat="1" x14ac:dyDescent="0.25">
      <c r="A62" s="68">
        <f>BDD!A60</f>
        <v>6094</v>
      </c>
      <c r="B62" s="42" t="str">
        <f>BDD!D60</f>
        <v>Limón BIO de 2ª categoría</v>
      </c>
      <c r="C62" s="43" t="str">
        <f>BDD!E60</f>
        <v>Málaga</v>
      </c>
      <c r="D62" s="44" t="e">
        <f>#REF!</f>
        <v>#REF!</v>
      </c>
    </row>
    <row r="63" spans="1:5" x14ac:dyDescent="0.25">
      <c r="A63" s="68">
        <f>BDD!A61</f>
        <v>1023</v>
      </c>
      <c r="B63" s="42" t="str">
        <f>BDD!D61</f>
        <v>Limón Verna BIO calibre grande, madurado en  planta</v>
      </c>
      <c r="C63" s="43" t="str">
        <f>BDD!E61</f>
        <v>Málaga</v>
      </c>
      <c r="D63" s="44" t="e">
        <f>#REF!</f>
        <v>#REF!</v>
      </c>
      <c r="E63" s="28"/>
    </row>
    <row r="64" spans="1:5" x14ac:dyDescent="0.25">
      <c r="A64" s="68">
        <f>BDD!A62</f>
        <v>3169</v>
      </c>
      <c r="B64" s="42" t="str">
        <f>BDD!D62</f>
        <v>Lima verde local</v>
      </c>
      <c r="C64" s="43" t="str">
        <f>BDD!E62</f>
        <v>Granada</v>
      </c>
      <c r="D64" s="44" t="e">
        <f>#REF!</f>
        <v>#REF!</v>
      </c>
      <c r="E64" s="28"/>
    </row>
    <row r="65" spans="1:5" s="38" customFormat="1" ht="54" x14ac:dyDescent="0.25">
      <c r="A65" s="68">
        <f>BDD!A63</f>
        <v>3725</v>
      </c>
      <c r="B65" s="42" t="str">
        <f>BDD!D63</f>
        <v>Citronela local (manojo de 5 piezas) producción propia. Cultivo orgánico en finca certificada, pero hemos olvidado darla de alta en la certificadora ecológica</v>
      </c>
      <c r="C65" s="43" t="str">
        <f>BDD!E63</f>
        <v>Granada</v>
      </c>
      <c r="D65" s="44" t="e">
        <f>#REF!</f>
        <v>#REF!</v>
      </c>
      <c r="E65" s="41"/>
    </row>
    <row r="66" spans="1:5" s="38" customFormat="1" x14ac:dyDescent="0.25">
      <c r="A66" s="68">
        <f>BDD!A64</f>
        <v>3391</v>
      </c>
      <c r="B66" s="42" t="str">
        <f>BDD!D64</f>
        <v>Coco Pagode fresco (pieza) ¡¡¡Delicioso y especial!!!</v>
      </c>
      <c r="C66" s="43" t="str">
        <f>BDD!E64</f>
        <v>Tailandia</v>
      </c>
      <c r="D66" s="44" t="e">
        <f>#REF!</f>
        <v>#REF!</v>
      </c>
      <c r="E66" s="41"/>
    </row>
    <row r="67" spans="1:5" x14ac:dyDescent="0.25">
      <c r="A67" s="68">
        <f>BDD!A65</f>
        <v>3678</v>
      </c>
      <c r="B67" s="42" t="str">
        <f>BDD!D65</f>
        <v>Membrillo local</v>
      </c>
      <c r="C67" s="43" t="str">
        <f>BDD!E65</f>
        <v>Málaga</v>
      </c>
      <c r="D67" s="44" t="e">
        <f>#REF!</f>
        <v>#REF!</v>
      </c>
      <c r="E67" s="28"/>
    </row>
    <row r="68" spans="1:5" x14ac:dyDescent="0.25">
      <c r="A68" s="68">
        <f>BDD!A66</f>
        <v>3924</v>
      </c>
      <c r="B68" s="42" t="str">
        <f>BDD!D66</f>
        <v>Pepino mini gourmet local</v>
      </c>
      <c r="C68" s="43" t="str">
        <f>BDD!E66</f>
        <v>Granada</v>
      </c>
      <c r="D68" s="44" t="e">
        <f>#REF!</f>
        <v>#REF!</v>
      </c>
      <c r="E68" s="28"/>
    </row>
    <row r="69" spans="1:5" x14ac:dyDescent="0.25">
      <c r="A69" s="68">
        <f>BDD!A67</f>
        <v>6077</v>
      </c>
      <c r="B69" s="42" t="str">
        <f>BDD!D67</f>
        <v>Calabaza Butternut BIO</v>
      </c>
      <c r="C69" s="43" t="str">
        <f>BDD!E67</f>
        <v>Malaga</v>
      </c>
      <c r="D69" s="44" t="e">
        <f>#REF!</f>
        <v>#REF!</v>
      </c>
      <c r="E69" s="28"/>
    </row>
    <row r="70" spans="1:5" x14ac:dyDescent="0.25">
      <c r="A70" s="68" t="str">
        <f>BDD!A68</f>
        <v>1002.133</v>
      </c>
      <c r="B70" s="42" t="str">
        <f>BDD!D68</f>
        <v>Calabacín verde BIO 2ª (calibres Variados)</v>
      </c>
      <c r="C70" s="43" t="str">
        <f>BDD!E68</f>
        <v>Málaga</v>
      </c>
      <c r="D70" s="44" t="e">
        <f>#REF!</f>
        <v>#REF!</v>
      </c>
      <c r="E70" s="28"/>
    </row>
    <row r="71" spans="1:5" ht="54" x14ac:dyDescent="0.25">
      <c r="A71" s="68">
        <f>BDD!A69</f>
        <v>6111</v>
      </c>
      <c r="B71" s="42" t="str">
        <f>BDD!D69</f>
        <v>Crackers deshidratados BIO de tomate, pipa de girasol, trigo sarraceno, lino, cebolla y moringa de cultivo ecológico (env. 200 grs.) RAW</v>
      </c>
      <c r="C71" s="43" t="str">
        <f>BDD!E69</f>
        <v>Nacional</v>
      </c>
      <c r="D71" s="44" t="e">
        <f>#REF!</f>
        <v>#REF!</v>
      </c>
      <c r="E71" s="28"/>
    </row>
    <row r="72" spans="1:5" x14ac:dyDescent="0.25">
      <c r="A72" s="68">
        <f>BDD!A70</f>
        <v>1393</v>
      </c>
      <c r="B72" s="42" t="str">
        <f>BDD!D70</f>
        <v>Cúrcuma fresca BIO (pedido mínimo 500 grs.)</v>
      </c>
      <c r="C72" s="43" t="str">
        <f>BDD!E70</f>
        <v>Perú</v>
      </c>
      <c r="D72" s="44" t="e">
        <f>#REF!</f>
        <v>#REF!</v>
      </c>
      <c r="E72" s="28"/>
    </row>
    <row r="73" spans="1:5" x14ac:dyDescent="0.25">
      <c r="A73" s="68">
        <f>BDD!A71</f>
        <v>6018</v>
      </c>
      <c r="B73" s="42" t="str">
        <f>BDD!D71</f>
        <v>Dátil Deglet Nour en rama de Israel BIO</v>
      </c>
      <c r="C73" s="43" t="str">
        <f>BDD!E71</f>
        <v>Israel</v>
      </c>
      <c r="D73" s="44" t="e">
        <f>#REF!</f>
        <v>#REF!</v>
      </c>
      <c r="E73" s="28"/>
    </row>
    <row r="74" spans="1:5" x14ac:dyDescent="0.25">
      <c r="A74" s="68">
        <f>BDD!A72</f>
        <v>1485</v>
      </c>
      <c r="B74" s="42" t="str">
        <f>BDD!D72</f>
        <v>Dátil Deglet Nour sin rama BIO</v>
      </c>
      <c r="C74" s="43" t="str">
        <f>BDD!E72</f>
        <v>Túnez</v>
      </c>
      <c r="D74" s="44" t="e">
        <f>#REF!</f>
        <v>#REF!</v>
      </c>
      <c r="E74" s="28"/>
    </row>
    <row r="75" spans="1:5" x14ac:dyDescent="0.25">
      <c r="A75" s="68">
        <f>BDD!A73</f>
        <v>1320</v>
      </c>
      <c r="B75" s="42" t="str">
        <f>BDD!D73</f>
        <v>Dátil Deglet sin hueso BIO</v>
      </c>
      <c r="C75" s="43" t="str">
        <f>BDD!E73</f>
        <v>Túnez</v>
      </c>
      <c r="D75" s="44" t="e">
        <f>#REF!</f>
        <v>#REF!</v>
      </c>
      <c r="E75" s="28"/>
    </row>
    <row r="76" spans="1:5" x14ac:dyDescent="0.25">
      <c r="A76" s="68">
        <f>BDD!A74</f>
        <v>1399</v>
      </c>
      <c r="B76" s="42" t="str">
        <f>BDD!D74</f>
        <v>Datil Mazafati de Bam BIO nueva cosecha (env. 250 grs.)</v>
      </c>
      <c r="C76" s="43" t="str">
        <f>BDD!E74</f>
        <v>Irán</v>
      </c>
      <c r="D76" s="44" t="e">
        <f>#REF!</f>
        <v>#REF!</v>
      </c>
      <c r="E76" s="28"/>
    </row>
    <row r="77" spans="1:5" x14ac:dyDescent="0.25">
      <c r="A77" s="68" t="str">
        <f>BDD!A75</f>
        <v>1997</v>
      </c>
      <c r="B77" s="42" t="str">
        <f>BDD!D75</f>
        <v>Dátil Medjool Súper Jumbo semi-seco BIO</v>
      </c>
      <c r="C77" s="43" t="str">
        <f>BDD!E75</f>
        <v>Israel</v>
      </c>
      <c r="D77" s="44" t="e">
        <f>#REF!</f>
        <v>#REF!</v>
      </c>
      <c r="E77" s="28"/>
    </row>
    <row r="78" spans="1:5" ht="36" x14ac:dyDescent="0.25">
      <c r="A78" s="68">
        <f>BDD!A76</f>
        <v>3377</v>
      </c>
      <c r="B78" s="42" t="str">
        <f>BDD!D76</f>
        <v>Agua de mar micro-filtrada hipertónica (bag in box 3 litros) (pendientes de recibir en esta semana)</v>
      </c>
      <c r="C78" s="43" t="str">
        <f>BDD!E76</f>
        <v>Mar Mediterráneo (Ibiza)</v>
      </c>
      <c r="D78" s="44" t="e">
        <f>#REF!</f>
        <v>#REF!</v>
      </c>
      <c r="E78" s="28"/>
    </row>
    <row r="79" spans="1:5" ht="36" x14ac:dyDescent="0.25">
      <c r="A79" s="68">
        <f>BDD!A77</f>
        <v>3720</v>
      </c>
      <c r="B79" s="42" t="str">
        <f>BDD!D77</f>
        <v>Agua de mar micro-filtrada hipertónica (bag in box 11 litros)</v>
      </c>
      <c r="C79" s="43" t="str">
        <f>BDD!E77</f>
        <v>Mar Mediterráneo (Ibiza)</v>
      </c>
      <c r="D79" s="44" t="e">
        <f>#REF!</f>
        <v>#REF!</v>
      </c>
      <c r="E79" s="28"/>
    </row>
    <row r="80" spans="1:5" ht="36" x14ac:dyDescent="0.25">
      <c r="A80" s="68">
        <f>BDD!A78</f>
        <v>3379</v>
      </c>
      <c r="B80" s="42" t="str">
        <f>BDD!D78</f>
        <v>Agua de mar micro-filtrada hipertónica (bag in box 20 litros)</v>
      </c>
      <c r="C80" s="43" t="str">
        <f>BDD!E78</f>
        <v>Mar Mediterráneo (Ibiza)</v>
      </c>
      <c r="D80" s="44" t="e">
        <f>#REF!</f>
        <v>#REF!</v>
      </c>
      <c r="E80" s="28"/>
    </row>
    <row r="81" spans="1:5" s="45" customFormat="1" ht="36" x14ac:dyDescent="0.25">
      <c r="A81" s="68">
        <f>BDD!A79</f>
        <v>3550</v>
      </c>
      <c r="B81" s="42" t="str">
        <f>BDD!D79</f>
        <v>Mazorca maiz dulce fresca (piezas grandes y jugosas, con toda la hoja alrededor de la mazorca)</v>
      </c>
      <c r="C81" s="43" t="str">
        <f>BDD!E79</f>
        <v>Málaga</v>
      </c>
      <c r="D81" s="44" t="e">
        <f>#REF!</f>
        <v>#REF!</v>
      </c>
      <c r="E81" s="46"/>
    </row>
    <row r="82" spans="1:5" x14ac:dyDescent="0.25">
      <c r="A82" s="68">
        <f>BDD!A80</f>
        <v>4025</v>
      </c>
      <c r="B82" s="42" t="str">
        <f>BDD!D80</f>
        <v>Extractor de zumo ANGEL JUICER Cool Press 5500 Luxury</v>
      </c>
      <c r="C82" s="43" t="str">
        <f>BDD!E80</f>
        <v>Unión Europea</v>
      </c>
      <c r="D82" s="44" t="e">
        <f>#REF!</f>
        <v>#REF!</v>
      </c>
    </row>
    <row r="83" spans="1:5" x14ac:dyDescent="0.25">
      <c r="A83" s="68">
        <f>BDD!A81</f>
        <v>6059</v>
      </c>
      <c r="B83" s="42" t="str">
        <f>BDD!D81</f>
        <v>Hoja de Remolacha Baby BIO Producción Producción</v>
      </c>
      <c r="C83" s="43" t="str">
        <f>BDD!E81</f>
        <v>Granada</v>
      </c>
      <c r="D83" s="44" t="e">
        <f>#REF!</f>
        <v>#REF!</v>
      </c>
      <c r="E83" s="28"/>
    </row>
    <row r="84" spans="1:5" x14ac:dyDescent="0.25">
      <c r="A84" s="68">
        <f>BDD!A82</f>
        <v>6059</v>
      </c>
      <c r="B84" s="42" t="str">
        <f>BDD!D82</f>
        <v>Hoja de Remolacha Baby BIO (producción propia)</v>
      </c>
      <c r="C84" s="43" t="str">
        <f>BDD!E82</f>
        <v>Granada</v>
      </c>
      <c r="D84" s="44" t="e">
        <f>#REF!</f>
        <v>#REF!</v>
      </c>
      <c r="E84" s="28"/>
    </row>
    <row r="85" spans="1:5" x14ac:dyDescent="0.25">
      <c r="A85" s="68">
        <f>BDD!A83</f>
        <v>1647</v>
      </c>
      <c r="B85" s="42" t="str">
        <f>BDD!D83</f>
        <v>Harina de coco BIO (env. 1 kg.)</v>
      </c>
      <c r="C85" s="43" t="str">
        <f>BDD!E83</f>
        <v>Sri Lanka</v>
      </c>
      <c r="D85" s="44" t="e">
        <f>#REF!</f>
        <v>#REF!</v>
      </c>
    </row>
    <row r="86" spans="1:5" x14ac:dyDescent="0.25">
      <c r="A86" s="68">
        <f>BDD!A84</f>
        <v>6106</v>
      </c>
      <c r="B86" s="42" t="str">
        <f>BDD!D84</f>
        <v>Fenogreco en semillas BIO (env. 500 grs.)</v>
      </c>
      <c r="C86" s="43" t="str">
        <f>BDD!E84</f>
        <v>Egipto</v>
      </c>
      <c r="D86" s="44" t="e">
        <f>#REF!</f>
        <v>#REF!</v>
      </c>
      <c r="E86" s="28"/>
    </row>
    <row r="87" spans="1:5" x14ac:dyDescent="0.25">
      <c r="A87" s="68">
        <f>BDD!A85</f>
        <v>1937</v>
      </c>
      <c r="B87" s="42" t="str">
        <f>BDD!D85</f>
        <v>Cacao BIO semilla grano crudo entero (env. 1 kg.)</v>
      </c>
      <c r="C87" s="43" t="str">
        <f>BDD!E85</f>
        <v>Perú</v>
      </c>
      <c r="D87" s="44" t="e">
        <f>#REF!</f>
        <v>#REF!</v>
      </c>
      <c r="E87" s="28"/>
    </row>
    <row r="88" spans="1:5" x14ac:dyDescent="0.25">
      <c r="A88" s="68">
        <f>BDD!A86</f>
        <v>3138</v>
      </c>
      <c r="B88" s="42" t="str">
        <f>BDD!D86</f>
        <v>Higo chumbo local ¡¡ máxima calidad!!</v>
      </c>
      <c r="C88" s="43" t="str">
        <f>BDD!E86</f>
        <v>Granada</v>
      </c>
      <c r="D88" s="44" t="e">
        <f>#REF!</f>
        <v>#REF!</v>
      </c>
      <c r="E88" s="28"/>
    </row>
    <row r="89" spans="1:5" x14ac:dyDescent="0.25">
      <c r="A89" s="68">
        <f>BDD!A87</f>
        <v>1548</v>
      </c>
      <c r="B89" s="42" t="str">
        <f>BDD!D87</f>
        <v>Higo seco turco BIO</v>
      </c>
      <c r="C89" s="43" t="str">
        <f>BDD!E87</f>
        <v>Turquía</v>
      </c>
      <c r="D89" s="44" t="e">
        <f>#REF!</f>
        <v>#REF!</v>
      </c>
      <c r="E89" s="28"/>
    </row>
    <row r="90" spans="1:5" x14ac:dyDescent="0.25">
      <c r="A90" s="68">
        <f>BDD!A88</f>
        <v>1220</v>
      </c>
      <c r="B90" s="42" t="str">
        <f>BDD!D88</f>
        <v>Fruto del Baobad BIO (sólo pulpa en polvo)</v>
      </c>
      <c r="C90" s="43" t="str">
        <f>BDD!E88</f>
        <v>Importación</v>
      </c>
      <c r="D90" s="44" t="e">
        <f>#REF!</f>
        <v>#REF!</v>
      </c>
      <c r="E90" s="28"/>
    </row>
    <row r="91" spans="1:5" s="38" customFormat="1" x14ac:dyDescent="0.25">
      <c r="A91" s="68">
        <f>BDD!A89</f>
        <v>1967</v>
      </c>
      <c r="B91" s="42" t="str">
        <f>BDD!D89</f>
        <v>Jengibre BIO (pedido mínimo 500 grs.)</v>
      </c>
      <c r="C91" s="43" t="str">
        <f>BDD!E89</f>
        <v>Perú</v>
      </c>
      <c r="D91" s="44" t="e">
        <f>#REF!</f>
        <v>#REF!</v>
      </c>
      <c r="E91" s="41"/>
    </row>
    <row r="92" spans="1:5" x14ac:dyDescent="0.25">
      <c r="A92" s="68">
        <f>BDD!A90</f>
        <v>3217</v>
      </c>
      <c r="B92" s="42" t="str">
        <f>BDD!D90</f>
        <v>Guayaba local</v>
      </c>
      <c r="C92" s="43" t="str">
        <f>BDD!E90</f>
        <v>Granada</v>
      </c>
      <c r="D92" s="44" t="e">
        <f>#REF!</f>
        <v>#REF!</v>
      </c>
      <c r="E92" s="28"/>
    </row>
    <row r="93" spans="1:5" s="45" customFormat="1" ht="19.5" x14ac:dyDescent="0.25">
      <c r="A93" s="68">
        <f>BDD!A91</f>
        <v>1607</v>
      </c>
      <c r="B93" s="42" t="str">
        <f>BDD!D91</f>
        <v>Semillas de cáñamo pelado crudo BIO (env. 1 kg.)</v>
      </c>
      <c r="C93" s="43" t="str">
        <f>BDD!E91</f>
        <v>China</v>
      </c>
      <c r="D93" s="44" t="e">
        <f>#REF!</f>
        <v>#REF!</v>
      </c>
      <c r="E93" s="46"/>
    </row>
    <row r="94" spans="1:5" x14ac:dyDescent="0.25">
      <c r="A94" s="68">
        <f>BDD!A92</f>
        <v>1356</v>
      </c>
      <c r="B94" s="42" t="str">
        <f>BDD!D92</f>
        <v>Girasol pipa sin cáscara BIO (env. 1kg)</v>
      </c>
      <c r="C94" s="43" t="str">
        <f>BDD!E92</f>
        <v>Bulgaria</v>
      </c>
      <c r="D94" s="44" t="e">
        <f>#REF!</f>
        <v>#REF!</v>
      </c>
      <c r="E94" s="28"/>
    </row>
    <row r="95" spans="1:5" s="45" customFormat="1" ht="19.5" x14ac:dyDescent="0.25">
      <c r="A95" s="68">
        <f>BDD!A93</f>
        <v>1356</v>
      </c>
      <c r="B95" s="42" t="str">
        <f>BDD!D93</f>
        <v>Girasol pipa sin cáscara BIO (env. 500 grs.)</v>
      </c>
      <c r="C95" s="43" t="str">
        <f>BDD!E93</f>
        <v>Bulgaria</v>
      </c>
      <c r="D95" s="44" t="e">
        <f>#REF!</f>
        <v>#REF!</v>
      </c>
      <c r="E95" s="46"/>
    </row>
    <row r="96" spans="1:5" x14ac:dyDescent="0.25">
      <c r="A96" s="68">
        <f>BDD!A94</f>
        <v>3209</v>
      </c>
      <c r="B96" s="42" t="str">
        <f>BDD!D94</f>
        <v>Granada local ¡¡¡Muy roja, excelente!!!</v>
      </c>
      <c r="C96" s="43" t="str">
        <f>BDD!E94</f>
        <v>Granada</v>
      </c>
      <c r="D96" s="44" t="e">
        <f>#REF!</f>
        <v>#REF!</v>
      </c>
      <c r="E96" s="28"/>
    </row>
    <row r="97" spans="1:5" x14ac:dyDescent="0.25">
      <c r="A97" s="68">
        <f>BDD!A95</f>
        <v>1121</v>
      </c>
      <c r="B97" s="42" t="str">
        <f>BDD!D95</f>
        <v>Granada mollar BIO (piezas grandes y rosadas)</v>
      </c>
      <c r="C97" s="43" t="str">
        <f>BDD!E95</f>
        <v>Granada</v>
      </c>
      <c r="D97" s="44" t="e">
        <f>#REF!</f>
        <v>#REF!</v>
      </c>
      <c r="E97" s="28"/>
    </row>
    <row r="98" spans="1:5" x14ac:dyDescent="0.25">
      <c r="A98" s="68">
        <f>BDD!A96</f>
        <v>6120</v>
      </c>
      <c r="B98" s="42" t="str">
        <f>BDD!D96</f>
        <v>Granada Purple Queen BIO</v>
      </c>
      <c r="C98" s="43" t="str">
        <f>BDD!E96</f>
        <v>Málaga</v>
      </c>
      <c r="D98" s="44" t="e">
        <f>#REF!</f>
        <v>#REF!</v>
      </c>
      <c r="E98" s="28"/>
    </row>
    <row r="99" spans="1:5" x14ac:dyDescent="0.25">
      <c r="A99" s="68">
        <f>BDD!A97</f>
        <v>6063</v>
      </c>
      <c r="B99" s="42" t="str">
        <f>BDD!D97</f>
        <v>Aceite de oliva BIO variedad Aloreña (env. 1 litro cristal)</v>
      </c>
      <c r="C99" s="43" t="str">
        <f>BDD!E97</f>
        <v>Málaga</v>
      </c>
      <c r="D99" s="44" t="e">
        <f>#REF!</f>
        <v>#REF!</v>
      </c>
      <c r="E99" s="28"/>
    </row>
    <row r="100" spans="1:5" x14ac:dyDescent="0.25">
      <c r="A100" s="68">
        <f>BDD!A98</f>
        <v>6064</v>
      </c>
      <c r="B100" s="42" t="str">
        <f>BDD!D98</f>
        <v>Aceite de oliva BIO variedad Aloreña (lata 5 litros)</v>
      </c>
      <c r="C100" s="43" t="str">
        <f>BDD!E98</f>
        <v>Málaga</v>
      </c>
      <c r="D100" s="44" t="e">
        <f>#REF!</f>
        <v>#REF!</v>
      </c>
      <c r="E100" s="28"/>
    </row>
    <row r="101" spans="1:5" x14ac:dyDescent="0.25">
      <c r="A101" s="68" t="str">
        <f>BDD!A99</f>
        <v>3601-5043-3261</v>
      </c>
      <c r="B101" s="42" t="str">
        <f>BDD!D99</f>
        <v>Kaki diferentes varidades local (persimon, brillante...)</v>
      </c>
      <c r="C101" s="43" t="str">
        <f>BDD!E99</f>
        <v>Granada</v>
      </c>
      <c r="D101" s="44" t="e">
        <f>#REF!</f>
        <v>#REF!</v>
      </c>
      <c r="E101" s="28"/>
    </row>
    <row r="102" spans="1:5" s="45" customFormat="1" ht="36" x14ac:dyDescent="0.25">
      <c r="A102" s="68">
        <f>BDD!A100</f>
        <v>3265</v>
      </c>
      <c r="B102" s="42" t="str">
        <f>BDD!D100</f>
        <v>Kaki Fuyu local  (procedente de finca con cultivo orgánico) ¡¡¡Calidad súper!!!</v>
      </c>
      <c r="C102" s="43" t="str">
        <f>BDD!E100</f>
        <v>Granada</v>
      </c>
      <c r="D102" s="44" t="e">
        <f>#REF!</f>
        <v>#REF!</v>
      </c>
      <c r="E102" s="46"/>
    </row>
    <row r="103" spans="1:5" x14ac:dyDescent="0.25">
      <c r="A103" s="68">
        <f>BDD!A101</f>
        <v>3276</v>
      </c>
      <c r="B103" s="42" t="str">
        <f>BDD!D101</f>
        <v>Kiwi local</v>
      </c>
      <c r="C103" s="43" t="str">
        <f>BDD!E101</f>
        <v>Granada</v>
      </c>
      <c r="D103" s="44" t="e">
        <f>#REF!</f>
        <v>#REF!</v>
      </c>
      <c r="E103" s="28"/>
    </row>
    <row r="104" spans="1:5" x14ac:dyDescent="0.25">
      <c r="A104" s="68">
        <f>BDD!A102</f>
        <v>1961</v>
      </c>
      <c r="B104" s="42" t="str">
        <f>BDD!D102</f>
        <v>Kiwi  BIO</v>
      </c>
      <c r="C104" s="43" t="str">
        <f>BDD!E102</f>
        <v>Portugal</v>
      </c>
      <c r="D104" s="44" t="e">
        <f>#REF!</f>
        <v>#REF!</v>
      </c>
      <c r="E104" s="28"/>
    </row>
    <row r="105" spans="1:5" s="45" customFormat="1" ht="19.5" x14ac:dyDescent="0.25">
      <c r="A105" s="68">
        <f>BDD!A103</f>
        <v>3941</v>
      </c>
      <c r="B105" s="42" t="str">
        <f>BDD!D103</f>
        <v xml:space="preserve">Kiwi Sun Gold </v>
      </c>
      <c r="C105" s="43" t="str">
        <f>BDD!E103</f>
        <v>Nueva Zelanda</v>
      </c>
      <c r="D105" s="44" t="e">
        <f>#REF!</f>
        <v>#REF!</v>
      </c>
      <c r="E105" s="46"/>
    </row>
    <row r="106" spans="1:5" s="45" customFormat="1" ht="19.5" x14ac:dyDescent="0.25">
      <c r="A106" s="68">
        <f>BDD!A104</f>
        <v>1755</v>
      </c>
      <c r="B106" s="42" t="str">
        <f>BDD!D104</f>
        <v>Leche de coco en polvo 100% cruda BIO (env. 1 kg.)</v>
      </c>
      <c r="C106" s="43" t="str">
        <f>BDD!E104</f>
        <v>Sri Lanka</v>
      </c>
      <c r="D106" s="44" t="e">
        <f>#REF!</f>
        <v>#REF!</v>
      </c>
      <c r="E106" s="46"/>
    </row>
    <row r="107" spans="1:5" x14ac:dyDescent="0.25">
      <c r="A107" s="68">
        <f>BDD!A105</f>
        <v>1755</v>
      </c>
      <c r="B107" s="42" t="str">
        <f>BDD!D105</f>
        <v>Leche de coco en polvo 100% cruda BIO (env. 500 grs.)</v>
      </c>
      <c r="C107" s="43" t="str">
        <f>BDD!E105</f>
        <v>Sri Lanka</v>
      </c>
      <c r="D107" s="44" t="e">
        <f>#REF!</f>
        <v>#REF!</v>
      </c>
      <c r="E107" s="28"/>
    </row>
    <row r="108" spans="1:5" x14ac:dyDescent="0.25">
      <c r="A108" s="68">
        <f>BDD!A106</f>
        <v>1103</v>
      </c>
      <c r="B108" s="42" t="str">
        <f>BDD!D106</f>
        <v>Lima-limón variedad india BIO (se recolecta con color)</v>
      </c>
      <c r="C108" s="43" t="str">
        <f>BDD!E106</f>
        <v>Málaga</v>
      </c>
      <c r="D108" s="44" t="e">
        <f>#REF!</f>
        <v>#REF!</v>
      </c>
      <c r="E108" s="28"/>
    </row>
    <row r="109" spans="1:5" x14ac:dyDescent="0.25">
      <c r="A109" s="68">
        <f>BDD!A107</f>
        <v>1606</v>
      </c>
      <c r="B109" s="42" t="str">
        <f>BDD!D107</f>
        <v>Lúcuma cruda en polvo BIO (env. 1 kg.)</v>
      </c>
      <c r="C109" s="43" t="str">
        <f>BDD!E107</f>
        <v>Perú</v>
      </c>
      <c r="D109" s="44" t="e">
        <f>#REF!</f>
        <v>#REF!</v>
      </c>
      <c r="E109" s="28"/>
    </row>
    <row r="110" spans="1:5" x14ac:dyDescent="0.25">
      <c r="A110" s="68">
        <f>BDD!A108</f>
        <v>1640</v>
      </c>
      <c r="B110" s="42" t="str">
        <f>BDD!D108</f>
        <v>Maca en polvo cruda BIO (env. 1 kg.)</v>
      </c>
      <c r="C110" s="43" t="str">
        <f>BDD!E108</f>
        <v>Perú</v>
      </c>
      <c r="D110" s="44" t="e">
        <f>#REF!</f>
        <v>#REF!</v>
      </c>
      <c r="E110" s="28"/>
    </row>
    <row r="111" spans="1:5" x14ac:dyDescent="0.25">
      <c r="A111" s="68">
        <f>BDD!A109</f>
        <v>1640</v>
      </c>
      <c r="B111" s="42" t="str">
        <f>BDD!D109</f>
        <v>Maca en polvo cruda BIO (env. 500 grs.)</v>
      </c>
      <c r="C111" s="43" t="str">
        <f>BDD!E109</f>
        <v>Perú</v>
      </c>
      <c r="D111" s="44" t="e">
        <f>#REF!</f>
        <v>#REF!</v>
      </c>
      <c r="E111" s="28"/>
    </row>
    <row r="112" spans="1:5" x14ac:dyDescent="0.25">
      <c r="A112" s="68">
        <f>BDD!A110</f>
        <v>1639</v>
      </c>
      <c r="B112" s="42" t="str">
        <f>BDD!D110</f>
        <v>Maca negra BIO (env. 1 kg.)</v>
      </c>
      <c r="C112" s="43" t="str">
        <f>BDD!E110</f>
        <v>Perú</v>
      </c>
      <c r="D112" s="44" t="e">
        <f>#REF!</f>
        <v>#REF!</v>
      </c>
      <c r="E112" s="28"/>
    </row>
    <row r="113" spans="1:5" s="45" customFormat="1" ht="19.5" x14ac:dyDescent="0.25">
      <c r="A113" s="68">
        <f>BDD!A111</f>
        <v>1639</v>
      </c>
      <c r="B113" s="42" t="str">
        <f>BDD!D111</f>
        <v>Maca negra BIO (env. 500 grs.)</v>
      </c>
      <c r="C113" s="43" t="str">
        <f>BDD!E111</f>
        <v>Perú</v>
      </c>
      <c r="D113" s="44" t="e">
        <f>#REF!</f>
        <v>#REF!</v>
      </c>
      <c r="E113" s="46"/>
    </row>
    <row r="114" spans="1:5" s="45" customFormat="1" ht="19.5" x14ac:dyDescent="0.25">
      <c r="A114" s="68">
        <f>BDD!A112</f>
        <v>3146</v>
      </c>
      <c r="B114" s="42" t="str">
        <f>BDD!D112</f>
        <v>Mazorca maiz dulce fresca (bandeja de 2 piezas)</v>
      </c>
      <c r="C114" s="43" t="str">
        <f>BDD!E112</f>
        <v>Málaga</v>
      </c>
      <c r="D114" s="44" t="e">
        <f>#REF!</f>
        <v>#REF!</v>
      </c>
      <c r="E114" s="46"/>
    </row>
    <row r="115" spans="1:5" ht="36" x14ac:dyDescent="0.25">
      <c r="A115" s="68">
        <f>BDD!A113</f>
        <v>5215</v>
      </c>
      <c r="B115" s="42" t="str">
        <f>BDD!D113</f>
        <v>Mango Irwin gourmet deshidratado a  baja temperatura. Crudo. En laminas</v>
      </c>
      <c r="C115" s="43" t="str">
        <f>BDD!E113</f>
        <v>Granada</v>
      </c>
      <c r="D115" s="44" t="e">
        <f>#REF!</f>
        <v>#REF!</v>
      </c>
      <c r="E115" s="28"/>
    </row>
    <row r="116" spans="1:5" ht="36" x14ac:dyDescent="0.25">
      <c r="A116" s="68">
        <f>BDD!A114</f>
        <v>3868</v>
      </c>
      <c r="B116" s="42" t="str">
        <f>BDD!D114</f>
        <v>Mango deshidratado semi-seco artesanal Palmer rojo de Brasil (env. 500 grs.)</v>
      </c>
      <c r="C116" s="43" t="str">
        <f>BDD!E114</f>
        <v>Granada</v>
      </c>
      <c r="D116" s="44" t="e">
        <f>#REF!</f>
        <v>#REF!</v>
      </c>
      <c r="E116" s="28"/>
    </row>
    <row r="117" spans="1:5" x14ac:dyDescent="0.25">
      <c r="A117" s="68">
        <f>BDD!A115</f>
        <v>3174</v>
      </c>
      <c r="B117" s="42" t="str">
        <f>BDD!D115</f>
        <v>Mango Irwin local (grande)</v>
      </c>
      <c r="C117" s="43" t="str">
        <f>BDD!E115</f>
        <v>Málaga</v>
      </c>
      <c r="D117" s="44" t="e">
        <f>#REF!</f>
        <v>#REF!</v>
      </c>
      <c r="E117" s="28"/>
    </row>
    <row r="118" spans="1:5" x14ac:dyDescent="0.25">
      <c r="A118" s="68">
        <f>BDD!A116</f>
        <v>3255</v>
      </c>
      <c r="B118" s="42" t="str">
        <f>BDD!D116</f>
        <v>Mango Keitt Local</v>
      </c>
      <c r="C118" s="43" t="str">
        <f>BDD!E116</f>
        <v>Granada</v>
      </c>
      <c r="D118" s="44" t="e">
        <f>#REF!</f>
        <v>#REF!</v>
      </c>
      <c r="E118" s="28"/>
    </row>
    <row r="119" spans="1:5" x14ac:dyDescent="0.25">
      <c r="A119" s="68">
        <f>BDD!A117</f>
        <v>1171</v>
      </c>
      <c r="B119" s="42" t="str">
        <f>BDD!D117</f>
        <v>Mango Keitt BIO</v>
      </c>
      <c r="C119" s="43" t="str">
        <f>BDD!E117</f>
        <v>Granada</v>
      </c>
      <c r="D119" s="44" t="e">
        <f>#REF!</f>
        <v>#REF!</v>
      </c>
      <c r="E119" s="28"/>
    </row>
    <row r="120" spans="1:5" ht="54" x14ac:dyDescent="0.25">
      <c r="A120" s="68">
        <f>BDD!A118</f>
        <v>6198</v>
      </c>
      <c r="B120" s="42" t="str">
        <f>BDD!D118</f>
        <v>Mango Keitt BIO (ligeras quemaduras superficiales al lado del pedúnculo producidas por el sol, pulpa perfecta). Finca con certificado ecológico desde 1985 ¡¡¡Oferta!!!</v>
      </c>
      <c r="C120" s="43" t="str">
        <f>BDD!E118</f>
        <v>Málaga</v>
      </c>
      <c r="D120" s="44" t="e">
        <f>#REF!</f>
        <v>#REF!</v>
      </c>
      <c r="E120" s="28"/>
    </row>
    <row r="121" spans="1:5" s="45" customFormat="1" ht="36" x14ac:dyDescent="0.25">
      <c r="A121" s="68">
        <f>BDD!A119</f>
        <v>6127</v>
      </c>
      <c r="B121" s="42" t="str">
        <f>BDD!D119</f>
        <v>Mango Keitt calibre pequeño (de 170 a 400 grs aproximadamente) BIO</v>
      </c>
      <c r="C121" s="43" t="str">
        <f>BDD!E119</f>
        <v>Málaga</v>
      </c>
      <c r="D121" s="44" t="e">
        <f>#REF!</f>
        <v>#REF!</v>
      </c>
      <c r="E121" s="46"/>
    </row>
    <row r="122" spans="1:5" x14ac:dyDescent="0.25">
      <c r="A122" s="68">
        <f>BDD!A120</f>
        <v>3225</v>
      </c>
      <c r="B122" s="42" t="str">
        <f>BDD!D120</f>
        <v>Mango Kent calibre mediano local madurado en árbol</v>
      </c>
      <c r="C122" s="43" t="str">
        <f>BDD!E120</f>
        <v>Málaga</v>
      </c>
      <c r="D122" s="44" t="e">
        <f>#REF!</f>
        <v>#REF!</v>
      </c>
      <c r="E122" s="28"/>
    </row>
    <row r="123" spans="1:5" ht="54" x14ac:dyDescent="0.25">
      <c r="A123" s="68">
        <f>BDD!A121</f>
        <v>6198</v>
      </c>
      <c r="B123" s="42" t="str">
        <f>BDD!D121</f>
        <v>Mango Kent BIO (ligeras quemaduras superficiales al lado del pedúnculo producidas por el sol, pulpa perfecta). Finca con certificado ecológico desde 1985 ¡¡¡Oferta!!!</v>
      </c>
      <c r="C123" s="43" t="str">
        <f>BDD!E121</f>
        <v>Málaga</v>
      </c>
      <c r="D123" s="44" t="e">
        <f>#REF!</f>
        <v>#REF!</v>
      </c>
      <c r="E123" s="28"/>
    </row>
    <row r="124" spans="1:5" x14ac:dyDescent="0.25">
      <c r="A124" s="68">
        <f>BDD!A122</f>
        <v>3194</v>
      </c>
      <c r="B124" s="42" t="str">
        <f>BDD!D122</f>
        <v>Mango Lipens local ¡¡¡Excelente!!!</v>
      </c>
      <c r="C124" s="43" t="str">
        <f>BDD!E122</f>
        <v>Granada</v>
      </c>
      <c r="D124" s="44" t="e">
        <f>#REF!</f>
        <v>#REF!</v>
      </c>
      <c r="E124" s="28"/>
    </row>
    <row r="125" spans="1:5" ht="36" x14ac:dyDescent="0.25">
      <c r="A125" s="68">
        <f>BDD!A123</f>
        <v>3190</v>
      </c>
      <c r="B125" s="42" t="str">
        <f>BDD!D123</f>
        <v>Mango Osteen cultivo natural local ¡¡¡Procedente de finca ecológica sin certificado!!!</v>
      </c>
      <c r="C125" s="43" t="str">
        <f>BDD!E123</f>
        <v>Granada</v>
      </c>
      <c r="D125" s="44" t="e">
        <f>#REF!</f>
        <v>#REF!</v>
      </c>
      <c r="E125" s="28"/>
    </row>
    <row r="126" spans="1:5" ht="54" x14ac:dyDescent="0.25">
      <c r="A126" s="68" t="str">
        <f>BDD!A124</f>
        <v>3190. 658</v>
      </c>
      <c r="B126" s="42" t="str">
        <f>BDD!D124</f>
        <v>Mango Osteen finca EParadise (certificado Global Gap) ¡¡¡Máxima selección, madurado en el árbol y recolectado a diario!!!</v>
      </c>
      <c r="C126" s="43" t="str">
        <f>BDD!E124</f>
        <v>Granada</v>
      </c>
      <c r="D126" s="44" t="e">
        <f>#REF!</f>
        <v>#REF!</v>
      </c>
      <c r="E126" s="28"/>
    </row>
    <row r="127" spans="1:5" x14ac:dyDescent="0.25">
      <c r="A127" s="68">
        <f>BDD!A125</f>
        <v>1115</v>
      </c>
      <c r="B127" s="42" t="str">
        <f>BDD!D125</f>
        <v>Mango Osteen BIO. Primera calidad. Madurado en la planta</v>
      </c>
      <c r="C127" s="43" t="str">
        <f>BDD!E125</f>
        <v>Salobrena</v>
      </c>
      <c r="D127" s="44" t="e">
        <f>#REF!</f>
        <v>#REF!</v>
      </c>
      <c r="E127" s="28"/>
    </row>
    <row r="128" spans="1:5" x14ac:dyDescent="0.25">
      <c r="A128" s="68">
        <f>BDD!A126</f>
        <v>3703</v>
      </c>
      <c r="B128" s="42" t="str">
        <f>BDD!D126</f>
        <v>Mango Osteen mini gourmet local</v>
      </c>
      <c r="C128" s="43" t="str">
        <f>BDD!E126</f>
        <v>Granada</v>
      </c>
      <c r="D128" s="44" t="e">
        <f>#REF!</f>
        <v>#REF!</v>
      </c>
      <c r="E128" s="28"/>
    </row>
    <row r="129" spans="1:5" x14ac:dyDescent="0.25">
      <c r="A129" s="68">
        <f>BDD!A127</f>
        <v>1843</v>
      </c>
      <c r="B129" s="42" t="str">
        <f>BDD!D127</f>
        <v>Mango Palmer rojo BIO. Recién recolectado, piezas grandes</v>
      </c>
      <c r="C129" s="43" t="str">
        <f>BDD!E127</f>
        <v>Granada</v>
      </c>
      <c r="D129" s="44" t="e">
        <f>#REF!</f>
        <v>#REF!</v>
      </c>
      <c r="E129" s="28"/>
    </row>
    <row r="130" spans="1:5" x14ac:dyDescent="0.25">
      <c r="A130" s="68">
        <f>BDD!A128</f>
        <v>6269</v>
      </c>
      <c r="B130" s="42" t="str">
        <f>BDD!D128</f>
        <v xml:space="preserve">Mango palmer rojo gourmet BIO </v>
      </c>
      <c r="C130" s="43" t="str">
        <f>BDD!E128</f>
        <v>Granada</v>
      </c>
      <c r="D130" s="44" t="e">
        <f>#REF!</f>
        <v>#REF!</v>
      </c>
      <c r="E130" s="28"/>
    </row>
    <row r="131" spans="1:5" ht="36" x14ac:dyDescent="0.25">
      <c r="A131" s="68" t="str">
        <f>BDD!A129</f>
        <v>3214-3248-3174-3194-3190-3175</v>
      </c>
      <c r="B131" s="42" t="str">
        <f>BDD!D129</f>
        <v>Mango variado local empezando a madurar (Haden, Supér Haden, Irwin, Lipens, Osteen, Tommy Atkins)</v>
      </c>
      <c r="C131" s="43" t="str">
        <f>BDD!E129</f>
        <v>Granada</v>
      </c>
      <c r="D131" s="44" t="e">
        <f>#REF!</f>
        <v>#REF!</v>
      </c>
      <c r="E131" s="28"/>
    </row>
    <row r="132" spans="1:5" x14ac:dyDescent="0.25">
      <c r="A132" s="68">
        <f>BDD!A130</f>
        <v>3112</v>
      </c>
      <c r="B132" s="42" t="str">
        <f>BDD!D130</f>
        <v>Melón piel de sapo</v>
      </c>
      <c r="C132" s="43" t="str">
        <f>BDD!E130</f>
        <v>Córdoba</v>
      </c>
      <c r="D132" s="44" t="e">
        <f>#REF!</f>
        <v>#REF!</v>
      </c>
      <c r="E132" s="28"/>
    </row>
    <row r="133" spans="1:5" x14ac:dyDescent="0.25">
      <c r="A133" s="68">
        <f>BDD!A131</f>
        <v>1052</v>
      </c>
      <c r="B133" s="42" t="str">
        <f>BDD!D131</f>
        <v>Melón piel de sapo BIO</v>
      </c>
      <c r="C133" s="43" t="str">
        <f>BDD!E131</f>
        <v>Andalucía</v>
      </c>
      <c r="D133" s="44" t="e">
        <f>#REF!</f>
        <v>#REF!</v>
      </c>
      <c r="E133" s="28"/>
    </row>
    <row r="134" spans="1:5" x14ac:dyDescent="0.25">
      <c r="A134" s="68">
        <f>BDD!A132</f>
        <v>3925</v>
      </c>
      <c r="B134" s="42" t="str">
        <f>BDD!D132</f>
        <v>Miel de aguacate (env. 1 kg.)</v>
      </c>
      <c r="C134" s="43" t="str">
        <f>BDD!E132</f>
        <v>Granada</v>
      </c>
      <c r="D134" s="44" t="e">
        <f>#REF!</f>
        <v>#REF!</v>
      </c>
      <c r="E134" s="28"/>
    </row>
    <row r="135" spans="1:5" x14ac:dyDescent="0.25">
      <c r="A135" s="68">
        <f>BDD!A133</f>
        <v>1324</v>
      </c>
      <c r="B135" s="42" t="str">
        <f>BDD!D133</f>
        <v>Miel de eucalipto BIO (env. 1 kg.)</v>
      </c>
      <c r="C135" s="43" t="str">
        <f>BDD!E133</f>
        <v>Huelva</v>
      </c>
      <c r="D135" s="44" t="e">
        <f>#REF!</f>
        <v>#REF!</v>
      </c>
      <c r="E135" s="28"/>
    </row>
    <row r="136" spans="1:5" x14ac:dyDescent="0.25">
      <c r="A136" s="68">
        <f>BDD!A134</f>
        <v>5113</v>
      </c>
      <c r="B136" s="42" t="str">
        <f>BDD!D134</f>
        <v>Miel de azahar (env. 1 kg.)</v>
      </c>
      <c r="C136" s="43" t="str">
        <f>BDD!E134</f>
        <v>Granada</v>
      </c>
      <c r="D136" s="44" t="e">
        <f>#REF!</f>
        <v>#REF!</v>
      </c>
      <c r="E136" s="28"/>
    </row>
    <row r="137" spans="1:5" x14ac:dyDescent="0.25">
      <c r="A137" s="68">
        <f>BDD!A135</f>
        <v>1444</v>
      </c>
      <c r="B137" s="42" t="str">
        <f>BDD!D135</f>
        <v>Miel Huelva multiflora BIO cruda sin filtrar (env. 1 kg.)</v>
      </c>
      <c r="C137" s="43" t="str">
        <f>BDD!E135</f>
        <v>Huelva</v>
      </c>
      <c r="D137" s="44" t="e">
        <f>#REF!</f>
        <v>#REF!</v>
      </c>
      <c r="E137" s="28"/>
    </row>
    <row r="138" spans="1:5" x14ac:dyDescent="0.25">
      <c r="A138" s="68">
        <f>BDD!A136</f>
        <v>5107</v>
      </c>
      <c r="B138" s="42" t="str">
        <f>BDD!D136</f>
        <v>Miel de montaña (env. 1 kg)</v>
      </c>
      <c r="C138" s="43" t="str">
        <f>BDD!E136</f>
        <v>Granada</v>
      </c>
      <c r="D138" s="44" t="e">
        <f>#REF!</f>
        <v>#REF!</v>
      </c>
      <c r="E138" s="28"/>
    </row>
    <row r="139" spans="1:5" x14ac:dyDescent="0.25">
      <c r="A139" s="68">
        <f>BDD!A137</f>
        <v>3585</v>
      </c>
      <c r="B139" s="42" t="str">
        <f>BDD!D137</f>
        <v>Miel de romero (env. 1 kg.)</v>
      </c>
      <c r="C139" s="43" t="str">
        <f>BDD!E137</f>
        <v>Granada</v>
      </c>
      <c r="D139" s="44" t="e">
        <f>#REF!</f>
        <v>#REF!</v>
      </c>
      <c r="E139" s="28"/>
    </row>
    <row r="140" spans="1:5" x14ac:dyDescent="0.25">
      <c r="A140" s="68">
        <f>BDD!A138</f>
        <v>5114</v>
      </c>
      <c r="B140" s="42" t="str">
        <f>BDD!D138</f>
        <v>Miel multiflora (env. 1 kg.)</v>
      </c>
      <c r="C140" s="43" t="str">
        <f>BDD!E138</f>
        <v>Granada</v>
      </c>
      <c r="D140" s="44" t="e">
        <f>#REF!</f>
        <v>#REF!</v>
      </c>
      <c r="E140" s="28"/>
    </row>
    <row r="141" spans="1:5" x14ac:dyDescent="0.25">
      <c r="A141" s="68">
        <f>BDD!A139</f>
        <v>3626</v>
      </c>
      <c r="B141" s="42" t="str">
        <f>BDD!D139</f>
        <v>Níspero de invierno local</v>
      </c>
      <c r="C141" s="43" t="str">
        <f>BDD!E139</f>
        <v>Granada</v>
      </c>
      <c r="D141" s="44" t="e">
        <f>#REF!</f>
        <v>#REF!</v>
      </c>
      <c r="E141" s="28"/>
    </row>
    <row r="142" spans="1:5" x14ac:dyDescent="0.25">
      <c r="A142" s="68">
        <f>BDD!A140</f>
        <v>1154</v>
      </c>
      <c r="B142" s="42" t="str">
        <f>BDD!D140</f>
        <v>Avellana cruda BIO sin cáscara (env. 1 kg.)</v>
      </c>
      <c r="C142" s="43" t="str">
        <f>BDD!E140</f>
        <v>Nacional</v>
      </c>
      <c r="D142" s="44" t="e">
        <f>#REF!</f>
        <v>#REF!</v>
      </c>
      <c r="E142" s="28"/>
    </row>
    <row r="143" spans="1:5" x14ac:dyDescent="0.25">
      <c r="A143" s="68">
        <f>BDD!A141</f>
        <v>1027</v>
      </c>
      <c r="B143" s="42" t="str">
        <f>BDD!D141</f>
        <v>Anacardo crudo BIO (env. 1 kg.)</v>
      </c>
      <c r="C143" s="43" t="str">
        <f>BDD!E141</f>
        <v>India</v>
      </c>
      <c r="D143" s="44" t="e">
        <f>#REF!</f>
        <v>#REF!</v>
      </c>
      <c r="E143" s="28"/>
    </row>
    <row r="144" spans="1:5" x14ac:dyDescent="0.25">
      <c r="A144" s="68" t="str">
        <f>BDD!A142</f>
        <v>1816</v>
      </c>
      <c r="B144" s="42" t="str">
        <f>BDD!D142</f>
        <v>Nuez de Macadamia sin cáscara BIO  (env. 1 kg.)</v>
      </c>
      <c r="C144" s="43" t="str">
        <f>BDD!E142</f>
        <v>Kenia</v>
      </c>
      <c r="D144" s="44" t="e">
        <f>#REF!</f>
        <v>#REF!</v>
      </c>
      <c r="E144" s="28"/>
    </row>
    <row r="145" spans="1:5" x14ac:dyDescent="0.25">
      <c r="A145" s="68" t="str">
        <f>BDD!A143</f>
        <v>1816</v>
      </c>
      <c r="B145" s="42" t="str">
        <f>BDD!D143</f>
        <v>Nuez de Macadamia sin cáscara BIO (env. 500 grs.)</v>
      </c>
      <c r="C145" s="43" t="str">
        <f>BDD!E143</f>
        <v>Kenia</v>
      </c>
      <c r="D145" s="44" t="e">
        <f>#REF!</f>
        <v>#REF!</v>
      </c>
      <c r="E145" s="28"/>
    </row>
    <row r="146" spans="1:5" x14ac:dyDescent="0.25">
      <c r="A146" s="68">
        <f>BDD!A144</f>
        <v>6005</v>
      </c>
      <c r="B146" s="42" t="str">
        <f>BDD!D144</f>
        <v>Nuez Pecana sin cáscara BIO  (env. 1 kg.)</v>
      </c>
      <c r="C146" s="43" t="str">
        <f>BDD!E144</f>
        <v>Mexico</v>
      </c>
      <c r="D146" s="44" t="e">
        <f>#REF!</f>
        <v>#REF!</v>
      </c>
      <c r="E146" s="28"/>
    </row>
    <row r="147" spans="1:5" x14ac:dyDescent="0.25">
      <c r="A147" s="68">
        <f>BDD!A145</f>
        <v>6005</v>
      </c>
      <c r="B147" s="42" t="str">
        <f>BDD!D145</f>
        <v>Nuez Pecana sin cáscara BIO (env. 500 grs.)</v>
      </c>
      <c r="C147" s="43" t="str">
        <f>BDD!E145</f>
        <v>Mexico</v>
      </c>
      <c r="D147" s="44" t="e">
        <f>#REF!</f>
        <v>#REF!</v>
      </c>
      <c r="E147" s="28"/>
    </row>
    <row r="148" spans="1:5" x14ac:dyDescent="0.25">
      <c r="A148" s="68">
        <f>BDD!A146</f>
        <v>1101</v>
      </c>
      <c r="B148" s="42" t="str">
        <f>BDD!D146</f>
        <v>Cebolla blanca seca BIO</v>
      </c>
      <c r="C148" s="43" t="str">
        <f>BDD!E146</f>
        <v>Málaga</v>
      </c>
      <c r="D148" s="44" t="e">
        <f>#REF!</f>
        <v>#REF!</v>
      </c>
      <c r="E148" s="28"/>
    </row>
    <row r="149" spans="1:5" x14ac:dyDescent="0.25">
      <c r="A149" s="68">
        <f>BDD!A147</f>
        <v>1151</v>
      </c>
      <c r="B149" s="42" t="str">
        <f>BDD!D147</f>
        <v>Cebolla roja BIO</v>
      </c>
      <c r="C149" s="43" t="str">
        <f>BDD!E147</f>
        <v>Malaga</v>
      </c>
      <c r="D149" s="44" t="e">
        <f>#REF!</f>
        <v>#REF!</v>
      </c>
      <c r="E149" s="28"/>
    </row>
    <row r="150" spans="1:5" x14ac:dyDescent="0.25">
      <c r="A150" s="68">
        <f>BDD!A148</f>
        <v>6025</v>
      </c>
      <c r="B150" s="42" t="str">
        <f>BDD!D148</f>
        <v>Aceituna Aloreña aliñada BIO (env.800 grs.)</v>
      </c>
      <c r="C150" s="43" t="str">
        <f>BDD!E148</f>
        <v>Málaga</v>
      </c>
      <c r="D150" s="44" t="e">
        <f>#REF!</f>
        <v>#REF!</v>
      </c>
      <c r="E150" s="28"/>
    </row>
    <row r="151" spans="1:5" ht="54" x14ac:dyDescent="0.25">
      <c r="A151" s="68">
        <f>BDD!A149</f>
        <v>5119</v>
      </c>
      <c r="B151" s="42" t="str">
        <f>BDD!D149</f>
        <v>Aceituna fermentada BIO (bote cristal 450 grs.) Varios tipos: frescas, semi-secas, secas, ...a elección (sin sal y sin ningún otro complemento)</v>
      </c>
      <c r="C151" s="43" t="str">
        <f>BDD!E149</f>
        <v>Valencia</v>
      </c>
      <c r="D151" s="44" t="e">
        <f>#REF!</f>
        <v>#REF!</v>
      </c>
      <c r="E151" s="28"/>
    </row>
    <row r="152" spans="1:5" x14ac:dyDescent="0.25">
      <c r="A152" s="68">
        <f>BDD!A150</f>
        <v>1541</v>
      </c>
      <c r="B152" s="42" t="str">
        <f>BDD!D150</f>
        <v>Aceituna negra s/hueso semi-seca BIO (env. 500 grs.)</v>
      </c>
      <c r="C152" s="43" t="str">
        <f>BDD!E150</f>
        <v>Importación</v>
      </c>
      <c r="D152" s="44" t="e">
        <f>#REF!</f>
        <v>#REF!</v>
      </c>
      <c r="E152" s="28"/>
    </row>
    <row r="153" spans="1:5" x14ac:dyDescent="0.25">
      <c r="A153" s="68">
        <f>BDD!A151</f>
        <v>5159</v>
      </c>
      <c r="B153" s="42" t="str">
        <f>BDD!D151</f>
        <v>Aceituna Manzanilla verde Gordal fresca local</v>
      </c>
      <c r="C153" s="43" t="str">
        <f>BDD!E151</f>
        <v>Granada</v>
      </c>
      <c r="D153" s="44" t="e">
        <f>#REF!</f>
        <v>#REF!</v>
      </c>
      <c r="E153" s="28"/>
    </row>
    <row r="154" spans="1:5" x14ac:dyDescent="0.25">
      <c r="A154" s="68">
        <f>BDD!A152</f>
        <v>3073</v>
      </c>
      <c r="B154" s="42" t="str">
        <f>BDD!D152</f>
        <v>Naranja Valencialate local</v>
      </c>
      <c r="C154" s="43" t="str">
        <f>BDD!E152</f>
        <v>Andalucía</v>
      </c>
      <c r="D154" s="44" t="e">
        <f>#REF!</f>
        <v>#REF!</v>
      </c>
      <c r="E154" s="28"/>
    </row>
    <row r="155" spans="1:5" x14ac:dyDescent="0.25">
      <c r="A155" s="68">
        <f>BDD!A153</f>
        <v>6584</v>
      </c>
      <c r="B155" s="42" t="str">
        <f>BDD!D153</f>
        <v>Pimentón Picante de la Vera BIO         (env. 1 kg.)</v>
      </c>
      <c r="C155" s="43" t="str">
        <f>BDD!E153</f>
        <v>Sierra de Gredos</v>
      </c>
      <c r="D155" s="44" t="e">
        <f>#REF!</f>
        <v>#REF!</v>
      </c>
      <c r="E155" s="28"/>
    </row>
    <row r="156" spans="1:5" x14ac:dyDescent="0.25">
      <c r="A156" s="68">
        <f>BDD!A154</f>
        <v>1576</v>
      </c>
      <c r="B156" s="42" t="str">
        <f>BDD!D154</f>
        <v>Boniato BIO (grande)</v>
      </c>
      <c r="C156" s="43" t="str">
        <f>BDD!E154</f>
        <v>Málaga</v>
      </c>
      <c r="D156" s="44" t="e">
        <f>#REF!</f>
        <v>#REF!</v>
      </c>
      <c r="E156" s="28"/>
    </row>
    <row r="157" spans="1:5" x14ac:dyDescent="0.25">
      <c r="A157" s="68">
        <f>BDD!A155</f>
        <v>1015</v>
      </c>
      <c r="B157" s="42" t="str">
        <f>BDD!D155</f>
        <v>Boniato BIO (mediano)</v>
      </c>
      <c r="C157" s="43" t="str">
        <f>BDD!E155</f>
        <v>Málaga</v>
      </c>
      <c r="D157" s="44" t="e">
        <f>#REF!</f>
        <v>#REF!</v>
      </c>
      <c r="E157" s="28"/>
    </row>
    <row r="158" spans="1:5" ht="36" x14ac:dyDescent="0.25">
      <c r="A158" s="68">
        <f>BDD!A156</f>
        <v>1761</v>
      </c>
      <c r="B158" s="42" t="str">
        <f>BDD!D156</f>
        <v>Boniato violeta BIO (mediano/grande, nueva cosecha)¡¡Excelente!!</v>
      </c>
      <c r="C158" s="43" t="str">
        <f>BDD!E156</f>
        <v>Málaga</v>
      </c>
      <c r="D158" s="44" t="e">
        <f>#REF!</f>
        <v>#REF!</v>
      </c>
      <c r="E158" s="28"/>
    </row>
    <row r="159" spans="1:5" x14ac:dyDescent="0.25">
      <c r="A159" s="68">
        <f>BDD!A157</f>
        <v>3615</v>
      </c>
      <c r="B159" s="42" t="str">
        <f>BDD!D157</f>
        <v>Pistacho en grano natural (env. 1 kg.)</v>
      </c>
      <c r="C159" s="43" t="str">
        <f>BDD!E157</f>
        <v>Nacional</v>
      </c>
      <c r="D159" s="44" t="e">
        <f>#REF!</f>
        <v>#REF!</v>
      </c>
      <c r="E159" s="28"/>
    </row>
    <row r="160" spans="1:5" x14ac:dyDescent="0.25">
      <c r="A160" s="68">
        <f>BDD!A158</f>
        <v>3615</v>
      </c>
      <c r="B160" s="42" t="str">
        <f>BDD!D158</f>
        <v>Pistacho en grano natural (env. 500 grs.)</v>
      </c>
      <c r="C160" s="43" t="str">
        <f>BDD!E158</f>
        <v>Nacional</v>
      </c>
      <c r="D160" s="44" t="e">
        <f>#REF!</f>
        <v>#REF!</v>
      </c>
      <c r="E160" s="28"/>
    </row>
    <row r="161" spans="1:5" x14ac:dyDescent="0.25">
      <c r="A161" s="68">
        <f>BDD!A159</f>
        <v>3967</v>
      </c>
      <c r="B161" s="42" t="str">
        <f>BDD!D159</f>
        <v>Pitahaya/ Dragon Fruit amarilla por fuera pulpa blanca local</v>
      </c>
      <c r="C161" s="43" t="str">
        <f>BDD!E159</f>
        <v>Granada</v>
      </c>
      <c r="D161" s="44" t="e">
        <f>#REF!</f>
        <v>#REF!</v>
      </c>
      <c r="E161" s="28"/>
    </row>
    <row r="162" spans="1:5" x14ac:dyDescent="0.25">
      <c r="A162" s="68">
        <f>BDD!A160</f>
        <v>1982</v>
      </c>
      <c r="B162" s="42" t="str">
        <f>BDD!D160</f>
        <v>Pitahaya roja BIO</v>
      </c>
      <c r="C162" s="43" t="str">
        <f>BDD!E160</f>
        <v>Granada</v>
      </c>
      <c r="D162" s="44" t="e">
        <f>#REF!</f>
        <v>#REF!</v>
      </c>
      <c r="E162" s="28"/>
    </row>
    <row r="163" spans="1:5" x14ac:dyDescent="0.25">
      <c r="A163" s="68">
        <f>BDD!A161</f>
        <v>3043</v>
      </c>
      <c r="B163" s="42" t="str">
        <f>BDD!D161</f>
        <v>Pera Conferencia</v>
      </c>
      <c r="C163" s="43" t="str">
        <f>BDD!E161</f>
        <v>Nacional</v>
      </c>
      <c r="D163" s="44" t="e">
        <f>#REF!</f>
        <v>#REF!</v>
      </c>
      <c r="E163" s="28"/>
    </row>
    <row r="164" spans="1:5" x14ac:dyDescent="0.25">
      <c r="A164" s="68">
        <f>BDD!A162</f>
        <v>1123</v>
      </c>
      <c r="B164" s="42" t="str">
        <f>BDD!D162</f>
        <v>Pera Conferencia BIO</v>
      </c>
      <c r="C164" s="43" t="str">
        <f>BDD!E162</f>
        <v>Nacional</v>
      </c>
      <c r="D164" s="44" t="e">
        <f>#REF!</f>
        <v>#REF!</v>
      </c>
      <c r="E164" s="28"/>
    </row>
    <row r="165" spans="1:5" x14ac:dyDescent="0.25">
      <c r="A165" s="68">
        <f>BDD!A163</f>
        <v>1062</v>
      </c>
      <c r="B165" s="42" t="str">
        <f>BDD!D163</f>
        <v>Puerro BIO</v>
      </c>
      <c r="C165" s="43" t="str">
        <f>BDD!E163</f>
        <v>Málaga</v>
      </c>
      <c r="D165" s="44" t="e">
        <f>#REF!</f>
        <v>#REF!</v>
      </c>
      <c r="E165" s="28"/>
    </row>
    <row r="166" spans="1:5" x14ac:dyDescent="0.25">
      <c r="A166" s="68">
        <f>BDD!A164</f>
        <v>3313</v>
      </c>
      <c r="B166" s="42" t="str">
        <f>BDD!D164</f>
        <v>Pimiento mini dulce de colores local</v>
      </c>
      <c r="C166" s="43" t="str">
        <f>BDD!E164</f>
        <v>Granada</v>
      </c>
      <c r="D166" s="44" t="e">
        <f>#REF!</f>
        <v>#REF!</v>
      </c>
      <c r="E166" s="28"/>
    </row>
    <row r="167" spans="1:5" x14ac:dyDescent="0.25">
      <c r="A167" s="68">
        <f>BDD!A165</f>
        <v>1043</v>
      </c>
      <c r="B167" s="42" t="str">
        <f>BDD!D165</f>
        <v>Pimiento Rojo Ramiro BIO</v>
      </c>
      <c r="C167" s="43" t="str">
        <f>BDD!E165</f>
        <v>Málaga</v>
      </c>
      <c r="D167" s="44" t="e">
        <f>#REF!</f>
        <v>#REF!</v>
      </c>
      <c r="E167" s="28"/>
    </row>
    <row r="168" spans="1:5" x14ac:dyDescent="0.25">
      <c r="A168" s="68">
        <f>BDD!A166</f>
        <v>6041</v>
      </c>
      <c r="B168" s="42" t="str">
        <f>BDD!D166</f>
        <v>Polen fresco BIO (env. 500 grs.)</v>
      </c>
      <c r="C168" s="43" t="str">
        <f>BDD!E166</f>
        <v>Córdoba</v>
      </c>
      <c r="D168" s="44" t="e">
        <f>#REF!</f>
        <v>#REF!</v>
      </c>
      <c r="E168" s="28"/>
    </row>
    <row r="169" spans="1:5" x14ac:dyDescent="0.25">
      <c r="A169" s="68" t="str">
        <f>BDD!A167</f>
        <v>1564</v>
      </c>
      <c r="B169" s="42" t="str">
        <f>BDD!D167</f>
        <v>Polen seco BIO (env. 500 grs.)</v>
      </c>
      <c r="C169" s="43" t="str">
        <f>BDD!E167</f>
        <v>Huelva</v>
      </c>
      <c r="D169" s="44" t="e">
        <f>#REF!</f>
        <v>#REF!</v>
      </c>
      <c r="E169" s="28"/>
    </row>
    <row r="170" spans="1:5" x14ac:dyDescent="0.25">
      <c r="A170" s="68">
        <f>BDD!A168</f>
        <v>6121</v>
      </c>
      <c r="B170" s="42" t="str">
        <f>BDD!D168</f>
        <v>Patata Lucinda blanca BIO</v>
      </c>
      <c r="C170" s="43" t="str">
        <f>BDD!E168</f>
        <v>Málaga</v>
      </c>
      <c r="D170" s="44" t="e">
        <f>#REF!</f>
        <v>#REF!</v>
      </c>
      <c r="E170" s="28"/>
    </row>
    <row r="171" spans="1:5" x14ac:dyDescent="0.25">
      <c r="A171" s="68">
        <f>BDD!A169</f>
        <v>1147</v>
      </c>
      <c r="B171" s="42" t="str">
        <f>BDD!D169</f>
        <v>Patata roja BIO</v>
      </c>
      <c r="C171" s="43" t="str">
        <f>BDD!E169</f>
        <v>Granada</v>
      </c>
      <c r="D171" s="44" t="e">
        <f>#REF!</f>
        <v>#REF!</v>
      </c>
      <c r="E171" s="28"/>
    </row>
    <row r="172" spans="1:5" x14ac:dyDescent="0.25">
      <c r="A172" s="68" t="str">
        <f>BDD!A170</f>
        <v>5124-3852</v>
      </c>
      <c r="B172" s="42" t="str">
        <f>BDD!D170</f>
        <v>Manzana Golden local de la Sierra (nueva cosecha)</v>
      </c>
      <c r="C172" s="43" t="str">
        <f>BDD!E170</f>
        <v>Granada</v>
      </c>
      <c r="D172" s="44" t="e">
        <f>#REF!</f>
        <v>#REF!</v>
      </c>
      <c r="E172" s="28"/>
    </row>
    <row r="173" spans="1:5" x14ac:dyDescent="0.25">
      <c r="A173" s="68">
        <f>BDD!A171</f>
        <v>3973</v>
      </c>
      <c r="B173" s="42" t="str">
        <f>BDD!D171</f>
        <v>Manzana Granny Smith local de Sierra Nevada</v>
      </c>
      <c r="C173" s="43" t="str">
        <f>BDD!E171</f>
        <v>Granada</v>
      </c>
      <c r="D173" s="44" t="e">
        <f>#REF!</f>
        <v>#REF!</v>
      </c>
      <c r="E173" s="28"/>
    </row>
    <row r="174" spans="1:5" x14ac:dyDescent="0.25">
      <c r="A174" s="68">
        <f>BDD!A172</f>
        <v>3706</v>
      </c>
      <c r="B174" s="42" t="str">
        <f>BDD!D172</f>
        <v>Manzana Reineta local Sierra Nevada</v>
      </c>
      <c r="C174" s="43" t="str">
        <f>BDD!E172</f>
        <v>Granada</v>
      </c>
      <c r="D174" s="44" t="e">
        <f>#REF!</f>
        <v>#REF!</v>
      </c>
      <c r="E174" s="28"/>
    </row>
    <row r="175" spans="1:5" x14ac:dyDescent="0.25">
      <c r="A175" s="68">
        <f>BDD!A173</f>
        <v>3145</v>
      </c>
      <c r="B175" s="42" t="str">
        <f>BDD!D173</f>
        <v>Manzana Starky roja local Sierra Nevada</v>
      </c>
      <c r="C175" s="43" t="str">
        <f>BDD!E173</f>
        <v>Granada</v>
      </c>
      <c r="D175" s="44" t="e">
        <f>#REF!</f>
        <v>#REF!</v>
      </c>
      <c r="E175" s="28"/>
    </row>
    <row r="176" spans="1:5" x14ac:dyDescent="0.25">
      <c r="A176" s="68">
        <f>BDD!A174</f>
        <v>5149</v>
      </c>
      <c r="B176" s="42" t="str">
        <f>BDD!D174</f>
        <v>Manzana roja Top Red local de Sierra Nevada</v>
      </c>
      <c r="C176" s="43" t="str">
        <f>BDD!E174</f>
        <v>Granada</v>
      </c>
      <c r="D176" s="44" t="e">
        <f>#REF!</f>
        <v>#REF!</v>
      </c>
      <c r="E176" s="28"/>
    </row>
    <row r="177" spans="1:5" x14ac:dyDescent="0.25">
      <c r="A177" s="68">
        <f>BDD!A175</f>
        <v>3876</v>
      </c>
      <c r="B177" s="42" t="str">
        <f>BDD!D175</f>
        <v>Manzana Verde Doncella de Sierra Nevada</v>
      </c>
      <c r="C177" s="43" t="str">
        <f>BDD!E175</f>
        <v>Granada</v>
      </c>
      <c r="D177" s="44" t="e">
        <f>#REF!</f>
        <v>#REF!</v>
      </c>
      <c r="E177" s="28"/>
    </row>
    <row r="178" spans="1:5" x14ac:dyDescent="0.25">
      <c r="A178" s="68">
        <f>BDD!A176</f>
        <v>3824</v>
      </c>
      <c r="B178" s="42" t="str">
        <f>BDD!D176</f>
        <v>Rábano Daikon</v>
      </c>
      <c r="C178" s="43" t="str">
        <f>BDD!E176</f>
        <v>Nacional</v>
      </c>
      <c r="D178" s="44" t="e">
        <f>#REF!</f>
        <v>#REF!</v>
      </c>
      <c r="E178" s="28"/>
    </row>
    <row r="179" spans="1:5" x14ac:dyDescent="0.25">
      <c r="A179" s="68">
        <f>BDD!A177</f>
        <v>1073</v>
      </c>
      <c r="B179" s="42" t="str">
        <f>BDD!D177</f>
        <v>Uva pasa Sultana BIO (env. 1 kg.)</v>
      </c>
      <c r="C179" s="43" t="str">
        <f>BDD!E177</f>
        <v>Turquía</v>
      </c>
      <c r="D179" s="44" t="e">
        <f>#REF!</f>
        <v>#REF!</v>
      </c>
      <c r="E179" s="28"/>
    </row>
    <row r="180" spans="1:5" x14ac:dyDescent="0.25">
      <c r="A180" s="68">
        <f>BDD!A178</f>
        <v>3752</v>
      </c>
      <c r="B180" s="42" t="str">
        <f>BDD!D178</f>
        <v>Uva pasa Moscatel en grano (nueva cosecha)en env. de 500 grs</v>
      </c>
      <c r="C180" s="43" t="str">
        <f>BDD!E178</f>
        <v>Málaga</v>
      </c>
      <c r="D180" s="44" t="e">
        <f>#REF!</f>
        <v>#REF!</v>
      </c>
      <c r="E180" s="28"/>
    </row>
    <row r="181" spans="1:5" x14ac:dyDescent="0.25">
      <c r="A181" s="68">
        <f>BDD!A179</f>
        <v>3713</v>
      </c>
      <c r="B181" s="42" t="str">
        <f>BDD!D179</f>
        <v>Sal del Himalaya molida (env. 1 kg.)</v>
      </c>
      <c r="C181" s="43" t="str">
        <f>BDD!E179</f>
        <v>Pakistán</v>
      </c>
      <c r="D181" s="44" t="e">
        <f>#REF!</f>
        <v>#REF!</v>
      </c>
      <c r="E181" s="28"/>
    </row>
    <row r="182" spans="1:5" ht="36" x14ac:dyDescent="0.25">
      <c r="A182" s="68">
        <f>BDD!A180</f>
        <v>1358</v>
      </c>
      <c r="B182" s="42" t="str">
        <f>BDD!D180</f>
        <v>Sésamo crudo BIO (env. 1 kg.)</v>
      </c>
      <c r="C182" s="43" t="str">
        <f>BDD!E180</f>
        <v>Paraguay
Egipto</v>
      </c>
      <c r="D182" s="44" t="e">
        <f>#REF!</f>
        <v>#REF!</v>
      </c>
      <c r="E182" s="28"/>
    </row>
    <row r="183" spans="1:5" x14ac:dyDescent="0.25">
      <c r="A183" s="68">
        <f>BDD!A181</f>
        <v>1860</v>
      </c>
      <c r="B183" s="42" t="str">
        <f>BDD!D181</f>
        <v>Chufa BIO (env. 1 kg.)</v>
      </c>
      <c r="C183" s="43" t="str">
        <f>BDD!E181</f>
        <v>Importacion</v>
      </c>
      <c r="D183" s="44" t="e">
        <f>#REF!</f>
        <v>#REF!</v>
      </c>
      <c r="E183" s="28"/>
    </row>
    <row r="184" spans="1:5" x14ac:dyDescent="0.25">
      <c r="A184" s="68">
        <f>BDD!A182</f>
        <v>1496</v>
      </c>
      <c r="B184" s="42" t="str">
        <f>BDD!D182</f>
        <v>Alga Espagueti de mar deshidratada BIO (env. 1 kg.)</v>
      </c>
      <c r="C184" s="43" t="str">
        <f>BDD!E182</f>
        <v>Galice</v>
      </c>
      <c r="D184" s="44" t="e">
        <f>#REF!</f>
        <v>#REF!</v>
      </c>
      <c r="E184" s="28"/>
    </row>
    <row r="185" spans="1:5" x14ac:dyDescent="0.25">
      <c r="A185" s="68">
        <f>BDD!A183</f>
        <v>1496</v>
      </c>
      <c r="B185" s="42" t="str">
        <f>BDD!D183</f>
        <v>Alga Espagueti de mar deshidratada BIO (env. 500 grs.)</v>
      </c>
      <c r="C185" s="43" t="str">
        <f>BDD!E183</f>
        <v>Galice</v>
      </c>
      <c r="D185" s="44" t="e">
        <f>#REF!</f>
        <v>#REF!</v>
      </c>
      <c r="E185" s="28"/>
    </row>
    <row r="186" spans="1:5" x14ac:dyDescent="0.25">
      <c r="A186" s="68">
        <f>BDD!A184</f>
        <v>1612</v>
      </c>
      <c r="B186" s="42" t="str">
        <f>BDD!D184</f>
        <v>Spirulina en polvo BIO (env. 1 kg.)</v>
      </c>
      <c r="C186" s="43" t="str">
        <f>BDD!E184</f>
        <v>India</v>
      </c>
      <c r="D186" s="44" t="e">
        <f>#REF!</f>
        <v>#REF!</v>
      </c>
      <c r="E186" s="28"/>
    </row>
    <row r="187" spans="1:5" x14ac:dyDescent="0.25">
      <c r="A187" s="68">
        <f>BDD!A185</f>
        <v>1575</v>
      </c>
      <c r="B187" s="42" t="str">
        <f>BDD!D185</f>
        <v>Azúcar de coco BIO (env. 1 kg.)</v>
      </c>
      <c r="C187" s="43" t="str">
        <f>BDD!E185</f>
        <v>Indonesia</v>
      </c>
      <c r="D187" s="44" t="e">
        <f>#REF!</f>
        <v>#REF!</v>
      </c>
      <c r="E187" s="28"/>
    </row>
    <row r="188" spans="1:5" ht="36" x14ac:dyDescent="0.25">
      <c r="A188" s="68">
        <f>BDD!A186</f>
        <v>6110</v>
      </c>
      <c r="B188" s="42" t="str">
        <f>BDD!D186</f>
        <v>Tomate seco BIO laminado (env. 1 kg.) ¡¡¡Deshidratado a baja temperatura 35º, calidad superior!!! RAW</v>
      </c>
      <c r="C188" s="43" t="str">
        <f>BDD!E186</f>
        <v>National</v>
      </c>
      <c r="D188" s="44" t="e">
        <f>#REF!</f>
        <v>#REF!</v>
      </c>
      <c r="E188" s="28"/>
    </row>
    <row r="189" spans="1:5" ht="36" x14ac:dyDescent="0.25">
      <c r="A189" s="68">
        <f>BDD!A187</f>
        <v>6110</v>
      </c>
      <c r="B189" s="42" t="str">
        <f>BDD!D187</f>
        <v>Tomate seco BIO laminado (env. 200 grs.) ¡¡¡Deshidratado a baja temperatura 35º, calidad superior!!! RAW</v>
      </c>
      <c r="C189" s="43" t="str">
        <f>BDD!E187</f>
        <v>National</v>
      </c>
      <c r="D189" s="44" t="e">
        <f>#REF!</f>
        <v>#REF!</v>
      </c>
      <c r="E189" s="28"/>
    </row>
    <row r="190" spans="1:5" x14ac:dyDescent="0.25">
      <c r="A190" s="68">
        <f>BDD!A188</f>
        <v>3783</v>
      </c>
      <c r="B190" s="42" t="str">
        <f>BDD!D188</f>
        <v>Xilitol (azúcar de abedul) env. 1 kg.</v>
      </c>
      <c r="C190" s="43" t="str">
        <f>BDD!E188</f>
        <v>Perú</v>
      </c>
      <c r="D190" s="44" t="e">
        <f>#REF!</f>
        <v>#REF!</v>
      </c>
      <c r="E190" s="28"/>
    </row>
    <row r="191" spans="1:5" x14ac:dyDescent="0.25">
      <c r="A191" s="68">
        <f>BDD!A189</f>
        <v>0</v>
      </c>
      <c r="B191" s="42">
        <f>BDD!D189</f>
        <v>0</v>
      </c>
      <c r="C191" s="43">
        <f>BDD!E189</f>
        <v>0</v>
      </c>
      <c r="D191" s="44" t="e">
        <f>#REF!</f>
        <v>#REF!</v>
      </c>
      <c r="E191" s="28"/>
    </row>
    <row r="192" spans="1:5" x14ac:dyDescent="0.25">
      <c r="A192" s="68">
        <f>BDD!A190</f>
        <v>0</v>
      </c>
      <c r="B192" s="42">
        <f>BDD!D190</f>
        <v>0</v>
      </c>
      <c r="C192" s="43">
        <f>BDD!E190</f>
        <v>0</v>
      </c>
      <c r="D192" s="44" t="e">
        <f>#REF!</f>
        <v>#REF!</v>
      </c>
      <c r="E192" s="28"/>
    </row>
    <row r="193" spans="1:5" x14ac:dyDescent="0.25">
      <c r="A193" s="68">
        <f>BDD!A191</f>
        <v>0</v>
      </c>
      <c r="B193" s="42">
        <f>BDD!D191</f>
        <v>0</v>
      </c>
      <c r="C193" s="43">
        <f>BDD!E191</f>
        <v>0</v>
      </c>
      <c r="D193" s="44" t="e">
        <f>#REF!</f>
        <v>#REF!</v>
      </c>
      <c r="E193" s="28"/>
    </row>
    <row r="194" spans="1:5" x14ac:dyDescent="0.25">
      <c r="A194" s="68">
        <f>BDD!A192</f>
        <v>0</v>
      </c>
      <c r="B194" s="42">
        <f>BDD!D192</f>
        <v>0</v>
      </c>
      <c r="C194" s="43">
        <f>BDD!E192</f>
        <v>0</v>
      </c>
      <c r="D194" s="44" t="e">
        <f>#REF!</f>
        <v>#REF!</v>
      </c>
      <c r="E194" s="28"/>
    </row>
    <row r="195" spans="1:5" x14ac:dyDescent="0.25">
      <c r="A195" s="68">
        <f>BDD!A193</f>
        <v>0</v>
      </c>
      <c r="B195" s="42">
        <f>BDD!D193</f>
        <v>0</v>
      </c>
      <c r="C195" s="43">
        <f>BDD!E193</f>
        <v>0</v>
      </c>
      <c r="D195" s="44" t="e">
        <f>#REF!</f>
        <v>#REF!</v>
      </c>
      <c r="E195" s="28"/>
    </row>
    <row r="196" spans="1:5" x14ac:dyDescent="0.25">
      <c r="A196" s="68">
        <f>BDD!A194</f>
        <v>0</v>
      </c>
      <c r="B196" s="42">
        <f>BDD!D194</f>
        <v>0</v>
      </c>
      <c r="C196" s="43">
        <f>BDD!E194</f>
        <v>0</v>
      </c>
      <c r="D196" s="44" t="e">
        <f>#REF!</f>
        <v>#REF!</v>
      </c>
      <c r="E196" s="28"/>
    </row>
    <row r="197" spans="1:5" x14ac:dyDescent="0.25">
      <c r="A197" s="68">
        <f>BDD!A195</f>
        <v>0</v>
      </c>
      <c r="B197" s="42">
        <f>BDD!D195</f>
        <v>0</v>
      </c>
      <c r="C197" s="43">
        <f>BDD!E195</f>
        <v>0</v>
      </c>
      <c r="D197" s="44" t="e">
        <f>#REF!</f>
        <v>#REF!</v>
      </c>
      <c r="E197" s="28"/>
    </row>
    <row r="198" spans="1:5" x14ac:dyDescent="0.25">
      <c r="A198" s="68">
        <f>BDD!A196</f>
        <v>0</v>
      </c>
      <c r="B198" s="42">
        <f>BDD!D196</f>
        <v>0</v>
      </c>
      <c r="C198" s="43">
        <f>BDD!E196</f>
        <v>0</v>
      </c>
      <c r="D198" s="44" t="e">
        <f>#REF!</f>
        <v>#REF!</v>
      </c>
      <c r="E198" s="28"/>
    </row>
    <row r="199" spans="1:5" x14ac:dyDescent="0.25">
      <c r="A199" s="68">
        <f>BDD!A197</f>
        <v>0</v>
      </c>
      <c r="B199" s="42">
        <f>BDD!D197</f>
        <v>0</v>
      </c>
      <c r="C199" s="43">
        <f>BDD!E197</f>
        <v>0</v>
      </c>
      <c r="D199" s="44" t="e">
        <f>#REF!</f>
        <v>#REF!</v>
      </c>
      <c r="E199" s="28"/>
    </row>
    <row r="200" spans="1:5" x14ac:dyDescent="0.25">
      <c r="A200" s="68">
        <f>BDD!A198</f>
        <v>0</v>
      </c>
      <c r="B200" s="42">
        <f>BDD!D198</f>
        <v>0</v>
      </c>
      <c r="C200" s="43">
        <f>BDD!E198</f>
        <v>0</v>
      </c>
      <c r="D200" s="44" t="e">
        <f>#REF!</f>
        <v>#REF!</v>
      </c>
      <c r="E200" s="28"/>
    </row>
    <row r="201" spans="1:5" x14ac:dyDescent="0.25">
      <c r="A201" s="68">
        <f>BDD!A199</f>
        <v>0</v>
      </c>
      <c r="B201" s="42">
        <f>BDD!D199</f>
        <v>0</v>
      </c>
      <c r="C201" s="43">
        <f>BDD!E199</f>
        <v>0</v>
      </c>
      <c r="D201" s="44" t="e">
        <f>#REF!</f>
        <v>#REF!</v>
      </c>
      <c r="E201" s="28"/>
    </row>
    <row r="202" spans="1:5" x14ac:dyDescent="0.25">
      <c r="A202" s="68">
        <f>BDD!A200</f>
        <v>0</v>
      </c>
      <c r="B202" s="42">
        <f>BDD!D200</f>
        <v>0</v>
      </c>
      <c r="C202" s="43">
        <f>BDD!E200</f>
        <v>0</v>
      </c>
      <c r="D202" s="44" t="e">
        <f>#REF!</f>
        <v>#REF!</v>
      </c>
      <c r="E202" s="28"/>
    </row>
    <row r="203" spans="1:5" x14ac:dyDescent="0.25">
      <c r="A203" s="68">
        <f>BDD!A201</f>
        <v>0</v>
      </c>
      <c r="B203" s="42">
        <f>BDD!D201</f>
        <v>0</v>
      </c>
      <c r="C203" s="43">
        <f>BDD!E201</f>
        <v>0</v>
      </c>
      <c r="D203" s="44" t="e">
        <f>#REF!</f>
        <v>#REF!</v>
      </c>
      <c r="E203" s="28"/>
    </row>
    <row r="204" spans="1:5" x14ac:dyDescent="0.25">
      <c r="A204" s="68">
        <f>BDD!A202</f>
        <v>0</v>
      </c>
      <c r="B204" s="42">
        <f>BDD!D202</f>
        <v>0</v>
      </c>
      <c r="C204" s="43">
        <f>BDD!E202</f>
        <v>0</v>
      </c>
      <c r="D204" s="44" t="e">
        <f>#REF!</f>
        <v>#REF!</v>
      </c>
      <c r="E204" s="28"/>
    </row>
    <row r="205" spans="1:5" x14ac:dyDescent="0.25">
      <c r="A205" s="68">
        <f>BDD!A203</f>
        <v>0</v>
      </c>
      <c r="B205" s="42">
        <f>BDD!D203</f>
        <v>0</v>
      </c>
      <c r="C205" s="43">
        <f>BDD!E203</f>
        <v>0</v>
      </c>
      <c r="D205" s="44" t="e">
        <f>#REF!</f>
        <v>#REF!</v>
      </c>
      <c r="E205" s="28"/>
    </row>
    <row r="206" spans="1:5" x14ac:dyDescent="0.25">
      <c r="A206" s="68">
        <f>BDD!A204</f>
        <v>0</v>
      </c>
      <c r="B206" s="42">
        <f>BDD!D204</f>
        <v>0</v>
      </c>
      <c r="C206" s="43">
        <f>BDD!E204</f>
        <v>0</v>
      </c>
      <c r="D206" s="44" t="e">
        <f>#REF!</f>
        <v>#REF!</v>
      </c>
      <c r="E206" s="28"/>
    </row>
    <row r="207" spans="1:5" x14ac:dyDescent="0.25">
      <c r="A207" s="68">
        <f>BDD!A205</f>
        <v>0</v>
      </c>
      <c r="B207" s="42">
        <f>BDD!D205</f>
        <v>0</v>
      </c>
      <c r="C207" s="43">
        <f>BDD!E205</f>
        <v>0</v>
      </c>
      <c r="D207" s="44" t="e">
        <f>#REF!</f>
        <v>#REF!</v>
      </c>
      <c r="E207" s="28"/>
    </row>
    <row r="208" spans="1:5" x14ac:dyDescent="0.25">
      <c r="A208" s="68">
        <f>BDD!A206</f>
        <v>0</v>
      </c>
      <c r="B208" s="42">
        <f>BDD!D206</f>
        <v>0</v>
      </c>
      <c r="C208" s="43">
        <f>BDD!E206</f>
        <v>0</v>
      </c>
      <c r="D208" s="44" t="e">
        <f>#REF!</f>
        <v>#REF!</v>
      </c>
      <c r="E208" s="28"/>
    </row>
    <row r="209" spans="1:5" x14ac:dyDescent="0.25">
      <c r="A209" s="68">
        <f>BDD!A207</f>
        <v>0</v>
      </c>
      <c r="B209" s="42">
        <f>BDD!D207</f>
        <v>0</v>
      </c>
      <c r="C209" s="43">
        <f>BDD!E207</f>
        <v>0</v>
      </c>
      <c r="D209" s="44" t="e">
        <f>#REF!</f>
        <v>#REF!</v>
      </c>
      <c r="E209" s="28"/>
    </row>
    <row r="210" spans="1:5" x14ac:dyDescent="0.25">
      <c r="A210" s="68">
        <f>BDD!A208</f>
        <v>0</v>
      </c>
      <c r="B210" s="42">
        <f>BDD!D208</f>
        <v>0</v>
      </c>
      <c r="C210" s="43">
        <f>BDD!E208</f>
        <v>0</v>
      </c>
      <c r="D210" s="44" t="e">
        <f>#REF!</f>
        <v>#REF!</v>
      </c>
      <c r="E210" s="28"/>
    </row>
    <row r="211" spans="1:5" x14ac:dyDescent="0.25">
      <c r="A211" s="68">
        <f>BDD!A209</f>
        <v>0</v>
      </c>
      <c r="B211" s="42">
        <f>BDD!D209</f>
        <v>0</v>
      </c>
      <c r="C211" s="43">
        <f>BDD!E209</f>
        <v>0</v>
      </c>
      <c r="D211" s="44" t="e">
        <f>#REF!</f>
        <v>#REF!</v>
      </c>
      <c r="E211" s="28"/>
    </row>
    <row r="212" spans="1:5" x14ac:dyDescent="0.25">
      <c r="A212" s="68">
        <f>BDD!A210</f>
        <v>0</v>
      </c>
      <c r="B212" s="42">
        <f>BDD!D210</f>
        <v>0</v>
      </c>
      <c r="C212" s="43">
        <f>BDD!E210</f>
        <v>0</v>
      </c>
      <c r="D212" s="44" t="e">
        <f>#REF!</f>
        <v>#REF!</v>
      </c>
      <c r="E212" s="28"/>
    </row>
    <row r="213" spans="1:5" x14ac:dyDescent="0.25">
      <c r="A213" s="68">
        <f>BDD!A211</f>
        <v>0</v>
      </c>
      <c r="B213" s="42">
        <f>BDD!D211</f>
        <v>0</v>
      </c>
      <c r="C213" s="43">
        <f>BDD!E211</f>
        <v>0</v>
      </c>
      <c r="D213" s="44" t="e">
        <f>#REF!</f>
        <v>#REF!</v>
      </c>
      <c r="E213" s="28"/>
    </row>
    <row r="214" spans="1:5" x14ac:dyDescent="0.25">
      <c r="A214" s="68">
        <f>BDD!A212</f>
        <v>0</v>
      </c>
      <c r="B214" s="42">
        <f>BDD!D212</f>
        <v>0</v>
      </c>
      <c r="C214" s="43">
        <f>BDD!E212</f>
        <v>0</v>
      </c>
      <c r="D214" s="44" t="e">
        <f>#REF!</f>
        <v>#REF!</v>
      </c>
      <c r="E214" s="28"/>
    </row>
    <row r="215" spans="1:5" x14ac:dyDescent="0.25">
      <c r="A215" s="68">
        <f>BDD!A213</f>
        <v>0</v>
      </c>
      <c r="B215" s="42">
        <f>BDD!D213</f>
        <v>0</v>
      </c>
      <c r="C215" s="43">
        <f>BDD!E213</f>
        <v>0</v>
      </c>
      <c r="D215" s="44" t="e">
        <f>#REF!</f>
        <v>#REF!</v>
      </c>
      <c r="E215" s="28"/>
    </row>
    <row r="216" spans="1:5" x14ac:dyDescent="0.25">
      <c r="A216" s="68">
        <f>BDD!A214</f>
        <v>0</v>
      </c>
      <c r="B216" s="42">
        <f>BDD!D214</f>
        <v>0</v>
      </c>
      <c r="C216" s="43">
        <f>BDD!E214</f>
        <v>0</v>
      </c>
      <c r="D216" s="44" t="e">
        <f>#REF!</f>
        <v>#REF!</v>
      </c>
      <c r="E216" s="28"/>
    </row>
    <row r="217" spans="1:5" x14ac:dyDescent="0.25">
      <c r="A217" s="68">
        <f>BDD!A215</f>
        <v>0</v>
      </c>
      <c r="B217" s="42">
        <f>BDD!D215</f>
        <v>0</v>
      </c>
      <c r="C217" s="43">
        <f>BDD!E215</f>
        <v>0</v>
      </c>
      <c r="D217" s="44" t="e">
        <f>#REF!</f>
        <v>#REF!</v>
      </c>
      <c r="E217" s="28"/>
    </row>
    <row r="218" spans="1:5" x14ac:dyDescent="0.25">
      <c r="A218" s="68">
        <f>BDD!A216</f>
        <v>0</v>
      </c>
      <c r="B218" s="42">
        <f>BDD!D216</f>
        <v>0</v>
      </c>
      <c r="C218" s="43">
        <f>BDD!E216</f>
        <v>0</v>
      </c>
      <c r="D218" s="44" t="e">
        <f>#REF!</f>
        <v>#REF!</v>
      </c>
      <c r="E218" s="28"/>
    </row>
    <row r="219" spans="1:5" x14ac:dyDescent="0.25">
      <c r="A219" s="68">
        <f>BDD!A217</f>
        <v>0</v>
      </c>
      <c r="B219" s="42">
        <f>BDD!D217</f>
        <v>0</v>
      </c>
      <c r="C219" s="43">
        <f>BDD!E217</f>
        <v>0</v>
      </c>
      <c r="D219" s="44" t="e">
        <f>#REF!</f>
        <v>#REF!</v>
      </c>
      <c r="E219" s="28"/>
    </row>
    <row r="220" spans="1:5" x14ac:dyDescent="0.25">
      <c r="A220" s="68">
        <f>BDD!A218</f>
        <v>0</v>
      </c>
      <c r="B220" s="42">
        <f>BDD!D218</f>
        <v>0</v>
      </c>
      <c r="C220" s="43">
        <f>BDD!E218</f>
        <v>0</v>
      </c>
      <c r="D220" s="44" t="e">
        <f>#REF!</f>
        <v>#REF!</v>
      </c>
      <c r="E220" s="28"/>
    </row>
    <row r="221" spans="1:5" x14ac:dyDescent="0.25">
      <c r="A221" s="68">
        <f>BDD!A219</f>
        <v>0</v>
      </c>
      <c r="B221" s="42">
        <f>BDD!D219</f>
        <v>0</v>
      </c>
      <c r="C221" s="43">
        <f>BDD!E219</f>
        <v>0</v>
      </c>
      <c r="D221" s="44" t="e">
        <f>#REF!</f>
        <v>#REF!</v>
      </c>
      <c r="E221" s="28"/>
    </row>
    <row r="222" spans="1:5" x14ac:dyDescent="0.25">
      <c r="A222" s="68">
        <f>BDD!A220</f>
        <v>0</v>
      </c>
      <c r="B222" s="42">
        <f>BDD!D220</f>
        <v>0</v>
      </c>
      <c r="C222" s="43">
        <f>BDD!E220</f>
        <v>0</v>
      </c>
      <c r="D222" s="44" t="e">
        <f>#REF!</f>
        <v>#REF!</v>
      </c>
      <c r="E222" s="28"/>
    </row>
    <row r="223" spans="1:5" x14ac:dyDescent="0.25">
      <c r="A223" s="68">
        <f>BDD!A221</f>
        <v>0</v>
      </c>
      <c r="B223" s="42">
        <f>BDD!D221</f>
        <v>0</v>
      </c>
      <c r="C223" s="43">
        <f>BDD!E221</f>
        <v>0</v>
      </c>
      <c r="D223" s="44" t="e">
        <f>#REF!</f>
        <v>#REF!</v>
      </c>
      <c r="E223" s="28"/>
    </row>
    <row r="224" spans="1:5" x14ac:dyDescent="0.25">
      <c r="A224" s="68">
        <f>BDD!A222</f>
        <v>0</v>
      </c>
      <c r="B224" s="42">
        <f>BDD!D222</f>
        <v>0</v>
      </c>
      <c r="C224" s="43">
        <f>BDD!E222</f>
        <v>0</v>
      </c>
      <c r="D224" s="44" t="e">
        <f>#REF!</f>
        <v>#REF!</v>
      </c>
      <c r="E224" s="28"/>
    </row>
    <row r="225" spans="1:5" x14ac:dyDescent="0.25">
      <c r="A225" s="68">
        <f>BDD!A223</f>
        <v>0</v>
      </c>
      <c r="B225" s="42">
        <f>BDD!D223</f>
        <v>0</v>
      </c>
      <c r="C225" s="43">
        <f>BDD!E223</f>
        <v>0</v>
      </c>
      <c r="D225" s="44" t="e">
        <f>#REF!</f>
        <v>#REF!</v>
      </c>
      <c r="E225" s="28"/>
    </row>
    <row r="226" spans="1:5" x14ac:dyDescent="0.25">
      <c r="A226" s="68">
        <f>BDD!A224</f>
        <v>0</v>
      </c>
      <c r="B226" s="42">
        <f>BDD!D224</f>
        <v>0</v>
      </c>
      <c r="C226" s="43">
        <f>BDD!E224</f>
        <v>0</v>
      </c>
      <c r="D226" s="44" t="e">
        <f>#REF!</f>
        <v>#REF!</v>
      </c>
      <c r="E226" s="28"/>
    </row>
    <row r="227" spans="1:5" x14ac:dyDescent="0.25">
      <c r="A227" s="68">
        <f>BDD!A225</f>
        <v>0</v>
      </c>
      <c r="B227" s="42">
        <f>BDD!D225</f>
        <v>0</v>
      </c>
      <c r="C227" s="43">
        <f>BDD!E225</f>
        <v>0</v>
      </c>
      <c r="D227" s="44" t="e">
        <f>#REF!</f>
        <v>#REF!</v>
      </c>
      <c r="E227" s="28"/>
    </row>
    <row r="228" spans="1:5" x14ac:dyDescent="0.25">
      <c r="A228" s="68">
        <f>BDD!A226</f>
        <v>0</v>
      </c>
      <c r="B228" s="42">
        <f>BDD!D226</f>
        <v>0</v>
      </c>
      <c r="C228" s="43">
        <f>BDD!E226</f>
        <v>0</v>
      </c>
      <c r="D228" s="44" t="e">
        <f>#REF!</f>
        <v>#REF!</v>
      </c>
      <c r="E228" s="28"/>
    </row>
    <row r="229" spans="1:5" x14ac:dyDescent="0.25">
      <c r="A229" s="68">
        <f>BDD!A227</f>
        <v>0</v>
      </c>
      <c r="B229" s="42">
        <f>BDD!D227</f>
        <v>0</v>
      </c>
      <c r="C229" s="43">
        <f>BDD!E227</f>
        <v>0</v>
      </c>
      <c r="D229" s="44" t="e">
        <f>#REF!</f>
        <v>#REF!</v>
      </c>
      <c r="E229" s="28"/>
    </row>
    <row r="230" spans="1:5" x14ac:dyDescent="0.25">
      <c r="A230" s="68">
        <f>BDD!A228</f>
        <v>0</v>
      </c>
      <c r="B230" s="42">
        <f>BDD!D228</f>
        <v>0</v>
      </c>
      <c r="C230" s="43">
        <f>BDD!E228</f>
        <v>0</v>
      </c>
      <c r="D230" s="44" t="e">
        <f>#REF!</f>
        <v>#REF!</v>
      </c>
      <c r="E230" s="28"/>
    </row>
    <row r="231" spans="1:5" x14ac:dyDescent="0.25">
      <c r="A231" s="68">
        <f>BDD!A229</f>
        <v>0</v>
      </c>
      <c r="B231" s="42">
        <f>BDD!D229</f>
        <v>0</v>
      </c>
      <c r="C231" s="43">
        <f>BDD!E229</f>
        <v>0</v>
      </c>
      <c r="D231" s="44" t="e">
        <f>#REF!</f>
        <v>#REF!</v>
      </c>
      <c r="E231" s="28"/>
    </row>
    <row r="232" spans="1:5" x14ac:dyDescent="0.25">
      <c r="A232" s="68">
        <f>BDD!A230</f>
        <v>0</v>
      </c>
      <c r="B232" s="42">
        <f>BDD!D230</f>
        <v>0</v>
      </c>
      <c r="C232" s="43">
        <f>BDD!E230</f>
        <v>0</v>
      </c>
      <c r="D232" s="44" t="e">
        <f>#REF!</f>
        <v>#REF!</v>
      </c>
      <c r="E232" s="28"/>
    </row>
    <row r="233" spans="1:5" x14ac:dyDescent="0.25">
      <c r="A233" s="68">
        <f>BDD!A231</f>
        <v>0</v>
      </c>
      <c r="B233" s="42">
        <f>BDD!D231</f>
        <v>0</v>
      </c>
      <c r="C233" s="43">
        <f>BDD!E231</f>
        <v>0</v>
      </c>
      <c r="D233" s="44" t="e">
        <f>#REF!</f>
        <v>#REF!</v>
      </c>
      <c r="E233" s="28"/>
    </row>
    <row r="234" spans="1:5" x14ac:dyDescent="0.25">
      <c r="A234" s="68">
        <f>BDD!A232</f>
        <v>0</v>
      </c>
      <c r="B234" s="42">
        <f>BDD!D232</f>
        <v>0</v>
      </c>
      <c r="C234" s="43">
        <f>BDD!E232</f>
        <v>0</v>
      </c>
      <c r="D234" s="44" t="e">
        <f>#REF!</f>
        <v>#REF!</v>
      </c>
      <c r="E234" s="28"/>
    </row>
    <row r="235" spans="1:5" x14ac:dyDescent="0.25">
      <c r="A235" s="68">
        <f>BDD!A233</f>
        <v>0</v>
      </c>
      <c r="B235" s="42">
        <f>BDD!D233</f>
        <v>0</v>
      </c>
      <c r="C235" s="43">
        <f>BDD!E233</f>
        <v>0</v>
      </c>
      <c r="D235" s="44" t="e">
        <f>#REF!</f>
        <v>#REF!</v>
      </c>
      <c r="E235" s="28"/>
    </row>
    <row r="236" spans="1:5" x14ac:dyDescent="0.25">
      <c r="A236" s="68">
        <f>BDD!A234</f>
        <v>0</v>
      </c>
      <c r="B236" s="42">
        <f>BDD!D234</f>
        <v>0</v>
      </c>
      <c r="C236" s="43">
        <f>BDD!E234</f>
        <v>0</v>
      </c>
      <c r="D236" s="44" t="e">
        <f>#REF!</f>
        <v>#REF!</v>
      </c>
      <c r="E236" s="28"/>
    </row>
    <row r="237" spans="1:5" x14ac:dyDescent="0.25">
      <c r="A237" s="68">
        <f>BDD!A235</f>
        <v>0</v>
      </c>
      <c r="B237" s="42">
        <f>BDD!D235</f>
        <v>0</v>
      </c>
      <c r="C237" s="43">
        <f>BDD!E235</f>
        <v>0</v>
      </c>
      <c r="D237" s="44" t="e">
        <f>#REF!</f>
        <v>#REF!</v>
      </c>
      <c r="E237" s="28"/>
    </row>
    <row r="238" spans="1:5" x14ac:dyDescent="0.25">
      <c r="A238" s="68">
        <f>BDD!A236</f>
        <v>0</v>
      </c>
      <c r="B238" s="42">
        <f>BDD!D236</f>
        <v>0</v>
      </c>
      <c r="C238" s="43">
        <f>BDD!E236</f>
        <v>0</v>
      </c>
      <c r="D238" s="44" t="e">
        <f>#REF!</f>
        <v>#REF!</v>
      </c>
      <c r="E238" s="28"/>
    </row>
    <row r="239" spans="1:5" x14ac:dyDescent="0.25">
      <c r="A239" s="68">
        <f>BDD!A237</f>
        <v>0</v>
      </c>
      <c r="B239" s="42">
        <f>BDD!D237</f>
        <v>0</v>
      </c>
      <c r="C239" s="43">
        <f>BDD!E237</f>
        <v>0</v>
      </c>
      <c r="D239" s="44" t="e">
        <f>#REF!</f>
        <v>#REF!</v>
      </c>
      <c r="E239" s="28"/>
    </row>
    <row r="240" spans="1:5" x14ac:dyDescent="0.25">
      <c r="A240" s="68">
        <f>BDD!A238</f>
        <v>0</v>
      </c>
      <c r="B240" s="42">
        <f>BDD!D238</f>
        <v>0</v>
      </c>
      <c r="C240" s="43">
        <f>BDD!E238</f>
        <v>0</v>
      </c>
      <c r="D240" s="44" t="e">
        <f>#REF!</f>
        <v>#REF!</v>
      </c>
      <c r="E240" s="28"/>
    </row>
    <row r="241" spans="1:5" x14ac:dyDescent="0.25">
      <c r="A241" s="68">
        <f>BDD!A239</f>
        <v>0</v>
      </c>
      <c r="B241" s="42">
        <f>BDD!D239</f>
        <v>0</v>
      </c>
      <c r="C241" s="43">
        <f>BDD!E239</f>
        <v>0</v>
      </c>
      <c r="D241" s="44" t="e">
        <f>#REF!</f>
        <v>#REF!</v>
      </c>
      <c r="E241" s="28"/>
    </row>
    <row r="242" spans="1:5" x14ac:dyDescent="0.25">
      <c r="A242" s="68">
        <f>BDD!A240</f>
        <v>0</v>
      </c>
      <c r="B242" s="42">
        <f>BDD!D240</f>
        <v>0</v>
      </c>
      <c r="C242" s="43">
        <f>BDD!E240</f>
        <v>0</v>
      </c>
      <c r="D242" s="44" t="e">
        <f>#REF!</f>
        <v>#REF!</v>
      </c>
      <c r="E242" s="28"/>
    </row>
    <row r="243" spans="1:5" x14ac:dyDescent="0.25">
      <c r="A243" s="68">
        <f>BDD!A241</f>
        <v>0</v>
      </c>
      <c r="B243" s="42">
        <f>BDD!D241</f>
        <v>0</v>
      </c>
      <c r="C243" s="43">
        <f>BDD!E241</f>
        <v>0</v>
      </c>
      <c r="D243" s="44" t="e">
        <f>#REF!</f>
        <v>#REF!</v>
      </c>
      <c r="E243" s="28"/>
    </row>
    <row r="244" spans="1:5" x14ac:dyDescent="0.25">
      <c r="A244" s="68">
        <f>BDD!A242</f>
        <v>0</v>
      </c>
      <c r="B244" s="42">
        <f>BDD!D242</f>
        <v>0</v>
      </c>
      <c r="C244" s="43">
        <f>BDD!E242</f>
        <v>0</v>
      </c>
      <c r="D244" s="44" t="e">
        <f>#REF!</f>
        <v>#REF!</v>
      </c>
      <c r="E244" s="28"/>
    </row>
    <row r="245" spans="1:5" x14ac:dyDescent="0.25">
      <c r="A245" s="68">
        <f>BDD!A243</f>
        <v>0</v>
      </c>
      <c r="B245" s="42">
        <f>BDD!D243</f>
        <v>0</v>
      </c>
      <c r="C245" s="43">
        <f>BDD!E243</f>
        <v>0</v>
      </c>
      <c r="D245" s="44" t="e">
        <f>#REF!</f>
        <v>#REF!</v>
      </c>
      <c r="E245" s="28"/>
    </row>
    <row r="246" spans="1:5" x14ac:dyDescent="0.25">
      <c r="A246" s="68">
        <f>BDD!A244</f>
        <v>0</v>
      </c>
      <c r="B246" s="42">
        <f>BDD!D244</f>
        <v>0</v>
      </c>
      <c r="C246" s="43">
        <f>BDD!E244</f>
        <v>0</v>
      </c>
      <c r="D246" s="44" t="e">
        <f>#REF!</f>
        <v>#REF!</v>
      </c>
      <c r="E246" s="28"/>
    </row>
    <row r="247" spans="1:5" x14ac:dyDescent="0.25">
      <c r="A247" s="68">
        <f>BDD!A245</f>
        <v>0</v>
      </c>
      <c r="B247" s="42">
        <f>BDD!D245</f>
        <v>0</v>
      </c>
      <c r="C247" s="43">
        <f>BDD!E245</f>
        <v>0</v>
      </c>
      <c r="D247" s="44" t="e">
        <f>#REF!</f>
        <v>#REF!</v>
      </c>
      <c r="E247" s="28"/>
    </row>
    <row r="248" spans="1:5" x14ac:dyDescent="0.25">
      <c r="A248" s="68">
        <f>BDD!A246</f>
        <v>0</v>
      </c>
      <c r="B248" s="42">
        <f>BDD!D246</f>
        <v>0</v>
      </c>
      <c r="C248" s="43">
        <f>BDD!E246</f>
        <v>0</v>
      </c>
      <c r="D248" s="44" t="e">
        <f>#REF!</f>
        <v>#REF!</v>
      </c>
      <c r="E248" s="28"/>
    </row>
    <row r="249" spans="1:5" x14ac:dyDescent="0.25">
      <c r="A249" s="68">
        <f>BDD!A247</f>
        <v>0</v>
      </c>
      <c r="B249" s="42">
        <f>BDD!D247</f>
        <v>0</v>
      </c>
      <c r="C249" s="43">
        <f>BDD!E247</f>
        <v>0</v>
      </c>
      <c r="D249" s="44" t="e">
        <f>#REF!</f>
        <v>#REF!</v>
      </c>
      <c r="E249" s="28"/>
    </row>
    <row r="250" spans="1:5" x14ac:dyDescent="0.25">
      <c r="A250" s="68">
        <f>BDD!A248</f>
        <v>0</v>
      </c>
      <c r="B250" s="42">
        <f>BDD!D248</f>
        <v>0</v>
      </c>
      <c r="C250" s="43">
        <f>BDD!E248</f>
        <v>0</v>
      </c>
      <c r="D250" s="44" t="e">
        <f>#REF!</f>
        <v>#REF!</v>
      </c>
    </row>
    <row r="270" x14ac:dyDescent="0.25"/>
  </sheetData>
  <sheetProtection algorithmName="SHA-512" hashValue="pFc/uH7xwj+79jia7V531UiOz4URZkAiHBd86xb6RDg1/QI5cPKhHid19g8FlCNphTTPOtJs2vjRezMnDJqlyA==" saltValue="wnDRQs0EPoRC6zJkdweAdg==" spinCount="100000" sheet="1" sort="0" autoFilter="0"/>
  <autoFilter ref="A3:D169" xr:uid="{00000000-0009-0000-0000-000008000000}"/>
  <mergeCells count="1">
    <mergeCell ref="B1:D1"/>
  </mergeCells>
  <conditionalFormatting sqref="B251:B858 C251:C884">
    <cfRule type="expression" dxfId="4" priority="558" stopIfTrue="1">
      <formula>#REF!=1</formula>
    </cfRule>
  </conditionalFormatting>
  <conditionalFormatting sqref="B4:C250">
    <cfRule type="expression" dxfId="3" priority="3">
      <formula>COUNTIF($B4,"*BIO*")&gt;0</formula>
    </cfRule>
  </conditionalFormatting>
  <conditionalFormatting sqref="D2">
    <cfRule type="expression" dxfId="2" priority="1">
      <formula>NOT(EXACT($D$2,#REF!))</formula>
    </cfRule>
  </conditionalFormatting>
  <conditionalFormatting sqref="A251:A269">
    <cfRule type="expression" dxfId="1" priority="16241">
      <formula>NOT(EXACT($A251,#REF!))</formula>
    </cfRule>
  </conditionalFormatting>
  <conditionalFormatting sqref="A4:A250">
    <cfRule type="expression" dxfId="0" priority="22015">
      <formula>NOT(EXACT($A4,#REF!))</formula>
    </cfRule>
  </conditionalFormatting>
  <printOptions horizontalCentered="1"/>
  <pageMargins left="0.25" right="0.25" top="0.75" bottom="0.75" header="0.3" footer="0.3"/>
  <pageSetup paperSize="9" scale="75" orientation="landscape" horizontalDpi="300" verticalDpi="300"/>
  <headerFooter>
    <oddFooter>&amp;CSalute Vestra, S.L.   Teléfono de contacto: 958610429 / 663435828      E-Mail:  solyfruta@yahoo.es                                                                       Página  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6DC6-3587-46AF-966D-819718507824}">
  <sheetPr codeName="Feuil28"/>
  <dimension ref="A1:F18"/>
  <sheetViews>
    <sheetView showGridLines="0" zoomScaleNormal="100" workbookViewId="0">
      <selection activeCell="A17" sqref="A17:E17"/>
    </sheetView>
  </sheetViews>
  <sheetFormatPr baseColWidth="10" defaultColWidth="0" defaultRowHeight="15" zeroHeight="1" x14ac:dyDescent="0.25"/>
  <cols>
    <col min="1" max="1" width="16.28515625" style="4" bestFit="1" customWidth="1"/>
    <col min="2" max="2" width="32.42578125" style="4" customWidth="1"/>
    <col min="3" max="3" width="21.140625" style="4" customWidth="1"/>
    <col min="4" max="4" width="6" style="4" bestFit="1" customWidth="1"/>
    <col min="5" max="5" width="11.42578125" style="4" customWidth="1"/>
    <col min="6" max="6" width="1.28515625" style="4" customWidth="1"/>
    <col min="7" max="16384" width="11.42578125" style="4" hidden="1"/>
  </cols>
  <sheetData>
    <row r="1" spans="1:6" x14ac:dyDescent="0.25"/>
    <row r="2" spans="1:6" x14ac:dyDescent="0.25"/>
    <row r="3" spans="1:6" x14ac:dyDescent="0.25"/>
    <row r="4" spans="1:6" x14ac:dyDescent="0.25"/>
    <row r="5" spans="1:6" x14ac:dyDescent="0.25"/>
    <row r="6" spans="1:6" x14ac:dyDescent="0.25"/>
    <row r="7" spans="1:6" ht="71.25" customHeight="1" x14ac:dyDescent="0.25">
      <c r="A7" s="500" t="s">
        <v>432</v>
      </c>
      <c r="B7" s="500"/>
      <c r="C7" s="500"/>
      <c r="D7" s="500"/>
      <c r="E7" s="500"/>
      <c r="F7" s="49"/>
    </row>
    <row r="8" spans="1:6" ht="15.75" thickBot="1" x14ac:dyDescent="0.3">
      <c r="A8" s="102"/>
    </row>
    <row r="9" spans="1:6" ht="33.75" customHeight="1" thickTop="1" thickBot="1" x14ac:dyDescent="0.3">
      <c r="A9" s="498" t="s">
        <v>433</v>
      </c>
      <c r="B9" s="499"/>
      <c r="C9" s="501" t="s">
        <v>434</v>
      </c>
      <c r="D9" s="502"/>
      <c r="E9" s="503"/>
      <c r="F9" s="48"/>
    </row>
    <row r="10" spans="1:6" ht="30.75" thickTop="1" x14ac:dyDescent="0.25">
      <c r="A10" s="103" t="s">
        <v>435</v>
      </c>
      <c r="B10" s="104" t="s">
        <v>436</v>
      </c>
      <c r="C10" s="104" t="s">
        <v>437</v>
      </c>
      <c r="D10" s="105" t="s">
        <v>438</v>
      </c>
      <c r="E10" s="106" t="s">
        <v>439</v>
      </c>
      <c r="F10" s="5"/>
    </row>
    <row r="11" spans="1:6" ht="20.25" customHeight="1" x14ac:dyDescent="0.25">
      <c r="A11" s="504" t="s">
        <v>440</v>
      </c>
      <c r="B11" s="107" t="e">
        <f>#REF!</f>
        <v>#REF!</v>
      </c>
      <c r="C11" s="108" t="e">
        <f>#REF!</f>
        <v>#REF!</v>
      </c>
      <c r="D11" s="510" t="s">
        <v>441</v>
      </c>
      <c r="E11" s="513" t="e">
        <f>QTE_CMD</f>
        <v>#REF!</v>
      </c>
    </row>
    <row r="12" spans="1:6" ht="47.25" customHeight="1" x14ac:dyDescent="0.25">
      <c r="A12" s="505"/>
      <c r="B12" s="109" t="e">
        <f>#REF!</f>
        <v>#REF!</v>
      </c>
      <c r="C12" s="507" t="e">
        <f>#REF!</f>
        <v>#REF!</v>
      </c>
      <c r="D12" s="511"/>
      <c r="E12" s="514"/>
    </row>
    <row r="13" spans="1:6" x14ac:dyDescent="0.25">
      <c r="A13" s="505"/>
      <c r="B13" s="109" t="e">
        <f>#REF!</f>
        <v>#REF!</v>
      </c>
      <c r="C13" s="508"/>
      <c r="D13" s="511"/>
      <c r="E13" s="514"/>
    </row>
    <row r="14" spans="1:6" ht="15.75" thickBot="1" x14ac:dyDescent="0.3">
      <c r="A14" s="506"/>
      <c r="B14" s="110" t="e">
        <f>#REF!</f>
        <v>#REF!</v>
      </c>
      <c r="C14" s="509"/>
      <c r="D14" s="512"/>
      <c r="E14" s="515"/>
    </row>
    <row r="15" spans="1:6" ht="16.5" thickTop="1" thickBot="1" x14ac:dyDescent="0.3">
      <c r="A15" s="493" t="s">
        <v>442</v>
      </c>
      <c r="B15" s="494"/>
      <c r="C15" s="516" t="e">
        <f>#REF!</f>
        <v>#REF!</v>
      </c>
      <c r="D15" s="517"/>
      <c r="E15" s="518"/>
    </row>
    <row r="16" spans="1:6" ht="108" customHeight="1" thickTop="1" thickBot="1" x14ac:dyDescent="0.3">
      <c r="A16" s="493" t="s">
        <v>443</v>
      </c>
      <c r="B16" s="494"/>
      <c r="C16" s="495"/>
      <c r="D16" s="496"/>
      <c r="E16" s="497"/>
    </row>
    <row r="17" spans="1:5" ht="48.75" customHeight="1" thickTop="1" thickBot="1" x14ac:dyDescent="0.3">
      <c r="A17" s="490" t="s">
        <v>444</v>
      </c>
      <c r="B17" s="491"/>
      <c r="C17" s="491"/>
      <c r="D17" s="491"/>
      <c r="E17" s="492"/>
    </row>
    <row r="18" spans="1:5" ht="12" customHeight="1" thickTop="1" x14ac:dyDescent="0.25"/>
  </sheetData>
  <sheetProtection algorithmName="SHA-512" hashValue="rpKkVDMi1ft1SjnDaMSI16RbJ2qO15prc1LOtoh+SNhvf6yXMXp2ejFzun2kmqVTooxkBKGaRYe/3V/+SOB95w==" saltValue="GXEAa3g4gl3LUaTi0Wb9fg==" spinCount="100000" sheet="1" objects="1" scenarios="1"/>
  <mergeCells count="12">
    <mergeCell ref="A17:E17"/>
    <mergeCell ref="A16:B16"/>
    <mergeCell ref="C16:E16"/>
    <mergeCell ref="A9:B9"/>
    <mergeCell ref="A7:E7"/>
    <mergeCell ref="C9:E9"/>
    <mergeCell ref="A11:A14"/>
    <mergeCell ref="C12:C14"/>
    <mergeCell ref="D11:D14"/>
    <mergeCell ref="E11:E14"/>
    <mergeCell ref="A15:B15"/>
    <mergeCell ref="C15:E15"/>
  </mergeCells>
  <printOptions horizontalCentered="1"/>
  <pageMargins left="0.23622047244094491" right="0.23622047244094491" top="0.74803149606299213" bottom="0.74803149606299213" header="0.31496062992125984" footer="0.31496062992125984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36</vt:i4>
      </vt:variant>
    </vt:vector>
  </HeadingPairs>
  <TitlesOfParts>
    <vt:vector size="49" baseType="lpstr">
      <vt:lpstr>ADMIN2</vt:lpstr>
      <vt:lpstr>BL</vt:lpstr>
      <vt:lpstr>ADMIN1</vt:lpstr>
      <vt:lpstr>BON_COMMANDE</vt:lpstr>
      <vt:lpstr>BON_FACTURE</vt:lpstr>
      <vt:lpstr>FACTURE</vt:lpstr>
      <vt:lpstr>BDD</vt:lpstr>
      <vt:lpstr>CATALOGUE</vt:lpstr>
      <vt:lpstr>COMPTA</vt:lpstr>
      <vt:lpstr>POIDS</vt:lpstr>
      <vt:lpstr>PAL</vt:lpstr>
      <vt:lpstr>PEDIDO</vt:lpstr>
      <vt:lpstr>STG</vt:lpstr>
      <vt:lpstr>BON_COMMANDE!AVOIR</vt:lpstr>
      <vt:lpstr>BON_FACTURE!AVOIR</vt:lpstr>
      <vt:lpstr>AVOIR</vt:lpstr>
      <vt:lpstr>ADMIN1!DEPT</vt:lpstr>
      <vt:lpstr>FDP_1</vt:lpstr>
      <vt:lpstr>FDP_2</vt:lpstr>
      <vt:lpstr>FDP_3</vt:lpstr>
      <vt:lpstr>FDP_CMD</vt:lpstr>
      <vt:lpstr>FDP_CMD_KG</vt:lpstr>
      <vt:lpstr>FDP_FACT_AUT</vt:lpstr>
      <vt:lpstr>FDP_FACT_KG</vt:lpstr>
      <vt:lpstr>FDP_FACT_MAN</vt:lpstr>
      <vt:lpstr>FRS_ADM</vt:lpstr>
      <vt:lpstr>CATALOGUE!Impression_des_titres</vt:lpstr>
      <vt:lpstr>FACTURE!Impression_des_titres</vt:lpstr>
      <vt:lpstr>PAL!Impression_des_titres</vt:lpstr>
      <vt:lpstr>PEDIDO!Impression_des_titres</vt:lpstr>
      <vt:lpstr>POIDS!Impression_des_titres</vt:lpstr>
      <vt:lpstr>IND_GAZ</vt:lpstr>
      <vt:lpstr>PDS_CMD_ARR</vt:lpstr>
      <vt:lpstr>PDS_FACT_ARR</vt:lpstr>
      <vt:lpstr>ADMIN1!QTE_CMD</vt:lpstr>
      <vt:lpstr>ADMIN1!QTE_FACT</vt:lpstr>
      <vt:lpstr>RDV_SAN</vt:lpstr>
      <vt:lpstr>reduc1</vt:lpstr>
      <vt:lpstr>reduc2</vt:lpstr>
      <vt:lpstr>reduc3</vt:lpstr>
      <vt:lpstr>ADMIN1!TOT_FACT</vt:lpstr>
      <vt:lpstr>TOT_FDP_1</vt:lpstr>
      <vt:lpstr>TOT_FDP_2</vt:lpstr>
      <vt:lpstr>TOT_FDP_3</vt:lpstr>
      <vt:lpstr>TOT_FDP_4</vt:lpstr>
      <vt:lpstr>TOT_FDP_5</vt:lpstr>
      <vt:lpstr>TOT_FDP_6</vt:lpstr>
      <vt:lpstr>BON_COMMANDE!Zone_d_impression</vt:lpstr>
      <vt:lpstr>BON_FACTURE!Zone_d_impression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FRUITSTOCK</dc:creator>
  <cp:keywords/>
  <dc:description/>
  <cp:lastModifiedBy>Antho</cp:lastModifiedBy>
  <cp:revision>4</cp:revision>
  <cp:lastPrinted>2020-11-10T22:56:40Z</cp:lastPrinted>
  <dcterms:created xsi:type="dcterms:W3CDTF">2019-02-13T21:12:38Z</dcterms:created>
  <dcterms:modified xsi:type="dcterms:W3CDTF">2020-11-11T11:22:43Z</dcterms:modified>
  <cp:category/>
  <cp:contentStatus/>
</cp:coreProperties>
</file>