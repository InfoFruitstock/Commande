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GIT Live\Commande\"/>
    </mc:Choice>
  </mc:AlternateContent>
  <xr:revisionPtr revIDLastSave="0" documentId="13_ncr:1_{5EB4B046-8408-457A-9819-6832092939A7}" xr6:coauthVersionLast="45" xr6:coauthVersionMax="45" xr10:uidLastSave="{00000000-0000-0000-0000-000000000000}"/>
  <bookViews>
    <workbookView xWindow="28680" yWindow="-120" windowWidth="29040" windowHeight="15990" tabRatio="933" activeTab="4" xr2:uid="{00000000-000D-0000-FFFF-FFFF00000000}"/>
  </bookViews>
  <sheets>
    <sheet name="AIDE" sheetId="1" r:id="rId1"/>
    <sheet name="COMMANDE" sheetId="13" r:id="rId2"/>
    <sheet name="ADMIN2" sheetId="6" state="hidden" r:id="rId3"/>
    <sheet name="BL" sheetId="14" state="hidden" r:id="rId4"/>
    <sheet name="BON_COMMANDE" sheetId="21" r:id="rId5"/>
    <sheet name="BON_FACTURE" sheetId="22" r:id="rId6"/>
    <sheet name="FACTURE" sheetId="20" state="hidden" r:id="rId7"/>
    <sheet name="BDD" sheetId="15" state="hidden" r:id="rId8"/>
    <sheet name="CATALOGUE" sheetId="17" state="hidden" r:id="rId9"/>
    <sheet name="COMPTA" sheetId="5" state="hidden" r:id="rId10"/>
    <sheet name="POIDS" sheetId="7" state="hidden" r:id="rId11"/>
    <sheet name="PAL" sheetId="8" state="hidden" r:id="rId12"/>
    <sheet name="PEDIDO" sheetId="9" state="hidden" r:id="rId13"/>
    <sheet name="STG" sheetId="10" state="hidden" r:id="rId14"/>
  </sheets>
  <functionGroups builtInGroupCount="19"/>
  <definedNames>
    <definedName name="_xlnm._FilterDatabase" localSheetId="3" hidden="1">BL!$A$5:$D$240</definedName>
    <definedName name="_xlnm._FilterDatabase" localSheetId="4" hidden="1">BON_COMMANDE!#REF!</definedName>
    <definedName name="_xlnm._FilterDatabase" localSheetId="5" hidden="1">BON_FACTURE!#REF!</definedName>
    <definedName name="_xlnm._FilterDatabase" localSheetId="8" hidden="1">CATALOGUE!$B$4:$G$254</definedName>
    <definedName name="_xlnm._FilterDatabase" localSheetId="1" hidden="1">COMMANDE!$A$11:$M$261</definedName>
    <definedName name="_xlnm._FilterDatabase" localSheetId="6" hidden="1">FACTURE!$A$8:$F$257</definedName>
    <definedName name="_xlnm._FilterDatabase" localSheetId="12" hidden="1">PEDIDO!$A$3:$D$169</definedName>
    <definedName name="AVOIR" localSheetId="4">BON_COMMANDE!$E$6</definedName>
    <definedName name="AVOIR" localSheetId="5">BON_FACTURE!$E$6</definedName>
    <definedName name="AVOIR">FACTURE!$E$5</definedName>
    <definedName name="base" localSheetId="11">#REF!</definedName>
    <definedName name="Bases" localSheetId="11">#REF!</definedName>
    <definedName name="BDD" localSheetId="11">#REF!</definedName>
    <definedName name="code" localSheetId="11">#REF!</definedName>
    <definedName name="DEPT">#REF!</definedName>
    <definedName name="FDP_1">ADMIN2!$F$5</definedName>
    <definedName name="FDP_2">ADMIN2!$F$6</definedName>
    <definedName name="FDP_3">ADMIN2!$F$7</definedName>
    <definedName name="FDP_CMD">ADMIN2!$F$8</definedName>
    <definedName name="FDP_CMD_KG">ADMIN2!$F$9</definedName>
    <definedName name="FDP_FACT_AUT">ADMIN2!$F$11</definedName>
    <definedName name="FDP_FACT_KG">ADMIN2!$F$13</definedName>
    <definedName name="FDP_FACT_MAN">ADMIN2!$F$12</definedName>
    <definedName name="FRS_ADM">ADMIN2!$F$2</definedName>
    <definedName name="_xlnm.Print_Titles" localSheetId="4">BON_COMMANDE!#REF!</definedName>
    <definedName name="_xlnm.Print_Titles" localSheetId="5">BON_FACTURE!#REF!</definedName>
    <definedName name="_xlnm.Print_Titles" localSheetId="8">CATALOGUE!$4:$4</definedName>
    <definedName name="_xlnm.Print_Titles" localSheetId="6">FACTURE!$8:$8</definedName>
    <definedName name="_xlnm.Print_Titles" localSheetId="11">PAL!$1:$2</definedName>
    <definedName name="_xlnm.Print_Titles" localSheetId="12">PEDIDO!$1:$3</definedName>
    <definedName name="_xlnm.Print_Titles" localSheetId="10">POIDS!$1:$2</definedName>
    <definedName name="IND_GAZ">ADMIN2!$F$1</definedName>
    <definedName name="LOT_DE_6_PAIRES_DE_MI_CHAUSSETTES_ENFANT_TENNIS" localSheetId="11">#NAME?</definedName>
    <definedName name="PDS_CMD_ARR">ADMIN2!$F$4</definedName>
    <definedName name="PDS_FACT_ARR">ADMIN2!$F$10</definedName>
    <definedName name="QTE_CMD">#REF!</definedName>
    <definedName name="QTE_FACT">#REF!</definedName>
    <definedName name="RDV_SAN">ADMIN2!$F$3</definedName>
    <definedName name="reduc1">ADMIN2!$B$2</definedName>
    <definedName name="reduc2">ADMIN2!$B$3</definedName>
    <definedName name="reduc3">ADMIN2!$B$4</definedName>
    <definedName name="rep" localSheetId="11">#REF!</definedName>
    <definedName name="SocieteVille" localSheetId="11">#NAME?</definedName>
    <definedName name="TOT_FACT">#REF!</definedName>
    <definedName name="TOT_FDP_1">ADMIN2!$G$5</definedName>
    <definedName name="TOT_FDP_2">ADMIN2!$G$6</definedName>
    <definedName name="TOT_FDP_3">ADMIN2!$G$7</definedName>
    <definedName name="TOT_FDP_4">ADMIN2!$H$5</definedName>
    <definedName name="TOT_FDP_5">ADMIN2!$H$6</definedName>
    <definedName name="TOT_FDP_6">ADMIN2!$H$7</definedName>
    <definedName name="_xlnm.Print_Area" localSheetId="4">BON_COMMANDE!$B$2:$F$12</definedName>
    <definedName name="_xlnm.Print_Area" localSheetId="5">BON_FACTURE!$B$2:$F$12</definedName>
  </definedNames>
  <calcPr calcId="191029"/>
</workbook>
</file>

<file path=xl/calcChain.xml><?xml version="1.0" encoding="utf-8"?>
<calcChain xmlns="http://schemas.openxmlformats.org/spreadsheetml/2006/main">
  <c r="F12" i="21" l="1"/>
  <c r="F12" i="22"/>
  <c r="E4" i="22"/>
  <c r="E4" i="21" l="1"/>
  <c r="J13" i="13" l="1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12" i="13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O7" i="13"/>
  <c r="X4" i="14" l="1"/>
  <c r="W4" i="14"/>
  <c r="V4" i="14"/>
  <c r="U4" i="14"/>
  <c r="T4" i="14"/>
  <c r="BA10" i="13"/>
  <c r="AY10" i="13"/>
  <c r="AW10" i="13"/>
  <c r="B253" i="20" l="1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A13" i="13" l="1"/>
  <c r="C13" i="13"/>
  <c r="H13" i="13"/>
  <c r="I13" i="13"/>
  <c r="A14" i="13"/>
  <c r="C14" i="13"/>
  <c r="G14" i="13"/>
  <c r="H14" i="13"/>
  <c r="I14" i="13"/>
  <c r="A15" i="13"/>
  <c r="C15" i="13"/>
  <c r="G15" i="13"/>
  <c r="H15" i="13"/>
  <c r="I15" i="13"/>
  <c r="A16" i="13"/>
  <c r="C16" i="13"/>
  <c r="G16" i="13"/>
  <c r="H16" i="13"/>
  <c r="I16" i="13"/>
  <c r="A17" i="13"/>
  <c r="C17" i="13"/>
  <c r="G17" i="13"/>
  <c r="H17" i="13"/>
  <c r="I17" i="13"/>
  <c r="A18" i="13"/>
  <c r="C18" i="13"/>
  <c r="G18" i="13"/>
  <c r="H18" i="13"/>
  <c r="I18" i="13"/>
  <c r="A19" i="13"/>
  <c r="C19" i="13"/>
  <c r="G19" i="13"/>
  <c r="H19" i="13"/>
  <c r="I19" i="13"/>
  <c r="A20" i="13"/>
  <c r="C20" i="13"/>
  <c r="G20" i="13"/>
  <c r="H20" i="13"/>
  <c r="I20" i="13"/>
  <c r="A21" i="13"/>
  <c r="C21" i="13"/>
  <c r="G21" i="13"/>
  <c r="H21" i="13"/>
  <c r="I21" i="13"/>
  <c r="A22" i="13"/>
  <c r="C22" i="13"/>
  <c r="A23" i="13"/>
  <c r="C23" i="13"/>
  <c r="G23" i="13"/>
  <c r="H23" i="13"/>
  <c r="I23" i="13"/>
  <c r="A24" i="13"/>
  <c r="C24" i="13"/>
  <c r="A25" i="13"/>
  <c r="C25" i="13"/>
  <c r="H25" i="13"/>
  <c r="I25" i="13"/>
  <c r="A26" i="13"/>
  <c r="C26" i="13"/>
  <c r="H26" i="13"/>
  <c r="I26" i="13"/>
  <c r="A27" i="13"/>
  <c r="C27" i="13"/>
  <c r="I27" i="13"/>
  <c r="A28" i="13"/>
  <c r="C28" i="13"/>
  <c r="G28" i="13"/>
  <c r="H28" i="13"/>
  <c r="I28" i="13"/>
  <c r="A29" i="13"/>
  <c r="C29" i="13"/>
  <c r="I29" i="13"/>
  <c r="A30" i="13"/>
  <c r="C30" i="13"/>
  <c r="I30" i="13"/>
  <c r="A31" i="13"/>
  <c r="C31" i="13"/>
  <c r="I31" i="13"/>
  <c r="A32" i="13"/>
  <c r="C32" i="13"/>
  <c r="I32" i="13"/>
  <c r="A33" i="13"/>
  <c r="C33" i="13"/>
  <c r="I33" i="13"/>
  <c r="A34" i="13"/>
  <c r="C34" i="13"/>
  <c r="I34" i="13"/>
  <c r="A35" i="13"/>
  <c r="C35" i="13"/>
  <c r="A36" i="13"/>
  <c r="C36" i="13"/>
  <c r="I36" i="13"/>
  <c r="A37" i="13"/>
  <c r="C37" i="13"/>
  <c r="I37" i="13"/>
  <c r="A38" i="13"/>
  <c r="C38" i="13"/>
  <c r="A39" i="13"/>
  <c r="C39" i="13"/>
  <c r="I39" i="13"/>
  <c r="A40" i="13"/>
  <c r="C40" i="13"/>
  <c r="A41" i="13"/>
  <c r="C41" i="13"/>
  <c r="H41" i="13"/>
  <c r="I41" i="13"/>
  <c r="A42" i="13"/>
  <c r="C42" i="13"/>
  <c r="H42" i="13"/>
  <c r="I42" i="13"/>
  <c r="A43" i="13"/>
  <c r="C43" i="13"/>
  <c r="G43" i="13"/>
  <c r="H43" i="13"/>
  <c r="I43" i="13"/>
  <c r="A44" i="13"/>
  <c r="C44" i="13"/>
  <c r="H44" i="13"/>
  <c r="I44" i="13"/>
  <c r="A45" i="13"/>
  <c r="C45" i="13"/>
  <c r="G45" i="13"/>
  <c r="H45" i="13"/>
  <c r="I45" i="13"/>
  <c r="A46" i="13"/>
  <c r="C46" i="13"/>
  <c r="H46" i="13"/>
  <c r="I46" i="13"/>
  <c r="A47" i="13"/>
  <c r="C47" i="13"/>
  <c r="H47" i="13"/>
  <c r="I47" i="13"/>
  <c r="A48" i="13"/>
  <c r="C48" i="13"/>
  <c r="I48" i="13"/>
  <c r="A49" i="13"/>
  <c r="C49" i="13"/>
  <c r="H49" i="13"/>
  <c r="I49" i="13"/>
  <c r="A50" i="13"/>
  <c r="C50" i="13"/>
  <c r="H50" i="13"/>
  <c r="I50" i="13"/>
  <c r="A51" i="13"/>
  <c r="C51" i="13"/>
  <c r="A52" i="13"/>
  <c r="C52" i="13"/>
  <c r="A53" i="13"/>
  <c r="C53" i="13"/>
  <c r="A54" i="13"/>
  <c r="C54" i="13"/>
  <c r="I54" i="13"/>
  <c r="A55" i="13"/>
  <c r="C55" i="13"/>
  <c r="H55" i="13"/>
  <c r="I55" i="13"/>
  <c r="A56" i="13"/>
  <c r="C56" i="13"/>
  <c r="H56" i="13"/>
  <c r="I56" i="13"/>
  <c r="A57" i="13"/>
  <c r="C57" i="13"/>
  <c r="I57" i="13"/>
  <c r="A58" i="13"/>
  <c r="C58" i="13"/>
  <c r="A59" i="13"/>
  <c r="C59" i="13"/>
  <c r="A60" i="13"/>
  <c r="C60" i="13"/>
  <c r="A61" i="13"/>
  <c r="C61" i="13"/>
  <c r="A62" i="13"/>
  <c r="C62" i="13"/>
  <c r="H62" i="13"/>
  <c r="I62" i="13"/>
  <c r="A63" i="13"/>
  <c r="C63" i="13"/>
  <c r="H63" i="13"/>
  <c r="I63" i="13"/>
  <c r="A64" i="13"/>
  <c r="C64" i="13"/>
  <c r="H64" i="13"/>
  <c r="I64" i="13"/>
  <c r="A65" i="13"/>
  <c r="C65" i="13"/>
  <c r="G65" i="13"/>
  <c r="H65" i="13"/>
  <c r="I65" i="13"/>
  <c r="A66" i="13"/>
  <c r="C66" i="13"/>
  <c r="A67" i="13"/>
  <c r="C67" i="13"/>
  <c r="A68" i="13"/>
  <c r="C68" i="13"/>
  <c r="A69" i="13"/>
  <c r="C69" i="13"/>
  <c r="A70" i="13"/>
  <c r="C70" i="13"/>
  <c r="A71" i="13"/>
  <c r="C71" i="13"/>
  <c r="A72" i="13"/>
  <c r="C72" i="13"/>
  <c r="I72" i="13"/>
  <c r="A73" i="13"/>
  <c r="C73" i="13"/>
  <c r="I73" i="13"/>
  <c r="A74" i="13"/>
  <c r="C74" i="13"/>
  <c r="I74" i="13"/>
  <c r="A75" i="13"/>
  <c r="C75" i="13"/>
  <c r="I75" i="13"/>
  <c r="A76" i="13"/>
  <c r="C76" i="13"/>
  <c r="I76" i="13"/>
  <c r="A77" i="13"/>
  <c r="C77" i="13"/>
  <c r="I77" i="13"/>
  <c r="A78" i="13"/>
  <c r="C78" i="13"/>
  <c r="A79" i="13"/>
  <c r="C79" i="13"/>
  <c r="A80" i="13"/>
  <c r="C80" i="13"/>
  <c r="I80" i="13"/>
  <c r="A81" i="13"/>
  <c r="C81" i="13"/>
  <c r="I81" i="13"/>
  <c r="A82" i="13"/>
  <c r="C82" i="13"/>
  <c r="A83" i="13"/>
  <c r="C83" i="13"/>
  <c r="H83" i="13"/>
  <c r="I83" i="13"/>
  <c r="A84" i="13"/>
  <c r="C84" i="13"/>
  <c r="A85" i="13"/>
  <c r="C85" i="13"/>
  <c r="H85" i="13"/>
  <c r="I85" i="13"/>
  <c r="A86" i="13"/>
  <c r="C86" i="13"/>
  <c r="G86" i="13"/>
  <c r="H86" i="13"/>
  <c r="I86" i="13"/>
  <c r="A87" i="13"/>
  <c r="C87" i="13"/>
  <c r="G87" i="13"/>
  <c r="H87" i="13"/>
  <c r="I87" i="13"/>
  <c r="A88" i="13"/>
  <c r="C88" i="13"/>
  <c r="G88" i="13"/>
  <c r="H88" i="13"/>
  <c r="I88" i="13"/>
  <c r="A89" i="13"/>
  <c r="C89" i="13"/>
  <c r="G89" i="13"/>
  <c r="H89" i="13"/>
  <c r="I89" i="13"/>
  <c r="A90" i="13"/>
  <c r="C90" i="13"/>
  <c r="H90" i="13"/>
  <c r="I90" i="13"/>
  <c r="A91" i="13"/>
  <c r="C91" i="13"/>
  <c r="I91" i="13"/>
  <c r="A92" i="13"/>
  <c r="C92" i="13"/>
  <c r="H92" i="13"/>
  <c r="I92" i="13"/>
  <c r="A93" i="13"/>
  <c r="C93" i="13"/>
  <c r="H93" i="13"/>
  <c r="I93" i="13"/>
  <c r="A94" i="13"/>
  <c r="C94" i="13"/>
  <c r="I94" i="13"/>
  <c r="A95" i="13"/>
  <c r="C95" i="13"/>
  <c r="A96" i="13"/>
  <c r="C96" i="13"/>
  <c r="I96" i="13"/>
  <c r="A97" i="13"/>
  <c r="C97" i="13"/>
  <c r="I97" i="13"/>
  <c r="A98" i="13"/>
  <c r="C98" i="13"/>
  <c r="I98" i="13"/>
  <c r="A99" i="13"/>
  <c r="C99" i="13"/>
  <c r="A100" i="13"/>
  <c r="C100" i="13"/>
  <c r="A101" i="13"/>
  <c r="C101" i="13"/>
  <c r="A102" i="13"/>
  <c r="C102" i="13"/>
  <c r="I102" i="13"/>
  <c r="A103" i="13"/>
  <c r="C103" i="13"/>
  <c r="A104" i="13"/>
  <c r="C104" i="13"/>
  <c r="A105" i="13"/>
  <c r="C105" i="13"/>
  <c r="A106" i="13"/>
  <c r="C106" i="13"/>
  <c r="A107" i="13"/>
  <c r="C107" i="13"/>
  <c r="H107" i="13"/>
  <c r="I107" i="13"/>
  <c r="A108" i="13"/>
  <c r="C108" i="13"/>
  <c r="I108" i="13"/>
  <c r="A109" i="13"/>
  <c r="C109" i="13"/>
  <c r="I109" i="13"/>
  <c r="A110" i="13"/>
  <c r="C110" i="13"/>
  <c r="A111" i="13"/>
  <c r="C111" i="13"/>
  <c r="I111" i="13"/>
  <c r="A112" i="13"/>
  <c r="C112" i="13"/>
  <c r="I112" i="13"/>
  <c r="A113" i="13"/>
  <c r="C113" i="13"/>
  <c r="I113" i="13"/>
  <c r="A114" i="13"/>
  <c r="C114" i="13"/>
  <c r="H114" i="13"/>
  <c r="I114" i="13"/>
  <c r="A115" i="13"/>
  <c r="C115" i="13"/>
  <c r="H115" i="13"/>
  <c r="I115" i="13"/>
  <c r="A116" i="13"/>
  <c r="C116" i="13"/>
  <c r="A117" i="13"/>
  <c r="C117" i="13"/>
  <c r="G117" i="13"/>
  <c r="H117" i="13"/>
  <c r="I117" i="13"/>
  <c r="A118" i="13"/>
  <c r="C118" i="13"/>
  <c r="H118" i="13"/>
  <c r="I118" i="13"/>
  <c r="A119" i="13"/>
  <c r="C119" i="13"/>
  <c r="G119" i="13"/>
  <c r="H119" i="13"/>
  <c r="I119" i="13"/>
  <c r="A120" i="13"/>
  <c r="C120" i="13"/>
  <c r="H120" i="13"/>
  <c r="I120" i="13"/>
  <c r="A121" i="13"/>
  <c r="C121" i="13"/>
  <c r="I121" i="13"/>
  <c r="A122" i="13"/>
  <c r="C122" i="13"/>
  <c r="A123" i="13"/>
  <c r="C123" i="13"/>
  <c r="A124" i="13"/>
  <c r="C124" i="13"/>
  <c r="A125" i="13"/>
  <c r="C125" i="13"/>
  <c r="A126" i="13"/>
  <c r="C126" i="13"/>
  <c r="A127" i="13"/>
  <c r="C127" i="13"/>
  <c r="A128" i="13"/>
  <c r="C128" i="13"/>
  <c r="A129" i="13"/>
  <c r="C129" i="13"/>
  <c r="A130" i="13"/>
  <c r="C130" i="13"/>
  <c r="A131" i="13"/>
  <c r="C131" i="13"/>
  <c r="A132" i="13"/>
  <c r="C132" i="13"/>
  <c r="A133" i="13"/>
  <c r="C133" i="13"/>
  <c r="A134" i="13"/>
  <c r="C134" i="13"/>
  <c r="A135" i="13"/>
  <c r="C135" i="13"/>
  <c r="A136" i="13"/>
  <c r="C136" i="13"/>
  <c r="A137" i="13"/>
  <c r="C137" i="13"/>
  <c r="A138" i="13"/>
  <c r="C138" i="13"/>
  <c r="A139" i="13"/>
  <c r="C139" i="13"/>
  <c r="A140" i="13"/>
  <c r="C140" i="13"/>
  <c r="A141" i="13"/>
  <c r="C141" i="13"/>
  <c r="A142" i="13"/>
  <c r="C142" i="13"/>
  <c r="A143" i="13"/>
  <c r="C143" i="13"/>
  <c r="A144" i="13"/>
  <c r="C144" i="13"/>
  <c r="A145" i="13"/>
  <c r="C145" i="13"/>
  <c r="I145" i="13"/>
  <c r="A146" i="13"/>
  <c r="C146" i="13"/>
  <c r="H146" i="13"/>
  <c r="I146" i="13"/>
  <c r="A147" i="13"/>
  <c r="C147" i="13"/>
  <c r="I147" i="13"/>
  <c r="A148" i="13"/>
  <c r="C148" i="13"/>
  <c r="A149" i="13"/>
  <c r="C149" i="13"/>
  <c r="A150" i="13"/>
  <c r="C150" i="13"/>
  <c r="A151" i="13"/>
  <c r="C151" i="13"/>
  <c r="I151" i="13"/>
  <c r="A152" i="13"/>
  <c r="C152" i="13"/>
  <c r="H152" i="13"/>
  <c r="I152" i="13"/>
  <c r="A153" i="13"/>
  <c r="C153" i="13"/>
  <c r="I153" i="13"/>
  <c r="A154" i="13"/>
  <c r="C154" i="13"/>
  <c r="I154" i="13"/>
  <c r="A155" i="13"/>
  <c r="C155" i="13"/>
  <c r="H155" i="13"/>
  <c r="I155" i="13"/>
  <c r="A156" i="13"/>
  <c r="C156" i="13"/>
  <c r="I156" i="13"/>
  <c r="A157" i="13"/>
  <c r="C157" i="13"/>
  <c r="I157" i="13"/>
  <c r="A158" i="13"/>
  <c r="C158" i="13"/>
  <c r="H158" i="13"/>
  <c r="I158" i="13"/>
  <c r="A159" i="13"/>
  <c r="C159" i="13"/>
  <c r="I159" i="13"/>
  <c r="A160" i="13"/>
  <c r="C160" i="13"/>
  <c r="I160" i="13"/>
  <c r="A161" i="13"/>
  <c r="C161" i="13"/>
  <c r="I161" i="13"/>
  <c r="A162" i="13"/>
  <c r="C162" i="13"/>
  <c r="A163" i="13"/>
  <c r="C163" i="13"/>
  <c r="H163" i="13"/>
  <c r="I163" i="13"/>
  <c r="A164" i="13"/>
  <c r="C164" i="13"/>
  <c r="A165" i="13"/>
  <c r="C165" i="13"/>
  <c r="A166" i="13"/>
  <c r="C166" i="13"/>
  <c r="A167" i="13"/>
  <c r="C167" i="13"/>
  <c r="H167" i="13"/>
  <c r="I167" i="13"/>
  <c r="A168" i="13"/>
  <c r="C168" i="13"/>
  <c r="G168" i="13"/>
  <c r="H168" i="13"/>
  <c r="I168" i="13"/>
  <c r="A169" i="13"/>
  <c r="C169" i="13"/>
  <c r="G169" i="13"/>
  <c r="H169" i="13"/>
  <c r="I169" i="13"/>
  <c r="A170" i="13"/>
  <c r="C170" i="13"/>
  <c r="I170" i="13"/>
  <c r="A171" i="13"/>
  <c r="C171" i="13"/>
  <c r="I171" i="13"/>
  <c r="A172" i="13"/>
  <c r="C172" i="13"/>
  <c r="I172" i="13"/>
  <c r="A173" i="13"/>
  <c r="C173" i="13"/>
  <c r="I173" i="13"/>
  <c r="A174" i="13"/>
  <c r="C174" i="13"/>
  <c r="A175" i="13"/>
  <c r="C175" i="13"/>
  <c r="A176" i="13"/>
  <c r="C176" i="13"/>
  <c r="A177" i="13"/>
  <c r="C177" i="13"/>
  <c r="G177" i="13"/>
  <c r="H177" i="13"/>
  <c r="I177" i="13"/>
  <c r="A178" i="13"/>
  <c r="C178" i="13"/>
  <c r="I178" i="13"/>
  <c r="A179" i="13"/>
  <c r="C179" i="13"/>
  <c r="I179" i="13"/>
  <c r="A180" i="13"/>
  <c r="C180" i="13"/>
  <c r="A181" i="13"/>
  <c r="C181" i="13"/>
  <c r="A182" i="13"/>
  <c r="C182" i="13"/>
  <c r="I182" i="13"/>
  <c r="A183" i="13"/>
  <c r="C183" i="13"/>
  <c r="A184" i="13"/>
  <c r="C184" i="13"/>
  <c r="I184" i="13"/>
  <c r="A185" i="13"/>
  <c r="C185" i="13"/>
  <c r="I185" i="13"/>
  <c r="A186" i="13"/>
  <c r="C186" i="13"/>
  <c r="I186" i="13"/>
  <c r="A187" i="13"/>
  <c r="C187" i="13"/>
  <c r="I187" i="13"/>
  <c r="A188" i="13"/>
  <c r="C188" i="13"/>
  <c r="H188" i="13"/>
  <c r="I188" i="13"/>
  <c r="A189" i="13"/>
  <c r="C189" i="13"/>
  <c r="I189" i="13"/>
  <c r="A190" i="13"/>
  <c r="C190" i="13"/>
  <c r="I190" i="13"/>
  <c r="A191" i="13"/>
  <c r="C191" i="13"/>
  <c r="I191" i="13"/>
  <c r="A192" i="13"/>
  <c r="C192" i="13"/>
  <c r="I192" i="13"/>
  <c r="A193" i="13"/>
  <c r="C193" i="13"/>
  <c r="G193" i="13"/>
  <c r="H193" i="13"/>
  <c r="I193" i="13"/>
  <c r="A194" i="13"/>
  <c r="C194" i="13"/>
  <c r="H194" i="13"/>
  <c r="I194" i="13"/>
  <c r="A195" i="13"/>
  <c r="C195" i="13"/>
  <c r="H195" i="13"/>
  <c r="I195" i="13"/>
  <c r="A196" i="13"/>
  <c r="C196" i="13"/>
  <c r="I196" i="13"/>
  <c r="A197" i="13"/>
  <c r="C197" i="13"/>
  <c r="I197" i="13"/>
  <c r="A198" i="13"/>
  <c r="C198" i="13"/>
  <c r="I198" i="13"/>
  <c r="A199" i="13"/>
  <c r="C199" i="13"/>
  <c r="F199" i="13"/>
  <c r="I199" i="13"/>
  <c r="A200" i="13"/>
  <c r="C200" i="13"/>
  <c r="F200" i="13"/>
  <c r="I200" i="13"/>
  <c r="A201" i="13"/>
  <c r="C201" i="13"/>
  <c r="F201" i="13"/>
  <c r="G201" i="13"/>
  <c r="H201" i="13"/>
  <c r="I201" i="13"/>
  <c r="A202" i="13"/>
  <c r="C202" i="13"/>
  <c r="F202" i="13"/>
  <c r="H202" i="13"/>
  <c r="I202" i="13"/>
  <c r="A203" i="13"/>
  <c r="C203" i="13"/>
  <c r="F203" i="13"/>
  <c r="H203" i="13"/>
  <c r="I203" i="13"/>
  <c r="A204" i="13"/>
  <c r="C204" i="13"/>
  <c r="F204" i="13"/>
  <c r="I204" i="13"/>
  <c r="A205" i="13"/>
  <c r="C205" i="13"/>
  <c r="F205" i="13"/>
  <c r="G205" i="13"/>
  <c r="H205" i="13"/>
  <c r="I205" i="13"/>
  <c r="A206" i="13"/>
  <c r="C206" i="13"/>
  <c r="F206" i="13"/>
  <c r="G206" i="13"/>
  <c r="H206" i="13"/>
  <c r="I206" i="13"/>
  <c r="A207" i="13"/>
  <c r="C207" i="13"/>
  <c r="F207" i="13"/>
  <c r="H207" i="13"/>
  <c r="I207" i="13"/>
  <c r="A208" i="13"/>
  <c r="C208" i="13"/>
  <c r="F208" i="13"/>
  <c r="G208" i="13"/>
  <c r="H208" i="13"/>
  <c r="I208" i="13"/>
  <c r="A209" i="13"/>
  <c r="C209" i="13"/>
  <c r="F209" i="13"/>
  <c r="G209" i="13"/>
  <c r="H209" i="13"/>
  <c r="I209" i="13"/>
  <c r="A210" i="13"/>
  <c r="C210" i="13"/>
  <c r="A203" i="17"/>
  <c r="F210" i="13"/>
  <c r="G210" i="13"/>
  <c r="H210" i="13"/>
  <c r="I210" i="13"/>
  <c r="A211" i="13"/>
  <c r="C211" i="13"/>
  <c r="A204" i="17"/>
  <c r="F211" i="13"/>
  <c r="G211" i="13"/>
  <c r="H211" i="13"/>
  <c r="I211" i="13"/>
  <c r="A212" i="13"/>
  <c r="C212" i="13"/>
  <c r="A205" i="17"/>
  <c r="F212" i="13"/>
  <c r="G212" i="13"/>
  <c r="H212" i="13"/>
  <c r="I212" i="13"/>
  <c r="A213" i="13"/>
  <c r="C213" i="13"/>
  <c r="A206" i="17"/>
  <c r="F213" i="13"/>
  <c r="G213" i="13"/>
  <c r="H213" i="13"/>
  <c r="I213" i="13"/>
  <c r="A214" i="13"/>
  <c r="C214" i="13"/>
  <c r="A207" i="17"/>
  <c r="F214" i="13"/>
  <c r="G214" i="13"/>
  <c r="H214" i="13"/>
  <c r="I214" i="13"/>
  <c r="A215" i="13"/>
  <c r="C215" i="13"/>
  <c r="A208" i="17"/>
  <c r="F215" i="13"/>
  <c r="G215" i="13"/>
  <c r="H215" i="13"/>
  <c r="I215" i="13"/>
  <c r="A216" i="13"/>
  <c r="C216" i="13"/>
  <c r="A209" i="17"/>
  <c r="F216" i="13"/>
  <c r="G216" i="13"/>
  <c r="H216" i="13"/>
  <c r="I216" i="13"/>
  <c r="A217" i="13"/>
  <c r="C217" i="13"/>
  <c r="A210" i="17"/>
  <c r="F217" i="13"/>
  <c r="G217" i="13"/>
  <c r="H217" i="13"/>
  <c r="I217" i="13"/>
  <c r="A218" i="13"/>
  <c r="C218" i="13"/>
  <c r="A211" i="17"/>
  <c r="F218" i="13"/>
  <c r="G218" i="13"/>
  <c r="H218" i="13"/>
  <c r="I218" i="13"/>
  <c r="A219" i="13"/>
  <c r="C219" i="13"/>
  <c r="A212" i="17"/>
  <c r="F219" i="13"/>
  <c r="G219" i="13"/>
  <c r="H219" i="13"/>
  <c r="I219" i="13"/>
  <c r="A220" i="13"/>
  <c r="C220" i="13"/>
  <c r="A213" i="17"/>
  <c r="F220" i="13"/>
  <c r="G220" i="13"/>
  <c r="H220" i="13"/>
  <c r="I220" i="13"/>
  <c r="A221" i="13"/>
  <c r="C221" i="13"/>
  <c r="A214" i="17"/>
  <c r="F221" i="13"/>
  <c r="G221" i="13"/>
  <c r="H221" i="13"/>
  <c r="I221" i="13"/>
  <c r="A222" i="13"/>
  <c r="C222" i="13"/>
  <c r="A215" i="17"/>
  <c r="F222" i="13"/>
  <c r="G222" i="13"/>
  <c r="H222" i="13"/>
  <c r="I222" i="13"/>
  <c r="A223" i="13"/>
  <c r="C223" i="13"/>
  <c r="A216" i="17"/>
  <c r="F223" i="13"/>
  <c r="G223" i="13"/>
  <c r="H223" i="13"/>
  <c r="I223" i="13"/>
  <c r="A224" i="13"/>
  <c r="C224" i="13"/>
  <c r="A217" i="17"/>
  <c r="F224" i="13"/>
  <c r="G224" i="13"/>
  <c r="H224" i="13"/>
  <c r="I224" i="13"/>
  <c r="A225" i="13"/>
  <c r="C225" i="13"/>
  <c r="A218" i="17"/>
  <c r="F225" i="13"/>
  <c r="G225" i="13"/>
  <c r="H225" i="13"/>
  <c r="I225" i="13"/>
  <c r="A226" i="13"/>
  <c r="C226" i="13"/>
  <c r="A219" i="17"/>
  <c r="F226" i="13"/>
  <c r="G226" i="13"/>
  <c r="H226" i="13"/>
  <c r="I226" i="13"/>
  <c r="A227" i="13"/>
  <c r="C227" i="13"/>
  <c r="A220" i="17"/>
  <c r="F227" i="13"/>
  <c r="G227" i="13"/>
  <c r="H227" i="13"/>
  <c r="I227" i="13"/>
  <c r="A228" i="13"/>
  <c r="C228" i="13"/>
  <c r="A221" i="17"/>
  <c r="F228" i="13"/>
  <c r="G228" i="13"/>
  <c r="H228" i="13"/>
  <c r="I228" i="13"/>
  <c r="A229" i="13"/>
  <c r="C229" i="13"/>
  <c r="A222" i="17"/>
  <c r="F229" i="13"/>
  <c r="G229" i="13"/>
  <c r="H229" i="13"/>
  <c r="I229" i="13"/>
  <c r="A230" i="13"/>
  <c r="C230" i="13"/>
  <c r="A223" i="17"/>
  <c r="F230" i="13"/>
  <c r="G230" i="13"/>
  <c r="H230" i="13"/>
  <c r="I230" i="13"/>
  <c r="A231" i="13"/>
  <c r="C231" i="13"/>
  <c r="A224" i="17"/>
  <c r="F231" i="13"/>
  <c r="G231" i="13"/>
  <c r="H231" i="13"/>
  <c r="I231" i="13"/>
  <c r="A232" i="13"/>
  <c r="C232" i="13"/>
  <c r="A225" i="17"/>
  <c r="F232" i="13"/>
  <c r="G232" i="13"/>
  <c r="H232" i="13"/>
  <c r="I232" i="13"/>
  <c r="A233" i="13"/>
  <c r="C233" i="13"/>
  <c r="A226" i="17"/>
  <c r="F233" i="13"/>
  <c r="G233" i="13"/>
  <c r="H233" i="13"/>
  <c r="I233" i="13"/>
  <c r="A234" i="13"/>
  <c r="C234" i="13"/>
  <c r="A227" i="17"/>
  <c r="F234" i="13"/>
  <c r="G234" i="13"/>
  <c r="H234" i="13"/>
  <c r="I234" i="13"/>
  <c r="A235" i="13"/>
  <c r="C235" i="13"/>
  <c r="A228" i="17"/>
  <c r="F235" i="13"/>
  <c r="G235" i="13"/>
  <c r="H235" i="13"/>
  <c r="I235" i="13"/>
  <c r="A236" i="13"/>
  <c r="C236" i="13"/>
  <c r="A229" i="17"/>
  <c r="F236" i="13"/>
  <c r="G236" i="13"/>
  <c r="H236" i="13"/>
  <c r="I236" i="13"/>
  <c r="A237" i="13"/>
  <c r="C237" i="13"/>
  <c r="A230" i="17"/>
  <c r="F237" i="13"/>
  <c r="G237" i="13"/>
  <c r="H237" i="13"/>
  <c r="I237" i="13"/>
  <c r="A238" i="13"/>
  <c r="C238" i="13"/>
  <c r="A231" i="17"/>
  <c r="F238" i="13"/>
  <c r="G238" i="13"/>
  <c r="H238" i="13"/>
  <c r="I238" i="13"/>
  <c r="A239" i="13"/>
  <c r="C239" i="13"/>
  <c r="A232" i="17"/>
  <c r="F239" i="13"/>
  <c r="G239" i="13"/>
  <c r="H239" i="13"/>
  <c r="I239" i="13"/>
  <c r="A240" i="13"/>
  <c r="C240" i="13"/>
  <c r="A233" i="17"/>
  <c r="F240" i="13"/>
  <c r="G240" i="13"/>
  <c r="H240" i="13"/>
  <c r="I240" i="13"/>
  <c r="A241" i="13"/>
  <c r="C241" i="13"/>
  <c r="A234" i="17"/>
  <c r="F241" i="13"/>
  <c r="G241" i="13"/>
  <c r="H241" i="13"/>
  <c r="I241" i="13"/>
  <c r="A242" i="13"/>
  <c r="C242" i="13"/>
  <c r="A235" i="17"/>
  <c r="F242" i="13"/>
  <c r="G242" i="13"/>
  <c r="H242" i="13"/>
  <c r="I242" i="13"/>
  <c r="A243" i="13"/>
  <c r="C243" i="13"/>
  <c r="A236" i="17"/>
  <c r="F243" i="13"/>
  <c r="G243" i="13"/>
  <c r="H243" i="13"/>
  <c r="I243" i="13"/>
  <c r="A244" i="13"/>
  <c r="C244" i="13"/>
  <c r="A237" i="17"/>
  <c r="F244" i="13"/>
  <c r="G244" i="13"/>
  <c r="H244" i="13"/>
  <c r="I244" i="13"/>
  <c r="A245" i="13"/>
  <c r="C245" i="13"/>
  <c r="A238" i="17"/>
  <c r="F245" i="13"/>
  <c r="G245" i="13"/>
  <c r="H245" i="13"/>
  <c r="I245" i="13"/>
  <c r="A246" i="13"/>
  <c r="C246" i="13"/>
  <c r="A239" i="17"/>
  <c r="F246" i="13"/>
  <c r="G246" i="13"/>
  <c r="H246" i="13"/>
  <c r="I246" i="13"/>
  <c r="A247" i="13"/>
  <c r="C247" i="13"/>
  <c r="A240" i="17"/>
  <c r="F247" i="13"/>
  <c r="G247" i="13"/>
  <c r="H247" i="13"/>
  <c r="I247" i="13"/>
  <c r="A248" i="13"/>
  <c r="C248" i="13"/>
  <c r="A241" i="17"/>
  <c r="F248" i="13"/>
  <c r="G248" i="13"/>
  <c r="H248" i="13"/>
  <c r="I248" i="13"/>
  <c r="A249" i="13"/>
  <c r="C249" i="13"/>
  <c r="A242" i="17"/>
  <c r="F249" i="13"/>
  <c r="G249" i="13"/>
  <c r="H249" i="13"/>
  <c r="I249" i="13"/>
  <c r="A250" i="13"/>
  <c r="C250" i="13"/>
  <c r="A243" i="17"/>
  <c r="F250" i="13"/>
  <c r="G250" i="13"/>
  <c r="H250" i="13"/>
  <c r="I250" i="13"/>
  <c r="A251" i="13"/>
  <c r="C251" i="13"/>
  <c r="A244" i="17"/>
  <c r="F251" i="13"/>
  <c r="G251" i="13"/>
  <c r="H251" i="13"/>
  <c r="I251" i="13"/>
  <c r="A252" i="13"/>
  <c r="C252" i="13"/>
  <c r="A245" i="17"/>
  <c r="F252" i="13"/>
  <c r="G252" i="13"/>
  <c r="H252" i="13"/>
  <c r="I252" i="13"/>
  <c r="A253" i="13"/>
  <c r="C253" i="13"/>
  <c r="A246" i="17"/>
  <c r="F253" i="13"/>
  <c r="G253" i="13"/>
  <c r="H253" i="13"/>
  <c r="I253" i="13"/>
  <c r="A254" i="13"/>
  <c r="C254" i="13"/>
  <c r="A247" i="17"/>
  <c r="F254" i="13"/>
  <c r="G254" i="13"/>
  <c r="H254" i="13"/>
  <c r="I254" i="13"/>
  <c r="A255" i="13"/>
  <c r="C255" i="13"/>
  <c r="A248" i="17"/>
  <c r="F255" i="13"/>
  <c r="G255" i="13"/>
  <c r="H255" i="13"/>
  <c r="I255" i="13"/>
  <c r="A256" i="13"/>
  <c r="C256" i="13"/>
  <c r="A249" i="17"/>
  <c r="F256" i="13"/>
  <c r="G256" i="13"/>
  <c r="H256" i="13"/>
  <c r="I256" i="13"/>
  <c r="A257" i="13"/>
  <c r="C257" i="13"/>
  <c r="A250" i="17"/>
  <c r="G257" i="13"/>
  <c r="H257" i="13"/>
  <c r="I257" i="13"/>
  <c r="A258" i="13"/>
  <c r="C258" i="13"/>
  <c r="A251" i="17"/>
  <c r="G258" i="13"/>
  <c r="H258" i="13"/>
  <c r="I258" i="13"/>
  <c r="A259" i="13"/>
  <c r="C259" i="13"/>
  <c r="A252" i="17"/>
  <c r="G259" i="13"/>
  <c r="H259" i="13"/>
  <c r="I259" i="13"/>
  <c r="A260" i="13"/>
  <c r="C260" i="13"/>
  <c r="A253" i="17"/>
  <c r="G260" i="13"/>
  <c r="H260" i="13"/>
  <c r="I260" i="13"/>
  <c r="A261" i="13"/>
  <c r="C261" i="13"/>
  <c r="A254" i="17"/>
  <c r="G261" i="13"/>
  <c r="H261" i="13"/>
  <c r="I261" i="13"/>
  <c r="F260" i="13" l="1"/>
  <c r="F197" i="13"/>
  <c r="F193" i="13"/>
  <c r="F191" i="13"/>
  <c r="F189" i="13"/>
  <c r="F188" i="13"/>
  <c r="F186" i="13"/>
  <c r="F184" i="13"/>
  <c r="F183" i="13"/>
  <c r="F179" i="13"/>
  <c r="F177" i="13"/>
  <c r="F176" i="13"/>
  <c r="F175" i="13"/>
  <c r="F174" i="13"/>
  <c r="F172" i="13"/>
  <c r="F170" i="13"/>
  <c r="F168" i="13"/>
  <c r="F167" i="13"/>
  <c r="F166" i="13"/>
  <c r="F165" i="13"/>
  <c r="F164" i="13"/>
  <c r="F163" i="13"/>
  <c r="F162" i="13"/>
  <c r="F160" i="13"/>
  <c r="F157" i="13"/>
  <c r="F154" i="13"/>
  <c r="F151" i="13"/>
  <c r="F150" i="13"/>
  <c r="F149" i="13"/>
  <c r="F148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19" i="13"/>
  <c r="F118" i="13"/>
  <c r="F113" i="13"/>
  <c r="F111" i="13"/>
  <c r="F110" i="13"/>
  <c r="F108" i="13"/>
  <c r="F107" i="13"/>
  <c r="F106" i="13"/>
  <c r="F105" i="13"/>
  <c r="F104" i="13"/>
  <c r="F103" i="13"/>
  <c r="F98" i="13"/>
  <c r="F96" i="13"/>
  <c r="F95" i="13"/>
  <c r="F91" i="13"/>
  <c r="F90" i="13"/>
  <c r="F88" i="13"/>
  <c r="F86" i="13"/>
  <c r="F85" i="13"/>
  <c r="F84" i="13"/>
  <c r="F83" i="13"/>
  <c r="F82" i="13"/>
  <c r="F80" i="13"/>
  <c r="F79" i="13"/>
  <c r="F78" i="13"/>
  <c r="F76" i="13"/>
  <c r="F74" i="13"/>
  <c r="F72" i="13"/>
  <c r="F71" i="13"/>
  <c r="F70" i="13"/>
  <c r="F69" i="13"/>
  <c r="F68" i="13"/>
  <c r="F67" i="13"/>
  <c r="F66" i="13"/>
  <c r="F57" i="13"/>
  <c r="F56" i="13"/>
  <c r="F55" i="13"/>
  <c r="F48" i="13"/>
  <c r="F47" i="13"/>
  <c r="F46" i="13"/>
  <c r="F43" i="13"/>
  <c r="F42" i="13"/>
  <c r="F41" i="13"/>
  <c r="F40" i="13"/>
  <c r="F37" i="13"/>
  <c r="F34" i="13"/>
  <c r="F32" i="13"/>
  <c r="F30" i="13"/>
  <c r="F28" i="13"/>
  <c r="F23" i="13"/>
  <c r="F22" i="13"/>
  <c r="F20" i="13"/>
  <c r="F18" i="13"/>
  <c r="F16" i="13"/>
  <c r="F14" i="13"/>
  <c r="F13" i="13"/>
  <c r="F261" i="13"/>
  <c r="F259" i="13"/>
  <c r="F257" i="13"/>
  <c r="F198" i="13"/>
  <c r="F196" i="13"/>
  <c r="F195" i="13"/>
  <c r="F194" i="13"/>
  <c r="F192" i="13"/>
  <c r="F190" i="13"/>
  <c r="F187" i="13"/>
  <c r="F185" i="13"/>
  <c r="F182" i="13"/>
  <c r="F181" i="13"/>
  <c r="F180" i="13"/>
  <c r="F178" i="13"/>
  <c r="F173" i="13"/>
  <c r="F171" i="13"/>
  <c r="F169" i="13"/>
  <c r="F161" i="13"/>
  <c r="F159" i="13"/>
  <c r="F158" i="13"/>
  <c r="F156" i="13"/>
  <c r="F155" i="13"/>
  <c r="F153" i="13"/>
  <c r="F152" i="13"/>
  <c r="F147" i="13"/>
  <c r="F146" i="13"/>
  <c r="F121" i="13"/>
  <c r="F120" i="13"/>
  <c r="F117" i="13"/>
  <c r="F116" i="13"/>
  <c r="F115" i="13"/>
  <c r="F114" i="13"/>
  <c r="F112" i="13"/>
  <c r="F109" i="13"/>
  <c r="F102" i="13"/>
  <c r="F101" i="13"/>
  <c r="F100" i="13"/>
  <c r="F99" i="13"/>
  <c r="F97" i="13"/>
  <c r="F94" i="13"/>
  <c r="F93" i="13"/>
  <c r="F92" i="13"/>
  <c r="F89" i="13"/>
  <c r="F87" i="13"/>
  <c r="F81" i="13"/>
  <c r="F77" i="13"/>
  <c r="F75" i="13"/>
  <c r="F73" i="13"/>
  <c r="F65" i="13"/>
  <c r="F64" i="13"/>
  <c r="F63" i="13"/>
  <c r="F62" i="13"/>
  <c r="F61" i="13"/>
  <c r="F60" i="13"/>
  <c r="F59" i="13"/>
  <c r="F58" i="13"/>
  <c r="F54" i="13"/>
  <c r="F53" i="13"/>
  <c r="F52" i="13"/>
  <c r="F51" i="13"/>
  <c r="F50" i="13"/>
  <c r="F49" i="13"/>
  <c r="F45" i="13"/>
  <c r="F44" i="13"/>
  <c r="F39" i="13"/>
  <c r="F38" i="13"/>
  <c r="F36" i="13"/>
  <c r="F35" i="13"/>
  <c r="F33" i="13"/>
  <c r="F31" i="13"/>
  <c r="F29" i="13"/>
  <c r="F27" i="13"/>
  <c r="F26" i="13"/>
  <c r="F25" i="13"/>
  <c r="F24" i="13"/>
  <c r="F21" i="13"/>
  <c r="F19" i="13"/>
  <c r="F17" i="13"/>
  <c r="F15" i="13"/>
  <c r="F258" i="13"/>
  <c r="B204" i="13"/>
  <c r="A197" i="17"/>
  <c r="B200" i="13"/>
  <c r="A193" i="17"/>
  <c r="B196" i="13"/>
  <c r="A189" i="17"/>
  <c r="B194" i="13"/>
  <c r="A187" i="17"/>
  <c r="B190" i="13"/>
  <c r="A183" i="17"/>
  <c r="B184" i="13"/>
  <c r="A177" i="17"/>
  <c r="B182" i="13"/>
  <c r="A175" i="17"/>
  <c r="B180" i="13"/>
  <c r="A173" i="17"/>
  <c r="B174" i="13"/>
  <c r="A167" i="17"/>
  <c r="B168" i="13"/>
  <c r="A161" i="17"/>
  <c r="B166" i="13"/>
  <c r="A159" i="17"/>
  <c r="B160" i="13"/>
  <c r="A153" i="17"/>
  <c r="B156" i="13"/>
  <c r="A149" i="17"/>
  <c r="B152" i="13"/>
  <c r="A145" i="17"/>
  <c r="B150" i="13"/>
  <c r="A143" i="17"/>
  <c r="B146" i="13"/>
  <c r="A139" i="17"/>
  <c r="B144" i="13"/>
  <c r="A137" i="17"/>
  <c r="B140" i="13"/>
  <c r="A133" i="17"/>
  <c r="B138" i="13"/>
  <c r="A131" i="17"/>
  <c r="B132" i="13"/>
  <c r="A125" i="17"/>
  <c r="B128" i="13"/>
  <c r="A121" i="17"/>
  <c r="B124" i="13"/>
  <c r="A117" i="17"/>
  <c r="B112" i="13"/>
  <c r="A105" i="17"/>
  <c r="B108" i="13"/>
  <c r="A101" i="17"/>
  <c r="B104" i="13"/>
  <c r="A97" i="17"/>
  <c r="B100" i="13"/>
  <c r="A93" i="17"/>
  <c r="B88" i="13"/>
  <c r="A81" i="17"/>
  <c r="B84" i="13"/>
  <c r="A77" i="17"/>
  <c r="B78" i="13"/>
  <c r="A71" i="17"/>
  <c r="B76" i="13"/>
  <c r="A69" i="17"/>
  <c r="B74" i="13"/>
  <c r="A67" i="17"/>
  <c r="B70" i="13"/>
  <c r="A63" i="17"/>
  <c r="B64" i="13"/>
  <c r="A57" i="17"/>
  <c r="B62" i="13"/>
  <c r="A55" i="17"/>
  <c r="B60" i="13"/>
  <c r="A53" i="17"/>
  <c r="B54" i="13"/>
  <c r="A47" i="17"/>
  <c r="B52" i="13"/>
  <c r="A45" i="17"/>
  <c r="B50" i="13"/>
  <c r="A43" i="17"/>
  <c r="B48" i="13"/>
  <c r="A41" i="17"/>
  <c r="B46" i="13"/>
  <c r="A39" i="17"/>
  <c r="B40" i="13"/>
  <c r="A33" i="17"/>
  <c r="B38" i="13"/>
  <c r="A31" i="17"/>
  <c r="B30" i="13"/>
  <c r="A23" i="17"/>
  <c r="B24" i="13"/>
  <c r="A17" i="17"/>
  <c r="B22" i="13"/>
  <c r="A15" i="17"/>
  <c r="B18" i="13"/>
  <c r="A11" i="17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5" i="13"/>
  <c r="A198" i="17"/>
  <c r="B203" i="13"/>
  <c r="A196" i="17"/>
  <c r="B201" i="13"/>
  <c r="A194" i="17"/>
  <c r="B197" i="13"/>
  <c r="A190" i="17"/>
  <c r="B195" i="13"/>
  <c r="A188" i="17"/>
  <c r="B191" i="13"/>
  <c r="A184" i="17"/>
  <c r="B187" i="13"/>
  <c r="A180" i="17"/>
  <c r="B185" i="13"/>
  <c r="A178" i="17"/>
  <c r="B183" i="13"/>
  <c r="A176" i="17"/>
  <c r="B177" i="13"/>
  <c r="A170" i="17"/>
  <c r="B171" i="13"/>
  <c r="A164" i="17"/>
  <c r="B169" i="13"/>
  <c r="A162" i="17"/>
  <c r="B167" i="13"/>
  <c r="A160" i="17"/>
  <c r="B161" i="13"/>
  <c r="A154" i="17"/>
  <c r="B159" i="13"/>
  <c r="A152" i="17"/>
  <c r="B155" i="13"/>
  <c r="A148" i="17"/>
  <c r="B149" i="13"/>
  <c r="A142" i="17"/>
  <c r="B147" i="13"/>
  <c r="A140" i="17"/>
  <c r="B143" i="13"/>
  <c r="A136" i="17"/>
  <c r="B139" i="13"/>
  <c r="A132" i="17"/>
  <c r="B137" i="13"/>
  <c r="A130" i="17"/>
  <c r="B131" i="13"/>
  <c r="A124" i="17"/>
  <c r="B129" i="13"/>
  <c r="A122" i="17"/>
  <c r="B125" i="13"/>
  <c r="A118" i="17"/>
  <c r="B121" i="13"/>
  <c r="A114" i="17"/>
  <c r="B117" i="13"/>
  <c r="A110" i="17"/>
  <c r="B113" i="13"/>
  <c r="A106" i="17"/>
  <c r="B109" i="13"/>
  <c r="A102" i="17"/>
  <c r="B103" i="13"/>
  <c r="A96" i="17"/>
  <c r="B97" i="13"/>
  <c r="A90" i="17"/>
  <c r="B95" i="13"/>
  <c r="A88" i="17"/>
  <c r="B91" i="13"/>
  <c r="A84" i="17"/>
  <c r="B89" i="13"/>
  <c r="A82" i="17"/>
  <c r="B85" i="13"/>
  <c r="A78" i="17"/>
  <c r="B83" i="13"/>
  <c r="A76" i="17"/>
  <c r="B79" i="13"/>
  <c r="A72" i="17"/>
  <c r="B77" i="13"/>
  <c r="A70" i="17"/>
  <c r="B75" i="13"/>
  <c r="A68" i="17"/>
  <c r="B71" i="13"/>
  <c r="A64" i="17"/>
  <c r="B69" i="13"/>
  <c r="A62" i="17"/>
  <c r="B65" i="13"/>
  <c r="A58" i="17"/>
  <c r="B59" i="13"/>
  <c r="A52" i="17"/>
  <c r="B57" i="13"/>
  <c r="A50" i="17"/>
  <c r="B49" i="13"/>
  <c r="A42" i="17"/>
  <c r="B43" i="13"/>
  <c r="A36" i="17"/>
  <c r="B41" i="13"/>
  <c r="A34" i="17"/>
  <c r="B31" i="13"/>
  <c r="A24" i="17"/>
  <c r="B27" i="13"/>
  <c r="A20" i="17"/>
  <c r="B19" i="13"/>
  <c r="A12" i="17"/>
  <c r="B15" i="13"/>
  <c r="A8" i="17"/>
  <c r="B208" i="13"/>
  <c r="A201" i="17"/>
  <c r="B206" i="13"/>
  <c r="A199" i="17"/>
  <c r="B202" i="13"/>
  <c r="A195" i="17"/>
  <c r="B198" i="13"/>
  <c r="A191" i="17"/>
  <c r="B192" i="13"/>
  <c r="A185" i="17"/>
  <c r="B188" i="13"/>
  <c r="A181" i="17"/>
  <c r="B186" i="13"/>
  <c r="A179" i="17"/>
  <c r="B178" i="13"/>
  <c r="A171" i="17"/>
  <c r="B176" i="13"/>
  <c r="A169" i="17"/>
  <c r="B172" i="13"/>
  <c r="A165" i="17"/>
  <c r="B170" i="13"/>
  <c r="A163" i="17"/>
  <c r="B164" i="13"/>
  <c r="A157" i="17"/>
  <c r="B162" i="13"/>
  <c r="A155" i="17"/>
  <c r="B158" i="13"/>
  <c r="A151" i="17"/>
  <c r="B154" i="13"/>
  <c r="A147" i="17"/>
  <c r="B148" i="13"/>
  <c r="A141" i="17"/>
  <c r="B142" i="13"/>
  <c r="A135" i="17"/>
  <c r="B136" i="13"/>
  <c r="A129" i="17"/>
  <c r="B134" i="13"/>
  <c r="A127" i="17"/>
  <c r="B130" i="13"/>
  <c r="A123" i="17"/>
  <c r="B126" i="13"/>
  <c r="A119" i="17"/>
  <c r="B122" i="13"/>
  <c r="A115" i="17"/>
  <c r="B120" i="13"/>
  <c r="A113" i="17"/>
  <c r="B114" i="13"/>
  <c r="A107" i="17"/>
  <c r="B110" i="13"/>
  <c r="A103" i="17"/>
  <c r="B106" i="13"/>
  <c r="A99" i="17"/>
  <c r="B98" i="13"/>
  <c r="A91" i="17"/>
  <c r="B96" i="13"/>
  <c r="A89" i="17"/>
  <c r="B94" i="13"/>
  <c r="A87" i="17"/>
  <c r="B92" i="13"/>
  <c r="A85" i="17"/>
  <c r="B90" i="13"/>
  <c r="A83" i="17"/>
  <c r="B86" i="13"/>
  <c r="A79" i="17"/>
  <c r="B82" i="13"/>
  <c r="A75" i="17"/>
  <c r="B80" i="13"/>
  <c r="A73" i="17"/>
  <c r="B72" i="13"/>
  <c r="A65" i="17"/>
  <c r="B68" i="13"/>
  <c r="A61" i="17"/>
  <c r="B66" i="13"/>
  <c r="A59" i="17"/>
  <c r="B58" i="13"/>
  <c r="A51" i="17"/>
  <c r="B56" i="13"/>
  <c r="A49" i="17"/>
  <c r="B44" i="13"/>
  <c r="A37" i="17"/>
  <c r="B42" i="13"/>
  <c r="A35" i="17"/>
  <c r="B36" i="13"/>
  <c r="A29" i="17"/>
  <c r="B32" i="13"/>
  <c r="A25" i="17"/>
  <c r="B28" i="13"/>
  <c r="A21" i="17"/>
  <c r="B26" i="13"/>
  <c r="A19" i="17"/>
  <c r="B20" i="13"/>
  <c r="A13" i="17"/>
  <c r="B16" i="13"/>
  <c r="A9" i="17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9" i="13"/>
  <c r="A202" i="17"/>
  <c r="B207" i="13"/>
  <c r="A200" i="17"/>
  <c r="B199" i="13"/>
  <c r="A192" i="17"/>
  <c r="B193" i="13"/>
  <c r="A186" i="17"/>
  <c r="B189" i="13"/>
  <c r="A182" i="17"/>
  <c r="B181" i="13"/>
  <c r="A174" i="17"/>
  <c r="B179" i="13"/>
  <c r="A172" i="17"/>
  <c r="B175" i="13"/>
  <c r="A168" i="17"/>
  <c r="B173" i="13"/>
  <c r="A166" i="17"/>
  <c r="B165" i="13"/>
  <c r="A158" i="17"/>
  <c r="B163" i="13"/>
  <c r="A156" i="17"/>
  <c r="B157" i="13"/>
  <c r="A150" i="17"/>
  <c r="B153" i="13"/>
  <c r="A146" i="17"/>
  <c r="B151" i="13"/>
  <c r="A144" i="17"/>
  <c r="B145" i="13"/>
  <c r="A138" i="17"/>
  <c r="B141" i="13"/>
  <c r="A134" i="17"/>
  <c r="B135" i="13"/>
  <c r="A128" i="17"/>
  <c r="B133" i="13"/>
  <c r="A126" i="17"/>
  <c r="B123" i="13"/>
  <c r="A116" i="17"/>
  <c r="B111" i="13"/>
  <c r="A104" i="17"/>
  <c r="B107" i="13"/>
  <c r="A100" i="17"/>
  <c r="B105" i="13"/>
  <c r="A98" i="17"/>
  <c r="B101" i="13"/>
  <c r="A94" i="17"/>
  <c r="B99" i="13"/>
  <c r="A92" i="17"/>
  <c r="B93" i="13"/>
  <c r="A86" i="17"/>
  <c r="B87" i="13"/>
  <c r="A80" i="17"/>
  <c r="B81" i="13"/>
  <c r="A74" i="17"/>
  <c r="B73" i="13"/>
  <c r="A66" i="17"/>
  <c r="B67" i="13"/>
  <c r="A60" i="17"/>
  <c r="B63" i="13"/>
  <c r="A56" i="17"/>
  <c r="B61" i="13"/>
  <c r="A54" i="17"/>
  <c r="B53" i="13"/>
  <c r="A46" i="17"/>
  <c r="B51" i="13"/>
  <c r="A44" i="17"/>
  <c r="B47" i="13"/>
  <c r="A40" i="17"/>
  <c r="B45" i="13"/>
  <c r="A38" i="17"/>
  <c r="B37" i="13"/>
  <c r="A30" i="17"/>
  <c r="B29" i="13"/>
  <c r="A22" i="17"/>
  <c r="B25" i="13"/>
  <c r="A18" i="17"/>
  <c r="B23" i="13"/>
  <c r="A16" i="17"/>
  <c r="B21" i="13"/>
  <c r="A14" i="17"/>
  <c r="B17" i="13"/>
  <c r="A10" i="17"/>
  <c r="B55" i="13"/>
  <c r="A48" i="17"/>
  <c r="B39" i="13"/>
  <c r="A32" i="17"/>
  <c r="B35" i="13"/>
  <c r="A28" i="17"/>
  <c r="B34" i="13"/>
  <c r="A27" i="17"/>
  <c r="B33" i="13"/>
  <c r="A26" i="17"/>
  <c r="B14" i="13"/>
  <c r="A7" i="17"/>
  <c r="B13" i="13"/>
  <c r="A6" i="17"/>
  <c r="B102" i="13"/>
  <c r="A95" i="17"/>
  <c r="B115" i="13"/>
  <c r="A108" i="17"/>
  <c r="B116" i="13"/>
  <c r="A109" i="17"/>
  <c r="B118" i="13"/>
  <c r="A111" i="17"/>
  <c r="B119" i="13"/>
  <c r="A112" i="17"/>
  <c r="B127" i="13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K254" i="13" l="1"/>
  <c r="K238" i="13"/>
  <c r="L228" i="14"/>
  <c r="M212" i="14"/>
  <c r="K206" i="13"/>
  <c r="L196" i="14"/>
  <c r="R180" i="14"/>
  <c r="K174" i="13"/>
  <c r="K166" i="13"/>
  <c r="K150" i="13"/>
  <c r="K142" i="13"/>
  <c r="P132" i="14"/>
  <c r="K94" i="13"/>
  <c r="O84" i="14"/>
  <c r="K78" i="13"/>
  <c r="Q68" i="14"/>
  <c r="K62" i="13"/>
  <c r="J52" i="14"/>
  <c r="K14" i="13"/>
  <c r="K255" i="13"/>
  <c r="K243" i="13"/>
  <c r="K239" i="13"/>
  <c r="K223" i="13"/>
  <c r="K211" i="13"/>
  <c r="K207" i="13"/>
  <c r="K195" i="13"/>
  <c r="K191" i="13"/>
  <c r="K179" i="13"/>
  <c r="S169" i="14"/>
  <c r="K163" i="13"/>
  <c r="K159" i="13"/>
  <c r="K143" i="13"/>
  <c r="K127" i="13"/>
  <c r="K111" i="13"/>
  <c r="K99" i="13"/>
  <c r="K95" i="13"/>
  <c r="K91" i="13"/>
  <c r="K79" i="13"/>
  <c r="K67" i="13"/>
  <c r="K63" i="13"/>
  <c r="K51" i="13"/>
  <c r="K47" i="13"/>
  <c r="K31" i="13"/>
  <c r="K27" i="13"/>
  <c r="K19" i="13"/>
  <c r="K15" i="13"/>
  <c r="K244" i="13"/>
  <c r="M234" i="14"/>
  <c r="S218" i="14"/>
  <c r="K212" i="13"/>
  <c r="H202" i="14"/>
  <c r="K204" i="13"/>
  <c r="K186" i="14"/>
  <c r="K180" i="13"/>
  <c r="Q170" i="14"/>
  <c r="K172" i="13"/>
  <c r="K164" i="13"/>
  <c r="O154" i="14"/>
  <c r="K156" i="13"/>
  <c r="K148" i="13"/>
  <c r="G138" i="14"/>
  <c r="K122" i="14"/>
  <c r="N106" i="14"/>
  <c r="K100" i="13"/>
  <c r="I90" i="14"/>
  <c r="K84" i="13"/>
  <c r="Q74" i="14"/>
  <c r="K68" i="13"/>
  <c r="O58" i="14"/>
  <c r="O42" i="14"/>
  <c r="O26" i="14"/>
  <c r="K28" i="13"/>
  <c r="K20" i="13"/>
  <c r="Q10" i="14"/>
  <c r="K260" i="13"/>
  <c r="K252" i="13"/>
  <c r="K248" i="13"/>
  <c r="K253" i="13"/>
  <c r="K237" i="13"/>
  <c r="N227" i="14"/>
  <c r="K221" i="13"/>
  <c r="I211" i="14"/>
  <c r="K205" i="13"/>
  <c r="N195" i="14"/>
  <c r="K197" i="13"/>
  <c r="G179" i="14"/>
  <c r="O175" i="14"/>
  <c r="R163" i="14"/>
  <c r="Q159" i="14"/>
  <c r="P147" i="14"/>
  <c r="K141" i="13"/>
  <c r="S131" i="14"/>
  <c r="M127" i="14"/>
  <c r="K125" i="13"/>
  <c r="Q115" i="14"/>
  <c r="O111" i="14"/>
  <c r="K109" i="13"/>
  <c r="P99" i="14"/>
  <c r="Q95" i="14"/>
  <c r="G83" i="14"/>
  <c r="R79" i="14"/>
  <c r="K77" i="13"/>
  <c r="K67" i="14"/>
  <c r="S63" i="14"/>
  <c r="K61" i="13"/>
  <c r="H51" i="14"/>
  <c r="K47" i="14"/>
  <c r="P35" i="14"/>
  <c r="K31" i="14"/>
  <c r="K33" i="13"/>
  <c r="K29" i="13"/>
  <c r="J19" i="14"/>
  <c r="S15" i="14"/>
  <c r="K17" i="13"/>
  <c r="K13" i="13"/>
  <c r="K101" i="13"/>
  <c r="K149" i="13"/>
  <c r="K76" i="13"/>
  <c r="K140" i="13"/>
  <c r="K131" i="13"/>
  <c r="K227" i="13"/>
  <c r="K259" i="13"/>
  <c r="K170" i="13"/>
  <c r="K256" i="13"/>
  <c r="K23" i="13"/>
  <c r="K39" i="13"/>
  <c r="K55" i="13"/>
  <c r="K71" i="13"/>
  <c r="K87" i="13"/>
  <c r="K103" i="13"/>
  <c r="K119" i="13"/>
  <c r="K135" i="13"/>
  <c r="K151" i="13"/>
  <c r="K167" i="13"/>
  <c r="K183" i="13"/>
  <c r="K199" i="13"/>
  <c r="K215" i="13"/>
  <c r="K231" i="13"/>
  <c r="K247" i="13"/>
  <c r="K30" i="13"/>
  <c r="K46" i="13"/>
  <c r="K110" i="13"/>
  <c r="K126" i="13"/>
  <c r="K158" i="13"/>
  <c r="K190" i="13"/>
  <c r="K222" i="13"/>
  <c r="K229" i="13"/>
  <c r="K44" i="13"/>
  <c r="K108" i="13"/>
  <c r="K220" i="13"/>
  <c r="K35" i="13"/>
  <c r="K83" i="13"/>
  <c r="K93" i="13"/>
  <c r="K189" i="13"/>
  <c r="K36" i="13"/>
  <c r="K52" i="13"/>
  <c r="K116" i="13"/>
  <c r="K132" i="13"/>
  <c r="K196" i="13"/>
  <c r="K228" i="13"/>
  <c r="K43" i="13"/>
  <c r="K59" i="13"/>
  <c r="K75" i="13"/>
  <c r="K107" i="13"/>
  <c r="K123" i="13"/>
  <c r="K139" i="13"/>
  <c r="K155" i="13"/>
  <c r="K171" i="13"/>
  <c r="K187" i="13"/>
  <c r="K203" i="13"/>
  <c r="K219" i="13"/>
  <c r="K235" i="13"/>
  <c r="K251" i="13"/>
  <c r="K18" i="13"/>
  <c r="K34" i="13"/>
  <c r="K50" i="13"/>
  <c r="K66" i="13"/>
  <c r="K82" i="13"/>
  <c r="K98" i="13"/>
  <c r="K114" i="13"/>
  <c r="K130" i="13"/>
  <c r="K146" i="13"/>
  <c r="K162" i="13"/>
  <c r="K178" i="13"/>
  <c r="K194" i="13"/>
  <c r="K210" i="13"/>
  <c r="K226" i="13"/>
  <c r="K242" i="13"/>
  <c r="K258" i="13"/>
  <c r="K165" i="13"/>
  <c r="K245" i="13"/>
  <c r="K60" i="13"/>
  <c r="K92" i="13"/>
  <c r="K124" i="13"/>
  <c r="K188" i="13"/>
  <c r="K236" i="13"/>
  <c r="K115" i="13"/>
  <c r="K147" i="13"/>
  <c r="K154" i="13"/>
  <c r="K45" i="13"/>
  <c r="K157" i="13"/>
  <c r="K173" i="13"/>
  <c r="K49" i="13"/>
  <c r="K65" i="13"/>
  <c r="K81" i="13"/>
  <c r="K97" i="13"/>
  <c r="K113" i="13"/>
  <c r="K129" i="13"/>
  <c r="K145" i="13"/>
  <c r="K161" i="13"/>
  <c r="K177" i="13"/>
  <c r="K193" i="13"/>
  <c r="K209" i="13"/>
  <c r="K225" i="13"/>
  <c r="K241" i="13"/>
  <c r="K257" i="13"/>
  <c r="K24" i="13"/>
  <c r="K40" i="13"/>
  <c r="K56" i="13"/>
  <c r="K72" i="13"/>
  <c r="K88" i="13"/>
  <c r="K104" i="13"/>
  <c r="K120" i="13"/>
  <c r="K136" i="13"/>
  <c r="K152" i="13"/>
  <c r="K168" i="13"/>
  <c r="K184" i="13"/>
  <c r="K200" i="13"/>
  <c r="K216" i="13"/>
  <c r="K232" i="13"/>
  <c r="K22" i="13"/>
  <c r="K38" i="13"/>
  <c r="K54" i="13"/>
  <c r="K70" i="13"/>
  <c r="K86" i="13"/>
  <c r="K102" i="13"/>
  <c r="K118" i="13"/>
  <c r="K134" i="13"/>
  <c r="K182" i="13"/>
  <c r="K198" i="13"/>
  <c r="K214" i="13"/>
  <c r="K230" i="13"/>
  <c r="K246" i="13"/>
  <c r="R31" i="14"/>
  <c r="O31" i="14"/>
  <c r="R47" i="14"/>
  <c r="Q47" i="14"/>
  <c r="J47" i="14"/>
  <c r="Q63" i="14"/>
  <c r="J63" i="14"/>
  <c r="F63" i="14"/>
  <c r="H79" i="14"/>
  <c r="F79" i="14"/>
  <c r="E98" i="20"/>
  <c r="H95" i="14"/>
  <c r="K111" i="14"/>
  <c r="S111" i="14"/>
  <c r="I111" i="14"/>
  <c r="H111" i="14"/>
  <c r="Q127" i="14"/>
  <c r="O127" i="14"/>
  <c r="S127" i="14"/>
  <c r="P127" i="14"/>
  <c r="L127" i="14"/>
  <c r="G127" i="14"/>
  <c r="E130" i="20"/>
  <c r="H127" i="14"/>
  <c r="M143" i="14"/>
  <c r="E146" i="20"/>
  <c r="R159" i="14"/>
  <c r="M159" i="14"/>
  <c r="K159" i="14"/>
  <c r="S159" i="14"/>
  <c r="J159" i="14"/>
  <c r="I159" i="14"/>
  <c r="N159" i="14"/>
  <c r="F159" i="14"/>
  <c r="R175" i="14"/>
  <c r="Q175" i="14"/>
  <c r="K175" i="14"/>
  <c r="S175" i="14"/>
  <c r="P175" i="14"/>
  <c r="I175" i="14"/>
  <c r="G175" i="14"/>
  <c r="N175" i="14"/>
  <c r="E178" i="20"/>
  <c r="Q191" i="14"/>
  <c r="O191" i="14"/>
  <c r="M191" i="14"/>
  <c r="S191" i="14"/>
  <c r="P191" i="14"/>
  <c r="L191" i="14"/>
  <c r="I191" i="14"/>
  <c r="G191" i="14"/>
  <c r="N191" i="14"/>
  <c r="F191" i="14"/>
  <c r="E194" i="20"/>
  <c r="R207" i="14"/>
  <c r="O207" i="14"/>
  <c r="M207" i="14"/>
  <c r="K207" i="14"/>
  <c r="P207" i="14"/>
  <c r="L207" i="14"/>
  <c r="J207" i="14"/>
  <c r="G207" i="14"/>
  <c r="H207" i="14"/>
  <c r="N207" i="14"/>
  <c r="E210" i="20"/>
  <c r="R223" i="14"/>
  <c r="Q223" i="14"/>
  <c r="M223" i="14"/>
  <c r="K223" i="14"/>
  <c r="S223" i="14"/>
  <c r="L223" i="14"/>
  <c r="J223" i="14"/>
  <c r="I223" i="14"/>
  <c r="N223" i="14"/>
  <c r="H223" i="14"/>
  <c r="F223" i="14"/>
  <c r="R239" i="14"/>
  <c r="Q239" i="14"/>
  <c r="O239" i="14"/>
  <c r="K239" i="14"/>
  <c r="S239" i="14"/>
  <c r="P239" i="14"/>
  <c r="J239" i="14"/>
  <c r="I239" i="14"/>
  <c r="G239" i="14"/>
  <c r="N239" i="14"/>
  <c r="F239" i="14"/>
  <c r="E242" i="20"/>
  <c r="R22" i="14"/>
  <c r="O22" i="14"/>
  <c r="M22" i="14"/>
  <c r="K22" i="14"/>
  <c r="P22" i="14"/>
  <c r="L22" i="14"/>
  <c r="G22" i="14"/>
  <c r="N22" i="14"/>
  <c r="J22" i="14"/>
  <c r="F22" i="14"/>
  <c r="H22" i="14"/>
  <c r="R38" i="14"/>
  <c r="Q38" i="14"/>
  <c r="O38" i="14"/>
  <c r="M38" i="14"/>
  <c r="K38" i="14"/>
  <c r="I38" i="14"/>
  <c r="P38" i="14"/>
  <c r="L38" i="14"/>
  <c r="G38" i="14"/>
  <c r="S38" i="14"/>
  <c r="N38" i="14"/>
  <c r="J38" i="14"/>
  <c r="F38" i="14"/>
  <c r="E41" i="20"/>
  <c r="H38" i="14"/>
  <c r="R54" i="14"/>
  <c r="Q54" i="14"/>
  <c r="O54" i="14"/>
  <c r="M54" i="14"/>
  <c r="K54" i="14"/>
  <c r="I54" i="14"/>
  <c r="P54" i="14"/>
  <c r="L54" i="14"/>
  <c r="G54" i="14"/>
  <c r="S54" i="14"/>
  <c r="N54" i="14"/>
  <c r="J54" i="14"/>
  <c r="F54" i="14"/>
  <c r="E57" i="20"/>
  <c r="H54" i="14"/>
  <c r="R70" i="14"/>
  <c r="Q70" i="14"/>
  <c r="O70" i="14"/>
  <c r="M70" i="14"/>
  <c r="K70" i="14"/>
  <c r="P70" i="14"/>
  <c r="L70" i="14"/>
  <c r="I70" i="14"/>
  <c r="G70" i="14"/>
  <c r="S70" i="14"/>
  <c r="N70" i="14"/>
  <c r="J70" i="14"/>
  <c r="F70" i="14"/>
  <c r="E73" i="20"/>
  <c r="H70" i="14"/>
  <c r="R86" i="14"/>
  <c r="Q86" i="14"/>
  <c r="O86" i="14"/>
  <c r="M86" i="14"/>
  <c r="K86" i="14"/>
  <c r="P86" i="14"/>
  <c r="L86" i="14"/>
  <c r="I86" i="14"/>
  <c r="G86" i="14"/>
  <c r="S86" i="14"/>
  <c r="N86" i="14"/>
  <c r="J86" i="14"/>
  <c r="F86" i="14"/>
  <c r="E89" i="20"/>
  <c r="H86" i="14"/>
  <c r="R102" i="14"/>
  <c r="Q102" i="14"/>
  <c r="O102" i="14"/>
  <c r="M102" i="14"/>
  <c r="K102" i="14"/>
  <c r="P102" i="14"/>
  <c r="L102" i="14"/>
  <c r="I102" i="14"/>
  <c r="G102" i="14"/>
  <c r="S102" i="14"/>
  <c r="N102" i="14"/>
  <c r="J102" i="14"/>
  <c r="F102" i="14"/>
  <c r="E105" i="20"/>
  <c r="H102" i="14"/>
  <c r="R118" i="14"/>
  <c r="Q118" i="14"/>
  <c r="O118" i="14"/>
  <c r="M118" i="14"/>
  <c r="K118" i="14"/>
  <c r="P118" i="14"/>
  <c r="L118" i="14"/>
  <c r="I118" i="14"/>
  <c r="G118" i="14"/>
  <c r="S118" i="14"/>
  <c r="N118" i="14"/>
  <c r="J118" i="14"/>
  <c r="F118" i="14"/>
  <c r="E121" i="20"/>
  <c r="H118" i="14"/>
  <c r="R134" i="14"/>
  <c r="Q134" i="14"/>
  <c r="O134" i="14"/>
  <c r="M134" i="14"/>
  <c r="K134" i="14"/>
  <c r="P134" i="14"/>
  <c r="L134" i="14"/>
  <c r="I134" i="14"/>
  <c r="G134" i="14"/>
  <c r="S134" i="14"/>
  <c r="N134" i="14"/>
  <c r="J134" i="14"/>
  <c r="F134" i="14"/>
  <c r="E137" i="20"/>
  <c r="H134" i="14"/>
  <c r="R150" i="14"/>
  <c r="Q150" i="14"/>
  <c r="O150" i="14"/>
  <c r="M150" i="14"/>
  <c r="K150" i="14"/>
  <c r="P150" i="14"/>
  <c r="L150" i="14"/>
  <c r="I150" i="14"/>
  <c r="G150" i="14"/>
  <c r="S150" i="14"/>
  <c r="N150" i="14"/>
  <c r="J150" i="14"/>
  <c r="F150" i="14"/>
  <c r="E153" i="20"/>
  <c r="H150" i="14"/>
  <c r="R166" i="14"/>
  <c r="Q166" i="14"/>
  <c r="O166" i="14"/>
  <c r="M166" i="14"/>
  <c r="K166" i="14"/>
  <c r="P166" i="14"/>
  <c r="L166" i="14"/>
  <c r="I166" i="14"/>
  <c r="G166" i="14"/>
  <c r="S166" i="14"/>
  <c r="N166" i="14"/>
  <c r="J166" i="14"/>
  <c r="F166" i="14"/>
  <c r="E169" i="20"/>
  <c r="H166" i="14"/>
  <c r="R182" i="14"/>
  <c r="Q182" i="14"/>
  <c r="O182" i="14"/>
  <c r="M182" i="14"/>
  <c r="K182" i="14"/>
  <c r="P182" i="14"/>
  <c r="L182" i="14"/>
  <c r="I182" i="14"/>
  <c r="S182" i="14"/>
  <c r="N182" i="14"/>
  <c r="J182" i="14"/>
  <c r="F182" i="14"/>
  <c r="G182" i="14"/>
  <c r="E185" i="20"/>
  <c r="H182" i="14"/>
  <c r="R198" i="14"/>
  <c r="Q198" i="14"/>
  <c r="O198" i="14"/>
  <c r="M198" i="14"/>
  <c r="K198" i="14"/>
  <c r="P198" i="14"/>
  <c r="L198" i="14"/>
  <c r="I198" i="14"/>
  <c r="S198" i="14"/>
  <c r="N198" i="14"/>
  <c r="J198" i="14"/>
  <c r="F198" i="14"/>
  <c r="G198" i="14"/>
  <c r="E201" i="20"/>
  <c r="H198" i="14"/>
  <c r="R214" i="14"/>
  <c r="Q214" i="14"/>
  <c r="O214" i="14"/>
  <c r="M214" i="14"/>
  <c r="K214" i="14"/>
  <c r="P214" i="14"/>
  <c r="L214" i="14"/>
  <c r="I214" i="14"/>
  <c r="S214" i="14"/>
  <c r="N214" i="14"/>
  <c r="J214" i="14"/>
  <c r="F214" i="14"/>
  <c r="G214" i="14"/>
  <c r="E217" i="20"/>
  <c r="H214" i="14"/>
  <c r="R230" i="14"/>
  <c r="Q230" i="14"/>
  <c r="O230" i="14"/>
  <c r="M230" i="14"/>
  <c r="K230" i="14"/>
  <c r="P230" i="14"/>
  <c r="L230" i="14"/>
  <c r="I230" i="14"/>
  <c r="S230" i="14"/>
  <c r="N230" i="14"/>
  <c r="J230" i="14"/>
  <c r="F230" i="14"/>
  <c r="G230" i="14"/>
  <c r="E233" i="20"/>
  <c r="H230" i="14"/>
  <c r="E249" i="20"/>
  <c r="S13" i="14"/>
  <c r="Q13" i="14"/>
  <c r="P13" i="14"/>
  <c r="N13" i="14"/>
  <c r="L13" i="14"/>
  <c r="J13" i="14"/>
  <c r="O13" i="14"/>
  <c r="K13" i="14"/>
  <c r="H13" i="14"/>
  <c r="F13" i="14"/>
  <c r="I13" i="14"/>
  <c r="G13" i="14"/>
  <c r="R13" i="14"/>
  <c r="M13" i="14"/>
  <c r="E16" i="20"/>
  <c r="S29" i="14"/>
  <c r="Q29" i="14"/>
  <c r="P29" i="14"/>
  <c r="N29" i="14"/>
  <c r="L29" i="14"/>
  <c r="J29" i="14"/>
  <c r="O29" i="14"/>
  <c r="K29" i="14"/>
  <c r="H29" i="14"/>
  <c r="F29" i="14"/>
  <c r="G29" i="14"/>
  <c r="E32" i="20"/>
  <c r="R29" i="14"/>
  <c r="I29" i="14"/>
  <c r="M29" i="14"/>
  <c r="S45" i="14"/>
  <c r="P45" i="14"/>
  <c r="N45" i="14"/>
  <c r="L45" i="14"/>
  <c r="J45" i="14"/>
  <c r="O45" i="14"/>
  <c r="K45" i="14"/>
  <c r="H45" i="14"/>
  <c r="F45" i="14"/>
  <c r="Q45" i="14"/>
  <c r="I45" i="14"/>
  <c r="G45" i="14"/>
  <c r="M45" i="14"/>
  <c r="E48" i="20"/>
  <c r="R45" i="14"/>
  <c r="S61" i="14"/>
  <c r="P61" i="14"/>
  <c r="N61" i="14"/>
  <c r="L61" i="14"/>
  <c r="J61" i="14"/>
  <c r="O61" i="14"/>
  <c r="K61" i="14"/>
  <c r="H61" i="14"/>
  <c r="F61" i="14"/>
  <c r="R61" i="14"/>
  <c r="G61" i="14"/>
  <c r="E64" i="20"/>
  <c r="Q61" i="14"/>
  <c r="I61" i="14"/>
  <c r="M61" i="14"/>
  <c r="S77" i="14"/>
  <c r="P77" i="14"/>
  <c r="N77" i="14"/>
  <c r="L77" i="14"/>
  <c r="O77" i="14"/>
  <c r="K77" i="14"/>
  <c r="H77" i="14"/>
  <c r="F77" i="14"/>
  <c r="Q77" i="14"/>
  <c r="G77" i="14"/>
  <c r="R77" i="14"/>
  <c r="M77" i="14"/>
  <c r="E80" i="20"/>
  <c r="I77" i="14"/>
  <c r="J77" i="14"/>
  <c r="S93" i="14"/>
  <c r="P93" i="14"/>
  <c r="N93" i="14"/>
  <c r="L93" i="14"/>
  <c r="O93" i="14"/>
  <c r="K93" i="14"/>
  <c r="H93" i="14"/>
  <c r="F93" i="14"/>
  <c r="G93" i="14"/>
  <c r="E96" i="20"/>
  <c r="R93" i="14"/>
  <c r="Q93" i="14"/>
  <c r="J93" i="14"/>
  <c r="I93" i="14"/>
  <c r="M93" i="14"/>
  <c r="S109" i="14"/>
  <c r="P109" i="14"/>
  <c r="N109" i="14"/>
  <c r="L109" i="14"/>
  <c r="O109" i="14"/>
  <c r="K109" i="14"/>
  <c r="H109" i="14"/>
  <c r="F109" i="14"/>
  <c r="Q109" i="14"/>
  <c r="G109" i="14"/>
  <c r="M109" i="14"/>
  <c r="J109" i="14"/>
  <c r="E112" i="20"/>
  <c r="I109" i="14"/>
  <c r="R109" i="14"/>
  <c r="S125" i="14"/>
  <c r="P125" i="14"/>
  <c r="N125" i="14"/>
  <c r="L125" i="14"/>
  <c r="O125" i="14"/>
  <c r="K125" i="14"/>
  <c r="H125" i="14"/>
  <c r="F125" i="14"/>
  <c r="R125" i="14"/>
  <c r="J125" i="14"/>
  <c r="G125" i="14"/>
  <c r="E128" i="20"/>
  <c r="Q125" i="14"/>
  <c r="I125" i="14"/>
  <c r="M125" i="14"/>
  <c r="S141" i="14"/>
  <c r="P141" i="14"/>
  <c r="N141" i="14"/>
  <c r="L141" i="14"/>
  <c r="O141" i="14"/>
  <c r="K141" i="14"/>
  <c r="H141" i="14"/>
  <c r="F141" i="14"/>
  <c r="Q141" i="14"/>
  <c r="G141" i="14"/>
  <c r="R141" i="14"/>
  <c r="M141" i="14"/>
  <c r="E144" i="20"/>
  <c r="I141" i="14"/>
  <c r="J141" i="14"/>
  <c r="S157" i="14"/>
  <c r="P157" i="14"/>
  <c r="N157" i="14"/>
  <c r="L157" i="14"/>
  <c r="O157" i="14"/>
  <c r="K157" i="14"/>
  <c r="H157" i="14"/>
  <c r="F157" i="14"/>
  <c r="G157" i="14"/>
  <c r="E160" i="20"/>
  <c r="R157" i="14"/>
  <c r="Q157" i="14"/>
  <c r="J157" i="14"/>
  <c r="I157" i="14"/>
  <c r="M157" i="14"/>
  <c r="S173" i="14"/>
  <c r="P173" i="14"/>
  <c r="N173" i="14"/>
  <c r="L173" i="14"/>
  <c r="O173" i="14"/>
  <c r="K173" i="14"/>
  <c r="H173" i="14"/>
  <c r="F173" i="14"/>
  <c r="Q173" i="14"/>
  <c r="G173" i="14"/>
  <c r="E176" i="20"/>
  <c r="M173" i="14"/>
  <c r="J173" i="14"/>
  <c r="I173" i="14"/>
  <c r="R173" i="14"/>
  <c r="S189" i="14"/>
  <c r="P189" i="14"/>
  <c r="N189" i="14"/>
  <c r="L189" i="14"/>
  <c r="O189" i="14"/>
  <c r="K189" i="14"/>
  <c r="H189" i="14"/>
  <c r="F189" i="14"/>
  <c r="R189" i="14"/>
  <c r="J189" i="14"/>
  <c r="E192" i="20"/>
  <c r="Q189" i="14"/>
  <c r="I189" i="14"/>
  <c r="G189" i="14"/>
  <c r="M189" i="14"/>
  <c r="S205" i="14"/>
  <c r="P205" i="14"/>
  <c r="N205" i="14"/>
  <c r="L205" i="14"/>
  <c r="O205" i="14"/>
  <c r="K205" i="14"/>
  <c r="H205" i="14"/>
  <c r="F205" i="14"/>
  <c r="Q205" i="14"/>
  <c r="E208" i="20"/>
  <c r="R205" i="14"/>
  <c r="M205" i="14"/>
  <c r="I205" i="14"/>
  <c r="G205" i="14"/>
  <c r="J205" i="14"/>
  <c r="S221" i="14"/>
  <c r="P221" i="14"/>
  <c r="N221" i="14"/>
  <c r="L221" i="14"/>
  <c r="O221" i="14"/>
  <c r="K221" i="14"/>
  <c r="H221" i="14"/>
  <c r="F221" i="14"/>
  <c r="E224" i="20"/>
  <c r="R221" i="14"/>
  <c r="Q221" i="14"/>
  <c r="J221" i="14"/>
  <c r="I221" i="14"/>
  <c r="G221" i="14"/>
  <c r="M221" i="14"/>
  <c r="S237" i="14"/>
  <c r="P237" i="14"/>
  <c r="N237" i="14"/>
  <c r="L237" i="14"/>
  <c r="O237" i="14"/>
  <c r="K237" i="14"/>
  <c r="H237" i="14"/>
  <c r="F237" i="14"/>
  <c r="Q237" i="14"/>
  <c r="E240" i="20"/>
  <c r="M237" i="14"/>
  <c r="J237" i="14"/>
  <c r="I237" i="14"/>
  <c r="G237" i="14"/>
  <c r="R237" i="14"/>
  <c r="S148" i="14"/>
  <c r="P148" i="14"/>
  <c r="N148" i="14"/>
  <c r="L148" i="14"/>
  <c r="J148" i="14"/>
  <c r="R148" i="14"/>
  <c r="O148" i="14"/>
  <c r="K148" i="14"/>
  <c r="H148" i="14"/>
  <c r="Q148" i="14"/>
  <c r="M148" i="14"/>
  <c r="I148" i="14"/>
  <c r="G148" i="14"/>
  <c r="F148" i="14"/>
  <c r="E151" i="20"/>
  <c r="S164" i="14"/>
  <c r="P164" i="14"/>
  <c r="N164" i="14"/>
  <c r="L164" i="14"/>
  <c r="J164" i="14"/>
  <c r="R164" i="14"/>
  <c r="O164" i="14"/>
  <c r="K164" i="14"/>
  <c r="H164" i="14"/>
  <c r="Q164" i="14"/>
  <c r="M164" i="14"/>
  <c r="I164" i="14"/>
  <c r="F164" i="14"/>
  <c r="G164" i="14"/>
  <c r="E167" i="20"/>
  <c r="S17" i="14"/>
  <c r="Q17" i="14"/>
  <c r="R17" i="14"/>
  <c r="P17" i="14"/>
  <c r="N17" i="14"/>
  <c r="L17" i="14"/>
  <c r="J17" i="14"/>
  <c r="M17" i="14"/>
  <c r="H17" i="14"/>
  <c r="F17" i="14"/>
  <c r="K17" i="14"/>
  <c r="E20" i="20"/>
  <c r="I17" i="14"/>
  <c r="G17" i="14"/>
  <c r="O17" i="14"/>
  <c r="S33" i="14"/>
  <c r="Q33" i="14"/>
  <c r="R33" i="14"/>
  <c r="P33" i="14"/>
  <c r="N33" i="14"/>
  <c r="L33" i="14"/>
  <c r="J33" i="14"/>
  <c r="M33" i="14"/>
  <c r="H33" i="14"/>
  <c r="F33" i="14"/>
  <c r="E36" i="20"/>
  <c r="O33" i="14"/>
  <c r="K33" i="14"/>
  <c r="G33" i="14"/>
  <c r="I33" i="14"/>
  <c r="S49" i="14"/>
  <c r="R49" i="14"/>
  <c r="P49" i="14"/>
  <c r="N49" i="14"/>
  <c r="L49" i="14"/>
  <c r="J49" i="14"/>
  <c r="Q49" i="14"/>
  <c r="M49" i="14"/>
  <c r="H49" i="14"/>
  <c r="F49" i="14"/>
  <c r="K49" i="14"/>
  <c r="E52" i="20"/>
  <c r="I49" i="14"/>
  <c r="G49" i="14"/>
  <c r="O49" i="14"/>
  <c r="S65" i="14"/>
  <c r="R65" i="14"/>
  <c r="P65" i="14"/>
  <c r="N65" i="14"/>
  <c r="L65" i="14"/>
  <c r="J65" i="14"/>
  <c r="Q65" i="14"/>
  <c r="M65" i="14"/>
  <c r="H65" i="14"/>
  <c r="F65" i="14"/>
  <c r="I65" i="14"/>
  <c r="E68" i="20"/>
  <c r="O65" i="14"/>
  <c r="K65" i="14"/>
  <c r="G65" i="14"/>
  <c r="S81" i="14"/>
  <c r="R81" i="14"/>
  <c r="P81" i="14"/>
  <c r="N81" i="14"/>
  <c r="L81" i="14"/>
  <c r="Q81" i="14"/>
  <c r="M81" i="14"/>
  <c r="H81" i="14"/>
  <c r="F81" i="14"/>
  <c r="J81" i="14"/>
  <c r="K81" i="14"/>
  <c r="I81" i="14"/>
  <c r="E84" i="20"/>
  <c r="G81" i="14"/>
  <c r="O81" i="14"/>
  <c r="S97" i="14"/>
  <c r="R97" i="14"/>
  <c r="P97" i="14"/>
  <c r="N97" i="14"/>
  <c r="L97" i="14"/>
  <c r="Q97" i="14"/>
  <c r="M97" i="14"/>
  <c r="H97" i="14"/>
  <c r="F97" i="14"/>
  <c r="J97" i="14"/>
  <c r="I97" i="14"/>
  <c r="E100" i="20"/>
  <c r="O97" i="14"/>
  <c r="K97" i="14"/>
  <c r="G97" i="14"/>
  <c r="S113" i="14"/>
  <c r="R113" i="14"/>
  <c r="P113" i="14"/>
  <c r="N113" i="14"/>
  <c r="L113" i="14"/>
  <c r="Q113" i="14"/>
  <c r="M113" i="14"/>
  <c r="H113" i="14"/>
  <c r="F113" i="14"/>
  <c r="J113" i="14"/>
  <c r="K113" i="14"/>
  <c r="I113" i="14"/>
  <c r="E116" i="20"/>
  <c r="G113" i="14"/>
  <c r="O113" i="14"/>
  <c r="S129" i="14"/>
  <c r="R129" i="14"/>
  <c r="P129" i="14"/>
  <c r="N129" i="14"/>
  <c r="L129" i="14"/>
  <c r="Q129" i="14"/>
  <c r="M129" i="14"/>
  <c r="H129" i="14"/>
  <c r="F129" i="14"/>
  <c r="J129" i="14"/>
  <c r="I129" i="14"/>
  <c r="E132" i="20"/>
  <c r="O129" i="14"/>
  <c r="K129" i="14"/>
  <c r="G129" i="14"/>
  <c r="S145" i="14"/>
  <c r="R145" i="14"/>
  <c r="P145" i="14"/>
  <c r="N145" i="14"/>
  <c r="L145" i="14"/>
  <c r="Q145" i="14"/>
  <c r="M145" i="14"/>
  <c r="H145" i="14"/>
  <c r="F145" i="14"/>
  <c r="J145" i="14"/>
  <c r="K145" i="14"/>
  <c r="I145" i="14"/>
  <c r="E148" i="20"/>
  <c r="G145" i="14"/>
  <c r="O145" i="14"/>
  <c r="S161" i="14"/>
  <c r="R161" i="14"/>
  <c r="P161" i="14"/>
  <c r="N161" i="14"/>
  <c r="L161" i="14"/>
  <c r="Q161" i="14"/>
  <c r="M161" i="14"/>
  <c r="H161" i="14"/>
  <c r="F161" i="14"/>
  <c r="J161" i="14"/>
  <c r="I161" i="14"/>
  <c r="E164" i="20"/>
  <c r="O161" i="14"/>
  <c r="K161" i="14"/>
  <c r="G161" i="14"/>
  <c r="S177" i="14"/>
  <c r="R177" i="14"/>
  <c r="P177" i="14"/>
  <c r="N177" i="14"/>
  <c r="L177" i="14"/>
  <c r="Q177" i="14"/>
  <c r="M177" i="14"/>
  <c r="H177" i="14"/>
  <c r="F177" i="14"/>
  <c r="J177" i="14"/>
  <c r="K177" i="14"/>
  <c r="I177" i="14"/>
  <c r="E180" i="20"/>
  <c r="G177" i="14"/>
  <c r="O177" i="14"/>
  <c r="S193" i="14"/>
  <c r="R193" i="14"/>
  <c r="P193" i="14"/>
  <c r="N193" i="14"/>
  <c r="L193" i="14"/>
  <c r="Q193" i="14"/>
  <c r="M193" i="14"/>
  <c r="H193" i="14"/>
  <c r="F193" i="14"/>
  <c r="J193" i="14"/>
  <c r="I193" i="14"/>
  <c r="E196" i="20"/>
  <c r="O193" i="14"/>
  <c r="G193" i="14"/>
  <c r="K193" i="14"/>
  <c r="S209" i="14"/>
  <c r="R209" i="14"/>
  <c r="P209" i="14"/>
  <c r="N209" i="14"/>
  <c r="L209" i="14"/>
  <c r="Q209" i="14"/>
  <c r="M209" i="14"/>
  <c r="H209" i="14"/>
  <c r="F209" i="14"/>
  <c r="J209" i="14"/>
  <c r="K209" i="14"/>
  <c r="I209" i="14"/>
  <c r="E212" i="20"/>
  <c r="G209" i="14"/>
  <c r="O209" i="14"/>
  <c r="S225" i="14"/>
  <c r="R225" i="14"/>
  <c r="P225" i="14"/>
  <c r="N225" i="14"/>
  <c r="L225" i="14"/>
  <c r="Q225" i="14"/>
  <c r="M225" i="14"/>
  <c r="H225" i="14"/>
  <c r="F225" i="14"/>
  <c r="J225" i="14"/>
  <c r="I225" i="14"/>
  <c r="E228" i="20"/>
  <c r="O225" i="14"/>
  <c r="G225" i="14"/>
  <c r="K225" i="14"/>
  <c r="E244" i="20"/>
  <c r="S8" i="14"/>
  <c r="R8" i="14"/>
  <c r="P8" i="14"/>
  <c r="N8" i="14"/>
  <c r="L8" i="14"/>
  <c r="J8" i="14"/>
  <c r="Q8" i="14"/>
  <c r="M8" i="14"/>
  <c r="H8" i="14"/>
  <c r="O8" i="14"/>
  <c r="K8" i="14"/>
  <c r="G8" i="14"/>
  <c r="E11" i="20"/>
  <c r="I8" i="14"/>
  <c r="F8" i="14"/>
  <c r="S24" i="14"/>
  <c r="R24" i="14"/>
  <c r="P24" i="14"/>
  <c r="N24" i="14"/>
  <c r="L24" i="14"/>
  <c r="J24" i="14"/>
  <c r="M24" i="14"/>
  <c r="H24" i="14"/>
  <c r="Q24" i="14"/>
  <c r="O24" i="14"/>
  <c r="K24" i="14"/>
  <c r="I24" i="14"/>
  <c r="G24" i="14"/>
  <c r="E27" i="20"/>
  <c r="F24" i="14"/>
  <c r="S40" i="14"/>
  <c r="R40" i="14"/>
  <c r="P40" i="14"/>
  <c r="N40" i="14"/>
  <c r="L40" i="14"/>
  <c r="J40" i="14"/>
  <c r="Q40" i="14"/>
  <c r="M40" i="14"/>
  <c r="H40" i="14"/>
  <c r="O40" i="14"/>
  <c r="K40" i="14"/>
  <c r="G40" i="14"/>
  <c r="E43" i="20"/>
  <c r="I40" i="14"/>
  <c r="F40" i="14"/>
  <c r="S56" i="14"/>
  <c r="R56" i="14"/>
  <c r="P56" i="14"/>
  <c r="N56" i="14"/>
  <c r="L56" i="14"/>
  <c r="J56" i="14"/>
  <c r="Q56" i="14"/>
  <c r="M56" i="14"/>
  <c r="H56" i="14"/>
  <c r="O56" i="14"/>
  <c r="K56" i="14"/>
  <c r="I56" i="14"/>
  <c r="G56" i="14"/>
  <c r="E59" i="20"/>
  <c r="F56" i="14"/>
  <c r="S72" i="14"/>
  <c r="R72" i="14"/>
  <c r="P72" i="14"/>
  <c r="N72" i="14"/>
  <c r="L72" i="14"/>
  <c r="J72" i="14"/>
  <c r="Q72" i="14"/>
  <c r="M72" i="14"/>
  <c r="H72" i="14"/>
  <c r="O72" i="14"/>
  <c r="K72" i="14"/>
  <c r="G72" i="14"/>
  <c r="E75" i="20"/>
  <c r="F72" i="14"/>
  <c r="I72" i="14"/>
  <c r="S88" i="14"/>
  <c r="R88" i="14"/>
  <c r="P88" i="14"/>
  <c r="N88" i="14"/>
  <c r="L88" i="14"/>
  <c r="J88" i="14"/>
  <c r="Q88" i="14"/>
  <c r="M88" i="14"/>
  <c r="H88" i="14"/>
  <c r="O88" i="14"/>
  <c r="K88" i="14"/>
  <c r="G88" i="14"/>
  <c r="E91" i="20"/>
  <c r="F88" i="14"/>
  <c r="I88" i="14"/>
  <c r="S104" i="14"/>
  <c r="R104" i="14"/>
  <c r="P104" i="14"/>
  <c r="N104" i="14"/>
  <c r="L104" i="14"/>
  <c r="J104" i="14"/>
  <c r="Q104" i="14"/>
  <c r="M104" i="14"/>
  <c r="H104" i="14"/>
  <c r="O104" i="14"/>
  <c r="K104" i="14"/>
  <c r="G104" i="14"/>
  <c r="E107" i="20"/>
  <c r="F104" i="14"/>
  <c r="I104" i="14"/>
  <c r="S120" i="14"/>
  <c r="R120" i="14"/>
  <c r="P120" i="14"/>
  <c r="N120" i="14"/>
  <c r="L120" i="14"/>
  <c r="J120" i="14"/>
  <c r="Q120" i="14"/>
  <c r="M120" i="14"/>
  <c r="H120" i="14"/>
  <c r="O120" i="14"/>
  <c r="K120" i="14"/>
  <c r="G120" i="14"/>
  <c r="E123" i="20"/>
  <c r="F120" i="14"/>
  <c r="I120" i="14"/>
  <c r="S136" i="14"/>
  <c r="R136" i="14"/>
  <c r="P136" i="14"/>
  <c r="N136" i="14"/>
  <c r="L136" i="14"/>
  <c r="J136" i="14"/>
  <c r="Q136" i="14"/>
  <c r="M136" i="14"/>
  <c r="H136" i="14"/>
  <c r="O136" i="14"/>
  <c r="K136" i="14"/>
  <c r="G136" i="14"/>
  <c r="E139" i="20"/>
  <c r="F136" i="14"/>
  <c r="I136" i="14"/>
  <c r="S152" i="14"/>
  <c r="R152" i="14"/>
  <c r="P152" i="14"/>
  <c r="N152" i="14"/>
  <c r="L152" i="14"/>
  <c r="J152" i="14"/>
  <c r="Q152" i="14"/>
  <c r="M152" i="14"/>
  <c r="H152" i="14"/>
  <c r="O152" i="14"/>
  <c r="K152" i="14"/>
  <c r="G152" i="14"/>
  <c r="F152" i="14"/>
  <c r="E155" i="20"/>
  <c r="I152" i="14"/>
  <c r="S168" i="14"/>
  <c r="R168" i="14"/>
  <c r="P168" i="14"/>
  <c r="N168" i="14"/>
  <c r="L168" i="14"/>
  <c r="J168" i="14"/>
  <c r="Q168" i="14"/>
  <c r="M168" i="14"/>
  <c r="H168" i="14"/>
  <c r="O168" i="14"/>
  <c r="K168" i="14"/>
  <c r="G168" i="14"/>
  <c r="F168" i="14"/>
  <c r="I168" i="14"/>
  <c r="E171" i="20"/>
  <c r="S184" i="14"/>
  <c r="R184" i="14"/>
  <c r="P184" i="14"/>
  <c r="N184" i="14"/>
  <c r="L184" i="14"/>
  <c r="J184" i="14"/>
  <c r="Q184" i="14"/>
  <c r="M184" i="14"/>
  <c r="H184" i="14"/>
  <c r="O184" i="14"/>
  <c r="K184" i="14"/>
  <c r="G184" i="14"/>
  <c r="F184" i="14"/>
  <c r="E187" i="20"/>
  <c r="I184" i="14"/>
  <c r="S200" i="14"/>
  <c r="R200" i="14"/>
  <c r="P200" i="14"/>
  <c r="N200" i="14"/>
  <c r="L200" i="14"/>
  <c r="J200" i="14"/>
  <c r="Q200" i="14"/>
  <c r="M200" i="14"/>
  <c r="H200" i="14"/>
  <c r="O200" i="14"/>
  <c r="K200" i="14"/>
  <c r="G200" i="14"/>
  <c r="F200" i="14"/>
  <c r="I200" i="14"/>
  <c r="E203" i="20"/>
  <c r="S216" i="14"/>
  <c r="R216" i="14"/>
  <c r="P216" i="14"/>
  <c r="N216" i="14"/>
  <c r="L216" i="14"/>
  <c r="J216" i="14"/>
  <c r="Q216" i="14"/>
  <c r="M216" i="14"/>
  <c r="H216" i="14"/>
  <c r="O216" i="14"/>
  <c r="K216" i="14"/>
  <c r="G216" i="14"/>
  <c r="F216" i="14"/>
  <c r="E219" i="20"/>
  <c r="I216" i="14"/>
  <c r="S232" i="14"/>
  <c r="R232" i="14"/>
  <c r="P232" i="14"/>
  <c r="N232" i="14"/>
  <c r="L232" i="14"/>
  <c r="J232" i="14"/>
  <c r="Q232" i="14"/>
  <c r="M232" i="14"/>
  <c r="H232" i="14"/>
  <c r="O232" i="14"/>
  <c r="K232" i="14"/>
  <c r="G232" i="14"/>
  <c r="F232" i="14"/>
  <c r="I232" i="14"/>
  <c r="E235" i="20"/>
  <c r="E251" i="20"/>
  <c r="R7" i="14"/>
  <c r="Q7" i="14"/>
  <c r="O7" i="14"/>
  <c r="M7" i="14"/>
  <c r="K7" i="14"/>
  <c r="P7" i="14"/>
  <c r="L7" i="14"/>
  <c r="G7" i="14"/>
  <c r="E10" i="20"/>
  <c r="H7" i="14"/>
  <c r="S7" i="14"/>
  <c r="N7" i="14"/>
  <c r="I7" i="14"/>
  <c r="F7" i="14"/>
  <c r="J7" i="14"/>
  <c r="R23" i="14"/>
  <c r="Q23" i="14"/>
  <c r="O23" i="14"/>
  <c r="M23" i="14"/>
  <c r="K23" i="14"/>
  <c r="P23" i="14"/>
  <c r="L23" i="14"/>
  <c r="G23" i="14"/>
  <c r="E26" i="20"/>
  <c r="J23" i="14"/>
  <c r="H23" i="14"/>
  <c r="F23" i="14"/>
  <c r="S23" i="14"/>
  <c r="N23" i="14"/>
  <c r="I23" i="14"/>
  <c r="R39" i="14"/>
  <c r="Q39" i="14"/>
  <c r="O39" i="14"/>
  <c r="M39" i="14"/>
  <c r="K39" i="14"/>
  <c r="P39" i="14"/>
  <c r="L39" i="14"/>
  <c r="G39" i="14"/>
  <c r="E42" i="20"/>
  <c r="H39" i="14"/>
  <c r="N39" i="14"/>
  <c r="I39" i="14"/>
  <c r="F39" i="14"/>
  <c r="J39" i="14"/>
  <c r="S39" i="14"/>
  <c r="R55" i="14"/>
  <c r="Q55" i="14"/>
  <c r="O55" i="14"/>
  <c r="M55" i="14"/>
  <c r="K55" i="14"/>
  <c r="P55" i="14"/>
  <c r="L55" i="14"/>
  <c r="G55" i="14"/>
  <c r="E58" i="20"/>
  <c r="S55" i="14"/>
  <c r="J55" i="14"/>
  <c r="H55" i="14"/>
  <c r="F55" i="14"/>
  <c r="N55" i="14"/>
  <c r="I55" i="14"/>
  <c r="R71" i="14"/>
  <c r="Q71" i="14"/>
  <c r="O71" i="14"/>
  <c r="M71" i="14"/>
  <c r="K71" i="14"/>
  <c r="P71" i="14"/>
  <c r="L71" i="14"/>
  <c r="I71" i="14"/>
  <c r="G71" i="14"/>
  <c r="E74" i="20"/>
  <c r="H71" i="14"/>
  <c r="S71" i="14"/>
  <c r="N71" i="14"/>
  <c r="F71" i="14"/>
  <c r="J71" i="14"/>
  <c r="R87" i="14"/>
  <c r="Q87" i="14"/>
  <c r="O87" i="14"/>
  <c r="M87" i="14"/>
  <c r="K87" i="14"/>
  <c r="P87" i="14"/>
  <c r="L87" i="14"/>
  <c r="I87" i="14"/>
  <c r="G87" i="14"/>
  <c r="E90" i="20"/>
  <c r="H87" i="14"/>
  <c r="J87" i="14"/>
  <c r="F87" i="14"/>
  <c r="S87" i="14"/>
  <c r="N87" i="14"/>
  <c r="R103" i="14"/>
  <c r="Q103" i="14"/>
  <c r="O103" i="14"/>
  <c r="M103" i="14"/>
  <c r="K103" i="14"/>
  <c r="P103" i="14"/>
  <c r="L103" i="14"/>
  <c r="I103" i="14"/>
  <c r="G103" i="14"/>
  <c r="E106" i="20"/>
  <c r="J103" i="14"/>
  <c r="H103" i="14"/>
  <c r="N103" i="14"/>
  <c r="F103" i="14"/>
  <c r="S103" i="14"/>
  <c r="R119" i="14"/>
  <c r="Q119" i="14"/>
  <c r="O119" i="14"/>
  <c r="M119" i="14"/>
  <c r="K119" i="14"/>
  <c r="P119" i="14"/>
  <c r="L119" i="14"/>
  <c r="I119" i="14"/>
  <c r="G119" i="14"/>
  <c r="E122" i="20"/>
  <c r="S119" i="14"/>
  <c r="H119" i="14"/>
  <c r="F119" i="14"/>
  <c r="N119" i="14"/>
  <c r="J119" i="14"/>
  <c r="R135" i="14"/>
  <c r="Q135" i="14"/>
  <c r="O135" i="14"/>
  <c r="M135" i="14"/>
  <c r="K135" i="14"/>
  <c r="P135" i="14"/>
  <c r="L135" i="14"/>
  <c r="I135" i="14"/>
  <c r="G135" i="14"/>
  <c r="E138" i="20"/>
  <c r="H135" i="14"/>
  <c r="S135" i="14"/>
  <c r="N135" i="14"/>
  <c r="F135" i="14"/>
  <c r="J135" i="14"/>
  <c r="R151" i="14"/>
  <c r="Q151" i="14"/>
  <c r="O151" i="14"/>
  <c r="M151" i="14"/>
  <c r="K151" i="14"/>
  <c r="P151" i="14"/>
  <c r="L151" i="14"/>
  <c r="I151" i="14"/>
  <c r="G151" i="14"/>
  <c r="H151" i="14"/>
  <c r="J151" i="14"/>
  <c r="F151" i="14"/>
  <c r="S151" i="14"/>
  <c r="N151" i="14"/>
  <c r="E154" i="20"/>
  <c r="R167" i="14"/>
  <c r="Q167" i="14"/>
  <c r="O167" i="14"/>
  <c r="M167" i="14"/>
  <c r="K167" i="14"/>
  <c r="P167" i="14"/>
  <c r="L167" i="14"/>
  <c r="I167" i="14"/>
  <c r="G167" i="14"/>
  <c r="J167" i="14"/>
  <c r="H167" i="14"/>
  <c r="N167" i="14"/>
  <c r="F167" i="14"/>
  <c r="S167" i="14"/>
  <c r="E170" i="20"/>
  <c r="R183" i="14"/>
  <c r="Q183" i="14"/>
  <c r="O183" i="14"/>
  <c r="M183" i="14"/>
  <c r="K183" i="14"/>
  <c r="P183" i="14"/>
  <c r="L183" i="14"/>
  <c r="I183" i="14"/>
  <c r="G183" i="14"/>
  <c r="S183" i="14"/>
  <c r="H183" i="14"/>
  <c r="F183" i="14"/>
  <c r="N183" i="14"/>
  <c r="J183" i="14"/>
  <c r="E186" i="20"/>
  <c r="R199" i="14"/>
  <c r="Q199" i="14"/>
  <c r="O199" i="14"/>
  <c r="M199" i="14"/>
  <c r="K199" i="14"/>
  <c r="P199" i="14"/>
  <c r="L199" i="14"/>
  <c r="I199" i="14"/>
  <c r="G199" i="14"/>
  <c r="H199" i="14"/>
  <c r="S199" i="14"/>
  <c r="N199" i="14"/>
  <c r="F199" i="14"/>
  <c r="J199" i="14"/>
  <c r="E202" i="20"/>
  <c r="R215" i="14"/>
  <c r="Q215" i="14"/>
  <c r="O215" i="14"/>
  <c r="M215" i="14"/>
  <c r="K215" i="14"/>
  <c r="P215" i="14"/>
  <c r="L215" i="14"/>
  <c r="I215" i="14"/>
  <c r="G215" i="14"/>
  <c r="H215" i="14"/>
  <c r="J215" i="14"/>
  <c r="F215" i="14"/>
  <c r="S215" i="14"/>
  <c r="N215" i="14"/>
  <c r="E218" i="20"/>
  <c r="R231" i="14"/>
  <c r="Q231" i="14"/>
  <c r="O231" i="14"/>
  <c r="M231" i="14"/>
  <c r="K231" i="14"/>
  <c r="P231" i="14"/>
  <c r="L231" i="14"/>
  <c r="I231" i="14"/>
  <c r="G231" i="14"/>
  <c r="J231" i="14"/>
  <c r="H231" i="14"/>
  <c r="N231" i="14"/>
  <c r="F231" i="14"/>
  <c r="S231" i="14"/>
  <c r="E234" i="20"/>
  <c r="E250" i="20"/>
  <c r="R14" i="14"/>
  <c r="O14" i="14"/>
  <c r="M14" i="14"/>
  <c r="K14" i="14"/>
  <c r="I14" i="14"/>
  <c r="S14" i="14"/>
  <c r="P14" i="14"/>
  <c r="L14" i="14"/>
  <c r="G14" i="14"/>
  <c r="Q14" i="14"/>
  <c r="N14" i="14"/>
  <c r="J14" i="14"/>
  <c r="F14" i="14"/>
  <c r="E17" i="20"/>
  <c r="H14" i="14"/>
  <c r="R30" i="14"/>
  <c r="O30" i="14"/>
  <c r="M30" i="14"/>
  <c r="K30" i="14"/>
  <c r="I30" i="14"/>
  <c r="S30" i="14"/>
  <c r="Q30" i="14"/>
  <c r="P30" i="14"/>
  <c r="L30" i="14"/>
  <c r="G30" i="14"/>
  <c r="N30" i="14"/>
  <c r="J30" i="14"/>
  <c r="F30" i="14"/>
  <c r="E33" i="20"/>
  <c r="H30" i="14"/>
  <c r="R46" i="14"/>
  <c r="Q46" i="14"/>
  <c r="O46" i="14"/>
  <c r="M46" i="14"/>
  <c r="K46" i="14"/>
  <c r="I46" i="14"/>
  <c r="S46" i="14"/>
  <c r="P46" i="14"/>
  <c r="L46" i="14"/>
  <c r="G46" i="14"/>
  <c r="N46" i="14"/>
  <c r="J46" i="14"/>
  <c r="F46" i="14"/>
  <c r="H46" i="14"/>
  <c r="E49" i="20"/>
  <c r="R62" i="14"/>
  <c r="Q62" i="14"/>
  <c r="O62" i="14"/>
  <c r="M62" i="14"/>
  <c r="K62" i="14"/>
  <c r="S62" i="14"/>
  <c r="P62" i="14"/>
  <c r="L62" i="14"/>
  <c r="I62" i="14"/>
  <c r="G62" i="14"/>
  <c r="N62" i="14"/>
  <c r="J62" i="14"/>
  <c r="F62" i="14"/>
  <c r="E65" i="20"/>
  <c r="H62" i="14"/>
  <c r="R78" i="14"/>
  <c r="Q78" i="14"/>
  <c r="O78" i="14"/>
  <c r="M78" i="14"/>
  <c r="K78" i="14"/>
  <c r="S78" i="14"/>
  <c r="P78" i="14"/>
  <c r="L78" i="14"/>
  <c r="J78" i="14"/>
  <c r="I78" i="14"/>
  <c r="G78" i="14"/>
  <c r="N78" i="14"/>
  <c r="F78" i="14"/>
  <c r="H78" i="14"/>
  <c r="E81" i="20"/>
  <c r="R94" i="14"/>
  <c r="Q94" i="14"/>
  <c r="O94" i="14"/>
  <c r="M94" i="14"/>
  <c r="K94" i="14"/>
  <c r="S94" i="14"/>
  <c r="P94" i="14"/>
  <c r="L94" i="14"/>
  <c r="J94" i="14"/>
  <c r="I94" i="14"/>
  <c r="G94" i="14"/>
  <c r="N94" i="14"/>
  <c r="F94" i="14"/>
  <c r="E97" i="20"/>
  <c r="H94" i="14"/>
  <c r="R110" i="14"/>
  <c r="Q110" i="14"/>
  <c r="O110" i="14"/>
  <c r="M110" i="14"/>
  <c r="K110" i="14"/>
  <c r="S110" i="14"/>
  <c r="P110" i="14"/>
  <c r="L110" i="14"/>
  <c r="J110" i="14"/>
  <c r="I110" i="14"/>
  <c r="G110" i="14"/>
  <c r="N110" i="14"/>
  <c r="F110" i="14"/>
  <c r="H110" i="14"/>
  <c r="E113" i="20"/>
  <c r="R126" i="14"/>
  <c r="Q126" i="14"/>
  <c r="O126" i="14"/>
  <c r="M126" i="14"/>
  <c r="K126" i="14"/>
  <c r="S126" i="14"/>
  <c r="P126" i="14"/>
  <c r="L126" i="14"/>
  <c r="J126" i="14"/>
  <c r="I126" i="14"/>
  <c r="G126" i="14"/>
  <c r="N126" i="14"/>
  <c r="F126" i="14"/>
  <c r="E129" i="20"/>
  <c r="H126" i="14"/>
  <c r="R142" i="14"/>
  <c r="Q142" i="14"/>
  <c r="O142" i="14"/>
  <c r="M142" i="14"/>
  <c r="K142" i="14"/>
  <c r="S142" i="14"/>
  <c r="P142" i="14"/>
  <c r="L142" i="14"/>
  <c r="J142" i="14"/>
  <c r="I142" i="14"/>
  <c r="G142" i="14"/>
  <c r="N142" i="14"/>
  <c r="F142" i="14"/>
  <c r="H142" i="14"/>
  <c r="E145" i="20"/>
  <c r="R158" i="14"/>
  <c r="Q158" i="14"/>
  <c r="O158" i="14"/>
  <c r="M158" i="14"/>
  <c r="K158" i="14"/>
  <c r="S158" i="14"/>
  <c r="P158" i="14"/>
  <c r="L158" i="14"/>
  <c r="J158" i="14"/>
  <c r="I158" i="14"/>
  <c r="G158" i="14"/>
  <c r="N158" i="14"/>
  <c r="E161" i="20"/>
  <c r="F158" i="14"/>
  <c r="H158" i="14"/>
  <c r="R174" i="14"/>
  <c r="Q174" i="14"/>
  <c r="O174" i="14"/>
  <c r="M174" i="14"/>
  <c r="K174" i="14"/>
  <c r="S174" i="14"/>
  <c r="P174" i="14"/>
  <c r="L174" i="14"/>
  <c r="J174" i="14"/>
  <c r="I174" i="14"/>
  <c r="G174" i="14"/>
  <c r="N174" i="14"/>
  <c r="E177" i="20"/>
  <c r="F174" i="14"/>
  <c r="H174" i="14"/>
  <c r="R190" i="14"/>
  <c r="Q190" i="14"/>
  <c r="O190" i="14"/>
  <c r="M190" i="14"/>
  <c r="K190" i="14"/>
  <c r="S190" i="14"/>
  <c r="P190" i="14"/>
  <c r="L190" i="14"/>
  <c r="J190" i="14"/>
  <c r="I190" i="14"/>
  <c r="N190" i="14"/>
  <c r="E193" i="20"/>
  <c r="F190" i="14"/>
  <c r="H190" i="14"/>
  <c r="G190" i="14"/>
  <c r="R206" i="14"/>
  <c r="Q206" i="14"/>
  <c r="O206" i="14"/>
  <c r="M206" i="14"/>
  <c r="K206" i="14"/>
  <c r="S206" i="14"/>
  <c r="P206" i="14"/>
  <c r="L206" i="14"/>
  <c r="J206" i="14"/>
  <c r="I206" i="14"/>
  <c r="N206" i="14"/>
  <c r="E209" i="20"/>
  <c r="F206" i="14"/>
  <c r="H206" i="14"/>
  <c r="G206" i="14"/>
  <c r="R222" i="14"/>
  <c r="Q222" i="14"/>
  <c r="O222" i="14"/>
  <c r="M222" i="14"/>
  <c r="K222" i="14"/>
  <c r="S222" i="14"/>
  <c r="P222" i="14"/>
  <c r="L222" i="14"/>
  <c r="J222" i="14"/>
  <c r="I222" i="14"/>
  <c r="N222" i="14"/>
  <c r="E225" i="20"/>
  <c r="F222" i="14"/>
  <c r="G222" i="14"/>
  <c r="H222" i="14"/>
  <c r="R238" i="14"/>
  <c r="Q238" i="14"/>
  <c r="O238" i="14"/>
  <c r="M238" i="14"/>
  <c r="K238" i="14"/>
  <c r="S238" i="14"/>
  <c r="P238" i="14"/>
  <c r="L238" i="14"/>
  <c r="J238" i="14"/>
  <c r="I238" i="14"/>
  <c r="N238" i="14"/>
  <c r="E241" i="20"/>
  <c r="F238" i="14"/>
  <c r="H238" i="14"/>
  <c r="G238" i="14"/>
  <c r="S21" i="14"/>
  <c r="Q21" i="14"/>
  <c r="P21" i="14"/>
  <c r="N21" i="14"/>
  <c r="L21" i="14"/>
  <c r="J21" i="14"/>
  <c r="R21" i="14"/>
  <c r="O21" i="14"/>
  <c r="K21" i="14"/>
  <c r="I21" i="14"/>
  <c r="H21" i="14"/>
  <c r="F21" i="14"/>
  <c r="G21" i="14"/>
  <c r="M21" i="14"/>
  <c r="E24" i="20"/>
  <c r="S37" i="14"/>
  <c r="Q37" i="14"/>
  <c r="P37" i="14"/>
  <c r="N37" i="14"/>
  <c r="L37" i="14"/>
  <c r="J37" i="14"/>
  <c r="R37" i="14"/>
  <c r="O37" i="14"/>
  <c r="K37" i="14"/>
  <c r="I37" i="14"/>
  <c r="H37" i="14"/>
  <c r="F37" i="14"/>
  <c r="M37" i="14"/>
  <c r="G37" i="14"/>
  <c r="E40" i="20"/>
  <c r="S53" i="14"/>
  <c r="P53" i="14"/>
  <c r="N53" i="14"/>
  <c r="L53" i="14"/>
  <c r="J53" i="14"/>
  <c r="R53" i="14"/>
  <c r="O53" i="14"/>
  <c r="K53" i="14"/>
  <c r="I53" i="14"/>
  <c r="H53" i="14"/>
  <c r="F53" i="14"/>
  <c r="G53" i="14"/>
  <c r="Q53" i="14"/>
  <c r="M53" i="14"/>
  <c r="E56" i="20"/>
  <c r="S69" i="14"/>
  <c r="P69" i="14"/>
  <c r="N69" i="14"/>
  <c r="L69" i="14"/>
  <c r="J69" i="14"/>
  <c r="R69" i="14"/>
  <c r="O69" i="14"/>
  <c r="K69" i="14"/>
  <c r="H69" i="14"/>
  <c r="F69" i="14"/>
  <c r="M69" i="14"/>
  <c r="G69" i="14"/>
  <c r="I69" i="14"/>
  <c r="Q69" i="14"/>
  <c r="E72" i="20"/>
  <c r="S85" i="14"/>
  <c r="P85" i="14"/>
  <c r="N85" i="14"/>
  <c r="L85" i="14"/>
  <c r="R85" i="14"/>
  <c r="O85" i="14"/>
  <c r="K85" i="14"/>
  <c r="J85" i="14"/>
  <c r="H85" i="14"/>
  <c r="F85" i="14"/>
  <c r="G85" i="14"/>
  <c r="Q85" i="14"/>
  <c r="M85" i="14"/>
  <c r="I85" i="14"/>
  <c r="E88" i="20"/>
  <c r="S101" i="14"/>
  <c r="P101" i="14"/>
  <c r="N101" i="14"/>
  <c r="L101" i="14"/>
  <c r="R101" i="14"/>
  <c r="O101" i="14"/>
  <c r="K101" i="14"/>
  <c r="J101" i="14"/>
  <c r="H101" i="14"/>
  <c r="F101" i="14"/>
  <c r="M101" i="14"/>
  <c r="G101" i="14"/>
  <c r="I101" i="14"/>
  <c r="Q101" i="14"/>
  <c r="E104" i="20"/>
  <c r="S117" i="14"/>
  <c r="P117" i="14"/>
  <c r="N117" i="14"/>
  <c r="L117" i="14"/>
  <c r="R117" i="14"/>
  <c r="O117" i="14"/>
  <c r="K117" i="14"/>
  <c r="J117" i="14"/>
  <c r="H117" i="14"/>
  <c r="F117" i="14"/>
  <c r="G117" i="14"/>
  <c r="Q117" i="14"/>
  <c r="M117" i="14"/>
  <c r="I117" i="14"/>
  <c r="E120" i="20"/>
  <c r="S133" i="14"/>
  <c r="P133" i="14"/>
  <c r="N133" i="14"/>
  <c r="L133" i="14"/>
  <c r="R133" i="14"/>
  <c r="O133" i="14"/>
  <c r="K133" i="14"/>
  <c r="J133" i="14"/>
  <c r="H133" i="14"/>
  <c r="F133" i="14"/>
  <c r="M133" i="14"/>
  <c r="G133" i="14"/>
  <c r="I133" i="14"/>
  <c r="Q133" i="14"/>
  <c r="E136" i="20"/>
  <c r="S149" i="14"/>
  <c r="P149" i="14"/>
  <c r="N149" i="14"/>
  <c r="L149" i="14"/>
  <c r="R149" i="14"/>
  <c r="O149" i="14"/>
  <c r="K149" i="14"/>
  <c r="J149" i="14"/>
  <c r="H149" i="14"/>
  <c r="F149" i="14"/>
  <c r="G149" i="14"/>
  <c r="E152" i="20"/>
  <c r="Q149" i="14"/>
  <c r="M149" i="14"/>
  <c r="I149" i="14"/>
  <c r="S165" i="14"/>
  <c r="P165" i="14"/>
  <c r="N165" i="14"/>
  <c r="L165" i="14"/>
  <c r="R165" i="14"/>
  <c r="O165" i="14"/>
  <c r="K165" i="14"/>
  <c r="J165" i="14"/>
  <c r="H165" i="14"/>
  <c r="F165" i="14"/>
  <c r="M165" i="14"/>
  <c r="G165" i="14"/>
  <c r="E168" i="20"/>
  <c r="I165" i="14"/>
  <c r="Q165" i="14"/>
  <c r="S181" i="14"/>
  <c r="P181" i="14"/>
  <c r="N181" i="14"/>
  <c r="L181" i="14"/>
  <c r="R181" i="14"/>
  <c r="O181" i="14"/>
  <c r="K181" i="14"/>
  <c r="J181" i="14"/>
  <c r="H181" i="14"/>
  <c r="F181" i="14"/>
  <c r="G181" i="14"/>
  <c r="E184" i="20"/>
  <c r="Q181" i="14"/>
  <c r="M181" i="14"/>
  <c r="I181" i="14"/>
  <c r="S197" i="14"/>
  <c r="P197" i="14"/>
  <c r="N197" i="14"/>
  <c r="L197" i="14"/>
  <c r="R197" i="14"/>
  <c r="O197" i="14"/>
  <c r="K197" i="14"/>
  <c r="J197" i="14"/>
  <c r="H197" i="14"/>
  <c r="F197" i="14"/>
  <c r="M197" i="14"/>
  <c r="G197" i="14"/>
  <c r="E200" i="20"/>
  <c r="I197" i="14"/>
  <c r="Q197" i="14"/>
  <c r="S213" i="14"/>
  <c r="P213" i="14"/>
  <c r="N213" i="14"/>
  <c r="L213" i="14"/>
  <c r="R213" i="14"/>
  <c r="O213" i="14"/>
  <c r="K213" i="14"/>
  <c r="J213" i="14"/>
  <c r="H213" i="14"/>
  <c r="F213" i="14"/>
  <c r="G213" i="14"/>
  <c r="E216" i="20"/>
  <c r="Q213" i="14"/>
  <c r="M213" i="14"/>
  <c r="I213" i="14"/>
  <c r="S229" i="14"/>
  <c r="P229" i="14"/>
  <c r="N229" i="14"/>
  <c r="L229" i="14"/>
  <c r="R229" i="14"/>
  <c r="O229" i="14"/>
  <c r="K229" i="14"/>
  <c r="J229" i="14"/>
  <c r="H229" i="14"/>
  <c r="F229" i="14"/>
  <c r="M229" i="14"/>
  <c r="G229" i="14"/>
  <c r="E232" i="20"/>
  <c r="I229" i="14"/>
  <c r="Q229" i="14"/>
  <c r="E248" i="20"/>
  <c r="S12" i="14"/>
  <c r="P12" i="14"/>
  <c r="N12" i="14"/>
  <c r="L12" i="14"/>
  <c r="J12" i="14"/>
  <c r="Q12" i="14"/>
  <c r="O12" i="14"/>
  <c r="K12" i="14"/>
  <c r="H12" i="14"/>
  <c r="R12" i="14"/>
  <c r="M12" i="14"/>
  <c r="E15" i="20"/>
  <c r="F12" i="14"/>
  <c r="I12" i="14"/>
  <c r="G12" i="14"/>
  <c r="S28" i="14"/>
  <c r="P28" i="14"/>
  <c r="N28" i="14"/>
  <c r="L28" i="14"/>
  <c r="J28" i="14"/>
  <c r="Q28" i="14"/>
  <c r="O28" i="14"/>
  <c r="K28" i="14"/>
  <c r="H28" i="14"/>
  <c r="R28" i="14"/>
  <c r="M28" i="14"/>
  <c r="E31" i="20"/>
  <c r="I28" i="14"/>
  <c r="F28" i="14"/>
  <c r="G28" i="14"/>
  <c r="S44" i="14"/>
  <c r="P44" i="14"/>
  <c r="N44" i="14"/>
  <c r="L44" i="14"/>
  <c r="J44" i="14"/>
  <c r="O44" i="14"/>
  <c r="K44" i="14"/>
  <c r="H44" i="14"/>
  <c r="R44" i="14"/>
  <c r="Q44" i="14"/>
  <c r="M44" i="14"/>
  <c r="E47" i="20"/>
  <c r="F44" i="14"/>
  <c r="I44" i="14"/>
  <c r="G44" i="14"/>
  <c r="S60" i="14"/>
  <c r="P60" i="14"/>
  <c r="N60" i="14"/>
  <c r="L60" i="14"/>
  <c r="J60" i="14"/>
  <c r="O60" i="14"/>
  <c r="K60" i="14"/>
  <c r="H60" i="14"/>
  <c r="R60" i="14"/>
  <c r="Q60" i="14"/>
  <c r="M60" i="14"/>
  <c r="E63" i="20"/>
  <c r="I60" i="14"/>
  <c r="F60" i="14"/>
  <c r="G60" i="14"/>
  <c r="S76" i="14"/>
  <c r="P76" i="14"/>
  <c r="N76" i="14"/>
  <c r="L76" i="14"/>
  <c r="J76" i="14"/>
  <c r="O76" i="14"/>
  <c r="K76" i="14"/>
  <c r="H76" i="14"/>
  <c r="R76" i="14"/>
  <c r="Q76" i="14"/>
  <c r="M76" i="14"/>
  <c r="E79" i="20"/>
  <c r="I76" i="14"/>
  <c r="F76" i="14"/>
  <c r="G76" i="14"/>
  <c r="S92" i="14"/>
  <c r="P92" i="14"/>
  <c r="N92" i="14"/>
  <c r="L92" i="14"/>
  <c r="J92" i="14"/>
  <c r="O92" i="14"/>
  <c r="K92" i="14"/>
  <c r="H92" i="14"/>
  <c r="R92" i="14"/>
  <c r="Q92" i="14"/>
  <c r="M92" i="14"/>
  <c r="E95" i="20"/>
  <c r="I92" i="14"/>
  <c r="F92" i="14"/>
  <c r="G92" i="14"/>
  <c r="S108" i="14"/>
  <c r="P108" i="14"/>
  <c r="N108" i="14"/>
  <c r="L108" i="14"/>
  <c r="J108" i="14"/>
  <c r="O108" i="14"/>
  <c r="K108" i="14"/>
  <c r="H108" i="14"/>
  <c r="R108" i="14"/>
  <c r="Q108" i="14"/>
  <c r="M108" i="14"/>
  <c r="E111" i="20"/>
  <c r="I108" i="14"/>
  <c r="F108" i="14"/>
  <c r="G108" i="14"/>
  <c r="S124" i="14"/>
  <c r="P124" i="14"/>
  <c r="N124" i="14"/>
  <c r="L124" i="14"/>
  <c r="J124" i="14"/>
  <c r="O124" i="14"/>
  <c r="K124" i="14"/>
  <c r="H124" i="14"/>
  <c r="R124" i="14"/>
  <c r="Q124" i="14"/>
  <c r="M124" i="14"/>
  <c r="E127" i="20"/>
  <c r="I124" i="14"/>
  <c r="F124" i="14"/>
  <c r="G124" i="14"/>
  <c r="S140" i="14"/>
  <c r="P140" i="14"/>
  <c r="N140" i="14"/>
  <c r="L140" i="14"/>
  <c r="J140" i="14"/>
  <c r="O140" i="14"/>
  <c r="K140" i="14"/>
  <c r="H140" i="14"/>
  <c r="R140" i="14"/>
  <c r="Q140" i="14"/>
  <c r="M140" i="14"/>
  <c r="E143" i="20"/>
  <c r="I140" i="14"/>
  <c r="F140" i="14"/>
  <c r="G140" i="14"/>
  <c r="S156" i="14"/>
  <c r="P156" i="14"/>
  <c r="N156" i="14"/>
  <c r="L156" i="14"/>
  <c r="J156" i="14"/>
  <c r="O156" i="14"/>
  <c r="K156" i="14"/>
  <c r="H156" i="14"/>
  <c r="R156" i="14"/>
  <c r="Q156" i="14"/>
  <c r="M156" i="14"/>
  <c r="I156" i="14"/>
  <c r="F156" i="14"/>
  <c r="G156" i="14"/>
  <c r="E159" i="20"/>
  <c r="S172" i="14"/>
  <c r="P172" i="14"/>
  <c r="N172" i="14"/>
  <c r="L172" i="14"/>
  <c r="J172" i="14"/>
  <c r="O172" i="14"/>
  <c r="K172" i="14"/>
  <c r="H172" i="14"/>
  <c r="R172" i="14"/>
  <c r="Q172" i="14"/>
  <c r="M172" i="14"/>
  <c r="I172" i="14"/>
  <c r="F172" i="14"/>
  <c r="E175" i="20"/>
  <c r="G172" i="14"/>
  <c r="S188" i="14"/>
  <c r="P188" i="14"/>
  <c r="N188" i="14"/>
  <c r="L188" i="14"/>
  <c r="J188" i="14"/>
  <c r="O188" i="14"/>
  <c r="K188" i="14"/>
  <c r="H188" i="14"/>
  <c r="R188" i="14"/>
  <c r="Q188" i="14"/>
  <c r="M188" i="14"/>
  <c r="I188" i="14"/>
  <c r="G188" i="14"/>
  <c r="F188" i="14"/>
  <c r="E191" i="20"/>
  <c r="S204" i="14"/>
  <c r="P204" i="14"/>
  <c r="N204" i="14"/>
  <c r="L204" i="14"/>
  <c r="J204" i="14"/>
  <c r="O204" i="14"/>
  <c r="K204" i="14"/>
  <c r="H204" i="14"/>
  <c r="R204" i="14"/>
  <c r="Q204" i="14"/>
  <c r="M204" i="14"/>
  <c r="I204" i="14"/>
  <c r="G204" i="14"/>
  <c r="F204" i="14"/>
  <c r="E207" i="20"/>
  <c r="S220" i="14"/>
  <c r="P220" i="14"/>
  <c r="N220" i="14"/>
  <c r="L220" i="14"/>
  <c r="J220" i="14"/>
  <c r="O220" i="14"/>
  <c r="K220" i="14"/>
  <c r="H220" i="14"/>
  <c r="R220" i="14"/>
  <c r="Q220" i="14"/>
  <c r="M220" i="14"/>
  <c r="I220" i="14"/>
  <c r="G220" i="14"/>
  <c r="F220" i="14"/>
  <c r="E223" i="20"/>
  <c r="S236" i="14"/>
  <c r="P236" i="14"/>
  <c r="N236" i="14"/>
  <c r="L236" i="14"/>
  <c r="J236" i="14"/>
  <c r="O236" i="14"/>
  <c r="K236" i="14"/>
  <c r="H236" i="14"/>
  <c r="R236" i="14"/>
  <c r="Q236" i="14"/>
  <c r="M236" i="14"/>
  <c r="I236" i="14"/>
  <c r="G236" i="14"/>
  <c r="F236" i="14"/>
  <c r="E239" i="20"/>
  <c r="R11" i="14"/>
  <c r="Q11" i="14"/>
  <c r="S11" i="14"/>
  <c r="O11" i="14"/>
  <c r="M11" i="14"/>
  <c r="K11" i="14"/>
  <c r="N11" i="14"/>
  <c r="J11" i="14"/>
  <c r="I11" i="14"/>
  <c r="G11" i="14"/>
  <c r="E14" i="20"/>
  <c r="L11" i="14"/>
  <c r="F11" i="14"/>
  <c r="H11" i="14"/>
  <c r="P11" i="14"/>
  <c r="R27" i="14"/>
  <c r="Q27" i="14"/>
  <c r="S27" i="14"/>
  <c r="O27" i="14"/>
  <c r="M27" i="14"/>
  <c r="K27" i="14"/>
  <c r="N27" i="14"/>
  <c r="J27" i="14"/>
  <c r="I27" i="14"/>
  <c r="G27" i="14"/>
  <c r="E30" i="20"/>
  <c r="F27" i="14"/>
  <c r="P27" i="14"/>
  <c r="L27" i="14"/>
  <c r="H27" i="14"/>
  <c r="R43" i="14"/>
  <c r="S43" i="14"/>
  <c r="Q43" i="14"/>
  <c r="O43" i="14"/>
  <c r="M43" i="14"/>
  <c r="K43" i="14"/>
  <c r="N43" i="14"/>
  <c r="J43" i="14"/>
  <c r="I43" i="14"/>
  <c r="G43" i="14"/>
  <c r="E46" i="20"/>
  <c r="L43" i="14"/>
  <c r="F43" i="14"/>
  <c r="H43" i="14"/>
  <c r="P43" i="14"/>
  <c r="R59" i="14"/>
  <c r="S59" i="14"/>
  <c r="Q59" i="14"/>
  <c r="O59" i="14"/>
  <c r="M59" i="14"/>
  <c r="K59" i="14"/>
  <c r="N59" i="14"/>
  <c r="J59" i="14"/>
  <c r="I59" i="14"/>
  <c r="G59" i="14"/>
  <c r="E62" i="20"/>
  <c r="F59" i="14"/>
  <c r="P59" i="14"/>
  <c r="L59" i="14"/>
  <c r="H59" i="14"/>
  <c r="R75" i="14"/>
  <c r="S75" i="14"/>
  <c r="Q75" i="14"/>
  <c r="O75" i="14"/>
  <c r="M75" i="14"/>
  <c r="K75" i="14"/>
  <c r="N75" i="14"/>
  <c r="I75" i="14"/>
  <c r="G75" i="14"/>
  <c r="E78" i="20"/>
  <c r="J75" i="14"/>
  <c r="L75" i="14"/>
  <c r="F75" i="14"/>
  <c r="H75" i="14"/>
  <c r="P75" i="14"/>
  <c r="R91" i="14"/>
  <c r="S91" i="14"/>
  <c r="Q91" i="14"/>
  <c r="O91" i="14"/>
  <c r="M91" i="14"/>
  <c r="K91" i="14"/>
  <c r="N91" i="14"/>
  <c r="I91" i="14"/>
  <c r="G91" i="14"/>
  <c r="E94" i="20"/>
  <c r="J91" i="14"/>
  <c r="F91" i="14"/>
  <c r="P91" i="14"/>
  <c r="L91" i="14"/>
  <c r="H91" i="14"/>
  <c r="R107" i="14"/>
  <c r="S107" i="14"/>
  <c r="Q107" i="14"/>
  <c r="O107" i="14"/>
  <c r="M107" i="14"/>
  <c r="K107" i="14"/>
  <c r="N107" i="14"/>
  <c r="I107" i="14"/>
  <c r="G107" i="14"/>
  <c r="E110" i="20"/>
  <c r="J107" i="14"/>
  <c r="L107" i="14"/>
  <c r="F107" i="14"/>
  <c r="H107" i="14"/>
  <c r="P107" i="14"/>
  <c r="R123" i="14"/>
  <c r="S123" i="14"/>
  <c r="Q123" i="14"/>
  <c r="O123" i="14"/>
  <c r="M123" i="14"/>
  <c r="K123" i="14"/>
  <c r="N123" i="14"/>
  <c r="I123" i="14"/>
  <c r="G123" i="14"/>
  <c r="E126" i="20"/>
  <c r="J123" i="14"/>
  <c r="F123" i="14"/>
  <c r="P123" i="14"/>
  <c r="L123" i="14"/>
  <c r="H123" i="14"/>
  <c r="R139" i="14"/>
  <c r="S139" i="14"/>
  <c r="Q139" i="14"/>
  <c r="O139" i="14"/>
  <c r="M139" i="14"/>
  <c r="K139" i="14"/>
  <c r="N139" i="14"/>
  <c r="I139" i="14"/>
  <c r="G139" i="14"/>
  <c r="E142" i="20"/>
  <c r="J139" i="14"/>
  <c r="L139" i="14"/>
  <c r="F139" i="14"/>
  <c r="H139" i="14"/>
  <c r="P139" i="14"/>
  <c r="R155" i="14"/>
  <c r="S155" i="14"/>
  <c r="Q155" i="14"/>
  <c r="O155" i="14"/>
  <c r="M155" i="14"/>
  <c r="K155" i="14"/>
  <c r="N155" i="14"/>
  <c r="I155" i="14"/>
  <c r="G155" i="14"/>
  <c r="J155" i="14"/>
  <c r="F155" i="14"/>
  <c r="P155" i="14"/>
  <c r="L155" i="14"/>
  <c r="H155" i="14"/>
  <c r="E158" i="20"/>
  <c r="R171" i="14"/>
  <c r="S171" i="14"/>
  <c r="Q171" i="14"/>
  <c r="O171" i="14"/>
  <c r="M171" i="14"/>
  <c r="K171" i="14"/>
  <c r="N171" i="14"/>
  <c r="I171" i="14"/>
  <c r="G171" i="14"/>
  <c r="J171" i="14"/>
  <c r="L171" i="14"/>
  <c r="F171" i="14"/>
  <c r="H171" i="14"/>
  <c r="P171" i="14"/>
  <c r="E174" i="20"/>
  <c r="R187" i="14"/>
  <c r="S187" i="14"/>
  <c r="Q187" i="14"/>
  <c r="O187" i="14"/>
  <c r="M187" i="14"/>
  <c r="K187" i="14"/>
  <c r="N187" i="14"/>
  <c r="I187" i="14"/>
  <c r="G187" i="14"/>
  <c r="J187" i="14"/>
  <c r="F187" i="14"/>
  <c r="P187" i="14"/>
  <c r="L187" i="14"/>
  <c r="H187" i="14"/>
  <c r="E190" i="20"/>
  <c r="R203" i="14"/>
  <c r="S203" i="14"/>
  <c r="Q203" i="14"/>
  <c r="O203" i="14"/>
  <c r="M203" i="14"/>
  <c r="K203" i="14"/>
  <c r="N203" i="14"/>
  <c r="I203" i="14"/>
  <c r="G203" i="14"/>
  <c r="J203" i="14"/>
  <c r="L203" i="14"/>
  <c r="F203" i="14"/>
  <c r="H203" i="14"/>
  <c r="P203" i="14"/>
  <c r="E206" i="20"/>
  <c r="R219" i="14"/>
  <c r="S219" i="14"/>
  <c r="Q219" i="14"/>
  <c r="O219" i="14"/>
  <c r="M219" i="14"/>
  <c r="K219" i="14"/>
  <c r="N219" i="14"/>
  <c r="I219" i="14"/>
  <c r="G219" i="14"/>
  <c r="J219" i="14"/>
  <c r="F219" i="14"/>
  <c r="P219" i="14"/>
  <c r="L219" i="14"/>
  <c r="H219" i="14"/>
  <c r="E222" i="20"/>
  <c r="R235" i="14"/>
  <c r="S235" i="14"/>
  <c r="Q235" i="14"/>
  <c r="O235" i="14"/>
  <c r="M235" i="14"/>
  <c r="K235" i="14"/>
  <c r="N235" i="14"/>
  <c r="I235" i="14"/>
  <c r="G235" i="14"/>
  <c r="L235" i="14"/>
  <c r="F235" i="14"/>
  <c r="J235" i="14"/>
  <c r="H235" i="14"/>
  <c r="P235" i="14"/>
  <c r="E238" i="20"/>
  <c r="R18" i="14"/>
  <c r="S18" i="14"/>
  <c r="O18" i="14"/>
  <c r="M18" i="14"/>
  <c r="K18" i="14"/>
  <c r="I18" i="14"/>
  <c r="Q18" i="14"/>
  <c r="N18" i="14"/>
  <c r="J18" i="14"/>
  <c r="G18" i="14"/>
  <c r="P18" i="14"/>
  <c r="L18" i="14"/>
  <c r="H18" i="14"/>
  <c r="F18" i="14"/>
  <c r="E21" i="20"/>
  <c r="R34" i="14"/>
  <c r="S34" i="14"/>
  <c r="O34" i="14"/>
  <c r="M34" i="14"/>
  <c r="K34" i="14"/>
  <c r="I34" i="14"/>
  <c r="Q34" i="14"/>
  <c r="N34" i="14"/>
  <c r="J34" i="14"/>
  <c r="G34" i="14"/>
  <c r="P34" i="14"/>
  <c r="L34" i="14"/>
  <c r="H34" i="14"/>
  <c r="F34" i="14"/>
  <c r="E37" i="20"/>
  <c r="R50" i="14"/>
  <c r="S50" i="14"/>
  <c r="Q50" i="14"/>
  <c r="O50" i="14"/>
  <c r="M50" i="14"/>
  <c r="K50" i="14"/>
  <c r="I50" i="14"/>
  <c r="N50" i="14"/>
  <c r="J50" i="14"/>
  <c r="G50" i="14"/>
  <c r="P50" i="14"/>
  <c r="L50" i="14"/>
  <c r="H50" i="14"/>
  <c r="F50" i="14"/>
  <c r="E53" i="20"/>
  <c r="R66" i="14"/>
  <c r="S66" i="14"/>
  <c r="Q66" i="14"/>
  <c r="O66" i="14"/>
  <c r="M66" i="14"/>
  <c r="K66" i="14"/>
  <c r="N66" i="14"/>
  <c r="J66" i="14"/>
  <c r="I66" i="14"/>
  <c r="G66" i="14"/>
  <c r="P66" i="14"/>
  <c r="L66" i="14"/>
  <c r="H66" i="14"/>
  <c r="F66" i="14"/>
  <c r="E69" i="20"/>
  <c r="R82" i="14"/>
  <c r="S82" i="14"/>
  <c r="Q82" i="14"/>
  <c r="O82" i="14"/>
  <c r="M82" i="14"/>
  <c r="K82" i="14"/>
  <c r="N82" i="14"/>
  <c r="I82" i="14"/>
  <c r="G82" i="14"/>
  <c r="P82" i="14"/>
  <c r="L82" i="14"/>
  <c r="J82" i="14"/>
  <c r="H82" i="14"/>
  <c r="F82" i="14"/>
  <c r="E85" i="20"/>
  <c r="R98" i="14"/>
  <c r="S98" i="14"/>
  <c r="Q98" i="14"/>
  <c r="O98" i="14"/>
  <c r="M98" i="14"/>
  <c r="K98" i="14"/>
  <c r="N98" i="14"/>
  <c r="I98" i="14"/>
  <c r="G98" i="14"/>
  <c r="P98" i="14"/>
  <c r="L98" i="14"/>
  <c r="H98" i="14"/>
  <c r="F98" i="14"/>
  <c r="E101" i="20"/>
  <c r="J98" i="14"/>
  <c r="R114" i="14"/>
  <c r="S114" i="14"/>
  <c r="Q114" i="14"/>
  <c r="O114" i="14"/>
  <c r="M114" i="14"/>
  <c r="K114" i="14"/>
  <c r="N114" i="14"/>
  <c r="I114" i="14"/>
  <c r="G114" i="14"/>
  <c r="P114" i="14"/>
  <c r="L114" i="14"/>
  <c r="H114" i="14"/>
  <c r="F114" i="14"/>
  <c r="E117" i="20"/>
  <c r="J114" i="14"/>
  <c r="R130" i="14"/>
  <c r="S130" i="14"/>
  <c r="Q130" i="14"/>
  <c r="O130" i="14"/>
  <c r="M130" i="14"/>
  <c r="K130" i="14"/>
  <c r="N130" i="14"/>
  <c r="I130" i="14"/>
  <c r="G130" i="14"/>
  <c r="P130" i="14"/>
  <c r="L130" i="14"/>
  <c r="J130" i="14"/>
  <c r="H130" i="14"/>
  <c r="F130" i="14"/>
  <c r="E133" i="20"/>
  <c r="R146" i="14"/>
  <c r="S146" i="14"/>
  <c r="Q146" i="14"/>
  <c r="O146" i="14"/>
  <c r="M146" i="14"/>
  <c r="K146" i="14"/>
  <c r="N146" i="14"/>
  <c r="I146" i="14"/>
  <c r="G146" i="14"/>
  <c r="P146" i="14"/>
  <c r="L146" i="14"/>
  <c r="J146" i="14"/>
  <c r="H146" i="14"/>
  <c r="F146" i="14"/>
  <c r="E149" i="20"/>
  <c r="R162" i="14"/>
  <c r="S162" i="14"/>
  <c r="Q162" i="14"/>
  <c r="O162" i="14"/>
  <c r="M162" i="14"/>
  <c r="K162" i="14"/>
  <c r="N162" i="14"/>
  <c r="I162" i="14"/>
  <c r="G162" i="14"/>
  <c r="P162" i="14"/>
  <c r="L162" i="14"/>
  <c r="H162" i="14"/>
  <c r="F162" i="14"/>
  <c r="E165" i="20"/>
  <c r="J162" i="14"/>
  <c r="R178" i="14"/>
  <c r="S178" i="14"/>
  <c r="Q178" i="14"/>
  <c r="O178" i="14"/>
  <c r="M178" i="14"/>
  <c r="K178" i="14"/>
  <c r="N178" i="14"/>
  <c r="I178" i="14"/>
  <c r="G178" i="14"/>
  <c r="P178" i="14"/>
  <c r="L178" i="14"/>
  <c r="H178" i="14"/>
  <c r="F178" i="14"/>
  <c r="E181" i="20"/>
  <c r="J178" i="14"/>
  <c r="R194" i="14"/>
  <c r="S194" i="14"/>
  <c r="Q194" i="14"/>
  <c r="O194" i="14"/>
  <c r="M194" i="14"/>
  <c r="K194" i="14"/>
  <c r="N194" i="14"/>
  <c r="I194" i="14"/>
  <c r="P194" i="14"/>
  <c r="L194" i="14"/>
  <c r="J194" i="14"/>
  <c r="H194" i="14"/>
  <c r="F194" i="14"/>
  <c r="E197" i="20"/>
  <c r="G194" i="14"/>
  <c r="R210" i="14"/>
  <c r="S210" i="14"/>
  <c r="Q210" i="14"/>
  <c r="O210" i="14"/>
  <c r="M210" i="14"/>
  <c r="K210" i="14"/>
  <c r="N210" i="14"/>
  <c r="I210" i="14"/>
  <c r="P210" i="14"/>
  <c r="L210" i="14"/>
  <c r="J210" i="14"/>
  <c r="H210" i="14"/>
  <c r="F210" i="14"/>
  <c r="E213" i="20"/>
  <c r="G210" i="14"/>
  <c r="R226" i="14"/>
  <c r="S226" i="14"/>
  <c r="Q226" i="14"/>
  <c r="O226" i="14"/>
  <c r="M226" i="14"/>
  <c r="K226" i="14"/>
  <c r="N226" i="14"/>
  <c r="I226" i="14"/>
  <c r="P226" i="14"/>
  <c r="L226" i="14"/>
  <c r="H226" i="14"/>
  <c r="F226" i="14"/>
  <c r="E229" i="20"/>
  <c r="G226" i="14"/>
  <c r="J226" i="14"/>
  <c r="S16" i="14"/>
  <c r="R16" i="14"/>
  <c r="Q16" i="14"/>
  <c r="P16" i="14"/>
  <c r="N16" i="14"/>
  <c r="L16" i="14"/>
  <c r="J16" i="14"/>
  <c r="M16" i="14"/>
  <c r="H16" i="14"/>
  <c r="I16" i="14"/>
  <c r="O16" i="14"/>
  <c r="K16" i="14"/>
  <c r="F16" i="14"/>
  <c r="G16" i="14"/>
  <c r="E19" i="20"/>
  <c r="S32" i="14"/>
  <c r="R32" i="14"/>
  <c r="Q32" i="14"/>
  <c r="P32" i="14"/>
  <c r="N32" i="14"/>
  <c r="L32" i="14"/>
  <c r="J32" i="14"/>
  <c r="M32" i="14"/>
  <c r="H32" i="14"/>
  <c r="I32" i="14"/>
  <c r="O32" i="14"/>
  <c r="K32" i="14"/>
  <c r="F32" i="14"/>
  <c r="G32" i="14"/>
  <c r="E35" i="20"/>
  <c r="S48" i="14"/>
  <c r="R48" i="14"/>
  <c r="P48" i="14"/>
  <c r="N48" i="14"/>
  <c r="L48" i="14"/>
  <c r="J48" i="14"/>
  <c r="Q48" i="14"/>
  <c r="M48" i="14"/>
  <c r="H48" i="14"/>
  <c r="I48" i="14"/>
  <c r="O48" i="14"/>
  <c r="K48" i="14"/>
  <c r="F48" i="14"/>
  <c r="G48" i="14"/>
  <c r="E51" i="20"/>
  <c r="S64" i="14"/>
  <c r="R64" i="14"/>
  <c r="P64" i="14"/>
  <c r="N64" i="14"/>
  <c r="L64" i="14"/>
  <c r="J64" i="14"/>
  <c r="Q64" i="14"/>
  <c r="M64" i="14"/>
  <c r="H64" i="14"/>
  <c r="O64" i="14"/>
  <c r="K64" i="14"/>
  <c r="F64" i="14"/>
  <c r="G64" i="14"/>
  <c r="E67" i="20"/>
  <c r="I64" i="14"/>
  <c r="S80" i="14"/>
  <c r="R80" i="14"/>
  <c r="P80" i="14"/>
  <c r="N80" i="14"/>
  <c r="L80" i="14"/>
  <c r="J80" i="14"/>
  <c r="Q80" i="14"/>
  <c r="M80" i="14"/>
  <c r="H80" i="14"/>
  <c r="O80" i="14"/>
  <c r="K80" i="14"/>
  <c r="F80" i="14"/>
  <c r="G80" i="14"/>
  <c r="E83" i="20"/>
  <c r="I80" i="14"/>
  <c r="S96" i="14"/>
  <c r="R96" i="14"/>
  <c r="P96" i="14"/>
  <c r="N96" i="14"/>
  <c r="L96" i="14"/>
  <c r="J96" i="14"/>
  <c r="Q96" i="14"/>
  <c r="M96" i="14"/>
  <c r="H96" i="14"/>
  <c r="O96" i="14"/>
  <c r="K96" i="14"/>
  <c r="F96" i="14"/>
  <c r="G96" i="14"/>
  <c r="E99" i="20"/>
  <c r="I96" i="14"/>
  <c r="S112" i="14"/>
  <c r="R112" i="14"/>
  <c r="P112" i="14"/>
  <c r="N112" i="14"/>
  <c r="L112" i="14"/>
  <c r="J112" i="14"/>
  <c r="Q112" i="14"/>
  <c r="M112" i="14"/>
  <c r="H112" i="14"/>
  <c r="O112" i="14"/>
  <c r="K112" i="14"/>
  <c r="F112" i="14"/>
  <c r="G112" i="14"/>
  <c r="E115" i="20"/>
  <c r="I112" i="14"/>
  <c r="S128" i="14"/>
  <c r="R128" i="14"/>
  <c r="P128" i="14"/>
  <c r="N128" i="14"/>
  <c r="L128" i="14"/>
  <c r="J128" i="14"/>
  <c r="Q128" i="14"/>
  <c r="M128" i="14"/>
  <c r="H128" i="14"/>
  <c r="O128" i="14"/>
  <c r="K128" i="14"/>
  <c r="F128" i="14"/>
  <c r="G128" i="14"/>
  <c r="E131" i="20"/>
  <c r="I128" i="14"/>
  <c r="S176" i="14"/>
  <c r="R176" i="14"/>
  <c r="P176" i="14"/>
  <c r="N176" i="14"/>
  <c r="L176" i="14"/>
  <c r="J176" i="14"/>
  <c r="Q176" i="14"/>
  <c r="M176" i="14"/>
  <c r="H176" i="14"/>
  <c r="O176" i="14"/>
  <c r="K176" i="14"/>
  <c r="F176" i="14"/>
  <c r="G176" i="14"/>
  <c r="E179" i="20"/>
  <c r="I176" i="14"/>
  <c r="S192" i="14"/>
  <c r="R192" i="14"/>
  <c r="P192" i="14"/>
  <c r="N192" i="14"/>
  <c r="L192" i="14"/>
  <c r="J192" i="14"/>
  <c r="Q192" i="14"/>
  <c r="M192" i="14"/>
  <c r="H192" i="14"/>
  <c r="O192" i="14"/>
  <c r="K192" i="14"/>
  <c r="G192" i="14"/>
  <c r="F192" i="14"/>
  <c r="E195" i="20"/>
  <c r="I192" i="14"/>
  <c r="S208" i="14"/>
  <c r="R208" i="14"/>
  <c r="P208" i="14"/>
  <c r="N208" i="14"/>
  <c r="L208" i="14"/>
  <c r="J208" i="14"/>
  <c r="Q208" i="14"/>
  <c r="M208" i="14"/>
  <c r="H208" i="14"/>
  <c r="O208" i="14"/>
  <c r="K208" i="14"/>
  <c r="G208" i="14"/>
  <c r="F208" i="14"/>
  <c r="E211" i="20"/>
  <c r="I208" i="14"/>
  <c r="S224" i="14"/>
  <c r="R224" i="14"/>
  <c r="P224" i="14"/>
  <c r="N224" i="14"/>
  <c r="L224" i="14"/>
  <c r="J224" i="14"/>
  <c r="Q224" i="14"/>
  <c r="M224" i="14"/>
  <c r="H224" i="14"/>
  <c r="O224" i="14"/>
  <c r="K224" i="14"/>
  <c r="G224" i="14"/>
  <c r="F224" i="14"/>
  <c r="E227" i="20"/>
  <c r="I224" i="14"/>
  <c r="S240" i="14"/>
  <c r="R240" i="14"/>
  <c r="P240" i="14"/>
  <c r="N240" i="14"/>
  <c r="L240" i="14"/>
  <c r="J240" i="14"/>
  <c r="Q240" i="14"/>
  <c r="M240" i="14"/>
  <c r="H240" i="14"/>
  <c r="O240" i="14"/>
  <c r="K240" i="14"/>
  <c r="G240" i="14"/>
  <c r="F240" i="14"/>
  <c r="E243" i="20"/>
  <c r="I240" i="14"/>
  <c r="E254" i="17"/>
  <c r="S95" i="14" l="1"/>
  <c r="L79" i="14"/>
  <c r="L63" i="14"/>
  <c r="L47" i="14"/>
  <c r="G31" i="14"/>
  <c r="E18" i="20"/>
  <c r="G111" i="14"/>
  <c r="Q111" i="14"/>
  <c r="K95" i="14"/>
  <c r="K79" i="14"/>
  <c r="P63" i="14"/>
  <c r="S47" i="14"/>
  <c r="P31" i="14"/>
  <c r="P15" i="14"/>
  <c r="I95" i="14"/>
  <c r="M95" i="14"/>
  <c r="G79" i="14"/>
  <c r="M79" i="14"/>
  <c r="N63" i="14"/>
  <c r="M63" i="14"/>
  <c r="N47" i="14"/>
  <c r="I47" i="14"/>
  <c r="H31" i="14"/>
  <c r="S31" i="14"/>
  <c r="F15" i="14"/>
  <c r="M15" i="14"/>
  <c r="F111" i="14"/>
  <c r="P111" i="14"/>
  <c r="R111" i="14"/>
  <c r="J95" i="14"/>
  <c r="R95" i="14"/>
  <c r="J79" i="14"/>
  <c r="O79" i="14"/>
  <c r="G63" i="14"/>
  <c r="O63" i="14"/>
  <c r="E50" i="20"/>
  <c r="O47" i="14"/>
  <c r="N31" i="14"/>
  <c r="I31" i="14"/>
  <c r="H15" i="14"/>
  <c r="K69" i="13"/>
  <c r="F137" i="14"/>
  <c r="E214" i="20"/>
  <c r="J73" i="14"/>
  <c r="O144" i="14"/>
  <c r="E221" i="20"/>
  <c r="F175" i="14"/>
  <c r="J175" i="14"/>
  <c r="H159" i="14"/>
  <c r="L159" i="14"/>
  <c r="F127" i="14"/>
  <c r="I127" i="14"/>
  <c r="N111" i="14"/>
  <c r="J111" i="14"/>
  <c r="N95" i="14"/>
  <c r="L95" i="14"/>
  <c r="E82" i="20"/>
  <c r="P79" i="14"/>
  <c r="E66" i="20"/>
  <c r="F47" i="14"/>
  <c r="G47" i="14"/>
  <c r="J31" i="14"/>
  <c r="L31" i="14"/>
  <c r="N15" i="14"/>
  <c r="K201" i="14"/>
  <c r="Q138" i="14"/>
  <c r="F132" i="14"/>
  <c r="K21" i="13"/>
  <c r="O15" i="14"/>
  <c r="G15" i="14"/>
  <c r="J15" i="14"/>
  <c r="K37" i="13"/>
  <c r="M31" i="14"/>
  <c r="Q31" i="14"/>
  <c r="E34" i="20"/>
  <c r="F31" i="14"/>
  <c r="M47" i="14"/>
  <c r="P47" i="14"/>
  <c r="H47" i="14"/>
  <c r="R63" i="14"/>
  <c r="K63" i="14"/>
  <c r="I63" i="14"/>
  <c r="H63" i="14"/>
  <c r="K85" i="13"/>
  <c r="Q79" i="14"/>
  <c r="S79" i="14"/>
  <c r="I79" i="14"/>
  <c r="N79" i="14"/>
  <c r="O95" i="14"/>
  <c r="P95" i="14"/>
  <c r="G95" i="14"/>
  <c r="F95" i="14"/>
  <c r="K117" i="13"/>
  <c r="M111" i="14"/>
  <c r="L111" i="14"/>
  <c r="E114" i="20"/>
  <c r="K133" i="13"/>
  <c r="R127" i="14"/>
  <c r="K127" i="14"/>
  <c r="J127" i="14"/>
  <c r="N127" i="14"/>
  <c r="R143" i="14"/>
  <c r="L143" i="14"/>
  <c r="O159" i="14"/>
  <c r="P159" i="14"/>
  <c r="G159" i="14"/>
  <c r="E162" i="20"/>
  <c r="K181" i="13"/>
  <c r="M175" i="14"/>
  <c r="L175" i="14"/>
  <c r="H175" i="14"/>
  <c r="R191" i="14"/>
  <c r="K191" i="14"/>
  <c r="J191" i="14"/>
  <c r="H191" i="14"/>
  <c r="K213" i="13"/>
  <c r="Q207" i="14"/>
  <c r="S207" i="14"/>
  <c r="I207" i="14"/>
  <c r="F207" i="14"/>
  <c r="O223" i="14"/>
  <c r="P223" i="14"/>
  <c r="G223" i="14"/>
  <c r="E226" i="20"/>
  <c r="M239" i="14"/>
  <c r="L239" i="14"/>
  <c r="H239" i="14"/>
  <c r="K261" i="13"/>
  <c r="Q22" i="14"/>
  <c r="I22" i="14"/>
  <c r="S22" i="14"/>
  <c r="E25" i="20"/>
  <c r="S19" i="14"/>
  <c r="R144" i="14"/>
  <c r="E188" i="20"/>
  <c r="H121" i="14"/>
  <c r="L57" i="14"/>
  <c r="I202" i="14"/>
  <c r="R106" i="14"/>
  <c r="S179" i="14"/>
  <c r="I15" i="14"/>
  <c r="R15" i="14"/>
  <c r="K160" i="14"/>
  <c r="E172" i="20"/>
  <c r="M105" i="14"/>
  <c r="N41" i="14"/>
  <c r="S186" i="14"/>
  <c r="F58" i="14"/>
  <c r="O131" i="14"/>
  <c r="Q15" i="14"/>
  <c r="L15" i="14"/>
  <c r="K15" i="14"/>
  <c r="P160" i="14"/>
  <c r="G217" i="14"/>
  <c r="O153" i="14"/>
  <c r="Q89" i="14"/>
  <c r="R25" i="14"/>
  <c r="J154" i="14"/>
  <c r="J26" i="14"/>
  <c r="F67" i="14"/>
  <c r="I160" i="14"/>
  <c r="E147" i="20"/>
  <c r="E252" i="20"/>
  <c r="E236" i="20"/>
  <c r="O217" i="14"/>
  <c r="F201" i="14"/>
  <c r="H185" i="14"/>
  <c r="M169" i="14"/>
  <c r="Q153" i="14"/>
  <c r="J137" i="14"/>
  <c r="L121" i="14"/>
  <c r="N105" i="14"/>
  <c r="P89" i="14"/>
  <c r="R73" i="14"/>
  <c r="S57" i="14"/>
  <c r="E28" i="20"/>
  <c r="Q9" i="14"/>
  <c r="F234" i="14"/>
  <c r="J218" i="14"/>
  <c r="Q202" i="14"/>
  <c r="P170" i="14"/>
  <c r="M154" i="14"/>
  <c r="J122" i="14"/>
  <c r="K58" i="14"/>
  <c r="L10" i="14"/>
  <c r="O211" i="14"/>
  <c r="K163" i="14"/>
  <c r="I115" i="14"/>
  <c r="E87" i="20"/>
  <c r="M233" i="14"/>
  <c r="Q217" i="14"/>
  <c r="J201" i="14"/>
  <c r="L185" i="14"/>
  <c r="N169" i="14"/>
  <c r="P153" i="14"/>
  <c r="R137" i="14"/>
  <c r="S121" i="14"/>
  <c r="E92" i="20"/>
  <c r="K73" i="14"/>
  <c r="K57" i="14"/>
  <c r="O41" i="14"/>
  <c r="F25" i="14"/>
  <c r="P234" i="14"/>
  <c r="O218" i="14"/>
  <c r="G186" i="14"/>
  <c r="K170" i="14"/>
  <c r="F138" i="14"/>
  <c r="S122" i="14"/>
  <c r="F74" i="14"/>
  <c r="H42" i="14"/>
  <c r="L35" i="14"/>
  <c r="Q160" i="14"/>
  <c r="J144" i="14"/>
  <c r="N233" i="14"/>
  <c r="P217" i="14"/>
  <c r="R201" i="14"/>
  <c r="S185" i="14"/>
  <c r="G153" i="14"/>
  <c r="K137" i="14"/>
  <c r="K121" i="14"/>
  <c r="O105" i="14"/>
  <c r="O89" i="14"/>
  <c r="F73" i="14"/>
  <c r="M57" i="14"/>
  <c r="Q41" i="14"/>
  <c r="J25" i="14"/>
  <c r="N186" i="14"/>
  <c r="R170" i="14"/>
  <c r="G106" i="14"/>
  <c r="N74" i="14"/>
  <c r="G227" i="14"/>
  <c r="H179" i="14"/>
  <c r="L131" i="14"/>
  <c r="P83" i="14"/>
  <c r="R35" i="14"/>
  <c r="L212" i="14"/>
  <c r="S10" i="14"/>
  <c r="E12" i="20"/>
  <c r="H9" i="14"/>
  <c r="L9" i="14"/>
  <c r="K57" i="13"/>
  <c r="Q51" i="14"/>
  <c r="N51" i="14"/>
  <c r="P51" i="14"/>
  <c r="F51" i="14"/>
  <c r="R51" i="14"/>
  <c r="K51" i="14"/>
  <c r="L51" i="14"/>
  <c r="S51" i="14"/>
  <c r="G51" i="14"/>
  <c r="M51" i="14"/>
  <c r="I51" i="14"/>
  <c r="K105" i="13"/>
  <c r="S99" i="14"/>
  <c r="K99" i="14"/>
  <c r="G99" i="14"/>
  <c r="F99" i="14"/>
  <c r="O99" i="14"/>
  <c r="I99" i="14"/>
  <c r="L99" i="14"/>
  <c r="J99" i="14"/>
  <c r="H99" i="14"/>
  <c r="Q99" i="14"/>
  <c r="E102" i="20"/>
  <c r="K153" i="13"/>
  <c r="S147" i="14"/>
  <c r="K147" i="14"/>
  <c r="G147" i="14"/>
  <c r="F147" i="14"/>
  <c r="R147" i="14"/>
  <c r="J147" i="14"/>
  <c r="L147" i="14"/>
  <c r="O147" i="14"/>
  <c r="I147" i="14"/>
  <c r="E150" i="20"/>
  <c r="K201" i="13"/>
  <c r="R195" i="14"/>
  <c r="M195" i="14"/>
  <c r="I195" i="14"/>
  <c r="F195" i="14"/>
  <c r="O195" i="14"/>
  <c r="G195" i="14"/>
  <c r="E198" i="20"/>
  <c r="S195" i="14"/>
  <c r="J195" i="14"/>
  <c r="H195" i="14"/>
  <c r="K48" i="13"/>
  <c r="Q42" i="14"/>
  <c r="I42" i="14"/>
  <c r="M42" i="14"/>
  <c r="G42" i="14"/>
  <c r="F42" i="14"/>
  <c r="S42" i="14"/>
  <c r="N42" i="14"/>
  <c r="L42" i="14"/>
  <c r="K96" i="13"/>
  <c r="R90" i="14"/>
  <c r="M90" i="14"/>
  <c r="G90" i="14"/>
  <c r="H90" i="14"/>
  <c r="Q90" i="14"/>
  <c r="N90" i="14"/>
  <c r="P90" i="14"/>
  <c r="F90" i="14"/>
  <c r="K144" i="13"/>
  <c r="O138" i="14"/>
  <c r="S138" i="14"/>
  <c r="K138" i="14"/>
  <c r="J138" i="14"/>
  <c r="E141" i="20"/>
  <c r="K208" i="13"/>
  <c r="S202" i="14"/>
  <c r="K202" i="14"/>
  <c r="P202" i="14"/>
  <c r="E205" i="20"/>
  <c r="K240" i="13"/>
  <c r="O234" i="14"/>
  <c r="I234" i="14"/>
  <c r="G234" i="14"/>
  <c r="S36" i="14"/>
  <c r="J36" i="14"/>
  <c r="I36" i="14"/>
  <c r="F36" i="14"/>
  <c r="P36" i="14"/>
  <c r="R36" i="14"/>
  <c r="H36" i="14"/>
  <c r="G36" i="14"/>
  <c r="K42" i="13"/>
  <c r="N36" i="14"/>
  <c r="O36" i="14"/>
  <c r="M36" i="14"/>
  <c r="E39" i="20"/>
  <c r="Q36" i="14"/>
  <c r="L36" i="14"/>
  <c r="L180" i="14"/>
  <c r="K180" i="14"/>
  <c r="I180" i="14"/>
  <c r="J180" i="14"/>
  <c r="Q180" i="14"/>
  <c r="F180" i="14"/>
  <c r="S180" i="14"/>
  <c r="O180" i="14"/>
  <c r="E183" i="20"/>
  <c r="N180" i="14"/>
  <c r="M180" i="14"/>
  <c r="K202" i="13"/>
  <c r="S196" i="14"/>
  <c r="J196" i="14"/>
  <c r="H196" i="14"/>
  <c r="F196" i="14"/>
  <c r="R196" i="14"/>
  <c r="M196" i="14"/>
  <c r="O196" i="14"/>
  <c r="E199" i="20"/>
  <c r="N196" i="14"/>
  <c r="Q196" i="14"/>
  <c r="K234" i="13"/>
  <c r="N228" i="14"/>
  <c r="O228" i="14"/>
  <c r="M228" i="14"/>
  <c r="E231" i="20"/>
  <c r="P228" i="14"/>
  <c r="K228" i="14"/>
  <c r="F228" i="14"/>
  <c r="J228" i="14"/>
  <c r="I228" i="14"/>
  <c r="S228" i="14"/>
  <c r="H228" i="14"/>
  <c r="G233" i="14"/>
  <c r="K217" i="14"/>
  <c r="H201" i="14"/>
  <c r="M185" i="14"/>
  <c r="I169" i="14"/>
  <c r="F153" i="14"/>
  <c r="R153" i="14"/>
  <c r="L137" i="14"/>
  <c r="I121" i="14"/>
  <c r="N121" i="14"/>
  <c r="I105" i="14"/>
  <c r="P105" i="14"/>
  <c r="G89" i="14"/>
  <c r="J89" i="14"/>
  <c r="G73" i="14"/>
  <c r="H73" i="14"/>
  <c r="L73" i="14"/>
  <c r="S73" i="14"/>
  <c r="O57" i="14"/>
  <c r="Q57" i="14"/>
  <c r="N57" i="14"/>
  <c r="E44" i="20"/>
  <c r="I41" i="14"/>
  <c r="P41" i="14"/>
  <c r="G25" i="14"/>
  <c r="H25" i="14"/>
  <c r="L25" i="14"/>
  <c r="Q25" i="14"/>
  <c r="G9" i="14"/>
  <c r="M9" i="14"/>
  <c r="N9" i="14"/>
  <c r="S9" i="14"/>
  <c r="E237" i="20"/>
  <c r="J234" i="14"/>
  <c r="Q234" i="14"/>
  <c r="H218" i="14"/>
  <c r="I218" i="14"/>
  <c r="G202" i="14"/>
  <c r="N202" i="14"/>
  <c r="R202" i="14"/>
  <c r="L186" i="14"/>
  <c r="F170" i="14"/>
  <c r="J170" i="14"/>
  <c r="M170" i="14"/>
  <c r="E157" i="20"/>
  <c r="G154" i="14"/>
  <c r="H138" i="14"/>
  <c r="I138" i="14"/>
  <c r="R138" i="14"/>
  <c r="I122" i="14"/>
  <c r="E109" i="20"/>
  <c r="E93" i="20"/>
  <c r="K90" i="14"/>
  <c r="H74" i="14"/>
  <c r="M74" i="14"/>
  <c r="L58" i="14"/>
  <c r="P42" i="14"/>
  <c r="R42" i="14"/>
  <c r="K26" i="14"/>
  <c r="L211" i="14"/>
  <c r="R211" i="14"/>
  <c r="K195" i="14"/>
  <c r="L163" i="14"/>
  <c r="O163" i="14"/>
  <c r="N147" i="14"/>
  <c r="P131" i="14"/>
  <c r="K115" i="14"/>
  <c r="N99" i="14"/>
  <c r="G67" i="14"/>
  <c r="E54" i="20"/>
  <c r="L19" i="14"/>
  <c r="G228" i="14"/>
  <c r="E215" i="20"/>
  <c r="G196" i="14"/>
  <c r="P196" i="14"/>
  <c r="P180" i="14"/>
  <c r="K36" i="14"/>
  <c r="K41" i="13"/>
  <c r="S35" i="14"/>
  <c r="N35" i="14"/>
  <c r="Q35" i="14"/>
  <c r="F35" i="14"/>
  <c r="K35" i="14"/>
  <c r="I35" i="14"/>
  <c r="O35" i="14"/>
  <c r="E38" i="20"/>
  <c r="J35" i="14"/>
  <c r="H35" i="14"/>
  <c r="K89" i="13"/>
  <c r="R83" i="14"/>
  <c r="M83" i="14"/>
  <c r="I83" i="14"/>
  <c r="L83" i="14"/>
  <c r="Q83" i="14"/>
  <c r="N83" i="14"/>
  <c r="H83" i="14"/>
  <c r="J83" i="14"/>
  <c r="F83" i="14"/>
  <c r="O83" i="14"/>
  <c r="E86" i="20"/>
  <c r="K137" i="13"/>
  <c r="R131" i="14"/>
  <c r="M131" i="14"/>
  <c r="I131" i="14"/>
  <c r="H131" i="14"/>
  <c r="K131" i="14"/>
  <c r="E134" i="20"/>
  <c r="Q131" i="14"/>
  <c r="N131" i="14"/>
  <c r="F131" i="14"/>
  <c r="O179" i="14"/>
  <c r="N179" i="14"/>
  <c r="L179" i="14"/>
  <c r="Q179" i="14"/>
  <c r="I179" i="14"/>
  <c r="F179" i="14"/>
  <c r="K185" i="13"/>
  <c r="R179" i="14"/>
  <c r="K179" i="14"/>
  <c r="P179" i="14"/>
  <c r="K233" i="13"/>
  <c r="Q227" i="14"/>
  <c r="J227" i="14"/>
  <c r="P227" i="14"/>
  <c r="E230" i="20"/>
  <c r="R227" i="14"/>
  <c r="K227" i="14"/>
  <c r="H227" i="14"/>
  <c r="O227" i="14"/>
  <c r="I227" i="14"/>
  <c r="L227" i="14"/>
  <c r="K16" i="13"/>
  <c r="R10" i="14"/>
  <c r="K10" i="14"/>
  <c r="G10" i="14"/>
  <c r="H10" i="14"/>
  <c r="O10" i="14"/>
  <c r="J10" i="14"/>
  <c r="E13" i="20"/>
  <c r="I10" i="14"/>
  <c r="P10" i="14"/>
  <c r="K64" i="13"/>
  <c r="Q58" i="14"/>
  <c r="I58" i="14"/>
  <c r="P58" i="14"/>
  <c r="E61" i="20"/>
  <c r="R58" i="14"/>
  <c r="M58" i="14"/>
  <c r="J58" i="14"/>
  <c r="H58" i="14"/>
  <c r="K112" i="13"/>
  <c r="S106" i="14"/>
  <c r="K106" i="14"/>
  <c r="J106" i="14"/>
  <c r="F106" i="14"/>
  <c r="O106" i="14"/>
  <c r="I106" i="14"/>
  <c r="L106" i="14"/>
  <c r="K160" i="13"/>
  <c r="Q154" i="14"/>
  <c r="N154" i="14"/>
  <c r="P154" i="14"/>
  <c r="F154" i="14"/>
  <c r="K192" i="13"/>
  <c r="R186" i="14"/>
  <c r="M186" i="14"/>
  <c r="J186" i="14"/>
  <c r="H186" i="14"/>
  <c r="Q218" i="14"/>
  <c r="N218" i="14"/>
  <c r="L218" i="14"/>
  <c r="F218" i="14"/>
  <c r="L20" i="14"/>
  <c r="K20" i="14"/>
  <c r="M20" i="14"/>
  <c r="K26" i="13"/>
  <c r="S20" i="14"/>
  <c r="J20" i="14"/>
  <c r="I20" i="14"/>
  <c r="E23" i="20"/>
  <c r="P20" i="14"/>
  <c r="R20" i="14"/>
  <c r="H20" i="14"/>
  <c r="G20" i="14"/>
  <c r="F20" i="14"/>
  <c r="O20" i="14"/>
  <c r="K58" i="13"/>
  <c r="P52" i="14"/>
  <c r="R52" i="14"/>
  <c r="H52" i="14"/>
  <c r="E55" i="20"/>
  <c r="N52" i="14"/>
  <c r="O52" i="14"/>
  <c r="Q52" i="14"/>
  <c r="F52" i="14"/>
  <c r="L52" i="14"/>
  <c r="K52" i="14"/>
  <c r="M52" i="14"/>
  <c r="S52" i="14"/>
  <c r="I52" i="14"/>
  <c r="L84" i="14"/>
  <c r="K84" i="14"/>
  <c r="I84" i="14"/>
  <c r="K90" i="13"/>
  <c r="S84" i="14"/>
  <c r="J84" i="14"/>
  <c r="H84" i="14"/>
  <c r="G84" i="14"/>
  <c r="P84" i="14"/>
  <c r="R84" i="14"/>
  <c r="Q84" i="14"/>
  <c r="F84" i="14"/>
  <c r="N84" i="14"/>
  <c r="M84" i="14"/>
  <c r="P116" i="14"/>
  <c r="R116" i="14"/>
  <c r="Q116" i="14"/>
  <c r="E119" i="20"/>
  <c r="K122" i="13"/>
  <c r="N116" i="14"/>
  <c r="O116" i="14"/>
  <c r="M116" i="14"/>
  <c r="F116" i="14"/>
  <c r="L116" i="14"/>
  <c r="K116" i="14"/>
  <c r="I116" i="14"/>
  <c r="J116" i="14"/>
  <c r="S116" i="14"/>
  <c r="G116" i="14"/>
  <c r="K250" i="13"/>
  <c r="E247" i="20"/>
  <c r="Q233" i="14"/>
  <c r="F217" i="14"/>
  <c r="O201" i="14"/>
  <c r="I185" i="14"/>
  <c r="Q169" i="14"/>
  <c r="G137" i="14"/>
  <c r="F89" i="14"/>
  <c r="G160" i="14"/>
  <c r="H160" i="14"/>
  <c r="L160" i="14"/>
  <c r="S160" i="14"/>
  <c r="F144" i="14"/>
  <c r="M144" i="14"/>
  <c r="N144" i="14"/>
  <c r="K233" i="14"/>
  <c r="F233" i="14"/>
  <c r="J233" i="14"/>
  <c r="R233" i="14"/>
  <c r="E220" i="20"/>
  <c r="H217" i="14"/>
  <c r="L217" i="14"/>
  <c r="S217" i="14"/>
  <c r="E204" i="20"/>
  <c r="M201" i="14"/>
  <c r="N201" i="14"/>
  <c r="G185" i="14"/>
  <c r="O185" i="14"/>
  <c r="Q185" i="14"/>
  <c r="P185" i="14"/>
  <c r="G169" i="14"/>
  <c r="F169" i="14"/>
  <c r="J169" i="14"/>
  <c r="R169" i="14"/>
  <c r="E156" i="20"/>
  <c r="H153" i="14"/>
  <c r="L153" i="14"/>
  <c r="S153" i="14"/>
  <c r="O137" i="14"/>
  <c r="M137" i="14"/>
  <c r="N137" i="14"/>
  <c r="E124" i="20"/>
  <c r="O121" i="14"/>
  <c r="Q121" i="14"/>
  <c r="P121" i="14"/>
  <c r="K105" i="14"/>
  <c r="F105" i="14"/>
  <c r="J105" i="14"/>
  <c r="R105" i="14"/>
  <c r="K89" i="14"/>
  <c r="H89" i="14"/>
  <c r="L89" i="14"/>
  <c r="S89" i="14"/>
  <c r="O73" i="14"/>
  <c r="M73" i="14"/>
  <c r="N73" i="14"/>
  <c r="E60" i="20"/>
  <c r="F57" i="14"/>
  <c r="I57" i="14"/>
  <c r="P57" i="14"/>
  <c r="K41" i="14"/>
  <c r="H41" i="14"/>
  <c r="J41" i="14"/>
  <c r="R41" i="14"/>
  <c r="K25" i="14"/>
  <c r="M25" i="14"/>
  <c r="N25" i="14"/>
  <c r="S25" i="14"/>
  <c r="O9" i="14"/>
  <c r="I9" i="14"/>
  <c r="P9" i="14"/>
  <c r="H234" i="14"/>
  <c r="N234" i="14"/>
  <c r="S234" i="14"/>
  <c r="G218" i="14"/>
  <c r="K218" i="14"/>
  <c r="R218" i="14"/>
  <c r="L202" i="14"/>
  <c r="M202" i="14"/>
  <c r="F186" i="14"/>
  <c r="P186" i="14"/>
  <c r="O186" i="14"/>
  <c r="E173" i="20"/>
  <c r="G170" i="14"/>
  <c r="H154" i="14"/>
  <c r="I154" i="14"/>
  <c r="S154" i="14"/>
  <c r="L138" i="14"/>
  <c r="N138" i="14"/>
  <c r="F122" i="14"/>
  <c r="H106" i="14"/>
  <c r="M106" i="14"/>
  <c r="L90" i="14"/>
  <c r="O90" i="14"/>
  <c r="P74" i="14"/>
  <c r="G58" i="14"/>
  <c r="S58" i="14"/>
  <c r="J42" i="14"/>
  <c r="Q26" i="14"/>
  <c r="N10" i="14"/>
  <c r="M227" i="14"/>
  <c r="L195" i="14"/>
  <c r="Q195" i="14"/>
  <c r="J179" i="14"/>
  <c r="H163" i="14"/>
  <c r="M147" i="14"/>
  <c r="G131" i="14"/>
  <c r="H115" i="14"/>
  <c r="M99" i="14"/>
  <c r="K83" i="14"/>
  <c r="J51" i="14"/>
  <c r="G35" i="14"/>
  <c r="Q228" i="14"/>
  <c r="I196" i="14"/>
  <c r="G180" i="14"/>
  <c r="H116" i="14"/>
  <c r="Q20" i="14"/>
  <c r="K175" i="13"/>
  <c r="K186" i="13"/>
  <c r="K224" i="13"/>
  <c r="K25" i="13"/>
  <c r="R19" i="14"/>
  <c r="K19" i="14"/>
  <c r="G19" i="14"/>
  <c r="I19" i="14"/>
  <c r="M19" i="14"/>
  <c r="E22" i="20"/>
  <c r="F19" i="14"/>
  <c r="O19" i="14"/>
  <c r="P19" i="14"/>
  <c r="N19" i="14"/>
  <c r="H19" i="14"/>
  <c r="O67" i="14"/>
  <c r="J67" i="14"/>
  <c r="P67" i="14"/>
  <c r="K73" i="13"/>
  <c r="S67" i="14"/>
  <c r="N67" i="14"/>
  <c r="H67" i="14"/>
  <c r="R67" i="14"/>
  <c r="I67" i="14"/>
  <c r="L67" i="14"/>
  <c r="M67" i="14"/>
  <c r="E70" i="20"/>
  <c r="K121" i="13"/>
  <c r="O115" i="14"/>
  <c r="N115" i="14"/>
  <c r="P115" i="14"/>
  <c r="M115" i="14"/>
  <c r="G115" i="14"/>
  <c r="F115" i="14"/>
  <c r="S115" i="14"/>
  <c r="J115" i="14"/>
  <c r="L115" i="14"/>
  <c r="K169" i="13"/>
  <c r="Q163" i="14"/>
  <c r="J163" i="14"/>
  <c r="P163" i="14"/>
  <c r="E166" i="20"/>
  <c r="S163" i="14"/>
  <c r="N163" i="14"/>
  <c r="F163" i="14"/>
  <c r="M163" i="14"/>
  <c r="G163" i="14"/>
  <c r="K217" i="13"/>
  <c r="S211" i="14"/>
  <c r="K211" i="14"/>
  <c r="G211" i="14"/>
  <c r="F211" i="14"/>
  <c r="M211" i="14"/>
  <c r="P211" i="14"/>
  <c r="Q211" i="14"/>
  <c r="N211" i="14"/>
  <c r="H211" i="14"/>
  <c r="K249" i="13"/>
  <c r="E246" i="20"/>
  <c r="K32" i="13"/>
  <c r="S26" i="14"/>
  <c r="I26" i="14"/>
  <c r="P26" i="14"/>
  <c r="E29" i="20"/>
  <c r="M26" i="14"/>
  <c r="G26" i="14"/>
  <c r="F26" i="14"/>
  <c r="R26" i="14"/>
  <c r="N26" i="14"/>
  <c r="H26" i="14"/>
  <c r="K80" i="13"/>
  <c r="O74" i="14"/>
  <c r="I74" i="14"/>
  <c r="L74" i="14"/>
  <c r="S74" i="14"/>
  <c r="K74" i="14"/>
  <c r="J74" i="14"/>
  <c r="E77" i="20"/>
  <c r="K128" i="13"/>
  <c r="Q122" i="14"/>
  <c r="N122" i="14"/>
  <c r="P122" i="14"/>
  <c r="E125" i="20"/>
  <c r="R122" i="14"/>
  <c r="M122" i="14"/>
  <c r="G122" i="14"/>
  <c r="H122" i="14"/>
  <c r="K176" i="13"/>
  <c r="O170" i="14"/>
  <c r="I170" i="14"/>
  <c r="L170" i="14"/>
  <c r="N68" i="14"/>
  <c r="O68" i="14"/>
  <c r="M68" i="14"/>
  <c r="E71" i="20"/>
  <c r="L68" i="14"/>
  <c r="K68" i="14"/>
  <c r="I68" i="14"/>
  <c r="S68" i="14"/>
  <c r="J68" i="14"/>
  <c r="H68" i="14"/>
  <c r="G68" i="14"/>
  <c r="K74" i="13"/>
  <c r="P68" i="14"/>
  <c r="R68" i="14"/>
  <c r="F68" i="14"/>
  <c r="K106" i="13"/>
  <c r="S100" i="14"/>
  <c r="J100" i="14"/>
  <c r="H100" i="14"/>
  <c r="F100" i="14"/>
  <c r="P100" i="14"/>
  <c r="R100" i="14"/>
  <c r="Q100" i="14"/>
  <c r="G100" i="14"/>
  <c r="N100" i="14"/>
  <c r="O100" i="14"/>
  <c r="M100" i="14"/>
  <c r="E103" i="20"/>
  <c r="L100" i="14"/>
  <c r="K100" i="14"/>
  <c r="N132" i="14"/>
  <c r="O132" i="14"/>
  <c r="M132" i="14"/>
  <c r="E135" i="20"/>
  <c r="L132" i="14"/>
  <c r="K132" i="14"/>
  <c r="I132" i="14"/>
  <c r="K138" i="13"/>
  <c r="S132" i="14"/>
  <c r="J132" i="14"/>
  <c r="H132" i="14"/>
  <c r="G132" i="14"/>
  <c r="R132" i="14"/>
  <c r="Q132" i="14"/>
  <c r="K218" i="13"/>
  <c r="P212" i="14"/>
  <c r="R212" i="14"/>
  <c r="Q212" i="14"/>
  <c r="G212" i="14"/>
  <c r="S212" i="14"/>
  <c r="O212" i="14"/>
  <c r="I212" i="14"/>
  <c r="J212" i="14"/>
  <c r="F212" i="14"/>
  <c r="N212" i="14"/>
  <c r="H212" i="14"/>
  <c r="E163" i="20"/>
  <c r="O160" i="14"/>
  <c r="J160" i="14"/>
  <c r="R160" i="14"/>
  <c r="G144" i="14"/>
  <c r="H144" i="14"/>
  <c r="L144" i="14"/>
  <c r="S144" i="14"/>
  <c r="I233" i="14"/>
  <c r="P233" i="14"/>
  <c r="J217" i="14"/>
  <c r="R217" i="14"/>
  <c r="L201" i="14"/>
  <c r="S201" i="14"/>
  <c r="N185" i="14"/>
  <c r="K169" i="14"/>
  <c r="P169" i="14"/>
  <c r="K153" i="14"/>
  <c r="J153" i="14"/>
  <c r="H137" i="14"/>
  <c r="S137" i="14"/>
  <c r="M121" i="14"/>
  <c r="E108" i="20"/>
  <c r="Q105" i="14"/>
  <c r="R89" i="14"/>
  <c r="F41" i="14"/>
  <c r="F160" i="14"/>
  <c r="M160" i="14"/>
  <c r="N160" i="14"/>
  <c r="I144" i="14"/>
  <c r="K144" i="14"/>
  <c r="Q144" i="14"/>
  <c r="P144" i="14"/>
  <c r="O233" i="14"/>
  <c r="H233" i="14"/>
  <c r="L233" i="14"/>
  <c r="S233" i="14"/>
  <c r="I217" i="14"/>
  <c r="M217" i="14"/>
  <c r="N217" i="14"/>
  <c r="G201" i="14"/>
  <c r="I201" i="14"/>
  <c r="Q201" i="14"/>
  <c r="P201" i="14"/>
  <c r="K185" i="14"/>
  <c r="F185" i="14"/>
  <c r="J185" i="14"/>
  <c r="R185" i="14"/>
  <c r="O169" i="14"/>
  <c r="H169" i="14"/>
  <c r="L169" i="14"/>
  <c r="I153" i="14"/>
  <c r="M153" i="14"/>
  <c r="N153" i="14"/>
  <c r="E140" i="20"/>
  <c r="I137" i="14"/>
  <c r="Q137" i="14"/>
  <c r="P137" i="14"/>
  <c r="G121" i="14"/>
  <c r="F121" i="14"/>
  <c r="J121" i="14"/>
  <c r="R121" i="14"/>
  <c r="G105" i="14"/>
  <c r="H105" i="14"/>
  <c r="L105" i="14"/>
  <c r="S105" i="14"/>
  <c r="I89" i="14"/>
  <c r="M89" i="14"/>
  <c r="N89" i="14"/>
  <c r="E76" i="20"/>
  <c r="I73" i="14"/>
  <c r="Q73" i="14"/>
  <c r="P73" i="14"/>
  <c r="G57" i="14"/>
  <c r="H57" i="14"/>
  <c r="J57" i="14"/>
  <c r="R57" i="14"/>
  <c r="G41" i="14"/>
  <c r="M41" i="14"/>
  <c r="L41" i="14"/>
  <c r="S41" i="14"/>
  <c r="O25" i="14"/>
  <c r="I25" i="14"/>
  <c r="P25" i="14"/>
  <c r="K9" i="14"/>
  <c r="F9" i="14"/>
  <c r="J9" i="14"/>
  <c r="R9" i="14"/>
  <c r="E245" i="20"/>
  <c r="L234" i="14"/>
  <c r="K234" i="14"/>
  <c r="R234" i="14"/>
  <c r="P218" i="14"/>
  <c r="M218" i="14"/>
  <c r="F202" i="14"/>
  <c r="J202" i="14"/>
  <c r="O202" i="14"/>
  <c r="E189" i="20"/>
  <c r="I186" i="14"/>
  <c r="Q186" i="14"/>
  <c r="H170" i="14"/>
  <c r="N170" i="14"/>
  <c r="S170" i="14"/>
  <c r="L154" i="14"/>
  <c r="K154" i="14"/>
  <c r="R154" i="14"/>
  <c r="P138" i="14"/>
  <c r="M138" i="14"/>
  <c r="L122" i="14"/>
  <c r="O122" i="14"/>
  <c r="P106" i="14"/>
  <c r="Q106" i="14"/>
  <c r="J90" i="14"/>
  <c r="S90" i="14"/>
  <c r="G74" i="14"/>
  <c r="R74" i="14"/>
  <c r="N58" i="14"/>
  <c r="E45" i="20"/>
  <c r="K42" i="14"/>
  <c r="L26" i="14"/>
  <c r="F10" i="14"/>
  <c r="M10" i="14"/>
  <c r="F227" i="14"/>
  <c r="S227" i="14"/>
  <c r="J211" i="14"/>
  <c r="P195" i="14"/>
  <c r="E182" i="20"/>
  <c r="M179" i="14"/>
  <c r="I163" i="14"/>
  <c r="H147" i="14"/>
  <c r="Q147" i="14"/>
  <c r="J131" i="14"/>
  <c r="E118" i="20"/>
  <c r="R115" i="14"/>
  <c r="R99" i="14"/>
  <c r="S83" i="14"/>
  <c r="Q67" i="14"/>
  <c r="O51" i="14"/>
  <c r="M35" i="14"/>
  <c r="Q19" i="14"/>
  <c r="R228" i="14"/>
  <c r="K212" i="14"/>
  <c r="K196" i="14"/>
  <c r="H180" i="14"/>
  <c r="I100" i="14"/>
  <c r="G52" i="14"/>
  <c r="N20" i="14"/>
  <c r="F143" i="14"/>
  <c r="G143" i="14"/>
  <c r="P143" i="14"/>
  <c r="O143" i="14"/>
  <c r="N143" i="14"/>
  <c r="I143" i="14"/>
  <c r="S143" i="14"/>
  <c r="Q143" i="14"/>
  <c r="H143" i="14"/>
  <c r="J143" i="14"/>
  <c r="K143" i="14"/>
  <c r="X11" i="14"/>
  <c r="W11" i="14"/>
  <c r="U11" i="14"/>
  <c r="V11" i="14"/>
  <c r="X27" i="14"/>
  <c r="W27" i="14"/>
  <c r="U27" i="14"/>
  <c r="V27" i="14"/>
  <c r="X43" i="14"/>
  <c r="W43" i="14"/>
  <c r="U43" i="14"/>
  <c r="V43" i="14"/>
  <c r="X59" i="14"/>
  <c r="W59" i="14"/>
  <c r="U59" i="14"/>
  <c r="X75" i="14"/>
  <c r="W75" i="14"/>
  <c r="U75" i="14"/>
  <c r="V75" i="14"/>
  <c r="X91" i="14"/>
  <c r="W91" i="14"/>
  <c r="V91" i="14"/>
  <c r="U91" i="14"/>
  <c r="X107" i="14"/>
  <c r="W107" i="14"/>
  <c r="V107" i="14"/>
  <c r="U107" i="14"/>
  <c r="X123" i="14"/>
  <c r="W123" i="14"/>
  <c r="V123" i="14"/>
  <c r="U123" i="14"/>
  <c r="X139" i="14"/>
  <c r="W139" i="14"/>
  <c r="V139" i="14"/>
  <c r="U139" i="14"/>
  <c r="X155" i="14"/>
  <c r="W155" i="14"/>
  <c r="V155" i="14"/>
  <c r="U155" i="14"/>
  <c r="W171" i="14"/>
  <c r="X171" i="14"/>
  <c r="V171" i="14"/>
  <c r="U171" i="14"/>
  <c r="W187" i="14"/>
  <c r="X187" i="14"/>
  <c r="V187" i="14"/>
  <c r="U187" i="14"/>
  <c r="W203" i="14"/>
  <c r="X203" i="14"/>
  <c r="V203" i="14"/>
  <c r="U203" i="14"/>
  <c r="W219" i="14"/>
  <c r="X219" i="14"/>
  <c r="V219" i="14"/>
  <c r="U219" i="14"/>
  <c r="W235" i="14"/>
  <c r="X235" i="14"/>
  <c r="V235" i="14"/>
  <c r="U235" i="14"/>
  <c r="X18" i="14"/>
  <c r="V18" i="14"/>
  <c r="W18" i="14"/>
  <c r="U18" i="14"/>
  <c r="X34" i="14"/>
  <c r="U34" i="14"/>
  <c r="X50" i="14"/>
  <c r="V50" i="14"/>
  <c r="U50" i="14"/>
  <c r="X66" i="14"/>
  <c r="V66" i="14"/>
  <c r="W66" i="14"/>
  <c r="U66" i="14"/>
  <c r="X82" i="14"/>
  <c r="V82" i="14"/>
  <c r="W82" i="14"/>
  <c r="U82" i="14"/>
  <c r="X98" i="14"/>
  <c r="V98" i="14"/>
  <c r="W98" i="14"/>
  <c r="U98" i="14"/>
  <c r="X114" i="14"/>
  <c r="V114" i="14"/>
  <c r="W114" i="14"/>
  <c r="U114" i="14"/>
  <c r="X130" i="14"/>
  <c r="V130" i="14"/>
  <c r="W130" i="14"/>
  <c r="U130" i="14"/>
  <c r="V146" i="14"/>
  <c r="X146" i="14"/>
  <c r="W146" i="14"/>
  <c r="U146" i="14"/>
  <c r="X162" i="14"/>
  <c r="W162" i="14"/>
  <c r="V162" i="14"/>
  <c r="U162" i="14"/>
  <c r="X178" i="14"/>
  <c r="W178" i="14"/>
  <c r="V178" i="14"/>
  <c r="U178" i="14"/>
  <c r="X194" i="14"/>
  <c r="W194" i="14"/>
  <c r="V194" i="14"/>
  <c r="U194" i="14"/>
  <c r="X210" i="14"/>
  <c r="W210" i="14"/>
  <c r="V210" i="14"/>
  <c r="U210" i="14"/>
  <c r="X226" i="14"/>
  <c r="W226" i="14"/>
  <c r="V226" i="14"/>
  <c r="U226" i="14"/>
  <c r="X17" i="14"/>
  <c r="V17" i="14"/>
  <c r="W17" i="14"/>
  <c r="U17" i="14"/>
  <c r="X33" i="14"/>
  <c r="V33" i="14"/>
  <c r="W33" i="14"/>
  <c r="U33" i="14"/>
  <c r="X49" i="14"/>
  <c r="V49" i="14"/>
  <c r="W49" i="14"/>
  <c r="U49" i="14"/>
  <c r="X65" i="14"/>
  <c r="V65" i="14"/>
  <c r="W65" i="14"/>
  <c r="U65" i="14"/>
  <c r="X81" i="14"/>
  <c r="V81" i="14"/>
  <c r="W81" i="14"/>
  <c r="U81" i="14"/>
  <c r="X97" i="14"/>
  <c r="V97" i="14"/>
  <c r="W97" i="14"/>
  <c r="U97" i="14"/>
  <c r="X113" i="14"/>
  <c r="V113" i="14"/>
  <c r="W113" i="14"/>
  <c r="U113" i="14"/>
  <c r="X129" i="14"/>
  <c r="V129" i="14"/>
  <c r="W129" i="14"/>
  <c r="U129" i="14"/>
  <c r="V145" i="14"/>
  <c r="X145" i="14"/>
  <c r="W145" i="14"/>
  <c r="U145" i="14"/>
  <c r="X161" i="14"/>
  <c r="V161" i="14"/>
  <c r="W161" i="14"/>
  <c r="U161" i="14"/>
  <c r="X177" i="14"/>
  <c r="V177" i="14"/>
  <c r="W177" i="14"/>
  <c r="U177" i="14"/>
  <c r="X193" i="14"/>
  <c r="V193" i="14"/>
  <c r="W193" i="14"/>
  <c r="U193" i="14"/>
  <c r="X209" i="14"/>
  <c r="V209" i="14"/>
  <c r="W209" i="14"/>
  <c r="U209" i="14"/>
  <c r="X225" i="14"/>
  <c r="V225" i="14"/>
  <c r="W225" i="14"/>
  <c r="U225" i="14"/>
  <c r="X12" i="14"/>
  <c r="W12" i="14"/>
  <c r="V12" i="14"/>
  <c r="U12" i="14"/>
  <c r="X28" i="14"/>
  <c r="W28" i="14"/>
  <c r="V28" i="14"/>
  <c r="U28" i="14"/>
  <c r="X44" i="14"/>
  <c r="W44" i="14"/>
  <c r="V44" i="14"/>
  <c r="U44" i="14"/>
  <c r="X60" i="14"/>
  <c r="W60" i="14"/>
  <c r="V60" i="14"/>
  <c r="U60" i="14"/>
  <c r="X76" i="14"/>
  <c r="W76" i="14"/>
  <c r="V76" i="14"/>
  <c r="U76" i="14"/>
  <c r="X92" i="14"/>
  <c r="W92" i="14"/>
  <c r="U92" i="14"/>
  <c r="V92" i="14"/>
  <c r="X108" i="14"/>
  <c r="W108" i="14"/>
  <c r="U108" i="14"/>
  <c r="V108" i="14"/>
  <c r="X124" i="14"/>
  <c r="W124" i="14"/>
  <c r="U124" i="14"/>
  <c r="V124" i="14"/>
  <c r="X140" i="14"/>
  <c r="W140" i="14"/>
  <c r="U140" i="14"/>
  <c r="V140" i="14"/>
  <c r="X152" i="14"/>
  <c r="W152" i="14"/>
  <c r="V152" i="14"/>
  <c r="U152" i="14"/>
  <c r="W172" i="14"/>
  <c r="X172" i="14"/>
  <c r="V172" i="14"/>
  <c r="U172" i="14"/>
  <c r="W188" i="14"/>
  <c r="X188" i="14"/>
  <c r="V188" i="14"/>
  <c r="U188" i="14"/>
  <c r="W204" i="14"/>
  <c r="X204" i="14"/>
  <c r="V204" i="14"/>
  <c r="U204" i="14"/>
  <c r="W220" i="14"/>
  <c r="X220" i="14"/>
  <c r="V220" i="14"/>
  <c r="U220" i="14"/>
  <c r="W236" i="14"/>
  <c r="X236" i="14"/>
  <c r="V236" i="14"/>
  <c r="U236" i="14"/>
  <c r="X15" i="14"/>
  <c r="W15" i="14"/>
  <c r="U15" i="14"/>
  <c r="X31" i="14"/>
  <c r="W31" i="14"/>
  <c r="U31" i="14"/>
  <c r="V31" i="14"/>
  <c r="X47" i="14"/>
  <c r="W47" i="14"/>
  <c r="U47" i="14"/>
  <c r="V47" i="14"/>
  <c r="X63" i="14"/>
  <c r="W63" i="14"/>
  <c r="U63" i="14"/>
  <c r="V63" i="14"/>
  <c r="X79" i="14"/>
  <c r="W79" i="14"/>
  <c r="V79" i="14"/>
  <c r="U79" i="14"/>
  <c r="X95" i="14"/>
  <c r="W95" i="14"/>
  <c r="V95" i="14"/>
  <c r="U95" i="14"/>
  <c r="X111" i="14"/>
  <c r="W111" i="14"/>
  <c r="V111" i="14"/>
  <c r="U111" i="14"/>
  <c r="X127" i="14"/>
  <c r="W127" i="14"/>
  <c r="V127" i="14"/>
  <c r="U127" i="14"/>
  <c r="X143" i="14"/>
  <c r="W143" i="14"/>
  <c r="V143" i="14"/>
  <c r="U143" i="14"/>
  <c r="W159" i="14"/>
  <c r="X159" i="14"/>
  <c r="V159" i="14"/>
  <c r="U159" i="14"/>
  <c r="W175" i="14"/>
  <c r="X175" i="14"/>
  <c r="V175" i="14"/>
  <c r="U175" i="14"/>
  <c r="W191" i="14"/>
  <c r="X191" i="14"/>
  <c r="V191" i="14"/>
  <c r="U191" i="14"/>
  <c r="X207" i="14"/>
  <c r="V207" i="14"/>
  <c r="U207" i="14"/>
  <c r="W223" i="14"/>
  <c r="X223" i="14"/>
  <c r="V223" i="14"/>
  <c r="U223" i="14"/>
  <c r="W239" i="14"/>
  <c r="X239" i="14"/>
  <c r="V239" i="14"/>
  <c r="U239" i="14"/>
  <c r="X22" i="14"/>
  <c r="V22" i="14"/>
  <c r="W22" i="14"/>
  <c r="U22" i="14"/>
  <c r="X38" i="14"/>
  <c r="V38" i="14"/>
  <c r="W38" i="14"/>
  <c r="U38" i="14"/>
  <c r="X54" i="14"/>
  <c r="V54" i="14"/>
  <c r="W54" i="14"/>
  <c r="U54" i="14"/>
  <c r="X70" i="14"/>
  <c r="V70" i="14"/>
  <c r="W70" i="14"/>
  <c r="U70" i="14"/>
  <c r="X86" i="14"/>
  <c r="V86" i="14"/>
  <c r="W86" i="14"/>
  <c r="U86" i="14"/>
  <c r="X102" i="14"/>
  <c r="V102" i="14"/>
  <c r="W102" i="14"/>
  <c r="U102" i="14"/>
  <c r="V118" i="14"/>
  <c r="W118" i="14"/>
  <c r="U118" i="14"/>
  <c r="X134" i="14"/>
  <c r="V134" i="14"/>
  <c r="W134" i="14"/>
  <c r="U134" i="14"/>
  <c r="X150" i="14"/>
  <c r="V150" i="14"/>
  <c r="W150" i="14"/>
  <c r="U150" i="14"/>
  <c r="X166" i="14"/>
  <c r="W166" i="14"/>
  <c r="V166" i="14"/>
  <c r="U166" i="14"/>
  <c r="X182" i="14"/>
  <c r="W182" i="14"/>
  <c r="V182" i="14"/>
  <c r="U182" i="14"/>
  <c r="X198" i="14"/>
  <c r="W198" i="14"/>
  <c r="V198" i="14"/>
  <c r="U198" i="14"/>
  <c r="X214" i="14"/>
  <c r="W214" i="14"/>
  <c r="V214" i="14"/>
  <c r="U214" i="14"/>
  <c r="X230" i="14"/>
  <c r="W230" i="14"/>
  <c r="V230" i="14"/>
  <c r="U230" i="14"/>
  <c r="W164" i="14"/>
  <c r="X164" i="14"/>
  <c r="V164" i="14"/>
  <c r="U164" i="14"/>
  <c r="X21" i="14"/>
  <c r="V21" i="14"/>
  <c r="W21" i="14"/>
  <c r="U21" i="14"/>
  <c r="X37" i="14"/>
  <c r="V37" i="14"/>
  <c r="W37" i="14"/>
  <c r="U37" i="14"/>
  <c r="X53" i="14"/>
  <c r="V53" i="14"/>
  <c r="W53" i="14"/>
  <c r="U53" i="14"/>
  <c r="X69" i="14"/>
  <c r="V69" i="14"/>
  <c r="W69" i="14"/>
  <c r="U69" i="14"/>
  <c r="X85" i="14"/>
  <c r="V85" i="14"/>
  <c r="W85" i="14"/>
  <c r="U85" i="14"/>
  <c r="X101" i="14"/>
  <c r="V101" i="14"/>
  <c r="W101" i="14"/>
  <c r="U101" i="14"/>
  <c r="X117" i="14"/>
  <c r="V117" i="14"/>
  <c r="W117" i="14"/>
  <c r="U117" i="14"/>
  <c r="X133" i="14"/>
  <c r="W133" i="14"/>
  <c r="U133" i="14"/>
  <c r="X149" i="14"/>
  <c r="V149" i="14"/>
  <c r="W149" i="14"/>
  <c r="U149" i="14"/>
  <c r="X165" i="14"/>
  <c r="V165" i="14"/>
  <c r="W165" i="14"/>
  <c r="U165" i="14"/>
  <c r="X181" i="14"/>
  <c r="V181" i="14"/>
  <c r="W181" i="14"/>
  <c r="U181" i="14"/>
  <c r="X197" i="14"/>
  <c r="V197" i="14"/>
  <c r="W197" i="14"/>
  <c r="U197" i="14"/>
  <c r="X213" i="14"/>
  <c r="V213" i="14"/>
  <c r="W213" i="14"/>
  <c r="U213" i="14"/>
  <c r="X229" i="14"/>
  <c r="V229" i="14"/>
  <c r="W229" i="14"/>
  <c r="U229" i="14"/>
  <c r="X16" i="14"/>
  <c r="W16" i="14"/>
  <c r="V16" i="14"/>
  <c r="U16" i="14"/>
  <c r="X32" i="14"/>
  <c r="W32" i="14"/>
  <c r="V32" i="14"/>
  <c r="U32" i="14"/>
  <c r="X48" i="14"/>
  <c r="W48" i="14"/>
  <c r="U48" i="14"/>
  <c r="V48" i="14"/>
  <c r="X64" i="14"/>
  <c r="W64" i="14"/>
  <c r="U64" i="14"/>
  <c r="V64" i="14"/>
  <c r="X80" i="14"/>
  <c r="W80" i="14"/>
  <c r="U80" i="14"/>
  <c r="V80" i="14"/>
  <c r="X96" i="14"/>
  <c r="W96" i="14"/>
  <c r="U96" i="14"/>
  <c r="V96" i="14"/>
  <c r="X112" i="14"/>
  <c r="W112" i="14"/>
  <c r="U112" i="14"/>
  <c r="V112" i="14"/>
  <c r="X128" i="14"/>
  <c r="W128" i="14"/>
  <c r="U128" i="14"/>
  <c r="V128" i="14"/>
  <c r="X156" i="14"/>
  <c r="W156" i="14"/>
  <c r="U156" i="14"/>
  <c r="V156" i="14"/>
  <c r="W176" i="14"/>
  <c r="X176" i="14"/>
  <c r="U176" i="14"/>
  <c r="V176" i="14"/>
  <c r="W192" i="14"/>
  <c r="X192" i="14"/>
  <c r="U192" i="14"/>
  <c r="V192" i="14"/>
  <c r="W208" i="14"/>
  <c r="X208" i="14"/>
  <c r="U208" i="14"/>
  <c r="V208" i="14"/>
  <c r="W224" i="14"/>
  <c r="X224" i="14"/>
  <c r="U224" i="14"/>
  <c r="V224" i="14"/>
  <c r="W240" i="14"/>
  <c r="X240" i="14"/>
  <c r="U240" i="14"/>
  <c r="V240" i="14"/>
  <c r="K53" i="13"/>
  <c r="X19" i="14"/>
  <c r="W19" i="14"/>
  <c r="U19" i="14"/>
  <c r="V19" i="14"/>
  <c r="X35" i="14"/>
  <c r="W35" i="14"/>
  <c r="U35" i="14"/>
  <c r="V35" i="14"/>
  <c r="X51" i="14"/>
  <c r="W51" i="14"/>
  <c r="U51" i="14"/>
  <c r="V51" i="14"/>
  <c r="X67" i="14"/>
  <c r="W67" i="14"/>
  <c r="U67" i="14"/>
  <c r="V67" i="14"/>
  <c r="X83" i="14"/>
  <c r="W83" i="14"/>
  <c r="V83" i="14"/>
  <c r="U83" i="14"/>
  <c r="X99" i="14"/>
  <c r="W99" i="14"/>
  <c r="V99" i="14"/>
  <c r="U99" i="14"/>
  <c r="X115" i="14"/>
  <c r="W115" i="14"/>
  <c r="V115" i="14"/>
  <c r="U115" i="14"/>
  <c r="X131" i="14"/>
  <c r="W131" i="14"/>
  <c r="V131" i="14"/>
  <c r="U131" i="14"/>
  <c r="X147" i="14"/>
  <c r="W147" i="14"/>
  <c r="V147" i="14"/>
  <c r="U147" i="14"/>
  <c r="W163" i="14"/>
  <c r="X163" i="14"/>
  <c r="V163" i="14"/>
  <c r="U163" i="14"/>
  <c r="W179" i="14"/>
  <c r="X179" i="14"/>
  <c r="V179" i="14"/>
  <c r="U179" i="14"/>
  <c r="W195" i="14"/>
  <c r="X195" i="14"/>
  <c r="V195" i="14"/>
  <c r="U195" i="14"/>
  <c r="W211" i="14"/>
  <c r="X211" i="14"/>
  <c r="V211" i="14"/>
  <c r="U211" i="14"/>
  <c r="W227" i="14"/>
  <c r="X227" i="14"/>
  <c r="V227" i="14"/>
  <c r="U227" i="14"/>
  <c r="X10" i="14"/>
  <c r="V10" i="14"/>
  <c r="W10" i="14"/>
  <c r="U10" i="14"/>
  <c r="X26" i="14"/>
  <c r="V26" i="14"/>
  <c r="W26" i="14"/>
  <c r="U26" i="14"/>
  <c r="X42" i="14"/>
  <c r="V42" i="14"/>
  <c r="W42" i="14"/>
  <c r="U42" i="14"/>
  <c r="X58" i="14"/>
  <c r="V58" i="14"/>
  <c r="W58" i="14"/>
  <c r="U58" i="14"/>
  <c r="X74" i="14"/>
  <c r="V74" i="14"/>
  <c r="W74" i="14"/>
  <c r="U74" i="14"/>
  <c r="X90" i="14"/>
  <c r="V90" i="14"/>
  <c r="W90" i="14"/>
  <c r="U90" i="14"/>
  <c r="X106" i="14"/>
  <c r="V106" i="14"/>
  <c r="W106" i="14"/>
  <c r="U106" i="14"/>
  <c r="X122" i="14"/>
  <c r="V122" i="14"/>
  <c r="W122" i="14"/>
  <c r="U122" i="14"/>
  <c r="X138" i="14"/>
  <c r="V138" i="14"/>
  <c r="W138" i="14"/>
  <c r="U138" i="14"/>
  <c r="V154" i="14"/>
  <c r="X154" i="14"/>
  <c r="W154" i="14"/>
  <c r="U154" i="14"/>
  <c r="X170" i="14"/>
  <c r="W170" i="14"/>
  <c r="V170" i="14"/>
  <c r="U170" i="14"/>
  <c r="X186" i="14"/>
  <c r="W186" i="14"/>
  <c r="V186" i="14"/>
  <c r="U186" i="14"/>
  <c r="X202" i="14"/>
  <c r="W202" i="14"/>
  <c r="V202" i="14"/>
  <c r="U202" i="14"/>
  <c r="X218" i="14"/>
  <c r="W218" i="14"/>
  <c r="V218" i="14"/>
  <c r="U218" i="14"/>
  <c r="X234" i="14"/>
  <c r="W234" i="14"/>
  <c r="V234" i="14"/>
  <c r="U234" i="14"/>
  <c r="X9" i="14"/>
  <c r="V9" i="14"/>
  <c r="W9" i="14"/>
  <c r="U9" i="14"/>
  <c r="X25" i="14"/>
  <c r="V25" i="14"/>
  <c r="W25" i="14"/>
  <c r="U25" i="14"/>
  <c r="X41" i="14"/>
  <c r="V41" i="14"/>
  <c r="W41" i="14"/>
  <c r="U41" i="14"/>
  <c r="X57" i="14"/>
  <c r="V57" i="14"/>
  <c r="W57" i="14"/>
  <c r="U57" i="14"/>
  <c r="X73" i="14"/>
  <c r="V73" i="14"/>
  <c r="W73" i="14"/>
  <c r="U73" i="14"/>
  <c r="X89" i="14"/>
  <c r="V89" i="14"/>
  <c r="W89" i="14"/>
  <c r="U89" i="14"/>
  <c r="X105" i="14"/>
  <c r="V105" i="14"/>
  <c r="W105" i="14"/>
  <c r="U105" i="14"/>
  <c r="X121" i="14"/>
  <c r="V121" i="14"/>
  <c r="W121" i="14"/>
  <c r="U121" i="14"/>
  <c r="X137" i="14"/>
  <c r="V137" i="14"/>
  <c r="W137" i="14"/>
  <c r="U137" i="14"/>
  <c r="V153" i="14"/>
  <c r="X153" i="14"/>
  <c r="W153" i="14"/>
  <c r="U153" i="14"/>
  <c r="X169" i="14"/>
  <c r="V169" i="14"/>
  <c r="W169" i="14"/>
  <c r="U169" i="14"/>
  <c r="X185" i="14"/>
  <c r="V185" i="14"/>
  <c r="W185" i="14"/>
  <c r="U185" i="14"/>
  <c r="X201" i="14"/>
  <c r="V201" i="14"/>
  <c r="W201" i="14"/>
  <c r="U201" i="14"/>
  <c r="X217" i="14"/>
  <c r="V217" i="14"/>
  <c r="W217" i="14"/>
  <c r="U217" i="14"/>
  <c r="X233" i="14"/>
  <c r="V233" i="14"/>
  <c r="W233" i="14"/>
  <c r="U233" i="14"/>
  <c r="X20" i="14"/>
  <c r="W20" i="14"/>
  <c r="V20" i="14"/>
  <c r="U20" i="14"/>
  <c r="X36" i="14"/>
  <c r="W36" i="14"/>
  <c r="V36" i="14"/>
  <c r="U36" i="14"/>
  <c r="X52" i="14"/>
  <c r="W52" i="14"/>
  <c r="V52" i="14"/>
  <c r="U52" i="14"/>
  <c r="X68" i="14"/>
  <c r="W68" i="14"/>
  <c r="V68" i="14"/>
  <c r="U68" i="14"/>
  <c r="X84" i="14"/>
  <c r="W84" i="14"/>
  <c r="V84" i="14"/>
  <c r="U84" i="14"/>
  <c r="X100" i="14"/>
  <c r="W100" i="14"/>
  <c r="V100" i="14"/>
  <c r="U100" i="14"/>
  <c r="X116" i="14"/>
  <c r="W116" i="14"/>
  <c r="V116" i="14"/>
  <c r="U116" i="14"/>
  <c r="X132" i="14"/>
  <c r="W132" i="14"/>
  <c r="V132" i="14"/>
  <c r="U132" i="14"/>
  <c r="X144" i="14"/>
  <c r="W144" i="14"/>
  <c r="U144" i="14"/>
  <c r="V144" i="14"/>
  <c r="W160" i="14"/>
  <c r="X160" i="14"/>
  <c r="U160" i="14"/>
  <c r="V160" i="14"/>
  <c r="W180" i="14"/>
  <c r="X180" i="14"/>
  <c r="V180" i="14"/>
  <c r="U180" i="14"/>
  <c r="W196" i="14"/>
  <c r="X196" i="14"/>
  <c r="V196" i="14"/>
  <c r="U196" i="14"/>
  <c r="W212" i="14"/>
  <c r="X212" i="14"/>
  <c r="V212" i="14"/>
  <c r="U212" i="14"/>
  <c r="W228" i="14"/>
  <c r="X228" i="14"/>
  <c r="V228" i="14"/>
  <c r="U228" i="14"/>
  <c r="X7" i="14"/>
  <c r="W7" i="14"/>
  <c r="U7" i="14"/>
  <c r="V7" i="14"/>
  <c r="X23" i="14"/>
  <c r="W23" i="14"/>
  <c r="U23" i="14"/>
  <c r="V23" i="14"/>
  <c r="X39" i="14"/>
  <c r="W39" i="14"/>
  <c r="U39" i="14"/>
  <c r="V39" i="14"/>
  <c r="X55" i="14"/>
  <c r="W55" i="14"/>
  <c r="U55" i="14"/>
  <c r="V55" i="14"/>
  <c r="X71" i="14"/>
  <c r="W71" i="14"/>
  <c r="U71" i="14"/>
  <c r="V71" i="14"/>
  <c r="X87" i="14"/>
  <c r="W87" i="14"/>
  <c r="V87" i="14"/>
  <c r="U87" i="14"/>
  <c r="X103" i="14"/>
  <c r="W103" i="14"/>
  <c r="V103" i="14"/>
  <c r="U103" i="14"/>
  <c r="X119" i="14"/>
  <c r="W119" i="14"/>
  <c r="V119" i="14"/>
  <c r="U119" i="14"/>
  <c r="X135" i="14"/>
  <c r="W135" i="14"/>
  <c r="V135" i="14"/>
  <c r="U135" i="14"/>
  <c r="X151" i="14"/>
  <c r="W151" i="14"/>
  <c r="V151" i="14"/>
  <c r="U151" i="14"/>
  <c r="W167" i="14"/>
  <c r="X167" i="14"/>
  <c r="V167" i="14"/>
  <c r="U167" i="14"/>
  <c r="W183" i="14"/>
  <c r="X183" i="14"/>
  <c r="V183" i="14"/>
  <c r="U183" i="14"/>
  <c r="W199" i="14"/>
  <c r="X199" i="14"/>
  <c r="V199" i="14"/>
  <c r="U199" i="14"/>
  <c r="W215" i="14"/>
  <c r="X215" i="14"/>
  <c r="V215" i="14"/>
  <c r="U215" i="14"/>
  <c r="W231" i="14"/>
  <c r="X231" i="14"/>
  <c r="V231" i="14"/>
  <c r="U231" i="14"/>
  <c r="X14" i="14"/>
  <c r="V14" i="14"/>
  <c r="W14" i="14"/>
  <c r="U14" i="14"/>
  <c r="X30" i="14"/>
  <c r="V30" i="14"/>
  <c r="W30" i="14"/>
  <c r="U30" i="14"/>
  <c r="X46" i="14"/>
  <c r="V46" i="14"/>
  <c r="W46" i="14"/>
  <c r="U46" i="14"/>
  <c r="X62" i="14"/>
  <c r="V62" i="14"/>
  <c r="W62" i="14"/>
  <c r="U62" i="14"/>
  <c r="X78" i="14"/>
  <c r="V78" i="14"/>
  <c r="W78" i="14"/>
  <c r="U78" i="14"/>
  <c r="X94" i="14"/>
  <c r="V94" i="14"/>
  <c r="W94" i="14"/>
  <c r="U94" i="14"/>
  <c r="X110" i="14"/>
  <c r="V110" i="14"/>
  <c r="W110" i="14"/>
  <c r="U110" i="14"/>
  <c r="X126" i="14"/>
  <c r="V126" i="14"/>
  <c r="W126" i="14"/>
  <c r="U126" i="14"/>
  <c r="X142" i="14"/>
  <c r="V142" i="14"/>
  <c r="W142" i="14"/>
  <c r="U142" i="14"/>
  <c r="X158" i="14"/>
  <c r="V158" i="14"/>
  <c r="W158" i="14"/>
  <c r="U158" i="14"/>
  <c r="X174" i="14"/>
  <c r="W174" i="14"/>
  <c r="V174" i="14"/>
  <c r="U174" i="14"/>
  <c r="X190" i="14"/>
  <c r="W190" i="14"/>
  <c r="V190" i="14"/>
  <c r="U190" i="14"/>
  <c r="X206" i="14"/>
  <c r="W206" i="14"/>
  <c r="V206" i="14"/>
  <c r="U206" i="14"/>
  <c r="X222" i="14"/>
  <c r="W222" i="14"/>
  <c r="V222" i="14"/>
  <c r="U222" i="14"/>
  <c r="X238" i="14"/>
  <c r="W238" i="14"/>
  <c r="V238" i="14"/>
  <c r="U238" i="14"/>
  <c r="X13" i="14"/>
  <c r="V13" i="14"/>
  <c r="W13" i="14"/>
  <c r="U13" i="14"/>
  <c r="X29" i="14"/>
  <c r="V29" i="14"/>
  <c r="W29" i="14"/>
  <c r="U29" i="14"/>
  <c r="X45" i="14"/>
  <c r="V45" i="14"/>
  <c r="W45" i="14"/>
  <c r="U45" i="14"/>
  <c r="X61" i="14"/>
  <c r="V61" i="14"/>
  <c r="W61" i="14"/>
  <c r="U61" i="14"/>
  <c r="X77" i="14"/>
  <c r="V77" i="14"/>
  <c r="W77" i="14"/>
  <c r="U77" i="14"/>
  <c r="X93" i="14"/>
  <c r="V93" i="14"/>
  <c r="W93" i="14"/>
  <c r="U93" i="14"/>
  <c r="X109" i="14"/>
  <c r="V109" i="14"/>
  <c r="W109" i="14"/>
  <c r="U109" i="14"/>
  <c r="X125" i="14"/>
  <c r="V125" i="14"/>
  <c r="W125" i="14"/>
  <c r="U125" i="14"/>
  <c r="X141" i="14"/>
  <c r="V141" i="14"/>
  <c r="W141" i="14"/>
  <c r="U141" i="14"/>
  <c r="X157" i="14"/>
  <c r="V157" i="14"/>
  <c r="W157" i="14"/>
  <c r="U157" i="14"/>
  <c r="X173" i="14"/>
  <c r="V173" i="14"/>
  <c r="W173" i="14"/>
  <c r="U173" i="14"/>
  <c r="X189" i="14"/>
  <c r="V189" i="14"/>
  <c r="W189" i="14"/>
  <c r="U189" i="14"/>
  <c r="X205" i="14"/>
  <c r="V205" i="14"/>
  <c r="W205" i="14"/>
  <c r="U205" i="14"/>
  <c r="X221" i="14"/>
  <c r="V221" i="14"/>
  <c r="W221" i="14"/>
  <c r="U221" i="14"/>
  <c r="X237" i="14"/>
  <c r="V237" i="14"/>
  <c r="W237" i="14"/>
  <c r="U237" i="14"/>
  <c r="X8" i="14"/>
  <c r="W8" i="14"/>
  <c r="V8" i="14"/>
  <c r="U8" i="14"/>
  <c r="X24" i="14"/>
  <c r="W24" i="14"/>
  <c r="V24" i="14"/>
  <c r="U24" i="14"/>
  <c r="X40" i="14"/>
  <c r="W40" i="14"/>
  <c r="V40" i="14"/>
  <c r="U40" i="14"/>
  <c r="X56" i="14"/>
  <c r="W56" i="14"/>
  <c r="U56" i="14"/>
  <c r="V56" i="14"/>
  <c r="X72" i="14"/>
  <c r="W72" i="14"/>
  <c r="U72" i="14"/>
  <c r="V72" i="14"/>
  <c r="X88" i="14"/>
  <c r="W88" i="14"/>
  <c r="V88" i="14"/>
  <c r="U88" i="14"/>
  <c r="X104" i="14"/>
  <c r="W104" i="14"/>
  <c r="V104" i="14"/>
  <c r="U104" i="14"/>
  <c r="X120" i="14"/>
  <c r="W120" i="14"/>
  <c r="V120" i="14"/>
  <c r="U120" i="14"/>
  <c r="X136" i="14"/>
  <c r="W136" i="14"/>
  <c r="V136" i="14"/>
  <c r="U136" i="14"/>
  <c r="X148" i="14"/>
  <c r="W148" i="14"/>
  <c r="V148" i="14"/>
  <c r="U148" i="14"/>
  <c r="W168" i="14"/>
  <c r="X168" i="14"/>
  <c r="U168" i="14"/>
  <c r="V168" i="14"/>
  <c r="W184" i="14"/>
  <c r="X184" i="14"/>
  <c r="U184" i="14"/>
  <c r="V184" i="14"/>
  <c r="W200" i="14"/>
  <c r="X200" i="14"/>
  <c r="U200" i="14"/>
  <c r="V200" i="14"/>
  <c r="W216" i="14"/>
  <c r="X216" i="14"/>
  <c r="U216" i="14"/>
  <c r="V216" i="14"/>
  <c r="W232" i="14"/>
  <c r="X232" i="14"/>
  <c r="U232" i="14"/>
  <c r="V232" i="14"/>
  <c r="V15" i="14"/>
  <c r="W207" i="14"/>
  <c r="V34" i="14"/>
  <c r="W34" i="14"/>
  <c r="W50" i="14"/>
  <c r="V133" i="14"/>
  <c r="X118" i="14"/>
  <c r="V59" i="14"/>
  <c r="E208" i="14"/>
  <c r="E80" i="14"/>
  <c r="E32" i="14"/>
  <c r="E169" i="14"/>
  <c r="E89" i="14"/>
  <c r="E25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06" i="14"/>
  <c r="E227" i="14"/>
  <c r="E212" i="14"/>
  <c r="E196" i="14"/>
  <c r="E148" i="14"/>
  <c r="E109" i="14"/>
  <c r="E29" i="14"/>
  <c r="E13" i="14"/>
  <c r="E182" i="14"/>
  <c r="E118" i="14"/>
  <c r="E54" i="14"/>
  <c r="E191" i="14"/>
  <c r="E143" i="14"/>
  <c r="E79" i="14"/>
  <c r="E224" i="14"/>
  <c r="E96" i="14"/>
  <c r="E48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164" i="14"/>
  <c r="E205" i="14"/>
  <c r="E198" i="14"/>
  <c r="E134" i="14"/>
  <c r="E70" i="14"/>
  <c r="E207" i="14"/>
  <c r="E95" i="14"/>
  <c r="E240" i="14"/>
  <c r="E176" i="14"/>
  <c r="E112" i="14"/>
  <c r="E153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11" i="14"/>
  <c r="E15" i="14"/>
  <c r="E192" i="14"/>
  <c r="E128" i="14"/>
  <c r="E64" i="14"/>
  <c r="E16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138" i="14"/>
  <c r="E211" i="14"/>
  <c r="E237" i="14"/>
  <c r="E221" i="14"/>
  <c r="E189" i="14"/>
  <c r="E45" i="14"/>
  <c r="E230" i="14"/>
  <c r="E166" i="14"/>
  <c r="E102" i="14"/>
  <c r="E38" i="14"/>
  <c r="E239" i="14"/>
  <c r="E175" i="14"/>
  <c r="E127" i="14"/>
  <c r="E51" i="14" l="1"/>
  <c r="E90" i="14"/>
  <c r="E144" i="14"/>
  <c r="E195" i="14"/>
  <c r="E202" i="14"/>
  <c r="E217" i="14"/>
  <c r="E63" i="14"/>
  <c r="E58" i="14"/>
  <c r="E180" i="14"/>
  <c r="E31" i="14"/>
  <c r="E147" i="14"/>
  <c r="E47" i="14"/>
  <c r="E116" i="14"/>
  <c r="E159" i="14"/>
  <c r="E186" i="14"/>
  <c r="E185" i="14"/>
  <c r="E132" i="14"/>
  <c r="E35" i="14"/>
  <c r="E201" i="14"/>
  <c r="E115" i="14"/>
  <c r="E42" i="14"/>
  <c r="E20" i="14"/>
  <c r="E170" i="14"/>
  <c r="E160" i="14"/>
  <c r="E26" i="14"/>
  <c r="E74" i="14"/>
  <c r="E36" i="14"/>
  <c r="E84" i="14"/>
  <c r="E99" i="14"/>
  <c r="E233" i="14"/>
  <c r="E52" i="14"/>
  <c r="E73" i="14"/>
  <c r="E131" i="14"/>
  <c r="E234" i="14"/>
  <c r="E19" i="14"/>
  <c r="E154" i="14"/>
  <c r="E10" i="14"/>
  <c r="E57" i="14"/>
  <c r="E163" i="14"/>
  <c r="E9" i="14"/>
  <c r="E68" i="14"/>
  <c r="E83" i="14"/>
  <c r="E100" i="14"/>
  <c r="E179" i="14"/>
  <c r="E137" i="14"/>
  <c r="E67" i="14"/>
  <c r="E121" i="14"/>
  <c r="E228" i="14"/>
  <c r="E122" i="14"/>
  <c r="E105" i="14"/>
  <c r="A2" i="17"/>
  <c r="F4" i="14" l="1"/>
  <c r="E4" i="14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H12" i="13"/>
  <c r="I12" i="13"/>
  <c r="B12" i="13" l="1"/>
  <c r="A5" i="17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F12" i="13" l="1"/>
  <c r="D183" i="9"/>
  <c r="D199" i="9"/>
  <c r="D215" i="9"/>
  <c r="D247" i="9"/>
  <c r="D169" i="9"/>
  <c r="D155" i="9"/>
  <c r="D59" i="9"/>
  <c r="D107" i="9"/>
  <c r="D9" i="20"/>
  <c r="A12" i="13"/>
  <c r="C12" i="13" l="1"/>
  <c r="C9" i="20"/>
  <c r="B9" i="20"/>
  <c r="C2" i="14" l="1"/>
  <c r="D5" i="17" l="1"/>
  <c r="B5" i="17" l="1"/>
  <c r="C6" i="14" l="1"/>
  <c r="B6" i="14"/>
  <c r="D3" i="14"/>
  <c r="D2" i="14"/>
  <c r="E9" i="20" l="1"/>
  <c r="V6" i="14" l="1"/>
  <c r="U6" i="14"/>
  <c r="X6" i="14"/>
  <c r="W6" i="14"/>
  <c r="F7" i="6"/>
  <c r="F6" i="6"/>
  <c r="F5" i="6"/>
  <c r="H5" i="6" l="1"/>
  <c r="G5" i="6"/>
  <c r="H7" i="6"/>
  <c r="G7" i="6"/>
  <c r="K12" i="13"/>
  <c r="D4" i="9" s="1"/>
  <c r="C12" i="10" l="1"/>
  <c r="C11" i="10"/>
  <c r="K10" i="13" l="1"/>
  <c r="E6" i="14" l="1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AM10" i="13" l="1"/>
  <c r="W10" i="13"/>
  <c r="F4" i="6"/>
  <c r="G6" i="6" s="1"/>
  <c r="AO10" i="13"/>
  <c r="AC10" i="13"/>
  <c r="O10" i="13"/>
  <c r="U10" i="13"/>
  <c r="S10" i="13"/>
  <c r="AG10" i="13"/>
  <c r="AE10" i="13"/>
  <c r="AI10" i="13"/>
  <c r="Y10" i="13"/>
  <c r="AA10" i="13"/>
  <c r="AK10" i="13"/>
  <c r="AQ10" i="13" l="1"/>
  <c r="Q10" i="13"/>
  <c r="E11" i="10"/>
  <c r="F8" i="6"/>
  <c r="F10" i="6"/>
  <c r="H6" i="6" s="1"/>
  <c r="AS10" i="13"/>
  <c r="AU10" i="13"/>
  <c r="F9" i="6" l="1"/>
  <c r="G63" i="13" s="1"/>
  <c r="M8" i="13"/>
  <c r="H66" i="13"/>
  <c r="H77" i="13"/>
  <c r="I79" i="13"/>
  <c r="G121" i="13"/>
  <c r="H122" i="13"/>
  <c r="I123" i="13"/>
  <c r="I125" i="13"/>
  <c r="H159" i="13"/>
  <c r="G34" i="13"/>
  <c r="I66" i="13"/>
  <c r="H95" i="13"/>
  <c r="H97" i="13"/>
  <c r="H121" i="13"/>
  <c r="I122" i="13"/>
  <c r="G124" i="13"/>
  <c r="H161" i="13"/>
  <c r="I162" i="13"/>
  <c r="G194" i="13"/>
  <c r="H34" i="13"/>
  <c r="G47" i="13"/>
  <c r="I51" i="13"/>
  <c r="I95" i="13"/>
  <c r="I99" i="13"/>
  <c r="I101" i="13"/>
  <c r="G107" i="13"/>
  <c r="G123" i="13"/>
  <c r="H124" i="13"/>
  <c r="H153" i="13"/>
  <c r="G66" i="13"/>
  <c r="G92" i="13"/>
  <c r="H94" i="13"/>
  <c r="G122" i="13"/>
  <c r="H123" i="13"/>
  <c r="I124" i="13"/>
  <c r="H154" i="13"/>
  <c r="H170" i="13"/>
  <c r="H186" i="13"/>
  <c r="G188" i="13"/>
  <c r="E21" i="13"/>
  <c r="E33" i="13"/>
  <c r="G38" i="13"/>
  <c r="E41" i="13"/>
  <c r="G42" i="13"/>
  <c r="G46" i="13"/>
  <c r="G50" i="13"/>
  <c r="I52" i="13"/>
  <c r="H53" i="13"/>
  <c r="H57" i="13"/>
  <c r="G58" i="13"/>
  <c r="E65" i="13"/>
  <c r="I68" i="13"/>
  <c r="H73" i="13"/>
  <c r="E14" i="13"/>
  <c r="E26" i="13"/>
  <c r="H38" i="13"/>
  <c r="G39" i="13"/>
  <c r="E50" i="13"/>
  <c r="G55" i="13"/>
  <c r="E58" i="13"/>
  <c r="H58" i="13"/>
  <c r="E66" i="13"/>
  <c r="G67" i="13"/>
  <c r="H70" i="13"/>
  <c r="E15" i="13"/>
  <c r="G24" i="13"/>
  <c r="H31" i="13"/>
  <c r="I38" i="13"/>
  <c r="H39" i="13"/>
  <c r="E47" i="13"/>
  <c r="G48" i="13"/>
  <c r="G52" i="13"/>
  <c r="I58" i="13"/>
  <c r="E59" i="13"/>
  <c r="E67" i="13"/>
  <c r="H67" i="13"/>
  <c r="G68" i="13"/>
  <c r="E16" i="13"/>
  <c r="G25" i="13"/>
  <c r="H32" i="13"/>
  <c r="E44" i="13"/>
  <c r="H48" i="13"/>
  <c r="E52" i="13"/>
  <c r="H52" i="13"/>
  <c r="G57" i="13"/>
  <c r="I59" i="13"/>
  <c r="E64" i="13"/>
  <c r="I67" i="13"/>
  <c r="H68" i="13"/>
  <c r="G69" i="13"/>
  <c r="G73" i="13"/>
  <c r="E78" i="13"/>
  <c r="G79" i="13"/>
  <c r="H82" i="13"/>
  <c r="G91" i="13"/>
  <c r="H98" i="13"/>
  <c r="G99" i="13"/>
  <c r="G103" i="13"/>
  <c r="E106" i="13"/>
  <c r="E114" i="13"/>
  <c r="G115" i="13"/>
  <c r="E126" i="13"/>
  <c r="G131" i="13"/>
  <c r="G135" i="13"/>
  <c r="I137" i="13"/>
  <c r="G139" i="13"/>
  <c r="I141" i="13"/>
  <c r="H142" i="13"/>
  <c r="G143" i="13"/>
  <c r="I149" i="13"/>
  <c r="E150" i="13"/>
  <c r="H150" i="13"/>
  <c r="G155" i="13"/>
  <c r="H79" i="13"/>
  <c r="G80" i="13"/>
  <c r="I82" i="13"/>
  <c r="E91" i="13"/>
  <c r="H91" i="13"/>
  <c r="E99" i="13"/>
  <c r="H103" i="13"/>
  <c r="G108" i="13"/>
  <c r="E111" i="13"/>
  <c r="G116" i="13"/>
  <c r="G120" i="13"/>
  <c r="E127" i="13"/>
  <c r="E76" i="13"/>
  <c r="H80" i="13"/>
  <c r="G81" i="13"/>
  <c r="G93" i="13"/>
  <c r="I103" i="13"/>
  <c r="E108" i="13"/>
  <c r="H108" i="13"/>
  <c r="H112" i="13"/>
  <c r="G113" i="13"/>
  <c r="E124" i="13"/>
  <c r="G129" i="13"/>
  <c r="H101" i="13"/>
  <c r="H113" i="13"/>
  <c r="H129" i="13"/>
  <c r="I132" i="13"/>
  <c r="E133" i="13"/>
  <c r="H136" i="13"/>
  <c r="I142" i="13"/>
  <c r="G148" i="13"/>
  <c r="I150" i="13"/>
  <c r="G160" i="13"/>
  <c r="H171" i="13"/>
  <c r="I174" i="13"/>
  <c r="G82" i="13"/>
  <c r="E101" i="13"/>
  <c r="E125" i="13"/>
  <c r="G134" i="13"/>
  <c r="I135" i="13"/>
  <c r="I136" i="13"/>
  <c r="E137" i="13"/>
  <c r="H139" i="13"/>
  <c r="H140" i="13"/>
  <c r="H147" i="13"/>
  <c r="E148" i="13"/>
  <c r="H148" i="13"/>
  <c r="G152" i="13"/>
  <c r="G154" i="13"/>
  <c r="G90" i="13"/>
  <c r="G98" i="13"/>
  <c r="G132" i="13"/>
  <c r="I139" i="13"/>
  <c r="I140" i="13"/>
  <c r="H143" i="13"/>
  <c r="E144" i="13"/>
  <c r="H144" i="13"/>
  <c r="I148" i="13"/>
  <c r="H149" i="13"/>
  <c r="E152" i="13"/>
  <c r="G153" i="13"/>
  <c r="G158" i="13"/>
  <c r="G166" i="13"/>
  <c r="H173" i="13"/>
  <c r="I176" i="13"/>
  <c r="E181" i="13"/>
  <c r="H185" i="13"/>
  <c r="H189" i="13"/>
  <c r="G190" i="13"/>
  <c r="H197" i="13"/>
  <c r="G198" i="13"/>
  <c r="H132" i="13"/>
  <c r="G133" i="13"/>
  <c r="E162" i="13"/>
  <c r="I175" i="13"/>
  <c r="H176" i="13"/>
  <c r="G184" i="13"/>
  <c r="H190" i="13"/>
  <c r="G192" i="13"/>
  <c r="E194" i="13"/>
  <c r="G196" i="13"/>
  <c r="G202" i="13"/>
  <c r="G94" i="13"/>
  <c r="G163" i="13"/>
  <c r="H174" i="13"/>
  <c r="E184" i="13"/>
  <c r="H184" i="13"/>
  <c r="E192" i="13"/>
  <c r="H192" i="13"/>
  <c r="H196" i="13"/>
  <c r="G199" i="13"/>
  <c r="G203" i="13"/>
  <c r="G207" i="13"/>
  <c r="G110" i="13"/>
  <c r="I144" i="13"/>
  <c r="G159" i="13"/>
  <c r="H160" i="13"/>
  <c r="G171" i="13"/>
  <c r="G175" i="13"/>
  <c r="G180" i="13"/>
  <c r="H198" i="13"/>
  <c r="H199" i="13"/>
  <c r="G200" i="13"/>
  <c r="E203" i="13"/>
  <c r="G204" i="13"/>
  <c r="E207" i="13"/>
  <c r="G78" i="13"/>
  <c r="E105" i="13"/>
  <c r="H131" i="13"/>
  <c r="I143" i="13"/>
  <c r="H145" i="13"/>
  <c r="E153" i="13"/>
  <c r="E160" i="13"/>
  <c r="G165" i="13"/>
  <c r="E166" i="13"/>
  <c r="G167" i="13"/>
  <c r="E175" i="13"/>
  <c r="H175" i="13"/>
  <c r="G176" i="13"/>
  <c r="E180" i="13"/>
  <c r="G183" i="13"/>
  <c r="G185" i="13"/>
  <c r="E186" i="13"/>
  <c r="E188" i="13"/>
  <c r="G191" i="13"/>
  <c r="G195" i="13"/>
  <c r="G197" i="13"/>
  <c r="E198" i="13"/>
  <c r="E200" i="13"/>
  <c r="H200" i="13"/>
  <c r="E204" i="13"/>
  <c r="H204" i="13"/>
  <c r="E217" i="13"/>
  <c r="E221" i="13"/>
  <c r="E225" i="13"/>
  <c r="E229" i="13"/>
  <c r="E233" i="13"/>
  <c r="E237" i="13"/>
  <c r="E241" i="13"/>
  <c r="E245" i="13"/>
  <c r="E249" i="13"/>
  <c r="E253" i="13"/>
  <c r="E257" i="13"/>
  <c r="E261" i="13"/>
  <c r="E254" i="13"/>
  <c r="E258" i="13"/>
  <c r="E211" i="13"/>
  <c r="E212" i="13"/>
  <c r="E218" i="13"/>
  <c r="E222" i="13"/>
  <c r="E226" i="13"/>
  <c r="E230" i="13"/>
  <c r="E234" i="13"/>
  <c r="E238" i="13"/>
  <c r="E242" i="13"/>
  <c r="E246" i="13"/>
  <c r="E250" i="13"/>
  <c r="E208" i="13"/>
  <c r="E215" i="13"/>
  <c r="E219" i="13"/>
  <c r="E223" i="13"/>
  <c r="E227" i="13"/>
  <c r="E231" i="13"/>
  <c r="E235" i="13"/>
  <c r="E239" i="13"/>
  <c r="E243" i="13"/>
  <c r="E247" i="13"/>
  <c r="E251" i="13"/>
  <c r="E255" i="13"/>
  <c r="E259" i="13"/>
  <c r="E216" i="13"/>
  <c r="E220" i="13"/>
  <c r="E224" i="13"/>
  <c r="E228" i="13"/>
  <c r="E232" i="13"/>
  <c r="E236" i="13"/>
  <c r="E240" i="13"/>
  <c r="E244" i="13"/>
  <c r="E248" i="13"/>
  <c r="E252" i="13"/>
  <c r="E256" i="13"/>
  <c r="E260" i="13"/>
  <c r="E12" i="13"/>
  <c r="G12" i="13"/>
  <c r="F11" i="6"/>
  <c r="G31" i="13" l="1"/>
  <c r="G70" i="13"/>
  <c r="E49" i="13"/>
  <c r="E199" i="13"/>
  <c r="H179" i="13"/>
  <c r="E174" i="13"/>
  <c r="E170" i="13"/>
  <c r="G142" i="13"/>
  <c r="E93" i="13"/>
  <c r="E206" i="13"/>
  <c r="E190" i="13"/>
  <c r="E182" i="13"/>
  <c r="H172" i="13"/>
  <c r="E213" i="13"/>
  <c r="E201" i="13"/>
  <c r="E176" i="13"/>
  <c r="G150" i="13"/>
  <c r="E185" i="13"/>
  <c r="E177" i="13"/>
  <c r="E173" i="13"/>
  <c r="H165" i="13"/>
  <c r="E157" i="13"/>
  <c r="H151" i="13"/>
  <c r="E147" i="13"/>
  <c r="E117" i="13"/>
  <c r="E140" i="13"/>
  <c r="G130" i="13"/>
  <c r="E121" i="13"/>
  <c r="E97" i="13"/>
  <c r="E81" i="13"/>
  <c r="E171" i="13"/>
  <c r="E159" i="13"/>
  <c r="E136" i="13"/>
  <c r="H125" i="13"/>
  <c r="H128" i="13"/>
  <c r="E120" i="13"/>
  <c r="E112" i="13"/>
  <c r="G105" i="13"/>
  <c r="G101" i="13"/>
  <c r="E92" i="13"/>
  <c r="H71" i="13"/>
  <c r="E123" i="13"/>
  <c r="E115" i="13"/>
  <c r="E103" i="13"/>
  <c r="G96" i="13"/>
  <c r="E87" i="13"/>
  <c r="E154" i="13"/>
  <c r="H138" i="13"/>
  <c r="H134" i="13"/>
  <c r="H130" i="13"/>
  <c r="E122" i="13"/>
  <c r="G111" i="13"/>
  <c r="I105" i="13"/>
  <c r="E90" i="13"/>
  <c r="E82" i="13"/>
  <c r="G75" i="13"/>
  <c r="H60" i="13"/>
  <c r="E56" i="13"/>
  <c r="G49" i="13"/>
  <c r="E40" i="13"/>
  <c r="E32" i="13"/>
  <c r="H24" i="13"/>
  <c r="G13" i="13"/>
  <c r="E63" i="13"/>
  <c r="H51" i="13"/>
  <c r="E43" i="13"/>
  <c r="H35" i="13"/>
  <c r="E31" i="13"/>
  <c r="E23" i="13"/>
  <c r="H74" i="13"/>
  <c r="E70" i="13"/>
  <c r="E62" i="13"/>
  <c r="E46" i="13"/>
  <c r="E38" i="13"/>
  <c r="H30" i="13"/>
  <c r="H22" i="13"/>
  <c r="G74" i="13"/>
  <c r="H69" i="13"/>
  <c r="G62" i="13"/>
  <c r="E53" i="13"/>
  <c r="G30" i="13"/>
  <c r="E179" i="13"/>
  <c r="G173" i="13"/>
  <c r="H166" i="13"/>
  <c r="E158" i="13"/>
  <c r="G136" i="13"/>
  <c r="E214" i="13"/>
  <c r="E196" i="13"/>
  <c r="G189" i="13"/>
  <c r="G181" i="13"/>
  <c r="E209" i="13"/>
  <c r="H191" i="13"/>
  <c r="E183" i="13"/>
  <c r="E145" i="13"/>
  <c r="E109" i="13"/>
  <c r="E197" i="13"/>
  <c r="E189" i="13"/>
  <c r="G182" i="13"/>
  <c r="G170" i="13"/>
  <c r="E165" i="13"/>
  <c r="E155" i="13"/>
  <c r="G145" i="13"/>
  <c r="H141" i="13"/>
  <c r="E139" i="13"/>
  <c r="H109" i="13"/>
  <c r="G157" i="13"/>
  <c r="G149" i="13"/>
  <c r="G144" i="13"/>
  <c r="E129" i="13"/>
  <c r="E113" i="13"/>
  <c r="E89" i="13"/>
  <c r="E167" i="13"/>
  <c r="G156" i="13"/>
  <c r="G140" i="13"/>
  <c r="H135" i="13"/>
  <c r="I131" i="13"/>
  <c r="E128" i="13"/>
  <c r="E116" i="13"/>
  <c r="G109" i="13"/>
  <c r="H104" i="13"/>
  <c r="E100" i="13"/>
  <c r="E88" i="13"/>
  <c r="E80" i="13"/>
  <c r="I130" i="13"/>
  <c r="G112" i="13"/>
  <c r="E107" i="13"/>
  <c r="G100" i="13"/>
  <c r="E95" i="13"/>
  <c r="E83" i="13"/>
  <c r="E79" i="13"/>
  <c r="G151" i="13"/>
  <c r="G147" i="13"/>
  <c r="E142" i="13"/>
  <c r="E138" i="13"/>
  <c r="E134" i="13"/>
  <c r="E130" i="13"/>
  <c r="E118" i="13"/>
  <c r="H110" i="13"/>
  <c r="E98" i="13"/>
  <c r="E86" i="13"/>
  <c r="E68" i="13"/>
  <c r="E60" i="13"/>
  <c r="G53" i="13"/>
  <c r="E36" i="13"/>
  <c r="G29" i="13"/>
  <c r="E24" i="13"/>
  <c r="G60" i="13"/>
  <c r="G56" i="13"/>
  <c r="E51" i="13"/>
  <c r="E35" i="13"/>
  <c r="H27" i="13"/>
  <c r="I22" i="13"/>
  <c r="E74" i="13"/>
  <c r="I69" i="13"/>
  <c r="G59" i="13"/>
  <c r="E54" i="13"/>
  <c r="E42" i="13"/>
  <c r="G35" i="13"/>
  <c r="E30" i="13"/>
  <c r="E22" i="13"/>
  <c r="E69" i="13"/>
  <c r="E61" i="13"/>
  <c r="E57" i="13"/>
  <c r="E45" i="13"/>
  <c r="E37" i="13"/>
  <c r="H29" i="13"/>
  <c r="E71" i="13"/>
  <c r="E187" i="13"/>
  <c r="E178" i="13"/>
  <c r="E172" i="13"/>
  <c r="E164" i="13"/>
  <c r="E151" i="13"/>
  <c r="G118" i="13"/>
  <c r="E210" i="13"/>
  <c r="E202" i="13"/>
  <c r="G179" i="13"/>
  <c r="E132" i="13"/>
  <c r="E205" i="13"/>
  <c r="E195" i="13"/>
  <c r="E191" i="13"/>
  <c r="H182" i="13"/>
  <c r="E168" i="13"/>
  <c r="E143" i="13"/>
  <c r="E77" i="13"/>
  <c r="E193" i="13"/>
  <c r="G186" i="13"/>
  <c r="H181" i="13"/>
  <c r="G174" i="13"/>
  <c r="E169" i="13"/>
  <c r="E161" i="13"/>
  <c r="E149" i="13"/>
  <c r="E141" i="13"/>
  <c r="G138" i="13"/>
  <c r="H105" i="13"/>
  <c r="E156" i="13"/>
  <c r="G141" i="13"/>
  <c r="H137" i="13"/>
  <c r="E135" i="13"/>
  <c r="G126" i="13"/>
  <c r="I104" i="13"/>
  <c r="E85" i="13"/>
  <c r="G172" i="13"/>
  <c r="E163" i="13"/>
  <c r="G137" i="13"/>
  <c r="H133" i="13"/>
  <c r="E131" i="13"/>
  <c r="G125" i="13"/>
  <c r="E104" i="13"/>
  <c r="E96" i="13"/>
  <c r="E84" i="13"/>
  <c r="G77" i="13"/>
  <c r="G128" i="13"/>
  <c r="E119" i="13"/>
  <c r="H111" i="13"/>
  <c r="G104" i="13"/>
  <c r="H99" i="13"/>
  <c r="E75" i="13"/>
  <c r="E146" i="13"/>
  <c r="I133" i="13"/>
  <c r="H126" i="13"/>
  <c r="E110" i="13"/>
  <c r="E102" i="13"/>
  <c r="E94" i="13"/>
  <c r="G83" i="13"/>
  <c r="H78" i="13"/>
  <c r="E72" i="13"/>
  <c r="E48" i="13"/>
  <c r="G33" i="13"/>
  <c r="E28" i="13"/>
  <c r="E20" i="13"/>
  <c r="H59" i="13"/>
  <c r="E55" i="13"/>
  <c r="E39" i="13"/>
  <c r="G32" i="13"/>
  <c r="E27" i="13"/>
  <c r="E19" i="13"/>
  <c r="G71" i="13"/>
  <c r="G51" i="13"/>
  <c r="E34" i="13"/>
  <c r="G27" i="13"/>
  <c r="E18" i="13"/>
  <c r="E73" i="13"/>
  <c r="I60" i="13"/>
  <c r="G54" i="13"/>
  <c r="H33" i="13"/>
  <c r="G26" i="13"/>
  <c r="E25" i="13"/>
  <c r="E17" i="13"/>
  <c r="H127" i="13"/>
  <c r="I24" i="13"/>
  <c r="E13" i="13"/>
  <c r="G164" i="13"/>
  <c r="I126" i="13"/>
  <c r="G106" i="13"/>
  <c r="I165" i="13"/>
  <c r="E29" i="13"/>
  <c r="G22" i="13"/>
  <c r="G162" i="13"/>
  <c r="H180" i="13"/>
  <c r="G72" i="13"/>
  <c r="G146" i="13"/>
  <c r="H162" i="13"/>
  <c r="I166" i="13"/>
  <c r="H76" i="13"/>
  <c r="I164" i="13"/>
  <c r="I128" i="13"/>
  <c r="H100" i="13"/>
  <c r="H106" i="13"/>
  <c r="G64" i="13"/>
  <c r="I180" i="13"/>
  <c r="G61" i="13"/>
  <c r="H183" i="13"/>
  <c r="I138" i="13"/>
  <c r="H164" i="13"/>
  <c r="I127" i="13"/>
  <c r="G161" i="13"/>
  <c r="G114" i="13"/>
  <c r="G36" i="13"/>
  <c r="H187" i="13"/>
  <c r="I61" i="13"/>
  <c r="H178" i="13"/>
  <c r="H156" i="13"/>
  <c r="G102" i="13"/>
  <c r="I40" i="13"/>
  <c r="H81" i="13"/>
  <c r="G97" i="13"/>
  <c r="H72" i="13"/>
  <c r="H116" i="13"/>
  <c r="I78" i="13"/>
  <c r="H37" i="13"/>
  <c r="H157" i="13"/>
  <c r="I129" i="13"/>
  <c r="G84" i="13"/>
  <c r="I84" i="13"/>
  <c r="G44" i="13"/>
  <c r="I183" i="13"/>
  <c r="I53" i="13"/>
  <c r="G187" i="13"/>
  <c r="H84" i="13"/>
  <c r="G37" i="13"/>
  <c r="I106" i="13"/>
  <c r="H61" i="13"/>
  <c r="G178" i="13"/>
  <c r="H75" i="13"/>
  <c r="I181" i="13"/>
  <c r="H54" i="13"/>
  <c r="I116" i="13"/>
  <c r="G41" i="13"/>
  <c r="H96" i="13"/>
  <c r="G40" i="13"/>
  <c r="H36" i="13"/>
  <c r="I71" i="13"/>
  <c r="I35" i="13"/>
  <c r="M228" i="13"/>
  <c r="M211" i="13"/>
  <c r="M88" i="13"/>
  <c r="AP15" i="13"/>
  <c r="M256" i="13"/>
  <c r="R145" i="13"/>
  <c r="AJ15" i="13"/>
  <c r="AB15" i="13"/>
  <c r="AR255" i="13"/>
  <c r="R255" i="13"/>
  <c r="T15" i="13"/>
  <c r="L12" i="13"/>
  <c r="F13" i="6"/>
  <c r="F40" i="20" l="1"/>
  <c r="F147" i="20"/>
  <c r="AR15" i="13"/>
  <c r="AH32" i="13"/>
  <c r="F29" i="20"/>
  <c r="AB120" i="13"/>
  <c r="F218" i="20"/>
  <c r="X82" i="13"/>
  <c r="F87" i="20"/>
  <c r="F43" i="20"/>
  <c r="AF45" i="13"/>
  <c r="F190" i="20"/>
  <c r="T45" i="13"/>
  <c r="AF47" i="13"/>
  <c r="V255" i="13"/>
  <c r="R216" i="13"/>
  <c r="R233" i="13"/>
  <c r="AD255" i="13"/>
  <c r="AJ233" i="13"/>
  <c r="T240" i="13"/>
  <c r="Z94" i="13"/>
  <c r="V47" i="13"/>
  <c r="F44" i="20"/>
  <c r="R240" i="13"/>
  <c r="V225" i="13"/>
  <c r="F84" i="20"/>
  <c r="F213" i="20"/>
  <c r="AB255" i="13"/>
  <c r="AF255" i="13"/>
  <c r="AN255" i="13"/>
  <c r="AD240" i="13"/>
  <c r="AN233" i="13"/>
  <c r="V240" i="13"/>
  <c r="AH114" i="13"/>
  <c r="F217" i="20"/>
  <c r="AL20" i="13"/>
  <c r="AN47" i="13"/>
  <c r="R215" i="13"/>
  <c r="AD121" i="13"/>
  <c r="T41" i="13"/>
  <c r="X255" i="13"/>
  <c r="AH255" i="13"/>
  <c r="AP233" i="13"/>
  <c r="V23" i="13"/>
  <c r="AD163" i="13"/>
  <c r="AF126" i="13"/>
  <c r="AH122" i="13"/>
  <c r="AR201" i="13"/>
  <c r="F72" i="20"/>
  <c r="AD154" i="13"/>
  <c r="AH15" i="13"/>
  <c r="AL15" i="13"/>
  <c r="X15" i="13"/>
  <c r="AD15" i="13"/>
  <c r="AN15" i="13"/>
  <c r="V15" i="13"/>
  <c r="Z15" i="13"/>
  <c r="AF15" i="13"/>
  <c r="AJ31" i="13"/>
  <c r="R253" i="13"/>
  <c r="V253" i="13"/>
  <c r="AJ253" i="13"/>
  <c r="AB253" i="13"/>
  <c r="AH253" i="13"/>
  <c r="Z253" i="13"/>
  <c r="T253" i="13"/>
  <c r="AF253" i="13"/>
  <c r="AJ242" i="13"/>
  <c r="AF242" i="13"/>
  <c r="F239" i="20"/>
  <c r="AL242" i="13"/>
  <c r="T214" i="13"/>
  <c r="AD253" i="13"/>
  <c r="AB80" i="13"/>
  <c r="X159" i="13"/>
  <c r="AD94" i="13"/>
  <c r="AL183" i="13"/>
  <c r="Z183" i="13"/>
  <c r="R183" i="13"/>
  <c r="AH67" i="13"/>
  <c r="F64" i="20"/>
  <c r="AJ67" i="13"/>
  <c r="Z67" i="13"/>
  <c r="F181" i="20"/>
  <c r="Z151" i="13"/>
  <c r="M224" i="13"/>
  <c r="T117" i="13"/>
  <c r="AR206" i="13"/>
  <c r="F203" i="20"/>
  <c r="AL206" i="13"/>
  <c r="AF261" i="13"/>
  <c r="AR219" i="13"/>
  <c r="AJ219" i="13"/>
  <c r="Z219" i="13"/>
  <c r="Z232" i="13"/>
  <c r="AF254" i="13"/>
  <c r="F233" i="20"/>
  <c r="AJ236" i="13"/>
  <c r="AN236" i="13"/>
  <c r="AD16" i="13"/>
  <c r="R16" i="13"/>
  <c r="T124" i="13"/>
  <c r="R124" i="13"/>
  <c r="F121" i="20"/>
  <c r="AL218" i="13"/>
  <c r="F215" i="20"/>
  <c r="AR218" i="13"/>
  <c r="AH218" i="13"/>
  <c r="AF260" i="13"/>
  <c r="P260" i="13"/>
  <c r="T260" i="13"/>
  <c r="AP28" i="13"/>
  <c r="AF28" i="13"/>
  <c r="F166" i="20"/>
  <c r="X169" i="13"/>
  <c r="T169" i="13"/>
  <c r="R169" i="13"/>
  <c r="V210" i="13"/>
  <c r="F207" i="20"/>
  <c r="Z210" i="13"/>
  <c r="F223" i="20"/>
  <c r="F211" i="20"/>
  <c r="AN206" i="13"/>
  <c r="Z224" i="13"/>
  <c r="AL224" i="13"/>
  <c r="X244" i="13"/>
  <c r="V244" i="13"/>
  <c r="AR261" i="13"/>
  <c r="AN187" i="13"/>
  <c r="AR170" i="13"/>
  <c r="AF170" i="13"/>
  <c r="Z170" i="13"/>
  <c r="X170" i="13"/>
  <c r="AJ23" i="13"/>
  <c r="Z23" i="13"/>
  <c r="AN226" i="13"/>
  <c r="AH226" i="13"/>
  <c r="AD170" i="13"/>
  <c r="AR193" i="13"/>
  <c r="Z193" i="13"/>
  <c r="AR258" i="13"/>
  <c r="AH258" i="13"/>
  <c r="AB258" i="13"/>
  <c r="AJ227" i="13"/>
  <c r="AH227" i="13"/>
  <c r="AP240" i="13"/>
  <c r="AF240" i="13"/>
  <c r="AB240" i="13"/>
  <c r="AR240" i="13"/>
  <c r="AJ240" i="13"/>
  <c r="Z240" i="13"/>
  <c r="AL240" i="13"/>
  <c r="AH240" i="13"/>
  <c r="AB231" i="13"/>
  <c r="AJ231" i="13"/>
  <c r="AL231" i="13"/>
  <c r="AH107" i="13"/>
  <c r="AD107" i="13"/>
  <c r="AP107" i="13"/>
  <c r="X107" i="13"/>
  <c r="AF214" i="13"/>
  <c r="AR214" i="13"/>
  <c r="AN244" i="13"/>
  <c r="AP244" i="13"/>
  <c r="AF244" i="13"/>
  <c r="AJ244" i="13"/>
  <c r="H102" i="13"/>
  <c r="AX102" i="13"/>
  <c r="I70" i="13"/>
  <c r="G85" i="13"/>
  <c r="AV85" i="13"/>
  <c r="H40" i="13"/>
  <c r="I134" i="13"/>
  <c r="I110" i="13"/>
  <c r="G95" i="13"/>
  <c r="G76" i="13"/>
  <c r="I100" i="13"/>
  <c r="G127" i="13"/>
  <c r="AN170" i="13"/>
  <c r="AD23" i="13"/>
  <c r="X74" i="13"/>
  <c r="AL74" i="13"/>
  <c r="AB196" i="13"/>
  <c r="AL196" i="13"/>
  <c r="AR122" i="13"/>
  <c r="AD188" i="13"/>
  <c r="AF188" i="13"/>
  <c r="AR212" i="13"/>
  <c r="AH212" i="13"/>
  <c r="AN212" i="13"/>
  <c r="AD212" i="13"/>
  <c r="Z235" i="13"/>
  <c r="AR235" i="13"/>
  <c r="AL235" i="13"/>
  <c r="AH235" i="13"/>
  <c r="AB234" i="13"/>
  <c r="AP234" i="13"/>
  <c r="AJ234" i="13"/>
  <c r="AF234" i="13"/>
  <c r="AP252" i="13"/>
  <c r="AL252" i="13"/>
  <c r="AF252" i="13"/>
  <c r="AB14" i="13"/>
  <c r="AL14" i="13"/>
  <c r="AD14" i="13"/>
  <c r="AP44" i="13"/>
  <c r="X44" i="13"/>
  <c r="AN44" i="13"/>
  <c r="AD44" i="13"/>
  <c r="AH44" i="13"/>
  <c r="AB162" i="13"/>
  <c r="AJ162" i="13"/>
  <c r="AH162" i="13"/>
  <c r="X250" i="13"/>
  <c r="AP250" i="13"/>
  <c r="AD250" i="13"/>
  <c r="AL18" i="13"/>
  <c r="AF18" i="13"/>
  <c r="AJ18" i="13"/>
  <c r="Z18" i="13"/>
  <c r="AP18" i="13"/>
  <c r="L36" i="13"/>
  <c r="BB61" i="13"/>
  <c r="M7" i="13"/>
  <c r="BB37" i="13"/>
  <c r="F156" i="20"/>
  <c r="F143" i="20"/>
  <c r="F234" i="20"/>
  <c r="F11" i="20"/>
  <c r="F193" i="20"/>
  <c r="F228" i="20"/>
  <c r="F13" i="20"/>
  <c r="F41" i="20"/>
  <c r="F104" i="20"/>
  <c r="F241" i="20"/>
  <c r="F20" i="20"/>
  <c r="F108" i="20"/>
  <c r="F164" i="20"/>
  <c r="F210" i="20"/>
  <c r="F242" i="20"/>
  <c r="F225" i="20"/>
  <c r="F188" i="20"/>
  <c r="F236" i="20"/>
  <c r="F243" i="20"/>
  <c r="F120" i="20"/>
  <c r="F219" i="20"/>
  <c r="F25" i="20"/>
  <c r="F116" i="20"/>
  <c r="F250" i="20"/>
  <c r="F235" i="20"/>
  <c r="F38" i="20"/>
  <c r="F158" i="20"/>
  <c r="F212" i="20"/>
  <c r="F244" i="20"/>
  <c r="F201" i="20"/>
  <c r="F18" i="20"/>
  <c r="F214" i="20"/>
  <c r="F221" i="20"/>
  <c r="F251" i="20"/>
  <c r="F36" i="20"/>
  <c r="F71" i="20"/>
  <c r="F148" i="20"/>
  <c r="F111" i="20"/>
  <c r="F226" i="20"/>
  <c r="F231" i="20"/>
  <c r="F220" i="20"/>
  <c r="F245" i="20"/>
  <c r="F159" i="20"/>
  <c r="F246" i="20"/>
  <c r="F209" i="20"/>
  <c r="F247" i="20"/>
  <c r="P240" i="13"/>
  <c r="F237" i="20"/>
  <c r="P255" i="13"/>
  <c r="F252" i="20"/>
  <c r="BB23" i="13"/>
  <c r="AZ23" i="13"/>
  <c r="AX23" i="13"/>
  <c r="BB122" i="13"/>
  <c r="AZ122" i="13"/>
  <c r="AZ97" i="13"/>
  <c r="AZ177" i="13"/>
  <c r="AX177" i="13"/>
  <c r="AV177" i="13"/>
  <c r="BB213" i="13"/>
  <c r="AZ213" i="13"/>
  <c r="AX213" i="13"/>
  <c r="AV213" i="13"/>
  <c r="BB188" i="13"/>
  <c r="AZ245" i="13"/>
  <c r="AV245" i="13"/>
  <c r="BB212" i="13"/>
  <c r="BB246" i="13"/>
  <c r="AX246" i="13"/>
  <c r="AV246" i="13"/>
  <c r="BB235" i="13"/>
  <c r="AZ235" i="13"/>
  <c r="AV235" i="13"/>
  <c r="AZ216" i="13"/>
  <c r="AX216" i="13"/>
  <c r="AZ248" i="13"/>
  <c r="AV248" i="13"/>
  <c r="AZ249" i="13"/>
  <c r="AX249" i="13"/>
  <c r="AX234" i="13"/>
  <c r="AV234" i="13"/>
  <c r="BB255" i="13"/>
  <c r="AZ255" i="13"/>
  <c r="AV255" i="13"/>
  <c r="BB252" i="13"/>
  <c r="AZ252" i="13"/>
  <c r="AV252" i="13"/>
  <c r="AZ41" i="13"/>
  <c r="AV41" i="13"/>
  <c r="AZ14" i="13"/>
  <c r="AX14" i="13"/>
  <c r="AV14" i="13"/>
  <c r="BB47" i="13"/>
  <c r="AZ47" i="13"/>
  <c r="AZ44" i="13"/>
  <c r="AV44" i="13"/>
  <c r="BB114" i="13"/>
  <c r="AZ114" i="13"/>
  <c r="AV114" i="13"/>
  <c r="BB162" i="13"/>
  <c r="AZ162" i="13"/>
  <c r="AX162" i="13"/>
  <c r="AV162" i="13"/>
  <c r="AX233" i="13"/>
  <c r="BB233" i="13"/>
  <c r="AV233" i="13"/>
  <c r="BB250" i="13"/>
  <c r="AX250" i="13"/>
  <c r="AZ220" i="13"/>
  <c r="BB220" i="13"/>
  <c r="AX220" i="13"/>
  <c r="AV220" i="13"/>
  <c r="BB18" i="13"/>
  <c r="BB20" i="13"/>
  <c r="AX20" i="13"/>
  <c r="AZ20" i="13"/>
  <c r="AV20" i="13"/>
  <c r="BB146" i="13"/>
  <c r="AZ146" i="13"/>
  <c r="AX146" i="13"/>
  <c r="BB161" i="13"/>
  <c r="AZ161" i="13"/>
  <c r="BB193" i="13"/>
  <c r="AX193" i="13"/>
  <c r="AV193" i="13"/>
  <c r="AV205" i="13"/>
  <c r="AZ221" i="13"/>
  <c r="AV221" i="13"/>
  <c r="AX221" i="13"/>
  <c r="AZ253" i="13"/>
  <c r="AX253" i="13"/>
  <c r="AX222" i="13"/>
  <c r="BB208" i="13"/>
  <c r="AV208" i="13"/>
  <c r="BB243" i="13"/>
  <c r="AZ243" i="13"/>
  <c r="AX243" i="13"/>
  <c r="BB224" i="13"/>
  <c r="AZ224" i="13"/>
  <c r="AV224" i="13"/>
  <c r="AZ256" i="13"/>
  <c r="AV256" i="13"/>
  <c r="AZ242" i="13"/>
  <c r="AX242" i="13"/>
  <c r="AV242" i="13"/>
  <c r="BB86" i="13"/>
  <c r="AZ86" i="13"/>
  <c r="AX86" i="13"/>
  <c r="AV86" i="13"/>
  <c r="AZ107" i="13"/>
  <c r="AX107" i="13"/>
  <c r="BB89" i="13"/>
  <c r="AZ89" i="13"/>
  <c r="AV89" i="13"/>
  <c r="BB214" i="13"/>
  <c r="AZ214" i="13"/>
  <c r="AV214" i="13"/>
  <c r="BB241" i="13"/>
  <c r="AZ241" i="13"/>
  <c r="AV241" i="13"/>
  <c r="BB226" i="13"/>
  <c r="BB247" i="13"/>
  <c r="AZ247" i="13"/>
  <c r="AV247" i="13"/>
  <c r="AX247" i="13"/>
  <c r="BB244" i="13"/>
  <c r="AX244" i="13"/>
  <c r="AZ244" i="13"/>
  <c r="BB17" i="13"/>
  <c r="AX17" i="13"/>
  <c r="AV17" i="13"/>
  <c r="AZ43" i="13"/>
  <c r="AX43" i="13"/>
  <c r="AZ87" i="13"/>
  <c r="BB117" i="13"/>
  <c r="AV117" i="13"/>
  <c r="BB201" i="13"/>
  <c r="AZ206" i="13"/>
  <c r="AX206" i="13"/>
  <c r="AV206" i="13"/>
  <c r="AZ229" i="13"/>
  <c r="AV229" i="13"/>
  <c r="AZ261" i="13"/>
  <c r="AX261" i="13"/>
  <c r="AV261" i="13"/>
  <c r="AZ219" i="13"/>
  <c r="AX219" i="13"/>
  <c r="AV251" i="13"/>
  <c r="AX251" i="13"/>
  <c r="AX232" i="13"/>
  <c r="BB232" i="13"/>
  <c r="AV232" i="13"/>
  <c r="AX254" i="13"/>
  <c r="BB254" i="13"/>
  <c r="AZ254" i="13"/>
  <c r="BB223" i="13"/>
  <c r="AZ223" i="13"/>
  <c r="AX223" i="13"/>
  <c r="AV223" i="13"/>
  <c r="AX236" i="13"/>
  <c r="AZ21" i="13"/>
  <c r="AV21" i="13"/>
  <c r="BB65" i="13"/>
  <c r="AZ65" i="13"/>
  <c r="BB15" i="13"/>
  <c r="AV15" i="13"/>
  <c r="BB16" i="13"/>
  <c r="AZ16" i="13"/>
  <c r="BB64" i="13"/>
  <c r="AX64" i="13"/>
  <c r="AZ64" i="13"/>
  <c r="AX124" i="13"/>
  <c r="AV124" i="13"/>
  <c r="BB194" i="13"/>
  <c r="AZ194" i="13"/>
  <c r="AX194" i="13"/>
  <c r="AV194" i="13"/>
  <c r="BB218" i="13"/>
  <c r="AX218" i="13"/>
  <c r="BB239" i="13"/>
  <c r="AZ239" i="13"/>
  <c r="BB260" i="13"/>
  <c r="AX260" i="13"/>
  <c r="AV260" i="13"/>
  <c r="AX19" i="13"/>
  <c r="AZ19" i="13"/>
  <c r="AZ28" i="13"/>
  <c r="BB28" i="13"/>
  <c r="AX28" i="13"/>
  <c r="AV102" i="13"/>
  <c r="BB119" i="13"/>
  <c r="AZ119" i="13"/>
  <c r="AV119" i="13"/>
  <c r="AX119" i="13"/>
  <c r="AZ85" i="13"/>
  <c r="AX85" i="13"/>
  <c r="AX169" i="13"/>
  <c r="AZ168" i="13"/>
  <c r="AX168" i="13"/>
  <c r="AV168" i="13"/>
  <c r="AZ210" i="13"/>
  <c r="AV210" i="13"/>
  <c r="AZ187" i="13"/>
  <c r="AV237" i="13"/>
  <c r="BB258" i="13"/>
  <c r="AZ258" i="13"/>
  <c r="AX258" i="13"/>
  <c r="AV258" i="13"/>
  <c r="BB238" i="13"/>
  <c r="AZ238" i="13"/>
  <c r="AX238" i="13"/>
  <c r="BB227" i="13"/>
  <c r="AZ227" i="13"/>
  <c r="AX227" i="13"/>
  <c r="AV227" i="13"/>
  <c r="BB259" i="13"/>
  <c r="AZ259" i="13"/>
  <c r="AX259" i="13"/>
  <c r="AV259" i="13"/>
  <c r="BB240" i="13"/>
  <c r="AV240" i="13"/>
  <c r="AX257" i="13"/>
  <c r="AZ231" i="13"/>
  <c r="AX231" i="13"/>
  <c r="AX45" i="13"/>
  <c r="BB95" i="13"/>
  <c r="AZ95" i="13"/>
  <c r="AX95" i="13"/>
  <c r="AV95" i="13"/>
  <c r="BB88" i="13"/>
  <c r="AV88" i="13"/>
  <c r="BB225" i="13"/>
  <c r="AZ225" i="13"/>
  <c r="AX211" i="13"/>
  <c r="BB211" i="13"/>
  <c r="AZ211" i="13"/>
  <c r="BB215" i="13"/>
  <c r="AZ215" i="13"/>
  <c r="AV215" i="13"/>
  <c r="AX228" i="13"/>
  <c r="BB228" i="13"/>
  <c r="AV228" i="13"/>
  <c r="L52" i="13"/>
  <c r="L48" i="13"/>
  <c r="L174" i="13"/>
  <c r="L176" i="13"/>
  <c r="L203" i="13"/>
  <c r="L62" i="13"/>
  <c r="L49" i="13"/>
  <c r="L134" i="13"/>
  <c r="L96" i="13"/>
  <c r="L136" i="13"/>
  <c r="L197" i="13"/>
  <c r="L53" i="13"/>
  <c r="L81" i="13"/>
  <c r="L171" i="13"/>
  <c r="L185" i="13"/>
  <c r="L160" i="13"/>
  <c r="L42" i="13"/>
  <c r="L68" i="13"/>
  <c r="L83" i="13"/>
  <c r="L137" i="13"/>
  <c r="L99" i="13"/>
  <c r="L181" i="13"/>
  <c r="L118" i="13"/>
  <c r="L71" i="13"/>
  <c r="L172" i="13"/>
  <c r="L148" i="13"/>
  <c r="L145" i="13"/>
  <c r="L74" i="13"/>
  <c r="L196" i="13"/>
  <c r="L38" i="13"/>
  <c r="L199" i="13"/>
  <c r="AN106" i="13"/>
  <c r="L123" i="13"/>
  <c r="L17" i="13"/>
  <c r="AJ43" i="13"/>
  <c r="M87" i="13"/>
  <c r="AB117" i="13"/>
  <c r="M201" i="13"/>
  <c r="AJ229" i="13"/>
  <c r="AP261" i="13"/>
  <c r="AL217" i="13"/>
  <c r="M65" i="13"/>
  <c r="M124" i="13"/>
  <c r="L19" i="13"/>
  <c r="L28" i="13"/>
  <c r="L102" i="13"/>
  <c r="L119" i="13"/>
  <c r="L85" i="13"/>
  <c r="L169" i="13"/>
  <c r="L168" i="13"/>
  <c r="L210" i="13"/>
  <c r="L187" i="13"/>
  <c r="L237" i="13"/>
  <c r="L258" i="13"/>
  <c r="L238" i="13"/>
  <c r="L227" i="13"/>
  <c r="L259" i="13"/>
  <c r="L240" i="13"/>
  <c r="L257" i="13"/>
  <c r="L231" i="13"/>
  <c r="L45" i="13"/>
  <c r="L95" i="13"/>
  <c r="L88" i="13"/>
  <c r="L225" i="13"/>
  <c r="L211" i="13"/>
  <c r="L215" i="13"/>
  <c r="L228" i="13"/>
  <c r="L73" i="13"/>
  <c r="L113" i="13"/>
  <c r="L157" i="13"/>
  <c r="L175" i="13"/>
  <c r="L166" i="13"/>
  <c r="L55" i="13"/>
  <c r="L75" i="13"/>
  <c r="L138" i="13"/>
  <c r="L80" i="13"/>
  <c r="L152" i="13"/>
  <c r="L159" i="13"/>
  <c r="L25" i="13"/>
  <c r="L93" i="13"/>
  <c r="L202" i="13"/>
  <c r="L180" i="13"/>
  <c r="L50" i="13"/>
  <c r="L59" i="13"/>
  <c r="L111" i="13"/>
  <c r="L150" i="13"/>
  <c r="L186" i="13"/>
  <c r="L39" i="13"/>
  <c r="L128" i="13"/>
  <c r="L179" i="13"/>
  <c r="L144" i="13"/>
  <c r="L147" i="13"/>
  <c r="L204" i="13"/>
  <c r="L129" i="13"/>
  <c r="V121" i="13"/>
  <c r="R92" i="13"/>
  <c r="L24" i="13"/>
  <c r="L69" i="13"/>
  <c r="L100" i="13"/>
  <c r="L131" i="13"/>
  <c r="L191" i="13"/>
  <c r="L46" i="13"/>
  <c r="AL35" i="13"/>
  <c r="L149" i="13"/>
  <c r="L132" i="13"/>
  <c r="L90" i="13"/>
  <c r="L167" i="13"/>
  <c r="AP155" i="13"/>
  <c r="L94" i="13"/>
  <c r="L183" i="13"/>
  <c r="L67" i="13"/>
  <c r="L82" i="13"/>
  <c r="L77" i="13"/>
  <c r="L104" i="13"/>
  <c r="AN184" i="13"/>
  <c r="L195" i="13"/>
  <c r="L51" i="13"/>
  <c r="L125" i="13"/>
  <c r="L135" i="13"/>
  <c r="L139" i="13"/>
  <c r="L140" i="13"/>
  <c r="L164" i="13"/>
  <c r="L23" i="13"/>
  <c r="AX248" i="13"/>
  <c r="M234" i="13"/>
  <c r="L253" i="13"/>
  <c r="L256" i="13"/>
  <c r="AP117" i="13"/>
  <c r="L29" i="13"/>
  <c r="T120" i="13"/>
  <c r="R156" i="13"/>
  <c r="L57" i="13"/>
  <c r="L13" i="13"/>
  <c r="L105" i="13"/>
  <c r="L79" i="13"/>
  <c r="L142" i="13"/>
  <c r="L165" i="13"/>
  <c r="L26" i="13"/>
  <c r="L112" i="13"/>
  <c r="L173" i="13"/>
  <c r="L207" i="13"/>
  <c r="L60" i="13"/>
  <c r="L78" i="13"/>
  <c r="L133" i="13"/>
  <c r="L91" i="13"/>
  <c r="L108" i="13"/>
  <c r="L153" i="13"/>
  <c r="L192" i="13"/>
  <c r="L22" i="13"/>
  <c r="L58" i="13"/>
  <c r="L189" i="13"/>
  <c r="L32" i="13"/>
  <c r="L198" i="13"/>
  <c r="L30" i="13"/>
  <c r="L151" i="13"/>
  <c r="L31" i="13"/>
  <c r="L190" i="13"/>
  <c r="L200" i="13"/>
  <c r="L66" i="13"/>
  <c r="X35" i="13"/>
  <c r="AR43" i="13"/>
  <c r="AD158" i="13"/>
  <c r="AJ158" i="13"/>
  <c r="R35" i="13"/>
  <c r="Z158" i="13"/>
  <c r="AR158" i="13"/>
  <c r="T191" i="13"/>
  <c r="AF158" i="13"/>
  <c r="AB158" i="13"/>
  <c r="AN158" i="13"/>
  <c r="AP158" i="13"/>
  <c r="AH158" i="13"/>
  <c r="X189" i="13"/>
  <c r="M253" i="13"/>
  <c r="AD43" i="13"/>
  <c r="R18" i="13"/>
  <c r="AD75" i="13"/>
  <c r="AN75" i="13"/>
  <c r="AR75" i="13"/>
  <c r="AR80" i="13"/>
  <c r="AB159" i="13"/>
  <c r="AL159" i="13"/>
  <c r="X196" i="13"/>
  <c r="AJ196" i="13"/>
  <c r="AR196" i="13"/>
  <c r="AP229" i="13"/>
  <c r="AJ261" i="13"/>
  <c r="V148" i="13"/>
  <c r="AB87" i="13"/>
  <c r="X240" i="13"/>
  <c r="M45" i="13"/>
  <c r="M231" i="13"/>
  <c r="R45" i="13"/>
  <c r="V75" i="13"/>
  <c r="AH75" i="13"/>
  <c r="AL75" i="13"/>
  <c r="AF80" i="13"/>
  <c r="V159" i="13"/>
  <c r="AF159" i="13"/>
  <c r="T150" i="13"/>
  <c r="R138" i="13"/>
  <c r="R196" i="13"/>
  <c r="AJ199" i="13"/>
  <c r="Z196" i="13"/>
  <c r="AD196" i="13"/>
  <c r="AP196" i="13"/>
  <c r="AB229" i="13"/>
  <c r="AB261" i="13"/>
  <c r="AF21" i="13"/>
  <c r="M95" i="13"/>
  <c r="T121" i="13"/>
  <c r="T55" i="13"/>
  <c r="AN213" i="13"/>
  <c r="AF213" i="13"/>
  <c r="Z213" i="13"/>
  <c r="V213" i="13"/>
  <c r="AL213" i="13"/>
  <c r="AD213" i="13"/>
  <c r="R245" i="13"/>
  <c r="AN245" i="13"/>
  <c r="AF245" i="13"/>
  <c r="Z245" i="13"/>
  <c r="AL245" i="13"/>
  <c r="AD245" i="13"/>
  <c r="AR246" i="13"/>
  <c r="AF246" i="13"/>
  <c r="AN246" i="13"/>
  <c r="AH246" i="13"/>
  <c r="Z246" i="13"/>
  <c r="AN216" i="13"/>
  <c r="AH216" i="13"/>
  <c r="T216" i="13"/>
  <c r="AP216" i="13"/>
  <c r="AJ216" i="13"/>
  <c r="AB216" i="13"/>
  <c r="AR248" i="13"/>
  <c r="AF248" i="13"/>
  <c r="Z248" i="13"/>
  <c r="AD248" i="13"/>
  <c r="X248" i="13"/>
  <c r="T249" i="13"/>
  <c r="AR249" i="13"/>
  <c r="AH249" i="13"/>
  <c r="Z249" i="13"/>
  <c r="AD249" i="13"/>
  <c r="AB249" i="13"/>
  <c r="P252" i="13"/>
  <c r="AN41" i="13"/>
  <c r="AF41" i="13"/>
  <c r="AB41" i="13"/>
  <c r="AP41" i="13"/>
  <c r="AJ41" i="13"/>
  <c r="X41" i="13"/>
  <c r="T44" i="13"/>
  <c r="R44" i="13"/>
  <c r="T162" i="13"/>
  <c r="T233" i="13"/>
  <c r="V250" i="13"/>
  <c r="L20" i="13"/>
  <c r="AR20" i="13"/>
  <c r="AF20" i="13"/>
  <c r="Z20" i="13"/>
  <c r="AN20" i="13"/>
  <c r="AD20" i="13"/>
  <c r="T20" i="13"/>
  <c r="L146" i="13"/>
  <c r="R146" i="13"/>
  <c r="V146" i="13"/>
  <c r="L161" i="13"/>
  <c r="T161" i="13"/>
  <c r="L193" i="13"/>
  <c r="AJ193" i="13"/>
  <c r="AF193" i="13"/>
  <c r="M193" i="13"/>
  <c r="AP193" i="13"/>
  <c r="AH193" i="13"/>
  <c r="X193" i="13"/>
  <c r="L205" i="13"/>
  <c r="M205" i="13"/>
  <c r="T205" i="13"/>
  <c r="L221" i="13"/>
  <c r="M221" i="13"/>
  <c r="X221" i="13"/>
  <c r="R221" i="13"/>
  <c r="L222" i="13"/>
  <c r="T222" i="13"/>
  <c r="M222" i="13"/>
  <c r="L208" i="13"/>
  <c r="L243" i="13"/>
  <c r="M243" i="13"/>
  <c r="P243" i="13"/>
  <c r="L224" i="13"/>
  <c r="L242" i="13"/>
  <c r="M242" i="13"/>
  <c r="L61" i="13"/>
  <c r="L86" i="13"/>
  <c r="V86" i="13"/>
  <c r="M86" i="13"/>
  <c r="L107" i="13"/>
  <c r="M107" i="13"/>
  <c r="L89" i="13"/>
  <c r="M89" i="13"/>
  <c r="L214" i="13"/>
  <c r="M214" i="13"/>
  <c r="AL214" i="13"/>
  <c r="AD214" i="13"/>
  <c r="X214" i="13"/>
  <c r="R214" i="13"/>
  <c r="AP214" i="13"/>
  <c r="AJ214" i="13"/>
  <c r="AB214" i="13"/>
  <c r="L241" i="13"/>
  <c r="P241" i="13"/>
  <c r="L226" i="13"/>
  <c r="AP226" i="13"/>
  <c r="AD226" i="13"/>
  <c r="Z226" i="13"/>
  <c r="AR226" i="13"/>
  <c r="AL226" i="13"/>
  <c r="L247" i="13"/>
  <c r="M247" i="13"/>
  <c r="AR247" i="13"/>
  <c r="AJ247" i="13"/>
  <c r="Z247" i="13"/>
  <c r="AN247" i="13"/>
  <c r="AH247" i="13"/>
  <c r="AB247" i="13"/>
  <c r="L244" i="13"/>
  <c r="M244" i="13"/>
  <c r="T151" i="13"/>
  <c r="T156" i="13"/>
  <c r="Z123" i="13"/>
  <c r="AJ123" i="13"/>
  <c r="AL123" i="13"/>
  <c r="X188" i="13"/>
  <c r="AH188" i="13"/>
  <c r="AR188" i="13"/>
  <c r="V151" i="13"/>
  <c r="AF151" i="13"/>
  <c r="AL151" i="13"/>
  <c r="AB245" i="13"/>
  <c r="AP245" i="13"/>
  <c r="AL249" i="13"/>
  <c r="AB246" i="13"/>
  <c r="AP246" i="13"/>
  <c r="T14" i="13"/>
  <c r="R14" i="13"/>
  <c r="V41" i="13"/>
  <c r="AR41" i="13"/>
  <c r="AR216" i="13"/>
  <c r="AB248" i="13"/>
  <c r="AP248" i="13"/>
  <c r="AB213" i="13"/>
  <c r="AP213" i="13"/>
  <c r="R23" i="13"/>
  <c r="V224" i="13"/>
  <c r="M226" i="13"/>
  <c r="V226" i="13"/>
  <c r="V123" i="13"/>
  <c r="AD123" i="13"/>
  <c r="AH123" i="13"/>
  <c r="X151" i="13"/>
  <c r="AH151" i="13"/>
  <c r="AR151" i="13"/>
  <c r="AH245" i="13"/>
  <c r="AP249" i="13"/>
  <c r="AD246" i="13"/>
  <c r="R213" i="13"/>
  <c r="AH41" i="13"/>
  <c r="AH213" i="13"/>
  <c r="L43" i="13"/>
  <c r="AB43" i="13"/>
  <c r="AN43" i="13"/>
  <c r="X43" i="13"/>
  <c r="AJ117" i="13"/>
  <c r="Z117" i="13"/>
  <c r="AF117" i="13"/>
  <c r="M229" i="13"/>
  <c r="AL229" i="13"/>
  <c r="AN229" i="13"/>
  <c r="V261" i="13"/>
  <c r="AL261" i="13"/>
  <c r="AD261" i="13"/>
  <c r="AN261" i="13"/>
  <c r="AH261" i="13"/>
  <c r="Z261" i="13"/>
  <c r="R230" i="13"/>
  <c r="M232" i="13"/>
  <c r="AD232" i="13"/>
  <c r="AN232" i="13"/>
  <c r="T232" i="13"/>
  <c r="AD217" i="13"/>
  <c r="AJ217" i="13"/>
  <c r="AB217" i="13"/>
  <c r="T217" i="13"/>
  <c r="X123" i="13"/>
  <c r="AF123" i="13"/>
  <c r="AN123" i="13"/>
  <c r="Z188" i="13"/>
  <c r="AJ188" i="13"/>
  <c r="AP188" i="13"/>
  <c r="AB151" i="13"/>
  <c r="AJ151" i="13"/>
  <c r="AP151" i="13"/>
  <c r="AJ245" i="13"/>
  <c r="X249" i="13"/>
  <c r="AN249" i="13"/>
  <c r="AJ246" i="13"/>
  <c r="X216" i="13"/>
  <c r="AD41" i="13"/>
  <c r="AF216" i="13"/>
  <c r="AJ248" i="13"/>
  <c r="X14" i="13"/>
  <c r="M241" i="13"/>
  <c r="M208" i="13"/>
  <c r="Z21" i="13"/>
  <c r="AB21" i="13"/>
  <c r="V124" i="13"/>
  <c r="R210" i="13"/>
  <c r="R254" i="13"/>
  <c r="AD21" i="13"/>
  <c r="AN21" i="13"/>
  <c r="M210" i="13"/>
  <c r="R170" i="13"/>
  <c r="M146" i="13"/>
  <c r="M161" i="13"/>
  <c r="Z184" i="13"/>
  <c r="AF52" i="13"/>
  <c r="AF92" i="13"/>
  <c r="AR105" i="13"/>
  <c r="Z144" i="13"/>
  <c r="V108" i="13"/>
  <c r="X26" i="13"/>
  <c r="R121" i="13"/>
  <c r="AB145" i="13"/>
  <c r="Z78" i="13"/>
  <c r="X121" i="13"/>
  <c r="AH121" i="13"/>
  <c r="T125" i="13"/>
  <c r="AP108" i="13"/>
  <c r="X173" i="13"/>
  <c r="T91" i="13"/>
  <c r="AF121" i="13"/>
  <c r="AH91" i="13"/>
  <c r="AN105" i="13"/>
  <c r="V48" i="13"/>
  <c r="R78" i="13"/>
  <c r="AH145" i="13"/>
  <c r="Z121" i="13"/>
  <c r="AB121" i="13"/>
  <c r="X182" i="13"/>
  <c r="AD173" i="13"/>
  <c r="AR165" i="13"/>
  <c r="AD138" i="13"/>
  <c r="AR139" i="13"/>
  <c r="P257" i="13"/>
  <c r="AH80" i="13"/>
  <c r="AN80" i="13"/>
  <c r="AJ159" i="13"/>
  <c r="AP159" i="13"/>
  <c r="T111" i="13"/>
  <c r="AB138" i="13"/>
  <c r="T129" i="13"/>
  <c r="P230" i="13"/>
  <c r="V43" i="13"/>
  <c r="AH43" i="13"/>
  <c r="AL117" i="13"/>
  <c r="AR117" i="13"/>
  <c r="AH232" i="13"/>
  <c r="AF217" i="13"/>
  <c r="AH217" i="13"/>
  <c r="R119" i="13"/>
  <c r="M225" i="13"/>
  <c r="M119" i="13"/>
  <c r="M169" i="13"/>
  <c r="M258" i="13"/>
  <c r="M227" i="13"/>
  <c r="M240" i="13"/>
  <c r="AD80" i="13"/>
  <c r="AL80" i="13"/>
  <c r="AN159" i="13"/>
  <c r="V138" i="13"/>
  <c r="AL138" i="13"/>
  <c r="R229" i="13"/>
  <c r="R261" i="13"/>
  <c r="Z43" i="13"/>
  <c r="AF43" i="13"/>
  <c r="AL43" i="13"/>
  <c r="V117" i="13"/>
  <c r="AH117" i="13"/>
  <c r="AN117" i="13"/>
  <c r="AB232" i="13"/>
  <c r="AJ232" i="13"/>
  <c r="AP232" i="13"/>
  <c r="X217" i="13"/>
  <c r="AN217" i="13"/>
  <c r="P201" i="13"/>
  <c r="P259" i="13"/>
  <c r="T237" i="13"/>
  <c r="M257" i="13"/>
  <c r="M215" i="13"/>
  <c r="M102" i="13"/>
  <c r="M85" i="13"/>
  <c r="M168" i="13"/>
  <c r="M237" i="13"/>
  <c r="M238" i="13"/>
  <c r="M259" i="13"/>
  <c r="R95" i="13"/>
  <c r="X138" i="13"/>
  <c r="AJ138" i="13"/>
  <c r="X111" i="13"/>
  <c r="Z58" i="13"/>
  <c r="AN79" i="13"/>
  <c r="AR111" i="13"/>
  <c r="AJ148" i="13"/>
  <c r="AB156" i="13"/>
  <c r="AF111" i="13"/>
  <c r="R80" i="13"/>
  <c r="AN115" i="13"/>
  <c r="AH111" i="13"/>
  <c r="R108" i="13"/>
  <c r="M41" i="13"/>
  <c r="M47" i="13"/>
  <c r="Z111" i="13"/>
  <c r="AL111" i="13"/>
  <c r="X207" i="13"/>
  <c r="AP35" i="13"/>
  <c r="M220" i="13"/>
  <c r="AN104" i="13"/>
  <c r="AN155" i="13"/>
  <c r="AP184" i="13"/>
  <c r="M19" i="13"/>
  <c r="AJ35" i="13"/>
  <c r="AF155" i="13"/>
  <c r="AP125" i="13"/>
  <c r="M249" i="13"/>
  <c r="M28" i="13"/>
  <c r="T82" i="13"/>
  <c r="AF125" i="13"/>
  <c r="AJ184" i="13"/>
  <c r="M260" i="13"/>
  <c r="M246" i="13"/>
  <c r="AN35" i="13"/>
  <c r="AL155" i="13"/>
  <c r="AL184" i="13"/>
  <c r="T252" i="13"/>
  <c r="M23" i="13"/>
  <c r="M213" i="13"/>
  <c r="M245" i="13"/>
  <c r="M114" i="13"/>
  <c r="M194" i="13"/>
  <c r="M250" i="13"/>
  <c r="M20" i="13"/>
  <c r="X184" i="13"/>
  <c r="T184" i="13"/>
  <c r="P54" i="13"/>
  <c r="Z35" i="13"/>
  <c r="AJ98" i="13"/>
  <c r="X155" i="13"/>
  <c r="AD184" i="13"/>
  <c r="M206" i="13"/>
  <c r="M216" i="13"/>
  <c r="M217" i="13"/>
  <c r="BB43" i="13"/>
  <c r="R75" i="13"/>
  <c r="AJ191" i="13"/>
  <c r="M122" i="13"/>
  <c r="M44" i="13"/>
  <c r="M162" i="13"/>
  <c r="Z138" i="13"/>
  <c r="AN138" i="13"/>
  <c r="R27" i="13"/>
  <c r="R159" i="13"/>
  <c r="AH115" i="13"/>
  <c r="AB111" i="13"/>
  <c r="AJ111" i="13"/>
  <c r="AP111" i="13"/>
  <c r="AP148" i="13"/>
  <c r="AD192" i="13"/>
  <c r="R151" i="13"/>
  <c r="M212" i="13"/>
  <c r="M248" i="13"/>
  <c r="M15" i="13"/>
  <c r="M16" i="13"/>
  <c r="M233" i="13"/>
  <c r="M239" i="13"/>
  <c r="M18" i="13"/>
  <c r="AN48" i="13"/>
  <c r="AH138" i="13"/>
  <c r="AR138" i="13"/>
  <c r="V80" i="13"/>
  <c r="R111" i="13"/>
  <c r="R150" i="13"/>
  <c r="Z27" i="13"/>
  <c r="X50" i="13"/>
  <c r="AP115" i="13"/>
  <c r="AD93" i="13"/>
  <c r="Z125" i="13"/>
  <c r="V111" i="13"/>
  <c r="AD111" i="13"/>
  <c r="AN111" i="13"/>
  <c r="AB148" i="13"/>
  <c r="AR148" i="13"/>
  <c r="M123" i="13"/>
  <c r="M177" i="13"/>
  <c r="M235" i="13"/>
  <c r="M14" i="13"/>
  <c r="M64" i="13"/>
  <c r="M218" i="13"/>
  <c r="M252" i="13"/>
  <c r="R206" i="13"/>
  <c r="R218" i="13"/>
  <c r="V156" i="13"/>
  <c r="V35" i="13"/>
  <c r="AB35" i="13"/>
  <c r="AB98" i="13"/>
  <c r="V155" i="13"/>
  <c r="AJ155" i="13"/>
  <c r="AR155" i="13"/>
  <c r="AB184" i="13"/>
  <c r="AF184" i="13"/>
  <c r="M97" i="13"/>
  <c r="M230" i="13"/>
  <c r="M251" i="13"/>
  <c r="M21" i="13"/>
  <c r="M254" i="13"/>
  <c r="M223" i="13"/>
  <c r="M236" i="13"/>
  <c r="M164" i="13"/>
  <c r="AX188" i="13"/>
  <c r="T255" i="13"/>
  <c r="V162" i="13"/>
  <c r="R250" i="13"/>
  <c r="T239" i="13"/>
  <c r="T35" i="13"/>
  <c r="R167" i="13"/>
  <c r="AF35" i="13"/>
  <c r="AB155" i="13"/>
  <c r="X179" i="13"/>
  <c r="AH184" i="13"/>
  <c r="M17" i="13"/>
  <c r="M43" i="13"/>
  <c r="M117" i="13"/>
  <c r="M188" i="13"/>
  <c r="M261" i="13"/>
  <c r="M219" i="13"/>
  <c r="M255" i="13"/>
  <c r="T230" i="13"/>
  <c r="V258" i="13"/>
  <c r="X120" i="13"/>
  <c r="L120" i="13"/>
  <c r="AN156" i="13"/>
  <c r="L156" i="13"/>
  <c r="V170" i="13"/>
  <c r="L170" i="13"/>
  <c r="AL163" i="13"/>
  <c r="AR35" i="13"/>
  <c r="L35" i="13"/>
  <c r="L98" i="13"/>
  <c r="AH155" i="13"/>
  <c r="L155" i="13"/>
  <c r="T158" i="13"/>
  <c r="L158" i="13"/>
  <c r="T54" i="13"/>
  <c r="L54" i="13"/>
  <c r="AR184" i="13"/>
  <c r="L184" i="13"/>
  <c r="M106" i="13"/>
  <c r="L106" i="13"/>
  <c r="M121" i="13"/>
  <c r="L121" i="13"/>
  <c r="L87" i="13"/>
  <c r="L117" i="13"/>
  <c r="L201" i="13"/>
  <c r="L206" i="13"/>
  <c r="L229" i="13"/>
  <c r="V229" i="13"/>
  <c r="L261" i="13"/>
  <c r="L230" i="13"/>
  <c r="BB230" i="13"/>
  <c r="L219" i="13"/>
  <c r="L251" i="13"/>
  <c r="L232" i="13"/>
  <c r="L217" i="13"/>
  <c r="L254" i="13"/>
  <c r="T254" i="13"/>
  <c r="L223" i="13"/>
  <c r="T223" i="13"/>
  <c r="L236" i="13"/>
  <c r="T236" i="13"/>
  <c r="L21" i="13"/>
  <c r="L65" i="13"/>
  <c r="L15" i="13"/>
  <c r="L16" i="13"/>
  <c r="L64" i="13"/>
  <c r="L124" i="13"/>
  <c r="L194" i="13"/>
  <c r="L218" i="13"/>
  <c r="L239" i="13"/>
  <c r="L260" i="13"/>
  <c r="L122" i="13"/>
  <c r="T122" i="13"/>
  <c r="L97" i="13"/>
  <c r="L177" i="13"/>
  <c r="L213" i="13"/>
  <c r="L188" i="13"/>
  <c r="V245" i="13"/>
  <c r="L245" i="13"/>
  <c r="L212" i="13"/>
  <c r="T212" i="13"/>
  <c r="L246" i="13"/>
  <c r="R246" i="13"/>
  <c r="L235" i="13"/>
  <c r="V235" i="13"/>
  <c r="L216" i="13"/>
  <c r="L248" i="13"/>
  <c r="L249" i="13"/>
  <c r="L234" i="13"/>
  <c r="R234" i="13"/>
  <c r="L255" i="13"/>
  <c r="L252" i="13"/>
  <c r="L41" i="13"/>
  <c r="L14" i="13"/>
  <c r="L47" i="13"/>
  <c r="AX47" i="13"/>
  <c r="L44" i="13"/>
  <c r="L114" i="13"/>
  <c r="R114" i="13"/>
  <c r="L162" i="13"/>
  <c r="L233" i="13"/>
  <c r="L250" i="13"/>
  <c r="L220" i="13"/>
  <c r="T220" i="13"/>
  <c r="L18" i="13"/>
  <c r="P227" i="13"/>
  <c r="T84" i="13"/>
  <c r="V242" i="13"/>
  <c r="AR156" i="13"/>
  <c r="AX114" i="13"/>
  <c r="AX205" i="13"/>
  <c r="AJ156" i="13"/>
  <c r="BB45" i="13"/>
  <c r="AX252" i="13"/>
  <c r="AP253" i="13"/>
  <c r="AP255" i="13"/>
  <c r="AL253" i="13"/>
  <c r="AL258" i="13"/>
  <c r="AR253" i="13"/>
  <c r="AJ255" i="13"/>
  <c r="AN145" i="13"/>
  <c r="M66" i="13"/>
  <c r="Z156" i="13"/>
  <c r="AP156" i="13"/>
  <c r="AD35" i="13"/>
  <c r="AH35" i="13"/>
  <c r="Z98" i="13"/>
  <c r="Z155" i="13"/>
  <c r="AD155" i="13"/>
  <c r="AF156" i="13"/>
  <c r="AH156" i="13"/>
  <c r="AL156" i="13"/>
  <c r="AD156" i="13"/>
  <c r="R105" i="13"/>
  <c r="R164" i="13"/>
  <c r="AP157" i="13"/>
  <c r="V62" i="13"/>
  <c r="AF134" i="13"/>
  <c r="AR96" i="13"/>
  <c r="AR81" i="13"/>
  <c r="AH171" i="13"/>
  <c r="AJ160" i="13"/>
  <c r="AR99" i="13"/>
  <c r="AR181" i="13"/>
  <c r="AR191" i="13"/>
  <c r="T159" i="13"/>
  <c r="V199" i="13"/>
  <c r="AP135" i="13"/>
  <c r="AN52" i="13"/>
  <c r="Z52" i="13"/>
  <c r="T52" i="13"/>
  <c r="R52" i="13"/>
  <c r="AP52" i="13"/>
  <c r="AD52" i="13"/>
  <c r="V52" i="13"/>
  <c r="AJ52" i="13"/>
  <c r="AH48" i="13"/>
  <c r="AR48" i="13"/>
  <c r="AL48" i="13"/>
  <c r="AB48" i="13"/>
  <c r="R48" i="13"/>
  <c r="AP48" i="13"/>
  <c r="AD48" i="13"/>
  <c r="Z48" i="13"/>
  <c r="AF176" i="13"/>
  <c r="V176" i="13"/>
  <c r="R176" i="13"/>
  <c r="AP79" i="13"/>
  <c r="AH79" i="13"/>
  <c r="V79" i="13"/>
  <c r="T79" i="13"/>
  <c r="AL79" i="13"/>
  <c r="AF79" i="13"/>
  <c r="X79" i="13"/>
  <c r="R79" i="13"/>
  <c r="AR79" i="13"/>
  <c r="AD79" i="13"/>
  <c r="Z79" i="13"/>
  <c r="P165" i="13"/>
  <c r="AF165" i="13"/>
  <c r="X165" i="13"/>
  <c r="T165" i="13"/>
  <c r="AD165" i="13"/>
  <c r="V165" i="13"/>
  <c r="AH165" i="13"/>
  <c r="Z165" i="13"/>
  <c r="T26" i="13"/>
  <c r="AD26" i="13"/>
  <c r="R26" i="13"/>
  <c r="AR26" i="13"/>
  <c r="Z26" i="13"/>
  <c r="AH26" i="13"/>
  <c r="AB26" i="13"/>
  <c r="AL173" i="13"/>
  <c r="AJ173" i="13"/>
  <c r="V173" i="13"/>
  <c r="AH173" i="13"/>
  <c r="Z173" i="13"/>
  <c r="AP173" i="13"/>
  <c r="AF173" i="13"/>
  <c r="AB173" i="13"/>
  <c r="V78" i="13"/>
  <c r="AJ78" i="13"/>
  <c r="AD78" i="13"/>
  <c r="AB78" i="13"/>
  <c r="T78" i="13"/>
  <c r="AN78" i="13"/>
  <c r="AF78" i="13"/>
  <c r="AL78" i="13"/>
  <c r="X78" i="13"/>
  <c r="AJ91" i="13"/>
  <c r="AL91" i="13"/>
  <c r="AB91" i="13"/>
  <c r="R91" i="13"/>
  <c r="V91" i="13"/>
  <c r="AN91" i="13"/>
  <c r="AF91" i="13"/>
  <c r="Z91" i="13"/>
  <c r="X91" i="13"/>
  <c r="AR91" i="13"/>
  <c r="AN108" i="13"/>
  <c r="AH108" i="13"/>
  <c r="X108" i="13"/>
  <c r="AR108" i="13"/>
  <c r="AF108" i="13"/>
  <c r="AB108" i="13"/>
  <c r="T108" i="13"/>
  <c r="AL108" i="13"/>
  <c r="AD108" i="13"/>
  <c r="AL58" i="13"/>
  <c r="AD58" i="13"/>
  <c r="X58" i="13"/>
  <c r="T58" i="13"/>
  <c r="AP58" i="13"/>
  <c r="AB58" i="13"/>
  <c r="AN58" i="13"/>
  <c r="AH58" i="13"/>
  <c r="V58" i="13"/>
  <c r="R58" i="13"/>
  <c r="R189" i="13"/>
  <c r="AL189" i="13"/>
  <c r="AD189" i="13"/>
  <c r="T189" i="13"/>
  <c r="AJ189" i="13"/>
  <c r="AB189" i="13"/>
  <c r="AH189" i="13"/>
  <c r="Z189" i="13"/>
  <c r="V144" i="13"/>
  <c r="R144" i="13"/>
  <c r="AH144" i="13"/>
  <c r="AF145" i="13"/>
  <c r="X145" i="13"/>
  <c r="V145" i="13"/>
  <c r="AD145" i="13"/>
  <c r="T145" i="13"/>
  <c r="Z145" i="13"/>
  <c r="AD30" i="13"/>
  <c r="AB30" i="13"/>
  <c r="AL30" i="13"/>
  <c r="AF30" i="13"/>
  <c r="AR30" i="13"/>
  <c r="X30" i="13"/>
  <c r="AR147" i="13"/>
  <c r="AH147" i="13"/>
  <c r="AF139" i="13"/>
  <c r="X139" i="13"/>
  <c r="AH139" i="13"/>
  <c r="AD139" i="13"/>
  <c r="V139" i="13"/>
  <c r="R139" i="13"/>
  <c r="AP139" i="13"/>
  <c r="Z139" i="13"/>
  <c r="T139" i="13"/>
  <c r="AJ204" i="13"/>
  <c r="AH204" i="13"/>
  <c r="AB204" i="13"/>
  <c r="X31" i="13"/>
  <c r="AF31" i="13"/>
  <c r="AN31" i="13"/>
  <c r="AR31" i="13"/>
  <c r="Z31" i="13"/>
  <c r="AH31" i="13"/>
  <c r="AJ182" i="13"/>
  <c r="AR182" i="13"/>
  <c r="AR106" i="13"/>
  <c r="AD106" i="13"/>
  <c r="X106" i="13"/>
  <c r="AB106" i="13"/>
  <c r="AP106" i="13"/>
  <c r="AH106" i="13"/>
  <c r="AF106" i="13"/>
  <c r="V106" i="13"/>
  <c r="R106" i="13"/>
  <c r="AH78" i="13"/>
  <c r="T173" i="13"/>
  <c r="Z108" i="13"/>
  <c r="AN173" i="13"/>
  <c r="AB165" i="13"/>
  <c r="AF26" i="13"/>
  <c r="X48" i="13"/>
  <c r="AF189" i="13"/>
  <c r="T176" i="13"/>
  <c r="AF58" i="13"/>
  <c r="AB79" i="13"/>
  <c r="AB139" i="13"/>
  <c r="T204" i="13"/>
  <c r="AL199" i="13"/>
  <c r="Z199" i="13"/>
  <c r="T199" i="13"/>
  <c r="AH199" i="13"/>
  <c r="X199" i="13"/>
  <c r="AN199" i="13"/>
  <c r="AF199" i="13"/>
  <c r="AB199" i="13"/>
  <c r="P199" i="13"/>
  <c r="R199" i="13"/>
  <c r="X105" i="13"/>
  <c r="AP105" i="13"/>
  <c r="T105" i="13"/>
  <c r="AJ105" i="13"/>
  <c r="Z105" i="13"/>
  <c r="AF105" i="13"/>
  <c r="V105" i="13"/>
  <c r="AL105" i="13"/>
  <c r="AH105" i="13"/>
  <c r="AB105" i="13"/>
  <c r="X52" i="13"/>
  <c r="AD91" i="13"/>
  <c r="AD105" i="13"/>
  <c r="T106" i="13"/>
  <c r="AJ108" i="13"/>
  <c r="AP26" i="13"/>
  <c r="AF48" i="13"/>
  <c r="AD199" i="13"/>
  <c r="AJ79" i="13"/>
  <c r="Z106" i="13"/>
  <c r="AL139" i="13"/>
  <c r="AP99" i="13"/>
  <c r="Z81" i="13"/>
  <c r="AD191" i="13"/>
  <c r="V96" i="13"/>
  <c r="AJ181" i="13"/>
  <c r="AD157" i="13"/>
  <c r="AB96" i="13"/>
  <c r="R160" i="13"/>
  <c r="AJ171" i="13"/>
  <c r="AN176" i="13"/>
  <c r="X42" i="13"/>
  <c r="AF118" i="13"/>
  <c r="X73" i="13"/>
  <c r="AJ96" i="13"/>
  <c r="R81" i="13"/>
  <c r="P42" i="13"/>
  <c r="AF81" i="13"/>
  <c r="AR157" i="13"/>
  <c r="Z160" i="13"/>
  <c r="AF62" i="13"/>
  <c r="T42" i="13"/>
  <c r="T166" i="13"/>
  <c r="AD42" i="13"/>
  <c r="AB73" i="13"/>
  <c r="V171" i="13"/>
  <c r="Z181" i="13"/>
  <c r="AF185" i="13"/>
  <c r="AD99" i="13"/>
  <c r="AF160" i="13"/>
  <c r="AH42" i="13"/>
  <c r="AF83" i="13"/>
  <c r="AN73" i="13"/>
  <c r="T160" i="13"/>
  <c r="AF171" i="13"/>
  <c r="AD181" i="13"/>
  <c r="X166" i="13"/>
  <c r="AP185" i="13"/>
  <c r="R118" i="13"/>
  <c r="AH99" i="13"/>
  <c r="Z157" i="13"/>
  <c r="AB62" i="13"/>
  <c r="AD62" i="13"/>
  <c r="Z62" i="13"/>
  <c r="R96" i="13"/>
  <c r="Z42" i="13"/>
  <c r="AF42" i="13"/>
  <c r="X118" i="13"/>
  <c r="AD118" i="13"/>
  <c r="AL118" i="13"/>
  <c r="AD110" i="13"/>
  <c r="V73" i="13"/>
  <c r="AL73" i="13"/>
  <c r="AP73" i="13"/>
  <c r="V185" i="13"/>
  <c r="V22" i="13"/>
  <c r="T181" i="13"/>
  <c r="AF96" i="13"/>
  <c r="AP96" i="13"/>
  <c r="T81" i="13"/>
  <c r="X171" i="13"/>
  <c r="AL171" i="13"/>
  <c r="AN171" i="13"/>
  <c r="V181" i="13"/>
  <c r="AF181" i="13"/>
  <c r="AN181" i="13"/>
  <c r="AF166" i="13"/>
  <c r="AB185" i="13"/>
  <c r="AD185" i="13"/>
  <c r="Z99" i="13"/>
  <c r="AF99" i="13"/>
  <c r="AL99" i="13"/>
  <c r="X81" i="13"/>
  <c r="AH81" i="13"/>
  <c r="V157" i="13"/>
  <c r="AF157" i="13"/>
  <c r="AJ157" i="13"/>
  <c r="X160" i="13"/>
  <c r="AL160" i="13"/>
  <c r="AN160" i="13"/>
  <c r="T96" i="13"/>
  <c r="AN62" i="13"/>
  <c r="T62" i="13"/>
  <c r="X62" i="13"/>
  <c r="T171" i="13"/>
  <c r="V42" i="13"/>
  <c r="Z118" i="13"/>
  <c r="AH118" i="13"/>
  <c r="AD73" i="13"/>
  <c r="AH73" i="13"/>
  <c r="AN172" i="13"/>
  <c r="T157" i="13"/>
  <c r="R171" i="13"/>
  <c r="R185" i="13"/>
  <c r="R166" i="13"/>
  <c r="X96" i="13"/>
  <c r="AH96" i="13"/>
  <c r="AF113" i="13"/>
  <c r="T99" i="13"/>
  <c r="T118" i="13"/>
  <c r="R157" i="13"/>
  <c r="AB171" i="13"/>
  <c r="AR171" i="13"/>
  <c r="X181" i="13"/>
  <c r="AH181" i="13"/>
  <c r="Z166" i="13"/>
  <c r="AD166" i="13"/>
  <c r="X185" i="13"/>
  <c r="AL185" i="13"/>
  <c r="AN185" i="13"/>
  <c r="V99" i="13"/>
  <c r="AB99" i="13"/>
  <c r="AN99" i="13"/>
  <c r="V81" i="13"/>
  <c r="AB81" i="13"/>
  <c r="X157" i="13"/>
  <c r="AH157" i="13"/>
  <c r="AN157" i="13"/>
  <c r="AD160" i="13"/>
  <c r="AP160" i="13"/>
  <c r="AH62" i="13"/>
  <c r="R62" i="13"/>
  <c r="R172" i="13"/>
  <c r="R22" i="13"/>
  <c r="AB42" i="13"/>
  <c r="AB118" i="13"/>
  <c r="AP118" i="13"/>
  <c r="Z73" i="13"/>
  <c r="AF73" i="13"/>
  <c r="AJ73" i="13"/>
  <c r="V160" i="13"/>
  <c r="Z96" i="13"/>
  <c r="AD96" i="13"/>
  <c r="R73" i="13"/>
  <c r="R181" i="13"/>
  <c r="Z171" i="13"/>
  <c r="AD171" i="13"/>
  <c r="AB181" i="13"/>
  <c r="AL181" i="13"/>
  <c r="AB166" i="13"/>
  <c r="AH166" i="13"/>
  <c r="Z185" i="13"/>
  <c r="AH185" i="13"/>
  <c r="AR185" i="13"/>
  <c r="R99" i="13"/>
  <c r="X99" i="13"/>
  <c r="AD81" i="13"/>
  <c r="AB157" i="13"/>
  <c r="AB160" i="13"/>
  <c r="AH160" i="13"/>
  <c r="AH191" i="13"/>
  <c r="X191" i="13"/>
  <c r="AP191" i="13"/>
  <c r="AB191" i="13"/>
  <c r="AF191" i="13"/>
  <c r="Z191" i="13"/>
  <c r="Z176" i="13"/>
  <c r="M157" i="13"/>
  <c r="AB175" i="13"/>
  <c r="M62" i="13"/>
  <c r="M49" i="13"/>
  <c r="V134" i="13"/>
  <c r="M96" i="13"/>
  <c r="M136" i="13"/>
  <c r="M197" i="13"/>
  <c r="M81" i="13"/>
  <c r="M171" i="13"/>
  <c r="M160" i="13"/>
  <c r="M68" i="13"/>
  <c r="M137" i="13"/>
  <c r="M99" i="13"/>
  <c r="M181" i="13"/>
  <c r="M69" i="13"/>
  <c r="M100" i="13"/>
  <c r="M191" i="13"/>
  <c r="M152" i="13"/>
  <c r="M159" i="13"/>
  <c r="M25" i="13"/>
  <c r="M202" i="13"/>
  <c r="AD50" i="13"/>
  <c r="R59" i="13"/>
  <c r="M115" i="13"/>
  <c r="M111" i="13"/>
  <c r="M186" i="13"/>
  <c r="M27" i="13"/>
  <c r="M128" i="13"/>
  <c r="M179" i="13"/>
  <c r="M32" i="13"/>
  <c r="M198" i="13"/>
  <c r="M74" i="13"/>
  <c r="M151" i="13"/>
  <c r="M196" i="13"/>
  <c r="M38" i="13"/>
  <c r="M129" i="13"/>
  <c r="M29" i="13"/>
  <c r="M120" i="13"/>
  <c r="M156" i="13"/>
  <c r="M170" i="13"/>
  <c r="M46" i="13"/>
  <c r="M35" i="13"/>
  <c r="M149" i="13"/>
  <c r="M132" i="13"/>
  <c r="M90" i="13"/>
  <c r="M155" i="13"/>
  <c r="M158" i="13"/>
  <c r="M94" i="13"/>
  <c r="M54" i="13"/>
  <c r="M77" i="13"/>
  <c r="M184" i="13"/>
  <c r="M195" i="13"/>
  <c r="M39" i="13"/>
  <c r="M51" i="13"/>
  <c r="M125" i="13"/>
  <c r="M148" i="13"/>
  <c r="M52" i="13"/>
  <c r="M176" i="13"/>
  <c r="M57" i="13"/>
  <c r="M105" i="13"/>
  <c r="M79" i="13"/>
  <c r="AH207" i="13"/>
  <c r="M133" i="13"/>
  <c r="M91" i="13"/>
  <c r="M108" i="13"/>
  <c r="M153" i="13"/>
  <c r="M58" i="13"/>
  <c r="M144" i="13"/>
  <c r="M135" i="13"/>
  <c r="M145" i="13"/>
  <c r="M30" i="13"/>
  <c r="V30" i="13"/>
  <c r="M147" i="13"/>
  <c r="M139" i="13"/>
  <c r="M204" i="13"/>
  <c r="M31" i="13"/>
  <c r="M140" i="13"/>
  <c r="M190" i="13"/>
  <c r="M199" i="13"/>
  <c r="M200" i="13"/>
  <c r="AP24" i="13"/>
  <c r="X24" i="13"/>
  <c r="T24" i="13"/>
  <c r="AN24" i="13"/>
  <c r="AH24" i="13"/>
  <c r="AB24" i="13"/>
  <c r="R24" i="13"/>
  <c r="AR24" i="13"/>
  <c r="AD24" i="13"/>
  <c r="Z24" i="13"/>
  <c r="AJ113" i="13"/>
  <c r="AD113" i="13"/>
  <c r="R113" i="13"/>
  <c r="AH113" i="13"/>
  <c r="Z113" i="13"/>
  <c r="T113" i="13"/>
  <c r="AL113" i="13"/>
  <c r="AB113" i="13"/>
  <c r="X113" i="13"/>
  <c r="M174" i="13"/>
  <c r="AP174" i="13"/>
  <c r="AD174" i="13"/>
  <c r="Z174" i="13"/>
  <c r="V174" i="13"/>
  <c r="AF174" i="13"/>
  <c r="AJ174" i="13"/>
  <c r="X174" i="13"/>
  <c r="M203" i="13"/>
  <c r="Z203" i="13"/>
  <c r="V203" i="13"/>
  <c r="M142" i="13"/>
  <c r="AN142" i="13"/>
  <c r="AH142" i="13"/>
  <c r="AB142" i="13"/>
  <c r="R142" i="13"/>
  <c r="T142" i="13"/>
  <c r="AD142" i="13"/>
  <c r="Z142" i="13"/>
  <c r="V142" i="13"/>
  <c r="AJ142" i="13"/>
  <c r="AF142" i="13"/>
  <c r="X116" i="13"/>
  <c r="AB116" i="13"/>
  <c r="T116" i="13"/>
  <c r="R112" i="13"/>
  <c r="AJ112" i="13"/>
  <c r="AB112" i="13"/>
  <c r="AD112" i="13"/>
  <c r="Z112" i="13"/>
  <c r="AR112" i="13"/>
  <c r="AH112" i="13"/>
  <c r="X112" i="13"/>
  <c r="M60" i="13"/>
  <c r="AD60" i="13"/>
  <c r="P60" i="13"/>
  <c r="R83" i="13"/>
  <c r="AD83" i="13"/>
  <c r="AP83" i="13"/>
  <c r="AB83" i="13"/>
  <c r="Z83" i="13"/>
  <c r="AH83" i="13"/>
  <c r="V83" i="13"/>
  <c r="M192" i="13"/>
  <c r="AP192" i="13"/>
  <c r="AB192" i="13"/>
  <c r="X192" i="13"/>
  <c r="AF192" i="13"/>
  <c r="Z192" i="13"/>
  <c r="V192" i="13"/>
  <c r="AN192" i="13"/>
  <c r="AH192" i="13"/>
  <c r="R192" i="13"/>
  <c r="M22" i="13"/>
  <c r="AH22" i="13"/>
  <c r="Z22" i="13"/>
  <c r="AD22" i="13"/>
  <c r="AB22" i="13"/>
  <c r="AF22" i="13"/>
  <c r="T22" i="13"/>
  <c r="M172" i="13"/>
  <c r="AD172" i="13"/>
  <c r="Z172" i="13"/>
  <c r="V172" i="13"/>
  <c r="AH172" i="13"/>
  <c r="AP172" i="13"/>
  <c r="X172" i="13"/>
  <c r="T174" i="13"/>
  <c r="AF24" i="13"/>
  <c r="Z116" i="13"/>
  <c r="V112" i="13"/>
  <c r="X142" i="13"/>
  <c r="AF203" i="13"/>
  <c r="AB174" i="13"/>
  <c r="AN109" i="13"/>
  <c r="M175" i="13"/>
  <c r="T175" i="13"/>
  <c r="AF175" i="13"/>
  <c r="X175" i="13"/>
  <c r="R175" i="13"/>
  <c r="AD175" i="13"/>
  <c r="V175" i="13"/>
  <c r="AH175" i="13"/>
  <c r="Z175" i="13"/>
  <c r="M134" i="13"/>
  <c r="X134" i="13"/>
  <c r="R134" i="13"/>
  <c r="T134" i="13"/>
  <c r="AH134" i="13"/>
  <c r="AB134" i="13"/>
  <c r="AD134" i="13"/>
  <c r="Z134" i="13"/>
  <c r="M93" i="13"/>
  <c r="AB93" i="13"/>
  <c r="AH93" i="13"/>
  <c r="X93" i="13"/>
  <c r="T93" i="13"/>
  <c r="AF93" i="13"/>
  <c r="V93" i="13"/>
  <c r="M207" i="13"/>
  <c r="AF207" i="13"/>
  <c r="AB207" i="13"/>
  <c r="V207" i="13"/>
  <c r="AD207" i="13"/>
  <c r="P207" i="13"/>
  <c r="Z207" i="13"/>
  <c r="M50" i="13"/>
  <c r="AB50" i="13"/>
  <c r="AH50" i="13"/>
  <c r="V50" i="13"/>
  <c r="AF50" i="13"/>
  <c r="Z50" i="13"/>
  <c r="R50" i="13"/>
  <c r="T50" i="13"/>
  <c r="M59" i="13"/>
  <c r="Z59" i="13"/>
  <c r="T59" i="13"/>
  <c r="V59" i="13"/>
  <c r="AF59" i="13"/>
  <c r="X59" i="13"/>
  <c r="AB59" i="13"/>
  <c r="M104" i="13"/>
  <c r="AF104" i="13"/>
  <c r="R104" i="13"/>
  <c r="V104" i="13"/>
  <c r="T104" i="13"/>
  <c r="AB104" i="13"/>
  <c r="AD104" i="13"/>
  <c r="Z104" i="13"/>
  <c r="AB143" i="13"/>
  <c r="X143" i="13"/>
  <c r="M71" i="13"/>
  <c r="R71" i="13"/>
  <c r="AF112" i="13"/>
  <c r="AB172" i="13"/>
  <c r="R174" i="13"/>
  <c r="T192" i="13"/>
  <c r="X104" i="13"/>
  <c r="AH174" i="13"/>
  <c r="AH59" i="13"/>
  <c r="X83" i="13"/>
  <c r="AL112" i="13"/>
  <c r="AF172" i="13"/>
  <c r="T207" i="13"/>
  <c r="T172" i="13"/>
  <c r="X22" i="13"/>
  <c r="Z93" i="13"/>
  <c r="AH104" i="13"/>
  <c r="AH143" i="13"/>
  <c r="AN174" i="13"/>
  <c r="M189" i="13"/>
  <c r="V189" i="13"/>
  <c r="M24" i="13"/>
  <c r="V24" i="13"/>
  <c r="M113" i="13"/>
  <c r="V113" i="13"/>
  <c r="M109" i="13"/>
  <c r="M116" i="13"/>
  <c r="M112" i="13"/>
  <c r="T112" i="13"/>
  <c r="M83" i="13"/>
  <c r="T83" i="13"/>
  <c r="M73" i="13"/>
  <c r="T73" i="13"/>
  <c r="M138" i="13"/>
  <c r="M80" i="13"/>
  <c r="T80" i="13"/>
  <c r="M26" i="13"/>
  <c r="V26" i="13"/>
  <c r="M180" i="13"/>
  <c r="M82" i="13"/>
  <c r="M55" i="13"/>
  <c r="R55" i="13"/>
  <c r="M75" i="13"/>
  <c r="T75" i="13"/>
  <c r="M165" i="13"/>
  <c r="R165" i="13"/>
  <c r="M173" i="13"/>
  <c r="R173" i="13"/>
  <c r="M42" i="13"/>
  <c r="R42" i="13"/>
  <c r="M67" i="13"/>
  <c r="V67" i="13"/>
  <c r="M150" i="13"/>
  <c r="V150" i="13"/>
  <c r="M118" i="13"/>
  <c r="V118" i="13"/>
  <c r="M48" i="13"/>
  <c r="T48" i="13"/>
  <c r="M166" i="13"/>
  <c r="V166" i="13"/>
  <c r="M167" i="13"/>
  <c r="T167" i="13"/>
  <c r="M185" i="13"/>
  <c r="T185" i="13"/>
  <c r="M183" i="13"/>
  <c r="M78" i="13"/>
  <c r="AH208" i="13"/>
  <c r="AL208" i="13"/>
  <c r="V208" i="13"/>
  <c r="AJ207" i="13"/>
  <c r="Z208" i="13"/>
  <c r="T208" i="13"/>
  <c r="R208" i="13"/>
  <c r="AB208" i="13"/>
  <c r="AF208" i="13"/>
  <c r="AD208" i="13"/>
  <c r="AN179" i="13"/>
  <c r="AB179" i="13"/>
  <c r="V179" i="13"/>
  <c r="AH179" i="13"/>
  <c r="X176" i="13"/>
  <c r="AD176" i="13"/>
  <c r="AR176" i="13"/>
  <c r="AB176" i="13"/>
  <c r="AH176" i="13"/>
  <c r="AD120" i="13"/>
  <c r="AR120" i="13"/>
  <c r="AF120" i="13"/>
  <c r="R120" i="13"/>
  <c r="V120" i="13"/>
  <c r="Z120" i="13"/>
  <c r="AH120" i="13"/>
  <c r="Z88" i="13"/>
  <c r="T201" i="13"/>
  <c r="AF179" i="13"/>
  <c r="Z179" i="13"/>
  <c r="AD179" i="13"/>
  <c r="X168" i="13"/>
  <c r="AH168" i="13"/>
  <c r="AP168" i="13"/>
  <c r="AB168" i="13"/>
  <c r="R168" i="13"/>
  <c r="AF168" i="13"/>
  <c r="AP60" i="13"/>
  <c r="X60" i="13"/>
  <c r="AH60" i="13"/>
  <c r="AB60" i="13"/>
  <c r="V88" i="13"/>
  <c r="AH89" i="13"/>
  <c r="T89" i="13"/>
  <c r="X89" i="13"/>
  <c r="V89" i="13"/>
  <c r="T147" i="13"/>
  <c r="AB144" i="13"/>
  <c r="Z205" i="13"/>
  <c r="AF205" i="13"/>
  <c r="T144" i="13"/>
  <c r="R147" i="13"/>
  <c r="Z147" i="13"/>
  <c r="AD147" i="13"/>
  <c r="R203" i="13"/>
  <c r="AB203" i="13"/>
  <c r="T148" i="13"/>
  <c r="R135" i="13"/>
  <c r="R205" i="13"/>
  <c r="Z135" i="13"/>
  <c r="AF148" i="13"/>
  <c r="V60" i="13"/>
  <c r="T60" i="13"/>
  <c r="Z60" i="13"/>
  <c r="AB88" i="13"/>
  <c r="AD88" i="13"/>
  <c r="AH88" i="13"/>
  <c r="AF89" i="13"/>
  <c r="R89" i="13"/>
  <c r="AL89" i="13"/>
  <c r="AF144" i="13"/>
  <c r="AB205" i="13"/>
  <c r="V147" i="13"/>
  <c r="AF147" i="13"/>
  <c r="AH203" i="13"/>
  <c r="AJ203" i="13"/>
  <c r="V205" i="13"/>
  <c r="AD135" i="13"/>
  <c r="Z148" i="13"/>
  <c r="AD148" i="13"/>
  <c r="R60" i="13"/>
  <c r="AF60" i="13"/>
  <c r="AF88" i="13"/>
  <c r="R88" i="13"/>
  <c r="X88" i="13"/>
  <c r="T88" i="13"/>
  <c r="AB89" i="13"/>
  <c r="T203" i="13"/>
  <c r="R148" i="13"/>
  <c r="X144" i="13"/>
  <c r="AD144" i="13"/>
  <c r="AH205" i="13"/>
  <c r="X147" i="13"/>
  <c r="X203" i="13"/>
  <c r="AD203" i="13"/>
  <c r="X205" i="13"/>
  <c r="X148" i="13"/>
  <c r="AH148" i="13"/>
  <c r="AF135" i="13"/>
  <c r="X135" i="13"/>
  <c r="AH135" i="13"/>
  <c r="T135" i="13"/>
  <c r="V135" i="13"/>
  <c r="AB135" i="13"/>
  <c r="AN135" i="13"/>
  <c r="V125" i="13"/>
  <c r="AB125" i="13"/>
  <c r="X125" i="13"/>
  <c r="AH125" i="13"/>
  <c r="R125" i="13"/>
  <c r="AD125" i="13"/>
  <c r="AH49" i="13"/>
  <c r="AF49" i="13"/>
  <c r="AD49" i="13"/>
  <c r="AB49" i="13"/>
  <c r="X49" i="13"/>
  <c r="Z49" i="13"/>
  <c r="T49" i="13"/>
  <c r="V49" i="13"/>
  <c r="R49" i="13"/>
  <c r="AL136" i="13"/>
  <c r="AD136" i="13"/>
  <c r="AH136" i="13"/>
  <c r="AF136" i="13"/>
  <c r="AB136" i="13"/>
  <c r="Z136" i="13"/>
  <c r="X136" i="13"/>
  <c r="V136" i="13"/>
  <c r="T136" i="13"/>
  <c r="R136" i="13"/>
  <c r="AH190" i="13"/>
  <c r="Z190" i="13"/>
  <c r="AR128" i="13"/>
  <c r="AJ128" i="13"/>
  <c r="AD128" i="13"/>
  <c r="AH128" i="13"/>
  <c r="AF128" i="13"/>
  <c r="AB128" i="13"/>
  <c r="Z128" i="13"/>
  <c r="X128" i="13"/>
  <c r="V128" i="13"/>
  <c r="R128" i="13"/>
  <c r="T128" i="13"/>
  <c r="AH198" i="13"/>
  <c r="AD198" i="13"/>
  <c r="AF198" i="13"/>
  <c r="AB198" i="13"/>
  <c r="Z198" i="13"/>
  <c r="X198" i="13"/>
  <c r="V198" i="13"/>
  <c r="T198" i="13"/>
  <c r="R198" i="13"/>
  <c r="AL64" i="13"/>
  <c r="AH64" i="13"/>
  <c r="AD64" i="13"/>
  <c r="AF64" i="13"/>
  <c r="AB64" i="13"/>
  <c r="Z64" i="13"/>
  <c r="X64" i="13"/>
  <c r="T64" i="13"/>
  <c r="V64" i="13"/>
  <c r="R64" i="13"/>
  <c r="R130" i="13"/>
  <c r="AR65" i="13"/>
  <c r="AH65" i="13"/>
  <c r="AB65" i="13"/>
  <c r="AF65" i="13"/>
  <c r="AD65" i="13"/>
  <c r="Z65" i="13"/>
  <c r="V65" i="13"/>
  <c r="X65" i="13"/>
  <c r="T65" i="13"/>
  <c r="R65" i="13"/>
  <c r="AD140" i="13"/>
  <c r="AH140" i="13"/>
  <c r="AF140" i="13"/>
  <c r="AB140" i="13"/>
  <c r="X140" i="13"/>
  <c r="Z140" i="13"/>
  <c r="V140" i="13"/>
  <c r="T140" i="13"/>
  <c r="R140" i="13"/>
  <c r="AP202" i="13"/>
  <c r="AH202" i="13"/>
  <c r="AD202" i="13"/>
  <c r="AF202" i="13"/>
  <c r="X202" i="13"/>
  <c r="AB202" i="13"/>
  <c r="Z202" i="13"/>
  <c r="T202" i="13"/>
  <c r="R202" i="13"/>
  <c r="AH152" i="13"/>
  <c r="AF152" i="13"/>
  <c r="AD152" i="13"/>
  <c r="Z152" i="13"/>
  <c r="AB152" i="13"/>
  <c r="R152" i="13"/>
  <c r="X152" i="13"/>
  <c r="V152" i="13"/>
  <c r="T152" i="13"/>
  <c r="AF195" i="13"/>
  <c r="AD195" i="13"/>
  <c r="AH195" i="13"/>
  <c r="AB195" i="13"/>
  <c r="Z195" i="13"/>
  <c r="X195" i="13"/>
  <c r="T195" i="13"/>
  <c r="V195" i="13"/>
  <c r="R195" i="13"/>
  <c r="AH53" i="13"/>
  <c r="V53" i="13"/>
  <c r="T53" i="13"/>
  <c r="AN149" i="13"/>
  <c r="AH149" i="13"/>
  <c r="AF149" i="13"/>
  <c r="AD149" i="13"/>
  <c r="AB149" i="13"/>
  <c r="X149" i="13"/>
  <c r="V149" i="13"/>
  <c r="Z149" i="13"/>
  <c r="T149" i="13"/>
  <c r="R149" i="13"/>
  <c r="AL137" i="13"/>
  <c r="AH137" i="13"/>
  <c r="AB137" i="13"/>
  <c r="AF137" i="13"/>
  <c r="AD137" i="13"/>
  <c r="Z137" i="13"/>
  <c r="X137" i="13"/>
  <c r="R137" i="13"/>
  <c r="V137" i="13"/>
  <c r="T137" i="13"/>
  <c r="AR25" i="13"/>
  <c r="AH25" i="13"/>
  <c r="AF25" i="13"/>
  <c r="AD25" i="13"/>
  <c r="AB25" i="13"/>
  <c r="V25" i="13"/>
  <c r="Z25" i="13"/>
  <c r="X25" i="13"/>
  <c r="T25" i="13"/>
  <c r="R25" i="13"/>
  <c r="AB178" i="13"/>
  <c r="T178" i="13"/>
  <c r="AP200" i="13"/>
  <c r="AN200" i="13"/>
  <c r="AF200" i="13"/>
  <c r="AH200" i="13"/>
  <c r="AB200" i="13"/>
  <c r="Z200" i="13"/>
  <c r="R200" i="13"/>
  <c r="X200" i="13"/>
  <c r="V200" i="13"/>
  <c r="T200" i="13"/>
  <c r="AL133" i="13"/>
  <c r="AF133" i="13"/>
  <c r="AD133" i="13"/>
  <c r="AH133" i="13"/>
  <c r="X133" i="13"/>
  <c r="V133" i="13"/>
  <c r="Z133" i="13"/>
  <c r="AB133" i="13"/>
  <c r="T133" i="13"/>
  <c r="R133" i="13"/>
  <c r="AR153" i="13"/>
  <c r="AJ153" i="13"/>
  <c r="AH153" i="13"/>
  <c r="AF153" i="13"/>
  <c r="AD153" i="13"/>
  <c r="Z153" i="13"/>
  <c r="AB153" i="13"/>
  <c r="X153" i="13"/>
  <c r="R153" i="13"/>
  <c r="V153" i="13"/>
  <c r="T153" i="13"/>
  <c r="AH197" i="13"/>
  <c r="AF197" i="13"/>
  <c r="AD197" i="13"/>
  <c r="AB197" i="13"/>
  <c r="Z197" i="13"/>
  <c r="T197" i="13"/>
  <c r="X197" i="13"/>
  <c r="V197" i="13"/>
  <c r="R197" i="13"/>
  <c r="AN29" i="13"/>
  <c r="AH29" i="13"/>
  <c r="AB29" i="13"/>
  <c r="AF29" i="13"/>
  <c r="AD29" i="13"/>
  <c r="V29" i="13"/>
  <c r="X29" i="13"/>
  <c r="Z29" i="13"/>
  <c r="R29" i="13"/>
  <c r="T29" i="13"/>
  <c r="AJ132" i="13"/>
  <c r="AH132" i="13"/>
  <c r="AF132" i="13"/>
  <c r="AD132" i="13"/>
  <c r="X132" i="13"/>
  <c r="Z132" i="13"/>
  <c r="AB132" i="13"/>
  <c r="T132" i="13"/>
  <c r="V132" i="13"/>
  <c r="R132" i="13"/>
  <c r="AH186" i="13"/>
  <c r="AD186" i="13"/>
  <c r="AF186" i="13"/>
  <c r="X186" i="13"/>
  <c r="AB186" i="13"/>
  <c r="Z186" i="13"/>
  <c r="T186" i="13"/>
  <c r="R186" i="13"/>
  <c r="V186" i="13"/>
  <c r="AD37" i="13"/>
  <c r="V37" i="13"/>
  <c r="T37" i="13"/>
  <c r="R37" i="13"/>
  <c r="AL194" i="13"/>
  <c r="AH194" i="13"/>
  <c r="AD194" i="13"/>
  <c r="AF194" i="13"/>
  <c r="AJ194" i="13"/>
  <c r="X194" i="13"/>
  <c r="AB194" i="13"/>
  <c r="Z194" i="13"/>
  <c r="T194" i="13"/>
  <c r="R194" i="13"/>
  <c r="V194" i="13"/>
  <c r="AN77" i="13"/>
  <c r="AJ77" i="13"/>
  <c r="AH77" i="13"/>
  <c r="AF77" i="13"/>
  <c r="AD77" i="13"/>
  <c r="AB77" i="13"/>
  <c r="X77" i="13"/>
  <c r="Z77" i="13"/>
  <c r="T77" i="13"/>
  <c r="R77" i="13"/>
  <c r="V77" i="13"/>
  <c r="AH177" i="13"/>
  <c r="AF177" i="13"/>
  <c r="AD177" i="13"/>
  <c r="Z177" i="13"/>
  <c r="AB177" i="13"/>
  <c r="X177" i="13"/>
  <c r="R177" i="13"/>
  <c r="V177" i="13"/>
  <c r="T177" i="13"/>
  <c r="AH102" i="13"/>
  <c r="AF102" i="13"/>
  <c r="AL102" i="13"/>
  <c r="AD102" i="13"/>
  <c r="AB102" i="13"/>
  <c r="AR102" i="13"/>
  <c r="R102" i="13"/>
  <c r="AJ102" i="13"/>
  <c r="Z102" i="13"/>
  <c r="X102" i="13"/>
  <c r="V102" i="13"/>
  <c r="T102" i="13"/>
  <c r="Z101" i="13"/>
  <c r="X97" i="13"/>
  <c r="AB97" i="13"/>
  <c r="AH69" i="13"/>
  <c r="V69" i="13"/>
  <c r="AD69" i="13"/>
  <c r="AB69" i="13"/>
  <c r="X69" i="13"/>
  <c r="Z69" i="13"/>
  <c r="AF69" i="13"/>
  <c r="T69" i="13"/>
  <c r="R69" i="13"/>
  <c r="AH68" i="13"/>
  <c r="AB68" i="13"/>
  <c r="Z68" i="13"/>
  <c r="R68" i="13"/>
  <c r="AD68" i="13"/>
  <c r="V68" i="13"/>
  <c r="AF68" i="13"/>
  <c r="X68" i="13"/>
  <c r="T68" i="13"/>
  <c r="AH66" i="13"/>
  <c r="AF66" i="13"/>
  <c r="X66" i="13"/>
  <c r="V66" i="13"/>
  <c r="T66" i="13"/>
  <c r="AL66" i="13"/>
  <c r="AD66" i="13"/>
  <c r="Z66" i="13"/>
  <c r="AB66" i="13"/>
  <c r="R66" i="13"/>
  <c r="Z63" i="13"/>
  <c r="AH63" i="13"/>
  <c r="AN57" i="13"/>
  <c r="AH57" i="13"/>
  <c r="V57" i="13"/>
  <c r="AP57" i="13"/>
  <c r="AD57" i="13"/>
  <c r="Z57" i="13"/>
  <c r="AB57" i="13"/>
  <c r="X57" i="13"/>
  <c r="T57" i="13"/>
  <c r="R57" i="13"/>
  <c r="AF57" i="13"/>
  <c r="AD56" i="13"/>
  <c r="T56" i="13"/>
  <c r="R56" i="13"/>
  <c r="V56" i="13"/>
  <c r="AF56" i="13"/>
  <c r="Z51" i="13"/>
  <c r="X51" i="13"/>
  <c r="R51" i="13"/>
  <c r="AB51" i="13"/>
  <c r="AR51" i="13"/>
  <c r="AH51" i="13"/>
  <c r="AF51" i="13"/>
  <c r="AD51" i="13"/>
  <c r="V51" i="13"/>
  <c r="T51" i="13"/>
  <c r="AL38" i="13"/>
  <c r="AH38" i="13"/>
  <c r="Z38" i="13"/>
  <c r="R38" i="13"/>
  <c r="AB38" i="13"/>
  <c r="AF38" i="13"/>
  <c r="AD38" i="13"/>
  <c r="X38" i="13"/>
  <c r="V38" i="13"/>
  <c r="T38" i="13"/>
  <c r="AB33" i="13"/>
  <c r="V33" i="13"/>
  <c r="AD33" i="13"/>
  <c r="X33" i="13"/>
  <c r="R33" i="13"/>
  <c r="AP33" i="13"/>
  <c r="Z33" i="13"/>
  <c r="M12" i="13"/>
  <c r="Z80" i="13"/>
  <c r="AP80" i="13"/>
  <c r="X80" i="13"/>
  <c r="AJ80" i="13"/>
  <c r="Z47" i="13"/>
  <c r="AB47" i="13"/>
  <c r="AR47" i="13"/>
  <c r="AJ47" i="13"/>
  <c r="AP47" i="13"/>
  <c r="X47" i="13"/>
  <c r="R47" i="13"/>
  <c r="AH47" i="13"/>
  <c r="Z14" i="13"/>
  <c r="AR14" i="13"/>
  <c r="AJ14" i="13"/>
  <c r="AH14" i="13"/>
  <c r="AN14" i="13"/>
  <c r="V14" i="13"/>
  <c r="AF74" i="13"/>
  <c r="Z74" i="13"/>
  <c r="AB74" i="13"/>
  <c r="AP74" i="13"/>
  <c r="AD74" i="13"/>
  <c r="AR74" i="13"/>
  <c r="T74" i="13"/>
  <c r="AH74" i="13"/>
  <c r="AN74" i="13"/>
  <c r="R74" i="13"/>
  <c r="V74" i="13"/>
  <c r="AD92" i="13"/>
  <c r="AJ92" i="13"/>
  <c r="Z214" i="13"/>
  <c r="AH214" i="13"/>
  <c r="V214" i="13"/>
  <c r="AN214" i="13"/>
  <c r="AF146" i="13"/>
  <c r="AJ146" i="13"/>
  <c r="AN146" i="13"/>
  <c r="AB146" i="13"/>
  <c r="AP146" i="13"/>
  <c r="X146" i="13"/>
  <c r="AD146" i="13"/>
  <c r="T146" i="13"/>
  <c r="AH146" i="13"/>
  <c r="AF150" i="13"/>
  <c r="AR150" i="13"/>
  <c r="AJ150" i="13"/>
  <c r="AN150" i="13"/>
  <c r="Z150" i="13"/>
  <c r="AB150" i="13"/>
  <c r="AP150" i="13"/>
  <c r="X150" i="13"/>
  <c r="T168" i="13"/>
  <c r="V168" i="13"/>
  <c r="AH196" i="13"/>
  <c r="AF196" i="13"/>
  <c r="AN196" i="13"/>
  <c r="Z204" i="13"/>
  <c r="AF138" i="13"/>
  <c r="AP138" i="13"/>
  <c r="T138" i="13"/>
  <c r="Z159" i="13"/>
  <c r="AR159" i="13"/>
  <c r="AH159" i="13"/>
  <c r="AD31" i="13"/>
  <c r="T31" i="13"/>
  <c r="V31" i="13"/>
  <c r="AL107" i="13"/>
  <c r="Z107" i="13"/>
  <c r="R107" i="13"/>
  <c r="V107" i="13"/>
  <c r="AR107" i="13"/>
  <c r="T107" i="13"/>
  <c r="AN107" i="13"/>
  <c r="AL169" i="13"/>
  <c r="Z169" i="13"/>
  <c r="AP169" i="13"/>
  <c r="AD169" i="13"/>
  <c r="AR169" i="13"/>
  <c r="AH169" i="13"/>
  <c r="AN169" i="13"/>
  <c r="V169" i="13"/>
  <c r="AF169" i="13"/>
  <c r="AB169" i="13"/>
  <c r="AJ169" i="13"/>
  <c r="AB201" i="13"/>
  <c r="AD205" i="13"/>
  <c r="AR205" i="13"/>
  <c r="AL23" i="13"/>
  <c r="AF23" i="13"/>
  <c r="AB23" i="13"/>
  <c r="AP23" i="13"/>
  <c r="X23" i="13"/>
  <c r="AR23" i="13"/>
  <c r="T23" i="13"/>
  <c r="AN23" i="13"/>
  <c r="P23" i="13"/>
  <c r="AH23" i="13"/>
  <c r="AB147" i="13"/>
  <c r="AD18" i="13"/>
  <c r="AH18" i="13"/>
  <c r="V18" i="13"/>
  <c r="AB18" i="13"/>
  <c r="X18" i="13"/>
  <c r="AR18" i="13"/>
  <c r="T18" i="13"/>
  <c r="AN18" i="13"/>
  <c r="AF114" i="13"/>
  <c r="AR114" i="13"/>
  <c r="AJ114" i="13"/>
  <c r="AN114" i="13"/>
  <c r="AL114" i="13"/>
  <c r="Z114" i="13"/>
  <c r="AB114" i="13"/>
  <c r="AP114" i="13"/>
  <c r="X114" i="13"/>
  <c r="AD114" i="13"/>
  <c r="T114" i="13"/>
  <c r="V114" i="13"/>
  <c r="R21" i="13"/>
  <c r="AH21" i="13"/>
  <c r="V21" i="13"/>
  <c r="AL21" i="13"/>
  <c r="AP21" i="13"/>
  <c r="X21" i="13"/>
  <c r="AR21" i="13"/>
  <c r="AJ21" i="13"/>
  <c r="T21" i="13"/>
  <c r="AF44" i="13"/>
  <c r="AB44" i="13"/>
  <c r="AL44" i="13"/>
  <c r="Z44" i="13"/>
  <c r="AR44" i="13"/>
  <c r="V44" i="13"/>
  <c r="AB52" i="13"/>
  <c r="AH52" i="13"/>
  <c r="AF32" i="13"/>
  <c r="Z32" i="13"/>
  <c r="AB32" i="13"/>
  <c r="X32" i="13"/>
  <c r="AD32" i="13"/>
  <c r="V32" i="13"/>
  <c r="AJ32" i="13"/>
  <c r="AN32" i="13"/>
  <c r="AB124" i="13"/>
  <c r="AP124" i="13"/>
  <c r="X124" i="13"/>
  <c r="AF124" i="13"/>
  <c r="AR124" i="13"/>
  <c r="AN124" i="13"/>
  <c r="AL41" i="13"/>
  <c r="R41" i="13"/>
  <c r="Z41" i="13"/>
  <c r="R54" i="13"/>
  <c r="AL90" i="13"/>
  <c r="AF90" i="13"/>
  <c r="AB90" i="13"/>
  <c r="AP90" i="13"/>
  <c r="X90" i="13"/>
  <c r="AR90" i="13"/>
  <c r="AJ90" i="13"/>
  <c r="T90" i="13"/>
  <c r="AH90" i="13"/>
  <c r="AN90" i="13"/>
  <c r="Z90" i="13"/>
  <c r="AD90" i="13"/>
  <c r="R90" i="13"/>
  <c r="V90" i="13"/>
  <c r="R93" i="13"/>
  <c r="AB154" i="13"/>
  <c r="V154" i="13"/>
  <c r="AL158" i="13"/>
  <c r="X158" i="13"/>
  <c r="R158" i="13"/>
  <c r="V158" i="13"/>
  <c r="AF162" i="13"/>
  <c r="AR162" i="13"/>
  <c r="AL162" i="13"/>
  <c r="Z162" i="13"/>
  <c r="AP162" i="13"/>
  <c r="X162" i="13"/>
  <c r="R162" i="13"/>
  <c r="AJ170" i="13"/>
  <c r="AL170" i="13"/>
  <c r="AB170" i="13"/>
  <c r="AH170" i="13"/>
  <c r="AL188" i="13"/>
  <c r="AB188" i="13"/>
  <c r="R188" i="13"/>
  <c r="T188" i="13"/>
  <c r="V188" i="13"/>
  <c r="AN188" i="13"/>
  <c r="X208" i="13"/>
  <c r="AN30" i="13"/>
  <c r="AH30" i="13"/>
  <c r="AL46" i="13"/>
  <c r="Z46" i="13"/>
  <c r="AP46" i="13"/>
  <c r="AD46" i="13"/>
  <c r="R46" i="13"/>
  <c r="AR46" i="13"/>
  <c r="AJ46" i="13"/>
  <c r="AH46" i="13"/>
  <c r="AN46" i="13"/>
  <c r="V46" i="13"/>
  <c r="AF46" i="13"/>
  <c r="AB46" i="13"/>
  <c r="X46" i="13"/>
  <c r="T46" i="13"/>
  <c r="AL120" i="13"/>
  <c r="AL87" i="13"/>
  <c r="AF87" i="13"/>
  <c r="Z87" i="13"/>
  <c r="AP87" i="13"/>
  <c r="AD87" i="13"/>
  <c r="R87" i="13"/>
  <c r="AR87" i="13"/>
  <c r="AJ87" i="13"/>
  <c r="AH87" i="13"/>
  <c r="V87" i="13"/>
  <c r="T87" i="13"/>
  <c r="AB123" i="13"/>
  <c r="T123" i="13"/>
  <c r="AP123" i="13"/>
  <c r="AR123" i="13"/>
  <c r="AF167" i="13"/>
  <c r="AB167" i="13"/>
  <c r="X167" i="13"/>
  <c r="AJ167" i="13"/>
  <c r="P167" i="13"/>
  <c r="AL167" i="13"/>
  <c r="Z167" i="13"/>
  <c r="AP167" i="13"/>
  <c r="AD167" i="13"/>
  <c r="AR167" i="13"/>
  <c r="AH167" i="13"/>
  <c r="AN167" i="13"/>
  <c r="V167" i="13"/>
  <c r="AL39" i="13"/>
  <c r="AF39" i="13"/>
  <c r="Z39" i="13"/>
  <c r="AB39" i="13"/>
  <c r="AP39" i="13"/>
  <c r="X39" i="13"/>
  <c r="AD39" i="13"/>
  <c r="R39" i="13"/>
  <c r="AR39" i="13"/>
  <c r="AJ39" i="13"/>
  <c r="T39" i="13"/>
  <c r="P39" i="13"/>
  <c r="AH39" i="13"/>
  <c r="AN39" i="13"/>
  <c r="V39" i="13"/>
  <c r="AF55" i="13"/>
  <c r="Z55" i="13"/>
  <c r="AB55" i="13"/>
  <c r="AD55" i="13"/>
  <c r="AR55" i="13"/>
  <c r="AJ55" i="13"/>
  <c r="AN55" i="13"/>
  <c r="AL55" i="13"/>
  <c r="AP55" i="13"/>
  <c r="X55" i="13"/>
  <c r="AH55" i="13"/>
  <c r="V55" i="13"/>
  <c r="AD59" i="13"/>
  <c r="AF75" i="13"/>
  <c r="Z75" i="13"/>
  <c r="AB75" i="13"/>
  <c r="AP75" i="13"/>
  <c r="AJ75" i="13"/>
  <c r="X75" i="13"/>
  <c r="AL129" i="13"/>
  <c r="Z129" i="13"/>
  <c r="AP129" i="13"/>
  <c r="AD129" i="13"/>
  <c r="R129" i="13"/>
  <c r="AH129" i="13"/>
  <c r="AN129" i="13"/>
  <c r="V129" i="13"/>
  <c r="AB129" i="13"/>
  <c r="X129" i="13"/>
  <c r="AJ129" i="13"/>
  <c r="AD193" i="13"/>
  <c r="R193" i="13"/>
  <c r="AN193" i="13"/>
  <c r="V193" i="13"/>
  <c r="AL193" i="13"/>
  <c r="AB193" i="13"/>
  <c r="T193" i="13"/>
  <c r="AD151" i="13"/>
  <c r="Z218" i="13"/>
  <c r="AP218" i="13"/>
  <c r="AD218" i="13"/>
  <c r="V218" i="13"/>
  <c r="AF218" i="13"/>
  <c r="AB218" i="13"/>
  <c r="X218" i="13"/>
  <c r="AJ218" i="13"/>
  <c r="T218" i="13"/>
  <c r="AN218" i="13"/>
  <c r="AL216" i="13"/>
  <c r="V216" i="13"/>
  <c r="AF16" i="13"/>
  <c r="AB16" i="13"/>
  <c r="X16" i="13"/>
  <c r="T16" i="13"/>
  <c r="AL16" i="13"/>
  <c r="Z16" i="13"/>
  <c r="AP16" i="13"/>
  <c r="AR16" i="13"/>
  <c r="AJ16" i="13"/>
  <c r="AH16" i="13"/>
  <c r="AN16" i="13"/>
  <c r="V16" i="13"/>
  <c r="AJ20" i="13"/>
  <c r="AB20" i="13"/>
  <c r="AP20" i="13"/>
  <c r="X20" i="13"/>
  <c r="R20" i="13"/>
  <c r="AH20" i="13"/>
  <c r="V20" i="13"/>
  <c r="AF17" i="13"/>
  <c r="X17" i="13"/>
  <c r="AD17" i="13"/>
  <c r="AR17" i="13"/>
  <c r="AH17" i="13"/>
  <c r="AL19" i="13"/>
  <c r="AF19" i="13"/>
  <c r="X19" i="13"/>
  <c r="AR19" i="13"/>
  <c r="AJ19" i="13"/>
  <c r="T19" i="13"/>
  <c r="Z19" i="13"/>
  <c r="AD19" i="13"/>
  <c r="AH19" i="13"/>
  <c r="AF82" i="13"/>
  <c r="AB82" i="13"/>
  <c r="AP82" i="13"/>
  <c r="AD82" i="13"/>
  <c r="AH82" i="13"/>
  <c r="AL250" i="13"/>
  <c r="AF107" i="13"/>
  <c r="X253" i="13"/>
  <c r="AL255" i="13"/>
  <c r="P253" i="13"/>
  <c r="P21" i="13"/>
  <c r="P111" i="13"/>
  <c r="V254" i="13"/>
  <c r="R155" i="13"/>
  <c r="AH254" i="13"/>
  <c r="Z168" i="13"/>
  <c r="AL254" i="13"/>
  <c r="AL150" i="13"/>
  <c r="AF258" i="13"/>
  <c r="Z258" i="13"/>
  <c r="AD150" i="13"/>
  <c r="T258" i="13"/>
  <c r="X258" i="13"/>
  <c r="AD258" i="13"/>
  <c r="AH150" i="13"/>
  <c r="P258" i="13"/>
  <c r="AJ258" i="13"/>
  <c r="AN258" i="13"/>
  <c r="R258" i="13"/>
  <c r="AP258" i="13"/>
  <c r="X156" i="13"/>
  <c r="AJ74" i="13"/>
  <c r="AH250" i="13"/>
  <c r="AR250" i="13"/>
  <c r="AF250" i="13"/>
  <c r="AJ44" i="13"/>
  <c r="AB107" i="13"/>
  <c r="T155" i="13"/>
  <c r="T250" i="13"/>
  <c r="X254" i="13"/>
  <c r="AN168" i="13"/>
  <c r="AD168" i="13"/>
  <c r="AJ107" i="13"/>
  <c r="AD47" i="13"/>
  <c r="T47" i="13"/>
  <c r="AF14" i="13"/>
  <c r="AP14" i="13"/>
  <c r="AL47" i="13"/>
  <c r="AF249" i="13"/>
  <c r="R249" i="13"/>
  <c r="V249" i="13"/>
  <c r="AJ249" i="13"/>
  <c r="R226" i="13"/>
  <c r="AJ226" i="13"/>
  <c r="AF226" i="13"/>
  <c r="AB226" i="13"/>
  <c r="T226" i="13"/>
  <c r="AL220" i="13"/>
  <c r="AF220" i="13"/>
  <c r="AB220" i="13"/>
  <c r="X220" i="13"/>
  <c r="AR220" i="13"/>
  <c r="AP220" i="13"/>
  <c r="AD220" i="13"/>
  <c r="P220" i="13"/>
  <c r="AH220" i="13"/>
  <c r="AJ220" i="13"/>
  <c r="AN220" i="13"/>
  <c r="V220" i="13"/>
  <c r="AL223" i="13"/>
  <c r="AD223" i="13"/>
  <c r="AF223" i="13"/>
  <c r="AB223" i="13"/>
  <c r="X223" i="13"/>
  <c r="AJ223" i="13"/>
  <c r="P223" i="13"/>
  <c r="AN223" i="13"/>
  <c r="AR223" i="13"/>
  <c r="AH223" i="13"/>
  <c r="V223" i="13"/>
  <c r="Z223" i="13"/>
  <c r="AL212" i="13"/>
  <c r="AF212" i="13"/>
  <c r="X212" i="13"/>
  <c r="AP212" i="13"/>
  <c r="R212" i="13"/>
  <c r="AJ212" i="13"/>
  <c r="V212" i="13"/>
  <c r="Z212" i="13"/>
  <c r="AL237" i="13"/>
  <c r="AF237" i="13"/>
  <c r="AB237" i="13"/>
  <c r="X237" i="13"/>
  <c r="AR237" i="13"/>
  <c r="AP237" i="13"/>
  <c r="AD237" i="13"/>
  <c r="AH237" i="13"/>
  <c r="V237" i="13"/>
  <c r="R237" i="13"/>
  <c r="AJ237" i="13"/>
  <c r="P237" i="13"/>
  <c r="Z237" i="13"/>
  <c r="AN237" i="13"/>
  <c r="AL234" i="13"/>
  <c r="AD234" i="13"/>
  <c r="X234" i="13"/>
  <c r="AN234" i="13"/>
  <c r="AR234" i="13"/>
  <c r="T234" i="13"/>
  <c r="AH234" i="13"/>
  <c r="V234" i="13"/>
  <c r="Z234" i="13"/>
  <c r="AL230" i="13"/>
  <c r="AF230" i="13"/>
  <c r="AP230" i="13"/>
  <c r="AD230" i="13"/>
  <c r="AJ230" i="13"/>
  <c r="AB230" i="13"/>
  <c r="AR230" i="13"/>
  <c r="AN230" i="13"/>
  <c r="AH230" i="13"/>
  <c r="Z230" i="13"/>
  <c r="AL241" i="13"/>
  <c r="AF241" i="13"/>
  <c r="AB241" i="13"/>
  <c r="X241" i="13"/>
  <c r="AR241" i="13"/>
  <c r="AP241" i="13"/>
  <c r="AH241" i="13"/>
  <c r="V241" i="13"/>
  <c r="AD241" i="13"/>
  <c r="AJ241" i="13"/>
  <c r="T241" i="13"/>
  <c r="AN241" i="13"/>
  <c r="Z241" i="13"/>
  <c r="R43" i="13"/>
  <c r="AP43" i="13"/>
  <c r="T43" i="13"/>
  <c r="AL121" i="13"/>
  <c r="AP121" i="13"/>
  <c r="AN121" i="13"/>
  <c r="AL28" i="13"/>
  <c r="AB28" i="13"/>
  <c r="X28" i="13"/>
  <c r="R28" i="13"/>
  <c r="AD28" i="13"/>
  <c r="AR28" i="13"/>
  <c r="AH28" i="13"/>
  <c r="AN28" i="13"/>
  <c r="V28" i="13"/>
  <c r="AJ28" i="13"/>
  <c r="T28" i="13"/>
  <c r="Z28" i="13"/>
  <c r="AD162" i="13"/>
  <c r="AN162" i="13"/>
  <c r="AP231" i="13"/>
  <c r="AD231" i="13"/>
  <c r="R231" i="13"/>
  <c r="AF231" i="13"/>
  <c r="T231" i="13"/>
  <c r="P231" i="13"/>
  <c r="AN231" i="13"/>
  <c r="AR231" i="13"/>
  <c r="AH231" i="13"/>
  <c r="V231" i="13"/>
  <c r="Z231" i="13"/>
  <c r="AL256" i="13"/>
  <c r="AF256" i="13"/>
  <c r="AB256" i="13"/>
  <c r="X256" i="13"/>
  <c r="AR256" i="13"/>
  <c r="AP256" i="13"/>
  <c r="R256" i="13"/>
  <c r="AJ256" i="13"/>
  <c r="T256" i="13"/>
  <c r="AH256" i="13"/>
  <c r="AD256" i="13"/>
  <c r="V256" i="13"/>
  <c r="Z256" i="13"/>
  <c r="AN256" i="13"/>
  <c r="AL257" i="13"/>
  <c r="AF257" i="13"/>
  <c r="AB257" i="13"/>
  <c r="X257" i="13"/>
  <c r="AR257" i="13"/>
  <c r="AP257" i="13"/>
  <c r="R257" i="13"/>
  <c r="AH257" i="13"/>
  <c r="V257" i="13"/>
  <c r="AD257" i="13"/>
  <c r="AJ257" i="13"/>
  <c r="T257" i="13"/>
  <c r="AN257" i="13"/>
  <c r="Z257" i="13"/>
  <c r="R123" i="13"/>
  <c r="X252" i="13"/>
  <c r="AR252" i="13"/>
  <c r="AD252" i="13"/>
  <c r="AH252" i="13"/>
  <c r="R252" i="13"/>
  <c r="AJ252" i="13"/>
  <c r="V252" i="13"/>
  <c r="Z252" i="13"/>
  <c r="AR217" i="13"/>
  <c r="R217" i="13"/>
  <c r="V217" i="13"/>
  <c r="P217" i="13"/>
  <c r="AF224" i="13"/>
  <c r="AB224" i="13"/>
  <c r="X224" i="13"/>
  <c r="AR224" i="13"/>
  <c r="AP224" i="13"/>
  <c r="R224" i="13"/>
  <c r="AJ224" i="13"/>
  <c r="T224" i="13"/>
  <c r="AH224" i="13"/>
  <c r="AD224" i="13"/>
  <c r="AN224" i="13"/>
  <c r="AL211" i="13"/>
  <c r="AF211" i="13"/>
  <c r="AP211" i="13"/>
  <c r="AD211" i="13"/>
  <c r="R211" i="13"/>
  <c r="AB211" i="13"/>
  <c r="AR211" i="13"/>
  <c r="AJ211" i="13"/>
  <c r="T211" i="13"/>
  <c r="AN211" i="13"/>
  <c r="X211" i="13"/>
  <c r="AH211" i="13"/>
  <c r="V211" i="13"/>
  <c r="Z211" i="13"/>
  <c r="AL238" i="13"/>
  <c r="AF238" i="13"/>
  <c r="AP238" i="13"/>
  <c r="AD238" i="13"/>
  <c r="R238" i="13"/>
  <c r="AJ238" i="13"/>
  <c r="AB238" i="13"/>
  <c r="AR238" i="13"/>
  <c r="AN238" i="13"/>
  <c r="X238" i="13"/>
  <c r="T238" i="13"/>
  <c r="P238" i="13"/>
  <c r="AH238" i="13"/>
  <c r="V238" i="13"/>
  <c r="X229" i="13"/>
  <c r="AR229" i="13"/>
  <c r="AD229" i="13"/>
  <c r="AH229" i="13"/>
  <c r="T229" i="13"/>
  <c r="P229" i="13"/>
  <c r="AL227" i="13"/>
  <c r="AF227" i="13"/>
  <c r="AP227" i="13"/>
  <c r="AD227" i="13"/>
  <c r="R227" i="13"/>
  <c r="AB227" i="13"/>
  <c r="AR227" i="13"/>
  <c r="T227" i="13"/>
  <c r="AN227" i="13"/>
  <c r="X227" i="13"/>
  <c r="V227" i="13"/>
  <c r="AL146" i="13"/>
  <c r="AR146" i="13"/>
  <c r="Z146" i="13"/>
  <c r="AL244" i="13"/>
  <c r="AB244" i="13"/>
  <c r="T244" i="13"/>
  <c r="P244" i="13"/>
  <c r="AH244" i="13"/>
  <c r="Z244" i="13"/>
  <c r="AL251" i="13"/>
  <c r="AP251" i="13"/>
  <c r="AD251" i="13"/>
  <c r="R251" i="13"/>
  <c r="AF251" i="13"/>
  <c r="AB251" i="13"/>
  <c r="AR251" i="13"/>
  <c r="T251" i="13"/>
  <c r="P251" i="13"/>
  <c r="AN251" i="13"/>
  <c r="X251" i="13"/>
  <c r="AH251" i="13"/>
  <c r="Z251" i="13"/>
  <c r="R248" i="13"/>
  <c r="T248" i="13"/>
  <c r="P248" i="13"/>
  <c r="V248" i="13"/>
  <c r="AN248" i="13"/>
  <c r="AL222" i="13"/>
  <c r="AF222" i="13"/>
  <c r="AP222" i="13"/>
  <c r="AD222" i="13"/>
  <c r="R222" i="13"/>
  <c r="AB222" i="13"/>
  <c r="X222" i="13"/>
  <c r="AR222" i="13"/>
  <c r="AN222" i="13"/>
  <c r="P222" i="13"/>
  <c r="AH222" i="13"/>
  <c r="Z222" i="13"/>
  <c r="AL215" i="13"/>
  <c r="AP215" i="13"/>
  <c r="AD215" i="13"/>
  <c r="AF215" i="13"/>
  <c r="AB215" i="13"/>
  <c r="X215" i="13"/>
  <c r="AJ215" i="13"/>
  <c r="T215" i="13"/>
  <c r="AN215" i="13"/>
  <c r="AR215" i="13"/>
  <c r="AH215" i="13"/>
  <c r="V215" i="13"/>
  <c r="Z215" i="13"/>
  <c r="AL219" i="13"/>
  <c r="AF219" i="13"/>
  <c r="AP219" i="13"/>
  <c r="AD219" i="13"/>
  <c r="R219" i="13"/>
  <c r="AB219" i="13"/>
  <c r="T219" i="13"/>
  <c r="AN219" i="13"/>
  <c r="X219" i="13"/>
  <c r="AH219" i="13"/>
  <c r="AF210" i="13"/>
  <c r="AL210" i="13"/>
  <c r="AP210" i="13"/>
  <c r="AD210" i="13"/>
  <c r="AJ210" i="13"/>
  <c r="AB210" i="13"/>
  <c r="AN210" i="13"/>
  <c r="T210" i="13"/>
  <c r="AH210" i="13"/>
  <c r="AP239" i="13"/>
  <c r="AD239" i="13"/>
  <c r="R239" i="13"/>
  <c r="AF239" i="13"/>
  <c r="AB239" i="13"/>
  <c r="X239" i="13"/>
  <c r="AJ239" i="13"/>
  <c r="P239" i="13"/>
  <c r="AR239" i="13"/>
  <c r="AH239" i="13"/>
  <c r="V239" i="13"/>
  <c r="Z239" i="13"/>
  <c r="AF235" i="13"/>
  <c r="AP235" i="13"/>
  <c r="AD235" i="13"/>
  <c r="R235" i="13"/>
  <c r="AB235" i="13"/>
  <c r="AJ235" i="13"/>
  <c r="T235" i="13"/>
  <c r="AN235" i="13"/>
  <c r="X235" i="13"/>
  <c r="AL233" i="13"/>
  <c r="AF233" i="13"/>
  <c r="AB233" i="13"/>
  <c r="X233" i="13"/>
  <c r="AR233" i="13"/>
  <c r="AH233" i="13"/>
  <c r="V233" i="13"/>
  <c r="AD233" i="13"/>
  <c r="Z233" i="13"/>
  <c r="AL243" i="13"/>
  <c r="AF243" i="13"/>
  <c r="AP243" i="13"/>
  <c r="R243" i="13"/>
  <c r="AJ243" i="13"/>
  <c r="T243" i="13"/>
  <c r="AN243" i="13"/>
  <c r="X243" i="13"/>
  <c r="AH243" i="13"/>
  <c r="V243" i="13"/>
  <c r="Z243" i="13"/>
  <c r="AL260" i="13"/>
  <c r="AB260" i="13"/>
  <c r="X260" i="13"/>
  <c r="AR260" i="13"/>
  <c r="AP260" i="13"/>
  <c r="AD260" i="13"/>
  <c r="AJ260" i="13"/>
  <c r="AH260" i="13"/>
  <c r="R260" i="13"/>
  <c r="AN260" i="13"/>
  <c r="V260" i="13"/>
  <c r="Z260" i="13"/>
  <c r="AL67" i="13"/>
  <c r="AF67" i="13"/>
  <c r="AB67" i="13"/>
  <c r="X67" i="13"/>
  <c r="R67" i="13"/>
  <c r="AR67" i="13"/>
  <c r="AP67" i="13"/>
  <c r="AD67" i="13"/>
  <c r="T67" i="13"/>
  <c r="AN67" i="13"/>
  <c r="X87" i="13"/>
  <c r="AN87" i="13"/>
  <c r="AD117" i="13"/>
  <c r="R117" i="13"/>
  <c r="X117" i="13"/>
  <c r="AN151" i="13"/>
  <c r="AL259" i="13"/>
  <c r="AP259" i="13"/>
  <c r="AD259" i="13"/>
  <c r="R259" i="13"/>
  <c r="AF259" i="13"/>
  <c r="AB259" i="13"/>
  <c r="AR259" i="13"/>
  <c r="AJ259" i="13"/>
  <c r="T259" i="13"/>
  <c r="X259" i="13"/>
  <c r="AH259" i="13"/>
  <c r="V259" i="13"/>
  <c r="Z259" i="13"/>
  <c r="AL32" i="13"/>
  <c r="AP32" i="13"/>
  <c r="R32" i="13"/>
  <c r="AR32" i="13"/>
  <c r="T32" i="13"/>
  <c r="AP170" i="13"/>
  <c r="T170" i="13"/>
  <c r="AF183" i="13"/>
  <c r="AB183" i="13"/>
  <c r="X183" i="13"/>
  <c r="AR183" i="13"/>
  <c r="AP183" i="13"/>
  <c r="AJ183" i="13"/>
  <c r="AH183" i="13"/>
  <c r="AD183" i="13"/>
  <c r="T183" i="13"/>
  <c r="V183" i="13"/>
  <c r="AN183" i="13"/>
  <c r="AJ122" i="13"/>
  <c r="R184" i="13"/>
  <c r="V184" i="13"/>
  <c r="AL236" i="13"/>
  <c r="AF236" i="13"/>
  <c r="AB236" i="13"/>
  <c r="X236" i="13"/>
  <c r="AR236" i="13"/>
  <c r="AP236" i="13"/>
  <c r="AD236" i="13"/>
  <c r="R236" i="13"/>
  <c r="V236" i="13"/>
  <c r="Z236" i="13"/>
  <c r="AP242" i="13"/>
  <c r="AD242" i="13"/>
  <c r="R242" i="13"/>
  <c r="AB242" i="13"/>
  <c r="X242" i="13"/>
  <c r="AN242" i="13"/>
  <c r="AR242" i="13"/>
  <c r="T242" i="13"/>
  <c r="AH242" i="13"/>
  <c r="Z242" i="13"/>
  <c r="X261" i="13"/>
  <c r="T261" i="13"/>
  <c r="P261" i="13"/>
  <c r="AD159" i="13"/>
  <c r="AL225" i="13"/>
  <c r="AF225" i="13"/>
  <c r="AB225" i="13"/>
  <c r="X225" i="13"/>
  <c r="AR225" i="13"/>
  <c r="AP225" i="13"/>
  <c r="R225" i="13"/>
  <c r="AH225" i="13"/>
  <c r="AD225" i="13"/>
  <c r="AJ225" i="13"/>
  <c r="T225" i="13"/>
  <c r="AN225" i="13"/>
  <c r="Z225" i="13"/>
  <c r="X213" i="13"/>
  <c r="AR213" i="13"/>
  <c r="T213" i="13"/>
  <c r="P213" i="13"/>
  <c r="AL221" i="13"/>
  <c r="AF221" i="13"/>
  <c r="AB221" i="13"/>
  <c r="AP221" i="13"/>
  <c r="AD221" i="13"/>
  <c r="AH221" i="13"/>
  <c r="V221" i="13"/>
  <c r="AJ221" i="13"/>
  <c r="T221" i="13"/>
  <c r="P221" i="13"/>
  <c r="Z221" i="13"/>
  <c r="AN221" i="13"/>
  <c r="AF206" i="13"/>
  <c r="AP206" i="13"/>
  <c r="AJ206" i="13"/>
  <c r="AB206" i="13"/>
  <c r="X206" i="13"/>
  <c r="T206" i="13"/>
  <c r="P206" i="13"/>
  <c r="Z206" i="13"/>
  <c r="AL232" i="13"/>
  <c r="AF232" i="13"/>
  <c r="X232" i="13"/>
  <c r="AR232" i="13"/>
  <c r="R232" i="13"/>
  <c r="V232" i="13"/>
  <c r="AL228" i="13"/>
  <c r="AF228" i="13"/>
  <c r="AB228" i="13"/>
  <c r="AR228" i="13"/>
  <c r="AP228" i="13"/>
  <c r="AD228" i="13"/>
  <c r="T228" i="13"/>
  <c r="P228" i="13"/>
  <c r="AH228" i="13"/>
  <c r="R228" i="13"/>
  <c r="AJ228" i="13"/>
  <c r="AN228" i="13"/>
  <c r="V228" i="13"/>
  <c r="Z228" i="13"/>
  <c r="AL247" i="13"/>
  <c r="AP247" i="13"/>
  <c r="AD247" i="13"/>
  <c r="R247" i="13"/>
  <c r="AF247" i="13"/>
  <c r="X247" i="13"/>
  <c r="T247" i="13"/>
  <c r="V247" i="13"/>
  <c r="AF129" i="13"/>
  <c r="AR129" i="13"/>
  <c r="AL246" i="13"/>
  <c r="X246" i="13"/>
  <c r="T246" i="13"/>
  <c r="V246" i="13"/>
  <c r="AL119" i="13"/>
  <c r="AF119" i="13"/>
  <c r="AB119" i="13"/>
  <c r="X119" i="13"/>
  <c r="AR119" i="13"/>
  <c r="AP119" i="13"/>
  <c r="AJ119" i="13"/>
  <c r="AH119" i="13"/>
  <c r="AD119" i="13"/>
  <c r="T119" i="13"/>
  <c r="V119" i="13"/>
  <c r="Z119" i="13"/>
  <c r="AN119" i="13"/>
  <c r="X245" i="13"/>
  <c r="AR245" i="13"/>
  <c r="T245" i="13"/>
  <c r="AL124" i="13"/>
  <c r="AD124" i="13"/>
  <c r="AJ124" i="13"/>
  <c r="AH124" i="13"/>
  <c r="Z124" i="13"/>
  <c r="M72" i="13" l="1"/>
  <c r="V72" i="13"/>
  <c r="AL127" i="13"/>
  <c r="AR127" i="13"/>
  <c r="M76" i="13"/>
  <c r="X76" i="13"/>
  <c r="AL110" i="13"/>
  <c r="V110" i="13"/>
  <c r="M110" i="13"/>
  <c r="AB110" i="13"/>
  <c r="T70" i="13"/>
  <c r="AD70" i="13"/>
  <c r="V182" i="13"/>
  <c r="AF182" i="13"/>
  <c r="AB182" i="13"/>
  <c r="AH182" i="13"/>
  <c r="L182" i="13"/>
  <c r="R182" i="13"/>
  <c r="T182" i="13"/>
  <c r="Z182" i="13"/>
  <c r="AL182" i="13"/>
  <c r="M182" i="13"/>
  <c r="AP182" i="13"/>
  <c r="AD182" i="13"/>
  <c r="M33" i="13"/>
  <c r="L63" i="13"/>
  <c r="T63" i="13"/>
  <c r="X63" i="13"/>
  <c r="AR63" i="13"/>
  <c r="R63" i="13"/>
  <c r="AF63" i="13"/>
  <c r="AB63" i="13"/>
  <c r="AD63" i="13"/>
  <c r="AF103" i="13"/>
  <c r="AN103" i="13"/>
  <c r="V103" i="13"/>
  <c r="M103" i="13"/>
  <c r="AR103" i="13"/>
  <c r="AH103" i="13"/>
  <c r="R103" i="13"/>
  <c r="X103" i="13"/>
  <c r="T103" i="13"/>
  <c r="AJ103" i="13"/>
  <c r="Z103" i="13"/>
  <c r="L103" i="13"/>
  <c r="X56" i="13"/>
  <c r="Z56" i="13"/>
  <c r="L56" i="13"/>
  <c r="M56" i="13"/>
  <c r="AN131" i="13"/>
  <c r="AL131" i="13"/>
  <c r="R131" i="13"/>
  <c r="AJ131" i="13"/>
  <c r="AF131" i="13"/>
  <c r="V131" i="13"/>
  <c r="AB131" i="13"/>
  <c r="Z131" i="13"/>
  <c r="AP131" i="13"/>
  <c r="X131" i="13"/>
  <c r="M131" i="13"/>
  <c r="AL92" i="13"/>
  <c r="AR92" i="13"/>
  <c r="V92" i="13"/>
  <c r="Z92" i="13"/>
  <c r="AN92" i="13"/>
  <c r="AP92" i="13"/>
  <c r="M92" i="13"/>
  <c r="P92" i="13"/>
  <c r="X92" i="13"/>
  <c r="T92" i="13"/>
  <c r="L92" i="13"/>
  <c r="AF33" i="13"/>
  <c r="AH33" i="13"/>
  <c r="AH56" i="13"/>
  <c r="AB56" i="13"/>
  <c r="V63" i="13"/>
  <c r="L72" i="13"/>
  <c r="AD131" i="13"/>
  <c r="AR71" i="13"/>
  <c r="AD71" i="13"/>
  <c r="AJ71" i="13"/>
  <c r="T71" i="13"/>
  <c r="AF71" i="13"/>
  <c r="X71" i="13"/>
  <c r="AH71" i="13"/>
  <c r="AB71" i="13"/>
  <c r="V71" i="13"/>
  <c r="Z71" i="13"/>
  <c r="AL143" i="13"/>
  <c r="M143" i="13"/>
  <c r="R143" i="13"/>
  <c r="Z143" i="13"/>
  <c r="AD143" i="13"/>
  <c r="L143" i="13"/>
  <c r="AJ143" i="13"/>
  <c r="AF143" i="13"/>
  <c r="V143" i="13"/>
  <c r="T143" i="13"/>
  <c r="AD190" i="13"/>
  <c r="X190" i="13"/>
  <c r="R190" i="13"/>
  <c r="AJ190" i="13"/>
  <c r="AF190" i="13"/>
  <c r="V190" i="13"/>
  <c r="AB190" i="13"/>
  <c r="T190" i="13"/>
  <c r="T131" i="13"/>
  <c r="AP154" i="13"/>
  <c r="L154" i="13"/>
  <c r="T154" i="13"/>
  <c r="M154" i="13"/>
  <c r="AN182" i="13"/>
  <c r="M63" i="13"/>
  <c r="AP127" i="13"/>
  <c r="AB92" i="13"/>
  <c r="AV63" i="13"/>
  <c r="AD103" i="13"/>
  <c r="M53" i="13"/>
  <c r="AF53" i="13"/>
  <c r="X53" i="13"/>
  <c r="AD53" i="13"/>
  <c r="Z53" i="13"/>
  <c r="AB53" i="13"/>
  <c r="R53" i="13"/>
  <c r="AH92" i="13"/>
  <c r="L33" i="13"/>
  <c r="AP103" i="13"/>
  <c r="R97" i="13"/>
  <c r="V97" i="13"/>
  <c r="AF97" i="13"/>
  <c r="AH97" i="13"/>
  <c r="AL97" i="13"/>
  <c r="T97" i="13"/>
  <c r="Z97" i="13"/>
  <c r="AD97" i="13"/>
  <c r="AH131" i="13"/>
  <c r="AX209" i="13"/>
  <c r="L209" i="13"/>
  <c r="M209" i="13"/>
  <c r="AZ209" i="13"/>
  <c r="AD115" i="13"/>
  <c r="AR115" i="13"/>
  <c r="AJ115" i="13"/>
  <c r="AL115" i="13"/>
  <c r="V115" i="13"/>
  <c r="Z115" i="13"/>
  <c r="X115" i="13"/>
  <c r="AB115" i="13"/>
  <c r="AF115" i="13"/>
  <c r="AR109" i="13"/>
  <c r="L109" i="13"/>
  <c r="AB109" i="13"/>
  <c r="AF109" i="13"/>
  <c r="T109" i="13"/>
  <c r="AH109" i="13"/>
  <c r="X109" i="13"/>
  <c r="V109" i="13"/>
  <c r="Z109" i="13"/>
  <c r="AD109" i="13"/>
  <c r="R109" i="13"/>
  <c r="AB27" i="13"/>
  <c r="AP27" i="13"/>
  <c r="AR27" i="13"/>
  <c r="AH27" i="13"/>
  <c r="AH98" i="13"/>
  <c r="AP98" i="13"/>
  <c r="AD98" i="13"/>
  <c r="V98" i="13"/>
  <c r="AL98" i="13"/>
  <c r="X98" i="13"/>
  <c r="AF98" i="13"/>
  <c r="M98" i="13"/>
  <c r="AN98" i="13"/>
  <c r="AR98" i="13"/>
  <c r="AR131" i="13"/>
  <c r="AD201" i="13"/>
  <c r="AR121" i="13"/>
  <c r="AJ121" i="13"/>
  <c r="AB31" i="13"/>
  <c r="AL31" i="13"/>
  <c r="R31" i="13"/>
  <c r="AX97" i="13"/>
  <c r="BB72" i="13"/>
  <c r="AJ27" i="13"/>
  <c r="X27" i="13"/>
  <c r="AN17" i="13"/>
  <c r="F14" i="20"/>
  <c r="AP17" i="13"/>
  <c r="V45" i="13"/>
  <c r="AH45" i="13"/>
  <c r="AL45" i="13"/>
  <c r="X45" i="13"/>
  <c r="AR45" i="13"/>
  <c r="T196" i="13"/>
  <c r="AL103" i="13"/>
  <c r="AB103" i="13"/>
  <c r="V54" i="13"/>
  <c r="L115" i="13"/>
  <c r="BB209" i="13"/>
  <c r="BB85" i="13"/>
  <c r="AV161" i="13"/>
  <c r="AV72" i="13"/>
  <c r="AV97" i="13"/>
  <c r="AV122" i="13"/>
  <c r="Z122" i="13"/>
  <c r="AB122" i="13"/>
  <c r="AR82" i="13"/>
  <c r="AL82" i="13"/>
  <c r="Z30" i="13"/>
  <c r="AJ82" i="13"/>
  <c r="AN82" i="13"/>
  <c r="AJ94" i="13"/>
  <c r="AN27" i="13"/>
  <c r="Z17" i="13"/>
  <c r="AB17" i="13"/>
  <c r="T30" i="13"/>
  <c r="AJ17" i="13"/>
  <c r="AB45" i="13"/>
  <c r="AN45" i="13"/>
  <c r="AP45" i="13"/>
  <c r="AN19" i="13"/>
  <c r="AB19" i="13"/>
  <c r="AP19" i="13"/>
  <c r="V19" i="13"/>
  <c r="R19" i="13"/>
  <c r="F16" i="20"/>
  <c r="M187" i="13"/>
  <c r="L27" i="13"/>
  <c r="AX187" i="13"/>
  <c r="AX122" i="13"/>
  <c r="AL122" i="13"/>
  <c r="AF122" i="13"/>
  <c r="AP120" i="13"/>
  <c r="R30" i="13"/>
  <c r="R82" i="13"/>
  <c r="AL17" i="13"/>
  <c r="T17" i="13"/>
  <c r="AJ45" i="13"/>
  <c r="V196" i="13"/>
  <c r="V17" i="13"/>
  <c r="AD45" i="13"/>
  <c r="Z45" i="13"/>
  <c r="R179" i="13"/>
  <c r="F176" i="20"/>
  <c r="T179" i="13"/>
  <c r="AN86" i="13"/>
  <c r="AD86" i="13"/>
  <c r="AB86" i="13"/>
  <c r="Z86" i="13"/>
  <c r="T86" i="13"/>
  <c r="AL86" i="13"/>
  <c r="AF86" i="13"/>
  <c r="X86" i="13"/>
  <c r="AP86" i="13"/>
  <c r="AH86" i="13"/>
  <c r="AR86" i="13"/>
  <c r="AJ86" i="13"/>
  <c r="R86" i="13"/>
  <c r="V191" i="13"/>
  <c r="R191" i="13"/>
  <c r="AR154" i="13"/>
  <c r="AL154" i="13"/>
  <c r="Z154" i="13"/>
  <c r="AH154" i="13"/>
  <c r="R154" i="13"/>
  <c r="AN154" i="13"/>
  <c r="Z82" i="13"/>
  <c r="V82" i="13"/>
  <c r="X154" i="13"/>
  <c r="AF154" i="13"/>
  <c r="AJ154" i="13"/>
  <c r="AH54" i="13"/>
  <c r="AH201" i="13"/>
  <c r="AN54" i="13"/>
  <c r="F119" i="20"/>
  <c r="V122" i="13"/>
  <c r="AB54" i="13"/>
  <c r="AD122" i="13"/>
  <c r="AN122" i="13"/>
  <c r="AP201" i="13"/>
  <c r="Z201" i="13"/>
  <c r="AD34" i="13"/>
  <c r="AF34" i="13"/>
  <c r="AL34" i="13"/>
  <c r="Z34" i="13"/>
  <c r="V34" i="13"/>
  <c r="AP34" i="13"/>
  <c r="AB34" i="13"/>
  <c r="AR34" i="13"/>
  <c r="AN34" i="13"/>
  <c r="T34" i="13"/>
  <c r="R34" i="13"/>
  <c r="AH34" i="13"/>
  <c r="X34" i="13"/>
  <c r="AJ34" i="13"/>
  <c r="F31" i="20"/>
  <c r="M34" i="13"/>
  <c r="L34" i="13"/>
  <c r="AX34" i="13"/>
  <c r="AZ126" i="13"/>
  <c r="AB126" i="13"/>
  <c r="Z126" i="13"/>
  <c r="AJ126" i="13"/>
  <c r="AL126" i="13"/>
  <c r="M126" i="13"/>
  <c r="V126" i="13"/>
  <c r="T126" i="13"/>
  <c r="AH126" i="13"/>
  <c r="L126" i="13"/>
  <c r="X126" i="13"/>
  <c r="T163" i="13"/>
  <c r="R163" i="13"/>
  <c r="L163" i="13"/>
  <c r="AR163" i="13"/>
  <c r="M163" i="13"/>
  <c r="AP163" i="13"/>
  <c r="AF163" i="13"/>
  <c r="X163" i="13"/>
  <c r="F160" i="20"/>
  <c r="V163" i="13"/>
  <c r="AN163" i="13"/>
  <c r="AB163" i="13"/>
  <c r="Z163" i="13"/>
  <c r="AX141" i="13"/>
  <c r="AP141" i="13"/>
  <c r="AJ141" i="13"/>
  <c r="AB141" i="13"/>
  <c r="T141" i="13"/>
  <c r="M141" i="13"/>
  <c r="AF141" i="13"/>
  <c r="X141" i="13"/>
  <c r="R141" i="13"/>
  <c r="BB141" i="13"/>
  <c r="AR141" i="13"/>
  <c r="AD141" i="13"/>
  <c r="V141" i="13"/>
  <c r="P141" i="13"/>
  <c r="AL13" i="13"/>
  <c r="V13" i="13"/>
  <c r="AH13" i="13"/>
  <c r="AR13" i="13"/>
  <c r="AD13" i="13"/>
  <c r="AP13" i="13"/>
  <c r="AF13" i="13"/>
  <c r="X13" i="13"/>
  <c r="AR101" i="13"/>
  <c r="R101" i="13"/>
  <c r="AD101" i="13"/>
  <c r="T101" i="13"/>
  <c r="AZ101" i="13"/>
  <c r="F98" i="20"/>
  <c r="V101" i="13"/>
  <c r="AN101" i="13"/>
  <c r="L101" i="13"/>
  <c r="AH101" i="13"/>
  <c r="AL101" i="13"/>
  <c r="X101" i="13"/>
  <c r="M130" i="13"/>
  <c r="Z130" i="13"/>
  <c r="P130" i="13"/>
  <c r="AD130" i="13"/>
  <c r="X130" i="13"/>
  <c r="T130" i="13"/>
  <c r="L130" i="13"/>
  <c r="AH130" i="13"/>
  <c r="AF130" i="13"/>
  <c r="AB130" i="13"/>
  <c r="V130" i="13"/>
  <c r="AN126" i="13"/>
  <c r="AD126" i="13"/>
  <c r="Z13" i="13"/>
  <c r="AB13" i="13"/>
  <c r="AJ163" i="13"/>
  <c r="R36" i="13"/>
  <c r="AV13" i="13"/>
  <c r="AB101" i="13"/>
  <c r="Z141" i="13"/>
  <c r="AP130" i="13"/>
  <c r="M13" i="13"/>
  <c r="AH163" i="13"/>
  <c r="L141" i="13"/>
  <c r="AX130" i="13"/>
  <c r="AV178" i="13"/>
  <c r="M178" i="13"/>
  <c r="AN178" i="13"/>
  <c r="AF178" i="13"/>
  <c r="Z178" i="13"/>
  <c r="V178" i="13"/>
  <c r="AX178" i="13"/>
  <c r="AH178" i="13"/>
  <c r="X178" i="13"/>
  <c r="R178" i="13"/>
  <c r="BB178" i="13"/>
  <c r="AL178" i="13"/>
  <c r="AD178" i="13"/>
  <c r="F175" i="20"/>
  <c r="BB36" i="13"/>
  <c r="AX36" i="13"/>
  <c r="AJ116" i="13"/>
  <c r="R116" i="13"/>
  <c r="AX116" i="13"/>
  <c r="L116" i="13"/>
  <c r="AF116" i="13"/>
  <c r="AD116" i="13"/>
  <c r="AH116" i="13"/>
  <c r="V116" i="13"/>
  <c r="AL116" i="13"/>
  <c r="AV84" i="13"/>
  <c r="BB84" i="13"/>
  <c r="L84" i="13"/>
  <c r="M84" i="13"/>
  <c r="L127" i="13"/>
  <c r="T127" i="13"/>
  <c r="R127" i="13"/>
  <c r="V127" i="13"/>
  <c r="AV127" i="13"/>
  <c r="AB127" i="13"/>
  <c r="AF127" i="13"/>
  <c r="AD127" i="13"/>
  <c r="AH127" i="13"/>
  <c r="Z127" i="13"/>
  <c r="X127" i="13"/>
  <c r="AJ127" i="13"/>
  <c r="AN127" i="13"/>
  <c r="M127" i="13"/>
  <c r="L76" i="13"/>
  <c r="AV76" i="13"/>
  <c r="AX110" i="13"/>
  <c r="L110" i="13"/>
  <c r="AF110" i="13"/>
  <c r="AH110" i="13"/>
  <c r="X110" i="13"/>
  <c r="T110" i="13"/>
  <c r="AN110" i="13"/>
  <c r="R110" i="13"/>
  <c r="AJ110" i="13"/>
  <c r="Z110" i="13"/>
  <c r="AR110" i="13"/>
  <c r="L40" i="13"/>
  <c r="X40" i="13"/>
  <c r="AX40" i="13"/>
  <c r="V40" i="13"/>
  <c r="R40" i="13"/>
  <c r="M40" i="13"/>
  <c r="AP70" i="13"/>
  <c r="AZ70" i="13"/>
  <c r="L70" i="13"/>
  <c r="Z70" i="13"/>
  <c r="AR70" i="13"/>
  <c r="X70" i="13"/>
  <c r="AV70" i="13"/>
  <c r="V70" i="13"/>
  <c r="R70" i="13"/>
  <c r="AJ70" i="13"/>
  <c r="AF70" i="13"/>
  <c r="AH70" i="13"/>
  <c r="AX70" i="13"/>
  <c r="AB70" i="13"/>
  <c r="M70" i="13"/>
  <c r="T180" i="13"/>
  <c r="V180" i="13"/>
  <c r="R180" i="13"/>
  <c r="F177" i="20"/>
  <c r="P216" i="13"/>
  <c r="AF101" i="13"/>
  <c r="AH141" i="13"/>
  <c r="R126" i="13"/>
  <c r="M101" i="13"/>
  <c r="T13" i="13"/>
  <c r="L178" i="13"/>
  <c r="AV36" i="13"/>
  <c r="AF201" i="13"/>
  <c r="AR209" i="13"/>
  <c r="AH209" i="13"/>
  <c r="Z209" i="13"/>
  <c r="F206" i="20"/>
  <c r="R209" i="13"/>
  <c r="AJ209" i="13"/>
  <c r="AP209" i="13"/>
  <c r="AL209" i="13"/>
  <c r="X209" i="13"/>
  <c r="AF209" i="13"/>
  <c r="AN209" i="13"/>
  <c r="AD209" i="13"/>
  <c r="AB209" i="13"/>
  <c r="V209" i="13"/>
  <c r="T209" i="13"/>
  <c r="R115" i="13"/>
  <c r="T115" i="13"/>
  <c r="AN89" i="13"/>
  <c r="Z89" i="13"/>
  <c r="AD89" i="13"/>
  <c r="AP89" i="13"/>
  <c r="F91" i="20"/>
  <c r="AF94" i="13"/>
  <c r="AB94" i="13"/>
  <c r="AR94" i="13"/>
  <c r="AH94" i="13"/>
  <c r="R94" i="13"/>
  <c r="AL94" i="13"/>
  <c r="V94" i="13"/>
  <c r="T94" i="13"/>
  <c r="X94" i="13"/>
  <c r="AP94" i="13"/>
  <c r="AN94" i="13"/>
  <c r="AJ201" i="13"/>
  <c r="AL201" i="13"/>
  <c r="X201" i="13"/>
  <c r="R201" i="13"/>
  <c r="AN201" i="13"/>
  <c r="V201" i="13"/>
  <c r="AL27" i="13"/>
  <c r="AF27" i="13"/>
  <c r="F24" i="20"/>
  <c r="T27" i="13"/>
  <c r="AD27" i="13"/>
  <c r="R98" i="13"/>
  <c r="T98" i="13"/>
  <c r="AP122" i="13"/>
  <c r="X122" i="13"/>
  <c r="R122" i="13"/>
  <c r="AF164" i="13"/>
  <c r="AP164" i="13"/>
  <c r="AH164" i="13"/>
  <c r="Z164" i="13"/>
  <c r="AB164" i="13"/>
  <c r="AL164" i="13"/>
  <c r="AD164" i="13"/>
  <c r="F161" i="20"/>
  <c r="T164" i="13"/>
  <c r="V164" i="13"/>
  <c r="AN164" i="13"/>
  <c r="AJ164" i="13"/>
  <c r="X164" i="13"/>
  <c r="AR164" i="13"/>
  <c r="AR54" i="13"/>
  <c r="X54" i="13"/>
  <c r="AJ54" i="13"/>
  <c r="R161" i="13"/>
  <c r="V161" i="13"/>
  <c r="AD187" i="13"/>
  <c r="AL187" i="13"/>
  <c r="AR187" i="13"/>
  <c r="AJ180" i="13"/>
  <c r="AD180" i="13"/>
  <c r="AF180" i="13"/>
  <c r="AN180" i="13"/>
  <c r="AL180" i="13"/>
  <c r="AB180" i="13"/>
  <c r="AP180" i="13"/>
  <c r="AR180" i="13"/>
  <c r="AH180" i="13"/>
  <c r="Z180" i="13"/>
  <c r="X180" i="13"/>
  <c r="AR161" i="13"/>
  <c r="AL161" i="13"/>
  <c r="Z161" i="13"/>
  <c r="AD161" i="13"/>
  <c r="AN161" i="13"/>
  <c r="AH161" i="13"/>
  <c r="AB161" i="13"/>
  <c r="AJ161" i="13"/>
  <c r="AP161" i="13"/>
  <c r="AF161" i="13"/>
  <c r="X161" i="13"/>
  <c r="AP54" i="13"/>
  <c r="Z54" i="13"/>
  <c r="AL54" i="13"/>
  <c r="AF54" i="13"/>
  <c r="AD54" i="13"/>
  <c r="Z187" i="13"/>
  <c r="AX18" i="13"/>
  <c r="AX239" i="13"/>
  <c r="AV87" i="13"/>
  <c r="AV209" i="13"/>
  <c r="AX15" i="13"/>
  <c r="AZ36" i="13"/>
  <c r="P236" i="13"/>
  <c r="AX89" i="13"/>
  <c r="BB41" i="13"/>
  <c r="AV231" i="13"/>
  <c r="AX229" i="13"/>
  <c r="AX215" i="13"/>
  <c r="AX212" i="13"/>
  <c r="BB222" i="13"/>
  <c r="BB107" i="13"/>
  <c r="AZ88" i="13"/>
  <c r="BB256" i="13"/>
  <c r="BB236" i="13"/>
  <c r="BB187" i="13"/>
  <c r="AZ260" i="13"/>
  <c r="X187" i="13"/>
  <c r="AH187" i="13"/>
  <c r="BB245" i="13"/>
  <c r="AX214" i="13"/>
  <c r="AF187" i="13"/>
  <c r="AV187" i="13"/>
  <c r="AZ228" i="13"/>
  <c r="AJ187" i="13"/>
  <c r="AB187" i="13"/>
  <c r="F184" i="20"/>
  <c r="V187" i="13"/>
  <c r="AP187" i="13"/>
  <c r="R187" i="13"/>
  <c r="T187" i="13"/>
  <c r="F81" i="20"/>
  <c r="R84" i="13"/>
  <c r="V84" i="13"/>
  <c r="F73" i="20"/>
  <c r="T76" i="13"/>
  <c r="R76" i="13"/>
  <c r="V76" i="13"/>
  <c r="T40" i="13"/>
  <c r="F69" i="20"/>
  <c r="R72" i="13"/>
  <c r="T72" i="13"/>
  <c r="F97" i="20"/>
  <c r="V100" i="13"/>
  <c r="R100" i="13"/>
  <c r="T100" i="13"/>
  <c r="T95" i="13"/>
  <c r="V95" i="13"/>
  <c r="R85" i="13"/>
  <c r="T85" i="13"/>
  <c r="V85" i="13"/>
  <c r="Z37" i="13"/>
  <c r="AF37" i="13"/>
  <c r="AP37" i="13"/>
  <c r="M37" i="13"/>
  <c r="AN84" i="13"/>
  <c r="AF84" i="13"/>
  <c r="AB84" i="13"/>
  <c r="AL84" i="13"/>
  <c r="AD84" i="13"/>
  <c r="AR84" i="13"/>
  <c r="AJ84" i="13"/>
  <c r="Z84" i="13"/>
  <c r="AP84" i="13"/>
  <c r="AH84" i="13"/>
  <c r="X84" i="13"/>
  <c r="AL76" i="13"/>
  <c r="AH76" i="13"/>
  <c r="AR76" i="13"/>
  <c r="AJ76" i="13"/>
  <c r="AB76" i="13"/>
  <c r="AP76" i="13"/>
  <c r="AF76" i="13"/>
  <c r="Z76" i="13"/>
  <c r="AD76" i="13"/>
  <c r="AN76" i="13"/>
  <c r="AL40" i="13"/>
  <c r="AH40" i="13"/>
  <c r="AR40" i="13"/>
  <c r="AD40" i="13"/>
  <c r="AP40" i="13"/>
  <c r="AJ40" i="13"/>
  <c r="AB40" i="13"/>
  <c r="Z40" i="13"/>
  <c r="AF40" i="13"/>
  <c r="AN40" i="13"/>
  <c r="X37" i="13"/>
  <c r="AJ37" i="13"/>
  <c r="AR37" i="13"/>
  <c r="AZ61" i="13"/>
  <c r="AZ37" i="13"/>
  <c r="AP72" i="13"/>
  <c r="AL72" i="13"/>
  <c r="AB72" i="13"/>
  <c r="AN72" i="13"/>
  <c r="AD72" i="13"/>
  <c r="Z72" i="13"/>
  <c r="AR72" i="13"/>
  <c r="AH72" i="13"/>
  <c r="X72" i="13"/>
  <c r="AJ72" i="13"/>
  <c r="AF72" i="13"/>
  <c r="AB37" i="13"/>
  <c r="AH37" i="13"/>
  <c r="M61" i="13"/>
  <c r="L37" i="13"/>
  <c r="AP100" i="13"/>
  <c r="AL100" i="13"/>
  <c r="AJ100" i="13"/>
  <c r="X100" i="13"/>
  <c r="AN100" i="13"/>
  <c r="AD100" i="13"/>
  <c r="Z100" i="13"/>
  <c r="AR100" i="13"/>
  <c r="AH100" i="13"/>
  <c r="AB100" i="13"/>
  <c r="AF100" i="13"/>
  <c r="AN95" i="13"/>
  <c r="AF95" i="13"/>
  <c r="AJ95" i="13"/>
  <c r="AD95" i="13"/>
  <c r="Z95" i="13"/>
  <c r="AR95" i="13"/>
  <c r="AL95" i="13"/>
  <c r="AH95" i="13"/>
  <c r="X95" i="13"/>
  <c r="AP95" i="13"/>
  <c r="AB95" i="13"/>
  <c r="AH85" i="13"/>
  <c r="Z85" i="13"/>
  <c r="AR85" i="13"/>
  <c r="AB85" i="13"/>
  <c r="AN85" i="13"/>
  <c r="AJ85" i="13"/>
  <c r="AL85" i="13"/>
  <c r="X85" i="13"/>
  <c r="AP85" i="13"/>
  <c r="AD85" i="13"/>
  <c r="AF85" i="13"/>
  <c r="AZ251" i="13"/>
  <c r="AZ230" i="13"/>
  <c r="AZ234" i="13"/>
  <c r="AZ17" i="13"/>
  <c r="BB168" i="13"/>
  <c r="BB205" i="13"/>
  <c r="BB206" i="13"/>
  <c r="Z216" i="13"/>
  <c r="BB102" i="13"/>
  <c r="BB217" i="13"/>
  <c r="BB261" i="13"/>
  <c r="AF204" i="13"/>
  <c r="AX237" i="13"/>
  <c r="AV107" i="13"/>
  <c r="AV225" i="13"/>
  <c r="AV37" i="13"/>
  <c r="AX87" i="13"/>
  <c r="AV243" i="13"/>
  <c r="AV219" i="13"/>
  <c r="AV47" i="13"/>
  <c r="AV61" i="13"/>
  <c r="AV222" i="13"/>
  <c r="AV236" i="13"/>
  <c r="AV43" i="13"/>
  <c r="AV226" i="13"/>
  <c r="AV253" i="13"/>
  <c r="AX230" i="13"/>
  <c r="AV65" i="13"/>
  <c r="AV188" i="13"/>
  <c r="M36" i="13"/>
  <c r="AL36" i="13"/>
  <c r="AH36" i="13"/>
  <c r="Z36" i="13"/>
  <c r="F33" i="20"/>
  <c r="AP36" i="13"/>
  <c r="AF36" i="13"/>
  <c r="AR36" i="13"/>
  <c r="AJ36" i="13"/>
  <c r="X36" i="13"/>
  <c r="T36" i="13"/>
  <c r="V36" i="13"/>
  <c r="AN36" i="13"/>
  <c r="AD36" i="13"/>
  <c r="AB36" i="13"/>
  <c r="R61" i="13"/>
  <c r="AH61" i="13"/>
  <c r="AB61" i="13"/>
  <c r="AP61" i="13"/>
  <c r="T61" i="13"/>
  <c r="AD61" i="13"/>
  <c r="AN61" i="13"/>
  <c r="V61" i="13"/>
  <c r="X61" i="13"/>
  <c r="AJ61" i="13"/>
  <c r="AR61" i="13"/>
  <c r="AF61" i="13"/>
  <c r="Z61" i="13"/>
  <c r="AL61" i="13"/>
  <c r="AZ117" i="13"/>
  <c r="AZ63" i="13"/>
  <c r="AX16" i="13"/>
  <c r="BB124" i="13"/>
  <c r="AZ236" i="13"/>
  <c r="AZ201" i="13"/>
  <c r="AZ257" i="13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3" i="20"/>
  <c r="F49" i="20"/>
  <c r="F95" i="20"/>
  <c r="F77" i="20"/>
  <c r="F216" i="20"/>
  <c r="F114" i="20"/>
  <c r="F238" i="20"/>
  <c r="F122" i="20"/>
  <c r="F222" i="20"/>
  <c r="F152" i="20"/>
  <c r="F167" i="20"/>
  <c r="A237" i="20"/>
  <c r="F30" i="20"/>
  <c r="F60" i="20"/>
  <c r="F138" i="20"/>
  <c r="F134" i="20"/>
  <c r="F192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208" i="20"/>
  <c r="F112" i="20"/>
  <c r="F89" i="20"/>
  <c r="F124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P194" i="13"/>
  <c r="F191" i="20"/>
  <c r="P144" i="13"/>
  <c r="F141" i="20"/>
  <c r="P202" i="13"/>
  <c r="F199" i="20"/>
  <c r="P205" i="13"/>
  <c r="F202" i="20"/>
  <c r="P203" i="13"/>
  <c r="F200" i="20"/>
  <c r="P81" i="13"/>
  <c r="F78" i="20"/>
  <c r="P166" i="13"/>
  <c r="F163" i="20"/>
  <c r="P200" i="13"/>
  <c r="F197" i="20"/>
  <c r="P192" i="13"/>
  <c r="F189" i="20"/>
  <c r="P173" i="13"/>
  <c r="F170" i="20"/>
  <c r="P91" i="13"/>
  <c r="F88" i="20"/>
  <c r="BB63" i="13"/>
  <c r="AZ45" i="13"/>
  <c r="AZ240" i="13"/>
  <c r="AX208" i="13"/>
  <c r="AV216" i="13"/>
  <c r="AX224" i="13"/>
  <c r="T83" i="14"/>
  <c r="T39" i="14"/>
  <c r="T216" i="14"/>
  <c r="T12" i="14"/>
  <c r="T55" i="14"/>
  <c r="T58" i="14"/>
  <c r="T206" i="14"/>
  <c r="T171" i="14"/>
  <c r="T218" i="14"/>
  <c r="T10" i="14"/>
  <c r="T225" i="14"/>
  <c r="T215" i="14"/>
  <c r="T140" i="14"/>
  <c r="T14" i="14"/>
  <c r="T210" i="14"/>
  <c r="T91" i="14"/>
  <c r="T200" i="14"/>
  <c r="T156" i="14"/>
  <c r="T227" i="14"/>
  <c r="T162" i="14"/>
  <c r="T223" i="14"/>
  <c r="T163" i="14"/>
  <c r="T101" i="14"/>
  <c r="T222" i="14"/>
  <c r="T205" i="14"/>
  <c r="T221" i="14"/>
  <c r="T214" i="14"/>
  <c r="T8" i="14"/>
  <c r="T80" i="14"/>
  <c r="T181" i="14"/>
  <c r="T81" i="14"/>
  <c r="T199" i="14"/>
  <c r="T11" i="14"/>
  <c r="T208" i="14"/>
  <c r="T217" i="14"/>
  <c r="T13" i="14"/>
  <c r="T203" i="14"/>
  <c r="T22" i="14"/>
  <c r="T231" i="14"/>
  <c r="T79" i="14"/>
  <c r="T188" i="14"/>
  <c r="T30" i="14"/>
  <c r="T187" i="14"/>
  <c r="T96" i="14"/>
  <c r="T212" i="14"/>
  <c r="T108" i="14"/>
  <c r="T172" i="14"/>
  <c r="T41" i="14"/>
  <c r="T207" i="14"/>
  <c r="T116" i="14"/>
  <c r="T213" i="14"/>
  <c r="T182" i="14"/>
  <c r="T17" i="14"/>
  <c r="T240" i="14"/>
  <c r="T89" i="14"/>
  <c r="T34" i="14"/>
  <c r="T31" i="14"/>
  <c r="T238" i="14"/>
  <c r="T9" i="14"/>
  <c r="R15" i="13"/>
  <c r="T230" i="14"/>
  <c r="T209" i="14"/>
  <c r="T233" i="14"/>
  <c r="T226" i="14"/>
  <c r="T236" i="14"/>
  <c r="T118" i="14"/>
  <c r="T237" i="14"/>
  <c r="T232" i="14"/>
  <c r="T113" i="14"/>
  <c r="T228" i="14"/>
  <c r="T37" i="14"/>
  <c r="T224" i="14"/>
  <c r="T202" i="14"/>
  <c r="AZ222" i="13"/>
  <c r="P52" i="13"/>
  <c r="AZ72" i="13"/>
  <c r="AV23" i="13"/>
  <c r="BB221" i="13"/>
  <c r="BB248" i="13"/>
  <c r="BB177" i="13"/>
  <c r="AV239" i="13"/>
  <c r="AZ217" i="13"/>
  <c r="AX225" i="13"/>
  <c r="BB87" i="13"/>
  <c r="BB231" i="13"/>
  <c r="BB40" i="13"/>
  <c r="AZ237" i="13"/>
  <c r="BB216" i="13"/>
  <c r="AX217" i="13"/>
  <c r="AV230" i="13"/>
  <c r="AX63" i="13"/>
  <c r="BB237" i="13"/>
  <c r="AV16" i="13"/>
  <c r="AV238" i="13"/>
  <c r="AZ18" i="13"/>
  <c r="AV211" i="13"/>
  <c r="AV244" i="13"/>
  <c r="AZ233" i="13"/>
  <c r="AX41" i="13"/>
  <c r="AX256" i="13"/>
  <c r="BB169" i="13"/>
  <c r="AV28" i="13"/>
  <c r="AX44" i="13"/>
  <c r="AX255" i="13"/>
  <c r="AV254" i="13"/>
  <c r="AV201" i="13"/>
  <c r="AZ124" i="13"/>
  <c r="AX65" i="13"/>
  <c r="BB251" i="13"/>
  <c r="BB219" i="13"/>
  <c r="BB229" i="13"/>
  <c r="AV19" i="13"/>
  <c r="AZ232" i="13"/>
  <c r="AV249" i="13"/>
  <c r="BB21" i="13"/>
  <c r="AZ218" i="13"/>
  <c r="AX240" i="13"/>
  <c r="AV217" i="13"/>
  <c r="AX226" i="13"/>
  <c r="AX241" i="13"/>
  <c r="BB44" i="13"/>
  <c r="AV257" i="13"/>
  <c r="AV169" i="13"/>
  <c r="AZ212" i="13"/>
  <c r="AV146" i="13"/>
  <c r="BB210" i="13"/>
  <c r="BB97" i="13"/>
  <c r="AX201" i="13"/>
  <c r="AZ226" i="13"/>
  <c r="AX210" i="13"/>
  <c r="AZ205" i="13"/>
  <c r="AX245" i="13"/>
  <c r="AX84" i="13"/>
  <c r="AZ169" i="13"/>
  <c r="AZ40" i="13"/>
  <c r="BB14" i="13"/>
  <c r="AX117" i="13"/>
  <c r="AX161" i="13"/>
  <c r="AZ178" i="13"/>
  <c r="AX21" i="13"/>
  <c r="AV212" i="13"/>
  <c r="BB19" i="13"/>
  <c r="AV218" i="13"/>
  <c r="AV40" i="13"/>
  <c r="AV45" i="13"/>
  <c r="AV64" i="13"/>
  <c r="AX235" i="13"/>
  <c r="AV250" i="13"/>
  <c r="BB242" i="13"/>
  <c r="AZ102" i="13"/>
  <c r="AZ250" i="13"/>
  <c r="BB249" i="13"/>
  <c r="BB234" i="13"/>
  <c r="AZ15" i="13"/>
  <c r="AX88" i="13"/>
  <c r="AZ208" i="13"/>
  <c r="AZ193" i="13"/>
  <c r="AV18" i="13"/>
  <c r="AZ246" i="13"/>
  <c r="BB257" i="13"/>
  <c r="BB253" i="13"/>
  <c r="AX72" i="13"/>
  <c r="AZ188" i="13"/>
  <c r="P68" i="13"/>
  <c r="AZ92" i="13"/>
  <c r="AZ127" i="13"/>
  <c r="AZ121" i="13"/>
  <c r="AV31" i="13"/>
  <c r="AX204" i="13"/>
  <c r="AX139" i="13"/>
  <c r="AV147" i="13"/>
  <c r="AV30" i="13"/>
  <c r="AV145" i="13"/>
  <c r="AV135" i="13"/>
  <c r="AV144" i="13"/>
  <c r="AV189" i="13"/>
  <c r="AV58" i="13"/>
  <c r="AV39" i="13"/>
  <c r="AV195" i="13"/>
  <c r="AX184" i="13"/>
  <c r="AV104" i="13"/>
  <c r="BB77" i="13"/>
  <c r="AZ82" i="13"/>
  <c r="BB126" i="13"/>
  <c r="BB67" i="13"/>
  <c r="AX54" i="13"/>
  <c r="AX183" i="13"/>
  <c r="AX94" i="13"/>
  <c r="AX158" i="13"/>
  <c r="AV103" i="13"/>
  <c r="BB155" i="13"/>
  <c r="BB167" i="13"/>
  <c r="AZ90" i="13"/>
  <c r="AZ132" i="13"/>
  <c r="AZ149" i="13"/>
  <c r="BB98" i="13"/>
  <c r="AZ35" i="13"/>
  <c r="AZ46" i="13"/>
  <c r="BB163" i="13"/>
  <c r="AZ170" i="13"/>
  <c r="BB156" i="13"/>
  <c r="BB120" i="13"/>
  <c r="AZ56" i="13"/>
  <c r="AZ29" i="13"/>
  <c r="AZ123" i="13"/>
  <c r="AZ106" i="13"/>
  <c r="AZ200" i="13"/>
  <c r="BB182" i="13"/>
  <c r="AV199" i="13"/>
  <c r="AV190" i="13"/>
  <c r="AX140" i="13"/>
  <c r="AX148" i="13"/>
  <c r="AX125" i="13"/>
  <c r="AV51" i="13"/>
  <c r="AX27" i="13"/>
  <c r="AV143" i="13"/>
  <c r="AV186" i="13"/>
  <c r="AX150" i="13"/>
  <c r="BB111" i="13"/>
  <c r="AZ141" i="13"/>
  <c r="AZ115" i="13"/>
  <c r="BB59" i="13"/>
  <c r="BB50" i="13"/>
  <c r="BB180" i="13"/>
  <c r="AZ202" i="13"/>
  <c r="AZ154" i="13"/>
  <c r="AX93" i="13"/>
  <c r="AV25" i="13"/>
  <c r="AX159" i="13"/>
  <c r="AX152" i="13"/>
  <c r="AV80" i="13"/>
  <c r="BB138" i="13"/>
  <c r="AZ75" i="13"/>
  <c r="AX55" i="13"/>
  <c r="AV191" i="13"/>
  <c r="BB109" i="13"/>
  <c r="BB131" i="13"/>
  <c r="AV100" i="13"/>
  <c r="AX69" i="13"/>
  <c r="AV24" i="13"/>
  <c r="AV66" i="13"/>
  <c r="AV38" i="13"/>
  <c r="AV196" i="13"/>
  <c r="AX151" i="13"/>
  <c r="AX74" i="13"/>
  <c r="AX198" i="13"/>
  <c r="AX32" i="13"/>
  <c r="AV179" i="13"/>
  <c r="AV128" i="13"/>
  <c r="AV22" i="13"/>
  <c r="AZ118" i="13"/>
  <c r="AZ181" i="13"/>
  <c r="AX101" i="13"/>
  <c r="AX99" i="13"/>
  <c r="AX137" i="13"/>
  <c r="AV83" i="13"/>
  <c r="AZ68" i="13"/>
  <c r="BB42" i="13"/>
  <c r="AZ160" i="13"/>
  <c r="AV185" i="13"/>
  <c r="AV171" i="13"/>
  <c r="BB81" i="13"/>
  <c r="BB53" i="13"/>
  <c r="BB197" i="13"/>
  <c r="BB136" i="13"/>
  <c r="BB96" i="13"/>
  <c r="AV134" i="13"/>
  <c r="AX49" i="13"/>
  <c r="AX62" i="13"/>
  <c r="AZ166" i="13"/>
  <c r="BB175" i="13"/>
  <c r="BB157" i="13"/>
  <c r="AV113" i="13"/>
  <c r="AZ73" i="13"/>
  <c r="AZ76" i="13"/>
  <c r="AZ164" i="13"/>
  <c r="AV129" i="13"/>
  <c r="AX172" i="13"/>
  <c r="AV71" i="13"/>
  <c r="BB192" i="13"/>
  <c r="AZ153" i="13"/>
  <c r="AZ108" i="13"/>
  <c r="AZ91" i="13"/>
  <c r="AZ133" i="13"/>
  <c r="BB78" i="13"/>
  <c r="AZ60" i="13"/>
  <c r="AV33" i="13"/>
  <c r="AX207" i="13"/>
  <c r="AX173" i="13"/>
  <c r="AX112" i="13"/>
  <c r="BB26" i="13"/>
  <c r="BB165" i="13"/>
  <c r="AZ142" i="13"/>
  <c r="BB79" i="13"/>
  <c r="BB105" i="13"/>
  <c r="AV57" i="13"/>
  <c r="AX203" i="13"/>
  <c r="AV176" i="13"/>
  <c r="AV174" i="13"/>
  <c r="AZ130" i="13"/>
  <c r="AZ48" i="13"/>
  <c r="BB52" i="13"/>
  <c r="BB92" i="13"/>
  <c r="BB127" i="13"/>
  <c r="BB121" i="13"/>
  <c r="AZ31" i="13"/>
  <c r="AZ204" i="13"/>
  <c r="AZ139" i="13"/>
  <c r="BB147" i="13"/>
  <c r="AZ30" i="13"/>
  <c r="BB145" i="13"/>
  <c r="BB135" i="13"/>
  <c r="AX144" i="13"/>
  <c r="AX189" i="13"/>
  <c r="AX58" i="13"/>
  <c r="AX39" i="13"/>
  <c r="AX195" i="13"/>
  <c r="AV184" i="13"/>
  <c r="AX104" i="13"/>
  <c r="AV77" i="13"/>
  <c r="AV82" i="13"/>
  <c r="AZ67" i="13"/>
  <c r="BB54" i="13"/>
  <c r="AZ183" i="13"/>
  <c r="AV94" i="13"/>
  <c r="AV158" i="13"/>
  <c r="AX103" i="13"/>
  <c r="AV155" i="13"/>
  <c r="AV167" i="13"/>
  <c r="BB90" i="13"/>
  <c r="BB132" i="13"/>
  <c r="BB149" i="13"/>
  <c r="AZ98" i="13"/>
  <c r="BB35" i="13"/>
  <c r="BB46" i="13"/>
  <c r="AZ163" i="13"/>
  <c r="BB170" i="13"/>
  <c r="AZ156" i="13"/>
  <c r="AZ120" i="13"/>
  <c r="BB56" i="13"/>
  <c r="BB29" i="13"/>
  <c r="BB123" i="13"/>
  <c r="BB106" i="13"/>
  <c r="BB200" i="13"/>
  <c r="AZ182" i="13"/>
  <c r="BB199" i="13"/>
  <c r="AX190" i="13"/>
  <c r="AV140" i="13"/>
  <c r="AV148" i="13"/>
  <c r="AV125" i="13"/>
  <c r="AX51" i="13"/>
  <c r="AV27" i="13"/>
  <c r="AX143" i="13"/>
  <c r="AX186" i="13"/>
  <c r="AV150" i="13"/>
  <c r="AX111" i="13"/>
  <c r="AX115" i="13"/>
  <c r="AV59" i="13"/>
  <c r="AX50" i="13"/>
  <c r="AX180" i="13"/>
  <c r="BB202" i="13"/>
  <c r="BB154" i="13"/>
  <c r="AZ93" i="13"/>
  <c r="AZ25" i="13"/>
  <c r="AZ159" i="13"/>
  <c r="AV152" i="13"/>
  <c r="AX80" i="13"/>
  <c r="AV138" i="13"/>
  <c r="BB75" i="13"/>
  <c r="BB55" i="13"/>
  <c r="AX191" i="13"/>
  <c r="AV109" i="13"/>
  <c r="AZ131" i="13"/>
  <c r="BB100" i="13"/>
  <c r="AZ69" i="13"/>
  <c r="AZ24" i="13"/>
  <c r="AV34" i="13"/>
  <c r="AX66" i="13"/>
  <c r="AX38" i="13"/>
  <c r="AX196" i="13"/>
  <c r="AV151" i="13"/>
  <c r="AV74" i="13"/>
  <c r="AV198" i="13"/>
  <c r="AV32" i="13"/>
  <c r="AX179" i="13"/>
  <c r="AX128" i="13"/>
  <c r="AX22" i="13"/>
  <c r="AX118" i="13"/>
  <c r="BB181" i="13"/>
  <c r="BB99" i="13"/>
  <c r="AV137" i="13"/>
  <c r="AX83" i="13"/>
  <c r="AX68" i="13"/>
  <c r="AV42" i="13"/>
  <c r="BB160" i="13"/>
  <c r="AZ185" i="13"/>
  <c r="AX171" i="13"/>
  <c r="AV81" i="13"/>
  <c r="AZ53" i="13"/>
  <c r="AZ197" i="13"/>
  <c r="AZ136" i="13"/>
  <c r="AZ96" i="13"/>
  <c r="BB134" i="13"/>
  <c r="AV49" i="13"/>
  <c r="AV62" i="13"/>
  <c r="AV166" i="13"/>
  <c r="AZ175" i="13"/>
  <c r="AZ157" i="13"/>
  <c r="BB113" i="13"/>
  <c r="AV110" i="13"/>
  <c r="AX73" i="13"/>
  <c r="BB76" i="13"/>
  <c r="BB164" i="13"/>
  <c r="BB129" i="13"/>
  <c r="AZ172" i="13"/>
  <c r="AX71" i="13"/>
  <c r="AV192" i="13"/>
  <c r="BB153" i="13"/>
  <c r="BB108" i="13"/>
  <c r="BB91" i="13"/>
  <c r="BB133" i="13"/>
  <c r="AZ78" i="13"/>
  <c r="BB60" i="13"/>
  <c r="AZ33" i="13"/>
  <c r="BB207" i="13"/>
  <c r="BB173" i="13"/>
  <c r="AZ112" i="13"/>
  <c r="AV116" i="13"/>
  <c r="AV26" i="13"/>
  <c r="AX165" i="13"/>
  <c r="AX142" i="13"/>
  <c r="AZ79" i="13"/>
  <c r="AZ105" i="13"/>
  <c r="AZ13" i="13"/>
  <c r="AZ57" i="13"/>
  <c r="BB203" i="13"/>
  <c r="AX176" i="13"/>
  <c r="AX174" i="13"/>
  <c r="AX48" i="13"/>
  <c r="AV52" i="13"/>
  <c r="P142" i="13"/>
  <c r="AV92" i="13"/>
  <c r="AX121" i="13"/>
  <c r="BB31" i="13"/>
  <c r="BB70" i="13"/>
  <c r="BB204" i="13"/>
  <c r="BB139" i="13"/>
  <c r="AZ147" i="13"/>
  <c r="BB30" i="13"/>
  <c r="AZ145" i="13"/>
  <c r="AZ135" i="13"/>
  <c r="AZ144" i="13"/>
  <c r="BB189" i="13"/>
  <c r="AZ58" i="13"/>
  <c r="BB39" i="13"/>
  <c r="AZ195" i="13"/>
  <c r="AZ184" i="13"/>
  <c r="BB104" i="13"/>
  <c r="AX77" i="13"/>
  <c r="AX82" i="13"/>
  <c r="AX126" i="13"/>
  <c r="AV67" i="13"/>
  <c r="AZ54" i="13"/>
  <c r="BB183" i="13"/>
  <c r="BB94" i="13"/>
  <c r="BB158" i="13"/>
  <c r="AZ103" i="13"/>
  <c r="AX155" i="13"/>
  <c r="AX167" i="13"/>
  <c r="AX90" i="13"/>
  <c r="AX132" i="13"/>
  <c r="AV149" i="13"/>
  <c r="AV98" i="13"/>
  <c r="AV35" i="13"/>
  <c r="AX46" i="13"/>
  <c r="AX163" i="13"/>
  <c r="AV170" i="13"/>
  <c r="AX156" i="13"/>
  <c r="AX120" i="13"/>
  <c r="AX56" i="13"/>
  <c r="AX29" i="13"/>
  <c r="AV123" i="13"/>
  <c r="AX106" i="13"/>
  <c r="AV200" i="13"/>
  <c r="AV182" i="13"/>
  <c r="AZ199" i="13"/>
  <c r="AZ190" i="13"/>
  <c r="BB140" i="13"/>
  <c r="AZ148" i="13"/>
  <c r="BB125" i="13"/>
  <c r="BB51" i="13"/>
  <c r="AZ27" i="13"/>
  <c r="AZ143" i="13"/>
  <c r="AZ186" i="13"/>
  <c r="BB150" i="13"/>
  <c r="AV111" i="13"/>
  <c r="AV141" i="13"/>
  <c r="AV115" i="13"/>
  <c r="AX59" i="13"/>
  <c r="AV50" i="13"/>
  <c r="AV180" i="13"/>
  <c r="AX202" i="13"/>
  <c r="AV154" i="13"/>
  <c r="BB93" i="13"/>
  <c r="BB25" i="13"/>
  <c r="BB159" i="13"/>
  <c r="BB152" i="13"/>
  <c r="BB80" i="13"/>
  <c r="AX138" i="13"/>
  <c r="AV75" i="13"/>
  <c r="AZ55" i="13"/>
  <c r="BB191" i="13"/>
  <c r="AX109" i="13"/>
  <c r="AX131" i="13"/>
  <c r="AZ100" i="13"/>
  <c r="BB69" i="13"/>
  <c r="BB24" i="13"/>
  <c r="AZ34" i="13"/>
  <c r="BB66" i="13"/>
  <c r="BB38" i="13"/>
  <c r="AZ196" i="13"/>
  <c r="BB151" i="13"/>
  <c r="AZ74" i="13"/>
  <c r="AZ198" i="13"/>
  <c r="AZ32" i="13"/>
  <c r="BB179" i="13"/>
  <c r="AZ128" i="13"/>
  <c r="BB22" i="13"/>
  <c r="AV118" i="13"/>
  <c r="AX181" i="13"/>
  <c r="BB101" i="13"/>
  <c r="AZ99" i="13"/>
  <c r="AZ137" i="13"/>
  <c r="BB83" i="13"/>
  <c r="AV68" i="13"/>
  <c r="AX42" i="13"/>
  <c r="AV160" i="13"/>
  <c r="BB185" i="13"/>
  <c r="BB171" i="13"/>
  <c r="AX81" i="13"/>
  <c r="AV53" i="13"/>
  <c r="AX197" i="13"/>
  <c r="AX136" i="13"/>
  <c r="AV96" i="13"/>
  <c r="AZ134" i="13"/>
  <c r="BB49" i="13"/>
  <c r="BB62" i="13"/>
  <c r="AX166" i="13"/>
  <c r="AV175" i="13"/>
  <c r="AX157" i="13"/>
  <c r="AZ113" i="13"/>
  <c r="BB110" i="13"/>
  <c r="AV73" i="13"/>
  <c r="AX164" i="13"/>
  <c r="AZ129" i="13"/>
  <c r="BB172" i="13"/>
  <c r="AZ71" i="13"/>
  <c r="AX192" i="13"/>
  <c r="AX153" i="13"/>
  <c r="AV108" i="13"/>
  <c r="AV91" i="13"/>
  <c r="AV133" i="13"/>
  <c r="AX78" i="13"/>
  <c r="AV60" i="13"/>
  <c r="BB33" i="13"/>
  <c r="AZ207" i="13"/>
  <c r="AZ173" i="13"/>
  <c r="BB112" i="13"/>
  <c r="AZ116" i="13"/>
  <c r="AX26" i="13"/>
  <c r="AV165" i="13"/>
  <c r="AV142" i="13"/>
  <c r="AX79" i="13"/>
  <c r="AX105" i="13"/>
  <c r="BB13" i="13"/>
  <c r="BB57" i="13"/>
  <c r="AZ203" i="13"/>
  <c r="AZ176" i="13"/>
  <c r="BB174" i="13"/>
  <c r="AV130" i="13"/>
  <c r="AV48" i="13"/>
  <c r="AX52" i="13"/>
  <c r="AX92" i="13"/>
  <c r="AX127" i="13"/>
  <c r="AV121" i="13"/>
  <c r="AX31" i="13"/>
  <c r="AV204" i="13"/>
  <c r="AV139" i="13"/>
  <c r="AX147" i="13"/>
  <c r="AX30" i="13"/>
  <c r="AX145" i="13"/>
  <c r="AX135" i="13"/>
  <c r="BB144" i="13"/>
  <c r="AZ189" i="13"/>
  <c r="BB58" i="13"/>
  <c r="AZ39" i="13"/>
  <c r="BB195" i="13"/>
  <c r="BB184" i="13"/>
  <c r="AZ104" i="13"/>
  <c r="AZ77" i="13"/>
  <c r="BB82" i="13"/>
  <c r="AV126" i="13"/>
  <c r="AX67" i="13"/>
  <c r="AV54" i="13"/>
  <c r="AV183" i="13"/>
  <c r="AZ94" i="13"/>
  <c r="AZ158" i="13"/>
  <c r="BB103" i="13"/>
  <c r="AZ155" i="13"/>
  <c r="AZ167" i="13"/>
  <c r="AV90" i="13"/>
  <c r="AV132" i="13"/>
  <c r="AX149" i="13"/>
  <c r="AX98" i="13"/>
  <c r="AX35" i="13"/>
  <c r="AV46" i="13"/>
  <c r="AV163" i="13"/>
  <c r="AX170" i="13"/>
  <c r="AV156" i="13"/>
  <c r="AV120" i="13"/>
  <c r="AV56" i="13"/>
  <c r="AV29" i="13"/>
  <c r="AX123" i="13"/>
  <c r="AV106" i="13"/>
  <c r="AX200" i="13"/>
  <c r="AX182" i="13"/>
  <c r="AX199" i="13"/>
  <c r="BB190" i="13"/>
  <c r="AZ140" i="13"/>
  <c r="BB148" i="13"/>
  <c r="AZ125" i="13"/>
  <c r="AZ51" i="13"/>
  <c r="BB27" i="13"/>
  <c r="BB143" i="13"/>
  <c r="BB186" i="13"/>
  <c r="AZ150" i="13"/>
  <c r="AZ111" i="13"/>
  <c r="BB115" i="13"/>
  <c r="AZ59" i="13"/>
  <c r="AZ50" i="13"/>
  <c r="AZ180" i="13"/>
  <c r="AV202" i="13"/>
  <c r="AX154" i="13"/>
  <c r="AV93" i="13"/>
  <c r="AX25" i="13"/>
  <c r="AV159" i="13"/>
  <c r="AZ152" i="13"/>
  <c r="AZ80" i="13"/>
  <c r="AZ138" i="13"/>
  <c r="AX75" i="13"/>
  <c r="AV55" i="13"/>
  <c r="AZ191" i="13"/>
  <c r="AZ109" i="13"/>
  <c r="AV131" i="13"/>
  <c r="AX100" i="13"/>
  <c r="AV69" i="13"/>
  <c r="AX24" i="13"/>
  <c r="BB34" i="13"/>
  <c r="AZ66" i="13"/>
  <c r="AZ38" i="13"/>
  <c r="BB196" i="13"/>
  <c r="AZ151" i="13"/>
  <c r="BB74" i="13"/>
  <c r="BB198" i="13"/>
  <c r="BB32" i="13"/>
  <c r="AZ179" i="13"/>
  <c r="BB128" i="13"/>
  <c r="AZ22" i="13"/>
  <c r="BB118" i="13"/>
  <c r="AV181" i="13"/>
  <c r="AV101" i="13"/>
  <c r="AV99" i="13"/>
  <c r="BB137" i="13"/>
  <c r="AZ83" i="13"/>
  <c r="BB68" i="13"/>
  <c r="AZ42" i="13"/>
  <c r="AX160" i="13"/>
  <c r="AX185" i="13"/>
  <c r="AZ171" i="13"/>
  <c r="AZ81" i="13"/>
  <c r="AX53" i="13"/>
  <c r="AV197" i="13"/>
  <c r="AV136" i="13"/>
  <c r="AX96" i="13"/>
  <c r="AX134" i="13"/>
  <c r="AZ49" i="13"/>
  <c r="AZ62" i="13"/>
  <c r="BB166" i="13"/>
  <c r="AX175" i="13"/>
  <c r="AV157" i="13"/>
  <c r="AX113" i="13"/>
  <c r="AZ110" i="13"/>
  <c r="BB73" i="13"/>
  <c r="AX76" i="13"/>
  <c r="AV164" i="13"/>
  <c r="AX129" i="13"/>
  <c r="AV172" i="13"/>
  <c r="BB71" i="13"/>
  <c r="AZ192" i="13"/>
  <c r="AV153" i="13"/>
  <c r="AX108" i="13"/>
  <c r="AX91" i="13"/>
  <c r="AX133" i="13"/>
  <c r="AV78" i="13"/>
  <c r="AX60" i="13"/>
  <c r="AX33" i="13"/>
  <c r="AV207" i="13"/>
  <c r="AV173" i="13"/>
  <c r="AV112" i="13"/>
  <c r="BB116" i="13"/>
  <c r="AZ26" i="13"/>
  <c r="AZ165" i="13"/>
  <c r="BB142" i="13"/>
  <c r="AV79" i="13"/>
  <c r="AV105" i="13"/>
  <c r="AX13" i="13"/>
  <c r="AX57" i="13"/>
  <c r="AV203" i="13"/>
  <c r="BB176" i="13"/>
  <c r="AZ174" i="13"/>
  <c r="BB130" i="13"/>
  <c r="BB48" i="13"/>
  <c r="AZ52" i="13"/>
  <c r="AJ176" i="13"/>
  <c r="AJ81" i="13"/>
  <c r="AN166" i="13"/>
  <c r="AJ118" i="13"/>
  <c r="AP81" i="13"/>
  <c r="AN118" i="13"/>
  <c r="AP42" i="13"/>
  <c r="AJ22" i="13"/>
  <c r="AJ185" i="13"/>
  <c r="AJ42" i="13"/>
  <c r="AR160" i="13"/>
  <c r="AL62" i="13"/>
  <c r="AN96" i="13"/>
  <c r="AJ165" i="13"/>
  <c r="AJ106" i="13"/>
  <c r="AL106" i="13"/>
  <c r="AP31" i="13"/>
  <c r="AN70" i="13"/>
  <c r="AP30" i="13"/>
  <c r="AR145" i="13"/>
  <c r="AR207" i="13"/>
  <c r="AJ26" i="13"/>
  <c r="AL26" i="13"/>
  <c r="AN165" i="13"/>
  <c r="AP165" i="13"/>
  <c r="AR52" i="13"/>
  <c r="AP51" i="13"/>
  <c r="AL56" i="13"/>
  <c r="AJ69" i="13"/>
  <c r="AN132" i="13"/>
  <c r="AR197" i="13"/>
  <c r="AR178" i="13"/>
  <c r="AL25" i="13"/>
  <c r="AL149" i="13"/>
  <c r="AP190" i="13"/>
  <c r="AL203" i="13"/>
  <c r="AL148" i="13"/>
  <c r="AJ205" i="13"/>
  <c r="AL59" i="13"/>
  <c r="AN175" i="13"/>
  <c r="AN22" i="13"/>
  <c r="AL174" i="13"/>
  <c r="AL24" i="13"/>
  <c r="AN59" i="13"/>
  <c r="AP102" i="13"/>
  <c r="AL152" i="13"/>
  <c r="AN56" i="13"/>
  <c r="AP63" i="13"/>
  <c r="AP69" i="13"/>
  <c r="AN177" i="13"/>
  <c r="AN186" i="13"/>
  <c r="AN197" i="13"/>
  <c r="AR53" i="13"/>
  <c r="AJ195" i="13"/>
  <c r="AR195" i="13"/>
  <c r="AR140" i="13"/>
  <c r="AN198" i="13"/>
  <c r="AJ49" i="13"/>
  <c r="AR49" i="13"/>
  <c r="AJ135" i="13"/>
  <c r="AN120" i="13"/>
  <c r="AR208" i="13"/>
  <c r="AJ104" i="13"/>
  <c r="AR126" i="13"/>
  <c r="AP126" i="13"/>
  <c r="AN207" i="13"/>
  <c r="AP93" i="13"/>
  <c r="AN93" i="13"/>
  <c r="AR134" i="13"/>
  <c r="AL175" i="13"/>
  <c r="AL109" i="13"/>
  <c r="AP109" i="13"/>
  <c r="AJ60" i="13"/>
  <c r="AL165" i="13"/>
  <c r="AN63" i="13"/>
  <c r="AJ66" i="13"/>
  <c r="AR194" i="13"/>
  <c r="AL37" i="13"/>
  <c r="AN153" i="13"/>
  <c r="AR133" i="13"/>
  <c r="AR137" i="13"/>
  <c r="AN152" i="13"/>
  <c r="AP65" i="13"/>
  <c r="AP88" i="13"/>
  <c r="AP208" i="13"/>
  <c r="AP59" i="13"/>
  <c r="AL50" i="13"/>
  <c r="AR93" i="13"/>
  <c r="AP142" i="13"/>
  <c r="AL83" i="13"/>
  <c r="AJ63" i="13"/>
  <c r="AJ179" i="13"/>
  <c r="AP134" i="13"/>
  <c r="AL33" i="13"/>
  <c r="AJ33" i="13"/>
  <c r="AR33" i="13"/>
  <c r="AJ38" i="13"/>
  <c r="AJ51" i="13"/>
  <c r="AL57" i="13"/>
  <c r="AR57" i="13"/>
  <c r="AL63" i="13"/>
  <c r="AN66" i="13"/>
  <c r="AL68" i="13"/>
  <c r="AR69" i="13"/>
  <c r="AN69" i="13"/>
  <c r="AN97" i="13"/>
  <c r="AJ101" i="13"/>
  <c r="AJ177" i="13"/>
  <c r="AR177" i="13"/>
  <c r="AL77" i="13"/>
  <c r="AP194" i="13"/>
  <c r="AJ186" i="13"/>
  <c r="AR186" i="13"/>
  <c r="AL141" i="13"/>
  <c r="AL132" i="13"/>
  <c r="AL29" i="13"/>
  <c r="AP29" i="13"/>
  <c r="AJ197" i="13"/>
  <c r="AP197" i="13"/>
  <c r="AL153" i="13"/>
  <c r="AN133" i="13"/>
  <c r="AR200" i="13"/>
  <c r="AJ178" i="13"/>
  <c r="AP178" i="13"/>
  <c r="AJ25" i="13"/>
  <c r="AP137" i="13"/>
  <c r="AP149" i="13"/>
  <c r="AJ53" i="13"/>
  <c r="AN53" i="13"/>
  <c r="AL195" i="13"/>
  <c r="AR152" i="13"/>
  <c r="AN202" i="13"/>
  <c r="AJ140" i="13"/>
  <c r="AN140" i="13"/>
  <c r="AN65" i="13"/>
  <c r="AJ130" i="13"/>
  <c r="AN64" i="13"/>
  <c r="AP64" i="13"/>
  <c r="AR198" i="13"/>
  <c r="AP198" i="13"/>
  <c r="AL128" i="13"/>
  <c r="AL190" i="13"/>
  <c r="AP136" i="13"/>
  <c r="AN49" i="13"/>
  <c r="AL125" i="13"/>
  <c r="AJ125" i="13"/>
  <c r="AR135" i="13"/>
  <c r="AL205" i="13"/>
  <c r="AJ89" i="13"/>
  <c r="AL144" i="13"/>
  <c r="AP203" i="13"/>
  <c r="AJ147" i="13"/>
  <c r="AP144" i="13"/>
  <c r="AN88" i="13"/>
  <c r="AJ168" i="13"/>
  <c r="AR168" i="13"/>
  <c r="AL179" i="13"/>
  <c r="AN208" i="13"/>
  <c r="AJ208" i="13"/>
  <c r="AP175" i="13"/>
  <c r="AJ24" i="13"/>
  <c r="AR143" i="13"/>
  <c r="AP143" i="13"/>
  <c r="AP104" i="13"/>
  <c r="AR104" i="13"/>
  <c r="AR50" i="13"/>
  <c r="AL207" i="13"/>
  <c r="AL134" i="13"/>
  <c r="AR59" i="13"/>
  <c r="AJ83" i="13"/>
  <c r="AN112" i="13"/>
  <c r="AP112" i="13"/>
  <c r="AR116" i="13"/>
  <c r="AN116" i="13"/>
  <c r="AR174" i="13"/>
  <c r="AN113" i="13"/>
  <c r="AR113" i="13"/>
  <c r="AL93" i="13"/>
  <c r="AL176" i="13"/>
  <c r="AP176" i="13"/>
  <c r="AL157" i="13"/>
  <c r="AJ99" i="13"/>
  <c r="AR42" i="13"/>
  <c r="AN71" i="13"/>
  <c r="AP181" i="13"/>
  <c r="AP171" i="13"/>
  <c r="AL96" i="13"/>
  <c r="AR73" i="13"/>
  <c r="AN81" i="13"/>
  <c r="AP62" i="13"/>
  <c r="AP110" i="13"/>
  <c r="AR62" i="13"/>
  <c r="AL81" i="13"/>
  <c r="AR118" i="13"/>
  <c r="AJ62" i="13"/>
  <c r="AJ166" i="13"/>
  <c r="AR58" i="13"/>
  <c r="AP78" i="13"/>
  <c r="AL52" i="13"/>
  <c r="AP199" i="13"/>
  <c r="AR199" i="13"/>
  <c r="AL70" i="13"/>
  <c r="AJ139" i="13"/>
  <c r="AN139" i="13"/>
  <c r="AJ30" i="13"/>
  <c r="AR144" i="13"/>
  <c r="AP189" i="13"/>
  <c r="AJ58" i="13"/>
  <c r="AP91" i="13"/>
  <c r="AR78" i="13"/>
  <c r="AR173" i="13"/>
  <c r="AN26" i="13"/>
  <c r="AJ48" i="13"/>
  <c r="AP38" i="13"/>
  <c r="AR38" i="13"/>
  <c r="AL51" i="13"/>
  <c r="AJ57" i="13"/>
  <c r="AR66" i="13"/>
  <c r="AP68" i="13"/>
  <c r="AR97" i="13"/>
  <c r="AP177" i="13"/>
  <c r="AR77" i="13"/>
  <c r="AP186" i="13"/>
  <c r="AN141" i="13"/>
  <c r="AR132" i="13"/>
  <c r="AJ29" i="13"/>
  <c r="AJ133" i="13"/>
  <c r="AL200" i="13"/>
  <c r="AP25" i="13"/>
  <c r="AP195" i="13"/>
  <c r="AJ202" i="13"/>
  <c r="AP140" i="13"/>
  <c r="AR130" i="13"/>
  <c r="AL198" i="13"/>
  <c r="AP128" i="13"/>
  <c r="AN190" i="13"/>
  <c r="AN136" i="13"/>
  <c r="AP49" i="13"/>
  <c r="AL147" i="13"/>
  <c r="AN144" i="13"/>
  <c r="AN148" i="13"/>
  <c r="AR142" i="13"/>
  <c r="AP116" i="13"/>
  <c r="AJ50" i="13"/>
  <c r="AJ175" i="13"/>
  <c r="AN50" i="13"/>
  <c r="AJ134" i="13"/>
  <c r="AR175" i="13"/>
  <c r="AJ109" i="13"/>
  <c r="AP22" i="13"/>
  <c r="AR192" i="13"/>
  <c r="AL172" i="13"/>
  <c r="AL191" i="13"/>
  <c r="AP71" i="13"/>
  <c r="AL53" i="13"/>
  <c r="AN33" i="13"/>
  <c r="AN38" i="13"/>
  <c r="AN51" i="13"/>
  <c r="AR56" i="13"/>
  <c r="AJ56" i="13"/>
  <c r="AP56" i="13"/>
  <c r="AP66" i="13"/>
  <c r="AJ68" i="13"/>
  <c r="AR68" i="13"/>
  <c r="AN68" i="13"/>
  <c r="AL69" i="13"/>
  <c r="AJ97" i="13"/>
  <c r="AP97" i="13"/>
  <c r="AP101" i="13"/>
  <c r="AN102" i="13"/>
  <c r="AL177" i="13"/>
  <c r="AP77" i="13"/>
  <c r="AN194" i="13"/>
  <c r="AN37" i="13"/>
  <c r="AL186" i="13"/>
  <c r="AP132" i="13"/>
  <c r="AR29" i="13"/>
  <c r="AL197" i="13"/>
  <c r="AP153" i="13"/>
  <c r="AP133" i="13"/>
  <c r="AJ200" i="13"/>
  <c r="AN25" i="13"/>
  <c r="AJ137" i="13"/>
  <c r="AN137" i="13"/>
  <c r="AJ149" i="13"/>
  <c r="AR149" i="13"/>
  <c r="AP53" i="13"/>
  <c r="AN195" i="13"/>
  <c r="AJ152" i="13"/>
  <c r="AP152" i="13"/>
  <c r="AL202" i="13"/>
  <c r="AR202" i="13"/>
  <c r="AL140" i="13"/>
  <c r="AJ65" i="13"/>
  <c r="AL65" i="13"/>
  <c r="AL130" i="13"/>
  <c r="AN130" i="13"/>
  <c r="AJ64" i="13"/>
  <c r="AR64" i="13"/>
  <c r="AJ198" i="13"/>
  <c r="AN128" i="13"/>
  <c r="AR190" i="13"/>
  <c r="AJ136" i="13"/>
  <c r="AR136" i="13"/>
  <c r="AL49" i="13"/>
  <c r="AR125" i="13"/>
  <c r="AN125" i="13"/>
  <c r="AL135" i="13"/>
  <c r="AN147" i="13"/>
  <c r="AR89" i="13"/>
  <c r="AL60" i="13"/>
  <c r="AP147" i="13"/>
  <c r="AP205" i="13"/>
  <c r="AL88" i="13"/>
  <c r="AN60" i="13"/>
  <c r="AR203" i="13"/>
  <c r="AN205" i="13"/>
  <c r="AJ144" i="13"/>
  <c r="AJ88" i="13"/>
  <c r="AL168" i="13"/>
  <c r="AP179" i="13"/>
  <c r="AR88" i="13"/>
  <c r="AJ120" i="13"/>
  <c r="AR179" i="13"/>
  <c r="AJ59" i="13"/>
  <c r="AL142" i="13"/>
  <c r="AL71" i="13"/>
  <c r="AN143" i="13"/>
  <c r="AL104" i="13"/>
  <c r="AP50" i="13"/>
  <c r="AJ93" i="13"/>
  <c r="AN134" i="13"/>
  <c r="AJ192" i="13"/>
  <c r="AP113" i="13"/>
  <c r="AN83" i="13"/>
  <c r="AJ172" i="13"/>
  <c r="AR172" i="13"/>
  <c r="AL22" i="13"/>
  <c r="AR22" i="13"/>
  <c r="AL192" i="13"/>
  <c r="AR83" i="13"/>
  <c r="AR60" i="13"/>
  <c r="AN203" i="13"/>
  <c r="AN191" i="13"/>
  <c r="AL42" i="13"/>
  <c r="AP166" i="13"/>
  <c r="AN42" i="13"/>
  <c r="AL166" i="13"/>
  <c r="AR166" i="13"/>
  <c r="AN13" i="13"/>
  <c r="AJ13" i="13"/>
  <c r="AJ145" i="13"/>
  <c r="AL145" i="13"/>
  <c r="AP145" i="13"/>
  <c r="AZ12" i="13"/>
  <c r="AV12" i="13"/>
  <c r="P22" i="13"/>
  <c r="BB12" i="13"/>
  <c r="AX12" i="13"/>
  <c r="P145" i="13"/>
  <c r="P196" i="13"/>
  <c r="P153" i="13"/>
  <c r="P80" i="13"/>
  <c r="P29" i="13"/>
  <c r="P110" i="13"/>
  <c r="P90" i="13"/>
  <c r="P94" i="13"/>
  <c r="P182" i="13"/>
  <c r="P106" i="13"/>
  <c r="P102" i="13"/>
  <c r="P59" i="13"/>
  <c r="AD204" i="13"/>
  <c r="P19" i="13"/>
  <c r="P99" i="13"/>
  <c r="P127" i="13"/>
  <c r="AN204" i="13"/>
  <c r="AR204" i="13"/>
  <c r="P82" i="13"/>
  <c r="P83" i="13"/>
  <c r="P218" i="13"/>
  <c r="P193" i="13"/>
  <c r="P17" i="13"/>
  <c r="P16" i="13"/>
  <c r="AD216" i="13"/>
  <c r="P55" i="13"/>
  <c r="P51" i="13"/>
  <c r="P157" i="13"/>
  <c r="P58" i="13"/>
  <c r="P88" i="13"/>
  <c r="P112" i="13"/>
  <c r="P114" i="13"/>
  <c r="P169" i="13"/>
  <c r="P50" i="13"/>
  <c r="V204" i="13"/>
  <c r="R204" i="13"/>
  <c r="AP204" i="13"/>
  <c r="AL204" i="13"/>
  <c r="P204" i="13"/>
  <c r="X204" i="13"/>
  <c r="P62" i="13"/>
  <c r="AN240" i="13"/>
  <c r="AN253" i="13"/>
  <c r="Z255" i="13"/>
  <c r="P124" i="13"/>
  <c r="P70" i="13"/>
  <c r="P49" i="13"/>
  <c r="P129" i="13"/>
  <c r="P247" i="13"/>
  <c r="P232" i="13"/>
  <c r="AH206" i="13"/>
  <c r="P208" i="13"/>
  <c r="AJ213" i="13"/>
  <c r="P197" i="13"/>
  <c r="P175" i="13"/>
  <c r="P115" i="13"/>
  <c r="P184" i="13"/>
  <c r="P30" i="13"/>
  <c r="P131" i="13"/>
  <c r="P89" i="13"/>
  <c r="P108" i="13"/>
  <c r="P132" i="13"/>
  <c r="P171" i="13"/>
  <c r="P117" i="13"/>
  <c r="P87" i="13"/>
  <c r="P67" i="13"/>
  <c r="P53" i="13"/>
  <c r="P37" i="13"/>
  <c r="AR243" i="13"/>
  <c r="P215" i="13"/>
  <c r="P57" i="13"/>
  <c r="P105" i="13"/>
  <c r="P31" i="13"/>
  <c r="P211" i="13"/>
  <c r="P224" i="13"/>
  <c r="Z217" i="13"/>
  <c r="P77" i="13"/>
  <c r="P35" i="13"/>
  <c r="P172" i="13"/>
  <c r="P24" i="13"/>
  <c r="P97" i="13"/>
  <c r="P160" i="13"/>
  <c r="P104" i="13"/>
  <c r="P191" i="13"/>
  <c r="P161" i="13"/>
  <c r="P133" i="13"/>
  <c r="P121" i="13"/>
  <c r="P75" i="13"/>
  <c r="P63" i="13"/>
  <c r="P234" i="13"/>
  <c r="P98" i="13"/>
  <c r="P126" i="13"/>
  <c r="P71" i="13"/>
  <c r="P14" i="13"/>
  <c r="P109" i="13"/>
  <c r="P155" i="13"/>
  <c r="AD254" i="13"/>
  <c r="AR254" i="13"/>
  <c r="P254" i="13"/>
  <c r="AJ250" i="13"/>
  <c r="AN250" i="13"/>
  <c r="Z254" i="13"/>
  <c r="P140" i="13"/>
  <c r="P168" i="13"/>
  <c r="AB254" i="13"/>
  <c r="P56" i="13"/>
  <c r="P147" i="13"/>
  <c r="P174" i="13"/>
  <c r="P134" i="13"/>
  <c r="AR189" i="13"/>
  <c r="P135" i="13"/>
  <c r="P195" i="13"/>
  <c r="P156" i="13"/>
  <c r="P26" i="13"/>
  <c r="AN189" i="13"/>
  <c r="P138" i="13"/>
  <c r="P150" i="13"/>
  <c r="P245" i="13"/>
  <c r="P176" i="13"/>
  <c r="P119" i="13"/>
  <c r="P246" i="13"/>
  <c r="P65" i="13"/>
  <c r="X228" i="13"/>
  <c r="V206" i="13"/>
  <c r="AD206" i="13"/>
  <c r="V202" i="13"/>
  <c r="AR221" i="13"/>
  <c r="P180" i="13"/>
  <c r="P225" i="13"/>
  <c r="P159" i="13"/>
  <c r="P69" i="13"/>
  <c r="P242" i="13"/>
  <c r="AH236" i="13"/>
  <c r="P137" i="13"/>
  <c r="P186" i="13"/>
  <c r="P152" i="13"/>
  <c r="P96" i="13"/>
  <c r="P183" i="13"/>
  <c r="P170" i="13"/>
  <c r="P32" i="13"/>
  <c r="AN259" i="13"/>
  <c r="P185" i="13"/>
  <c r="P151" i="13"/>
  <c r="P125" i="13"/>
  <c r="AB243" i="13"/>
  <c r="AD243" i="13"/>
  <c r="P233" i="13"/>
  <c r="P235" i="13"/>
  <c r="AN239" i="13"/>
  <c r="AL239" i="13"/>
  <c r="P210" i="13"/>
  <c r="AR210" i="13"/>
  <c r="X210" i="13"/>
  <c r="V219" i="13"/>
  <c r="P219" i="13"/>
  <c r="V222" i="13"/>
  <c r="AJ222" i="13"/>
  <c r="AH248" i="13"/>
  <c r="AL248" i="13"/>
  <c r="V251" i="13"/>
  <c r="AJ251" i="13"/>
  <c r="P158" i="13"/>
  <c r="P116" i="13"/>
  <c r="R244" i="13"/>
  <c r="AD244" i="13"/>
  <c r="AR244" i="13"/>
  <c r="P198" i="13"/>
  <c r="P146" i="13"/>
  <c r="P143" i="13"/>
  <c r="P41" i="13"/>
  <c r="Z227" i="13"/>
  <c r="Z229" i="13"/>
  <c r="AF229" i="13"/>
  <c r="Z238" i="13"/>
  <c r="R207" i="13"/>
  <c r="AP207" i="13"/>
  <c r="P214" i="13"/>
  <c r="P164" i="13"/>
  <c r="AP217" i="13"/>
  <c r="AN252" i="13"/>
  <c r="AB252" i="13"/>
  <c r="P181" i="13"/>
  <c r="P123" i="13"/>
  <c r="P256" i="13"/>
  <c r="X231" i="13"/>
  <c r="P188" i="13"/>
  <c r="P73" i="13"/>
  <c r="P162" i="13"/>
  <c r="P128" i="13"/>
  <c r="P38" i="13"/>
  <c r="P139" i="13"/>
  <c r="P190" i="13"/>
  <c r="P120" i="13"/>
  <c r="P66" i="13"/>
  <c r="P136" i="13"/>
  <c r="P28" i="13"/>
  <c r="P179" i="13"/>
  <c r="P113" i="13"/>
  <c r="P43" i="13"/>
  <c r="P33" i="13"/>
  <c r="R241" i="13"/>
  <c r="V230" i="13"/>
  <c r="X230" i="13"/>
  <c r="AD200" i="13"/>
  <c r="P212" i="13"/>
  <c r="AB212" i="13"/>
  <c r="R223" i="13"/>
  <c r="AP223" i="13"/>
  <c r="Z220" i="13"/>
  <c r="R220" i="13"/>
  <c r="P226" i="13"/>
  <c r="X226" i="13"/>
  <c r="P249" i="13"/>
  <c r="P64" i="13"/>
  <c r="P154" i="13"/>
  <c r="P93" i="13"/>
  <c r="P78" i="13"/>
  <c r="P46" i="13"/>
  <c r="P47" i="13"/>
  <c r="P34" i="13"/>
  <c r="P107" i="13"/>
  <c r="AJ254" i="13"/>
  <c r="AB250" i="13"/>
  <c r="P177" i="13"/>
  <c r="AP254" i="13"/>
  <c r="Z250" i="13"/>
  <c r="P118" i="13"/>
  <c r="P101" i="13"/>
  <c r="P79" i="13"/>
  <c r="P74" i="13"/>
  <c r="P189" i="13"/>
  <c r="P48" i="13"/>
  <c r="P148" i="13"/>
  <c r="P44" i="13"/>
  <c r="AN254" i="13"/>
  <c r="P250" i="13"/>
  <c r="F100" i="20" l="1"/>
  <c r="P103" i="13"/>
  <c r="F83" i="20"/>
  <c r="P86" i="13"/>
  <c r="P45" i="13"/>
  <c r="F42" i="20"/>
  <c r="F127" i="20"/>
  <c r="P122" i="13"/>
  <c r="P27" i="13"/>
  <c r="AZ84" i="13"/>
  <c r="P163" i="13"/>
  <c r="P187" i="13"/>
  <c r="P178" i="13"/>
  <c r="P76" i="13"/>
  <c r="P209" i="13"/>
  <c r="P72" i="13"/>
  <c r="E20" i="5"/>
  <c r="P100" i="13"/>
  <c r="P84" i="13"/>
  <c r="E21" i="5"/>
  <c r="F37" i="20"/>
  <c r="P40" i="13"/>
  <c r="P95" i="13"/>
  <c r="F92" i="20"/>
  <c r="P85" i="13"/>
  <c r="F82" i="20"/>
  <c r="AX37" i="13"/>
  <c r="AX61" i="13"/>
  <c r="P36" i="13"/>
  <c r="R17" i="13"/>
  <c r="F58" i="20"/>
  <c r="P61" i="13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T54" i="14"/>
  <c r="T127" i="14"/>
  <c r="T102" i="14"/>
  <c r="T107" i="14"/>
  <c r="T169" i="14"/>
  <c r="T128" i="14"/>
  <c r="T47" i="14"/>
  <c r="T154" i="14"/>
  <c r="T18" i="14"/>
  <c r="T94" i="14"/>
  <c r="T19" i="14"/>
  <c r="T148" i="14"/>
  <c r="T176" i="14"/>
  <c r="T164" i="14"/>
  <c r="T92" i="14"/>
  <c r="T129" i="14"/>
  <c r="T24" i="14"/>
  <c r="T86" i="14"/>
  <c r="T73" i="14"/>
  <c r="T72" i="14"/>
  <c r="T147" i="14"/>
  <c r="T151" i="14"/>
  <c r="T160" i="14"/>
  <c r="T191" i="14"/>
  <c r="T75" i="14"/>
  <c r="T36" i="14"/>
  <c r="T175" i="14"/>
  <c r="T125" i="14"/>
  <c r="T196" i="14"/>
  <c r="T50" i="14"/>
  <c r="T150" i="14"/>
  <c r="T157" i="14"/>
  <c r="T84" i="14"/>
  <c r="T149" i="14"/>
  <c r="T76" i="14"/>
  <c r="T111" i="14"/>
  <c r="T239" i="14"/>
  <c r="T220" i="14"/>
  <c r="T234" i="14"/>
  <c r="T38" i="14"/>
  <c r="T35" i="14"/>
  <c r="T219" i="14"/>
  <c r="D208" i="14"/>
  <c r="A208" i="14"/>
  <c r="D199" i="14"/>
  <c r="A199" i="14"/>
  <c r="D181" i="14"/>
  <c r="A181" i="14"/>
  <c r="D8" i="14"/>
  <c r="A8" i="14"/>
  <c r="D221" i="14"/>
  <c r="A221" i="14"/>
  <c r="D222" i="14"/>
  <c r="A222" i="14"/>
  <c r="D163" i="14"/>
  <c r="A163" i="14"/>
  <c r="D162" i="14"/>
  <c r="A162" i="14"/>
  <c r="A156" i="14"/>
  <c r="D156" i="14"/>
  <c r="A91" i="14"/>
  <c r="D91" i="14"/>
  <c r="D14" i="14"/>
  <c r="A14" i="14"/>
  <c r="D215" i="14"/>
  <c r="A215" i="14"/>
  <c r="D10" i="14"/>
  <c r="A10" i="14"/>
  <c r="D171" i="14"/>
  <c r="A171" i="14"/>
  <c r="D58" i="14"/>
  <c r="A58" i="14"/>
  <c r="D12" i="14"/>
  <c r="A12" i="14"/>
  <c r="D39" i="14"/>
  <c r="A39" i="14"/>
  <c r="T124" i="14"/>
  <c r="T170" i="14"/>
  <c r="T136" i="14"/>
  <c r="T67" i="14"/>
  <c r="T165" i="14"/>
  <c r="T62" i="14"/>
  <c r="T112" i="14"/>
  <c r="T122" i="14"/>
  <c r="T190" i="14"/>
  <c r="T60" i="14"/>
  <c r="T174" i="14"/>
  <c r="T135" i="14"/>
  <c r="T137" i="14"/>
  <c r="T45" i="14"/>
  <c r="T184" i="14"/>
  <c r="T97" i="14"/>
  <c r="T33" i="14"/>
  <c r="T183" i="14"/>
  <c r="T197" i="14"/>
  <c r="T110" i="14"/>
  <c r="T167" i="14"/>
  <c r="T104" i="14"/>
  <c r="T43" i="14"/>
  <c r="T93" i="14"/>
  <c r="T192" i="14"/>
  <c r="T145" i="14"/>
  <c r="T28" i="14"/>
  <c r="T63" i="14"/>
  <c r="T153" i="14"/>
  <c r="T87" i="14"/>
  <c r="T21" i="14"/>
  <c r="T119" i="14"/>
  <c r="T134" i="14"/>
  <c r="T152" i="14"/>
  <c r="T177" i="14"/>
  <c r="T198" i="14"/>
  <c r="T15" i="14"/>
  <c r="T195" i="14"/>
  <c r="A224" i="14"/>
  <c r="D224" i="14"/>
  <c r="D228" i="14"/>
  <c r="A228" i="14"/>
  <c r="D232" i="14"/>
  <c r="A232" i="14"/>
  <c r="A118" i="14"/>
  <c r="D118" i="14"/>
  <c r="D226" i="14"/>
  <c r="A226" i="14"/>
  <c r="D209" i="14"/>
  <c r="A209" i="14"/>
  <c r="D9" i="14"/>
  <c r="A9" i="14"/>
  <c r="D31" i="14"/>
  <c r="A31" i="14"/>
  <c r="D89" i="14"/>
  <c r="A89" i="14"/>
  <c r="D17" i="14"/>
  <c r="A17" i="14"/>
  <c r="D213" i="14"/>
  <c r="A213" i="14"/>
  <c r="D207" i="14"/>
  <c r="A207" i="14"/>
  <c r="D172" i="14"/>
  <c r="A172" i="14"/>
  <c r="D212" i="14"/>
  <c r="A212" i="14"/>
  <c r="D187" i="14"/>
  <c r="A187" i="14"/>
  <c r="D188" i="14"/>
  <c r="A188" i="14"/>
  <c r="D231" i="14"/>
  <c r="A231" i="14"/>
  <c r="A203" i="14"/>
  <c r="D203" i="14"/>
  <c r="D217" i="14"/>
  <c r="A217" i="14"/>
  <c r="T7" i="14"/>
  <c r="T27" i="14"/>
  <c r="T85" i="14"/>
  <c r="T123" i="14"/>
  <c r="T70" i="14"/>
  <c r="T90" i="14"/>
  <c r="T179" i="14"/>
  <c r="T69" i="14"/>
  <c r="T193" i="14"/>
  <c r="T194" i="14"/>
  <c r="T117" i="14"/>
  <c r="T29" i="14"/>
  <c r="T143" i="14"/>
  <c r="T61" i="14"/>
  <c r="T139" i="14"/>
  <c r="T141" i="14"/>
  <c r="T25" i="14"/>
  <c r="T121" i="14"/>
  <c r="T46" i="14"/>
  <c r="T99" i="14"/>
  <c r="T20" i="14"/>
  <c r="T186" i="14"/>
  <c r="T158" i="14"/>
  <c r="T130" i="14"/>
  <c r="T103" i="14"/>
  <c r="T132" i="14"/>
  <c r="T53" i="14"/>
  <c r="T100" i="14"/>
  <c r="T23" i="14"/>
  <c r="T114" i="14"/>
  <c r="T40" i="14"/>
  <c r="T126" i="14"/>
  <c r="T161" i="14"/>
  <c r="T120" i="14"/>
  <c r="T71" i="14"/>
  <c r="T115" i="14"/>
  <c r="T82" i="14"/>
  <c r="T229" i="14"/>
  <c r="T235" i="14"/>
  <c r="T59" i="14"/>
  <c r="A11" i="14"/>
  <c r="D11" i="14"/>
  <c r="D81" i="14"/>
  <c r="A81" i="14"/>
  <c r="A80" i="14"/>
  <c r="D80" i="14"/>
  <c r="D214" i="14"/>
  <c r="A214" i="14"/>
  <c r="D205" i="14"/>
  <c r="A205" i="14"/>
  <c r="D101" i="14"/>
  <c r="A101" i="14"/>
  <c r="D223" i="14"/>
  <c r="A223" i="14"/>
  <c r="D227" i="14"/>
  <c r="A227" i="14"/>
  <c r="D200" i="14"/>
  <c r="A200" i="14"/>
  <c r="A210" i="14"/>
  <c r="D210" i="14"/>
  <c r="D140" i="14"/>
  <c r="A140" i="14"/>
  <c r="D225" i="14"/>
  <c r="A225" i="14"/>
  <c r="A218" i="14"/>
  <c r="D218" i="14"/>
  <c r="A206" i="14"/>
  <c r="D206" i="14"/>
  <c r="D55" i="14"/>
  <c r="A55" i="14"/>
  <c r="D216" i="14"/>
  <c r="A216" i="14"/>
  <c r="D83" i="14"/>
  <c r="A83" i="14"/>
  <c r="T42" i="14"/>
  <c r="T168" i="14"/>
  <c r="T159" i="14"/>
  <c r="T65" i="14"/>
  <c r="T77" i="14"/>
  <c r="T16" i="14"/>
  <c r="T173" i="14"/>
  <c r="T32" i="14"/>
  <c r="T185" i="14"/>
  <c r="T74" i="14"/>
  <c r="T44" i="14"/>
  <c r="T109" i="14"/>
  <c r="T105" i="14"/>
  <c r="T180" i="14"/>
  <c r="T98" i="14"/>
  <c r="T189" i="14"/>
  <c r="T52" i="14"/>
  <c r="T138" i="14"/>
  <c r="T106" i="14"/>
  <c r="T201" i="14"/>
  <c r="T166" i="14"/>
  <c r="T56" i="14"/>
  <c r="T131" i="14"/>
  <c r="T95" i="14"/>
  <c r="T26" i="14"/>
  <c r="T68" i="14"/>
  <c r="T49" i="14"/>
  <c r="T146" i="14"/>
  <c r="T144" i="14"/>
  <c r="T142" i="14"/>
  <c r="T88" i="14"/>
  <c r="T48" i="14"/>
  <c r="T178" i="14"/>
  <c r="T133" i="14"/>
  <c r="T64" i="14"/>
  <c r="T66" i="14"/>
  <c r="T155" i="14"/>
  <c r="T78" i="14"/>
  <c r="T204" i="14"/>
  <c r="T57" i="14"/>
  <c r="T211" i="14"/>
  <c r="D202" i="14"/>
  <c r="A202" i="14"/>
  <c r="D37" i="14"/>
  <c r="A37" i="14"/>
  <c r="D113" i="14"/>
  <c r="A113" i="14"/>
  <c r="D237" i="14"/>
  <c r="A237" i="14"/>
  <c r="D236" i="14"/>
  <c r="A236" i="14"/>
  <c r="A233" i="14"/>
  <c r="D233" i="14"/>
  <c r="D230" i="14"/>
  <c r="A230" i="14"/>
  <c r="D238" i="14"/>
  <c r="A238" i="14"/>
  <c r="D34" i="14"/>
  <c r="A34" i="14"/>
  <c r="D240" i="14"/>
  <c r="A240" i="14"/>
  <c r="D182" i="14"/>
  <c r="A182" i="14"/>
  <c r="D116" i="14"/>
  <c r="A116" i="14"/>
  <c r="D41" i="14"/>
  <c r="A41" i="14"/>
  <c r="D108" i="14"/>
  <c r="A108" i="14"/>
  <c r="A96" i="14"/>
  <c r="D96" i="14"/>
  <c r="D30" i="14"/>
  <c r="A30" i="14"/>
  <c r="A79" i="14"/>
  <c r="D79" i="14"/>
  <c r="D22" i="14"/>
  <c r="A22" i="14"/>
  <c r="D13" i="14"/>
  <c r="A13" i="14"/>
  <c r="E19" i="5"/>
  <c r="AV10" i="13"/>
  <c r="E22" i="5"/>
  <c r="BB10" i="13"/>
  <c r="F14" i="6"/>
  <c r="AZ10" i="13" l="1"/>
  <c r="AX10" i="13"/>
  <c r="F17" i="20"/>
  <c r="P20" i="13"/>
  <c r="A17" i="20"/>
  <c r="F15" i="20"/>
  <c r="P18" i="13"/>
  <c r="P15" i="13"/>
  <c r="F12" i="20"/>
  <c r="A77" i="20"/>
  <c r="A118" i="20"/>
  <c r="A21" i="20"/>
  <c r="A169" i="20"/>
  <c r="A80" i="20"/>
  <c r="A32" i="20"/>
  <c r="A37" i="20"/>
  <c r="A191" i="20"/>
  <c r="A41" i="20"/>
  <c r="A190" i="20"/>
  <c r="A6" i="14"/>
  <c r="D6" i="14"/>
  <c r="D66" i="14"/>
  <c r="A66" i="14"/>
  <c r="D142" i="14"/>
  <c r="A142" i="14"/>
  <c r="D95" i="14"/>
  <c r="A95" i="14"/>
  <c r="D138" i="14"/>
  <c r="A138" i="14"/>
  <c r="A109" i="14"/>
  <c r="D109" i="14"/>
  <c r="D16" i="14"/>
  <c r="A16" i="14"/>
  <c r="D71" i="14"/>
  <c r="A71" i="14"/>
  <c r="A23" i="14"/>
  <c r="D23" i="14"/>
  <c r="D158" i="14"/>
  <c r="A158" i="14"/>
  <c r="D25" i="14"/>
  <c r="A25" i="14"/>
  <c r="D117" i="14"/>
  <c r="A117" i="14"/>
  <c r="A70" i="14"/>
  <c r="D70" i="14"/>
  <c r="D195" i="14"/>
  <c r="A195" i="14"/>
  <c r="D119" i="14"/>
  <c r="A119" i="14"/>
  <c r="A145" i="14"/>
  <c r="D145" i="14"/>
  <c r="D110" i="14"/>
  <c r="A110" i="14"/>
  <c r="D45" i="14"/>
  <c r="A45" i="14"/>
  <c r="D122" i="14"/>
  <c r="A122" i="14"/>
  <c r="D170" i="14"/>
  <c r="A170" i="14"/>
  <c r="D35" i="14"/>
  <c r="A35" i="14"/>
  <c r="D234" i="14"/>
  <c r="A234" i="14"/>
  <c r="D239" i="14"/>
  <c r="A239" i="14"/>
  <c r="D76" i="14"/>
  <c r="A76" i="14"/>
  <c r="D84" i="14"/>
  <c r="A84" i="14"/>
  <c r="D150" i="14"/>
  <c r="A150" i="14"/>
  <c r="D196" i="14"/>
  <c r="A196" i="14"/>
  <c r="D175" i="14"/>
  <c r="A175" i="14"/>
  <c r="D75" i="14"/>
  <c r="A75" i="14"/>
  <c r="D160" i="14"/>
  <c r="A160" i="14"/>
  <c r="D147" i="14"/>
  <c r="A147" i="14"/>
  <c r="D73" i="14"/>
  <c r="A73" i="14"/>
  <c r="D24" i="14"/>
  <c r="A24" i="14"/>
  <c r="A92" i="14"/>
  <c r="D92" i="14"/>
  <c r="A176" i="14"/>
  <c r="D176" i="14"/>
  <c r="D19" i="14"/>
  <c r="A19" i="14"/>
  <c r="D18" i="14"/>
  <c r="A18" i="14"/>
  <c r="D47" i="14"/>
  <c r="A47" i="14"/>
  <c r="A169" i="14"/>
  <c r="D169" i="14"/>
  <c r="D102" i="14"/>
  <c r="A102" i="14"/>
  <c r="D54" i="14"/>
  <c r="A54" i="14"/>
  <c r="D57" i="14"/>
  <c r="A57" i="14"/>
  <c r="D133" i="14"/>
  <c r="A133" i="14"/>
  <c r="D146" i="14"/>
  <c r="A146" i="14"/>
  <c r="D56" i="14"/>
  <c r="A56" i="14"/>
  <c r="D189" i="14"/>
  <c r="A189" i="14"/>
  <c r="D74" i="14"/>
  <c r="A74" i="14"/>
  <c r="D65" i="14"/>
  <c r="A65" i="14"/>
  <c r="D235" i="14"/>
  <c r="A235" i="14"/>
  <c r="D161" i="14"/>
  <c r="A161" i="14"/>
  <c r="D53" i="14"/>
  <c r="A53" i="14"/>
  <c r="D20" i="14"/>
  <c r="A20" i="14"/>
  <c r="A139" i="14"/>
  <c r="D139" i="14"/>
  <c r="D179" i="14"/>
  <c r="A179" i="14"/>
  <c r="D85" i="14"/>
  <c r="A85" i="14"/>
  <c r="D198" i="14"/>
  <c r="A198" i="14"/>
  <c r="D63" i="14"/>
  <c r="A63" i="14"/>
  <c r="D93" i="14"/>
  <c r="A93" i="14"/>
  <c r="D97" i="14"/>
  <c r="A97" i="14"/>
  <c r="D135" i="14"/>
  <c r="A135" i="14"/>
  <c r="A67" i="14"/>
  <c r="D67" i="14"/>
  <c r="D204" i="14"/>
  <c r="A204" i="14"/>
  <c r="D155" i="14"/>
  <c r="A155" i="14"/>
  <c r="D64" i="14"/>
  <c r="A64" i="14"/>
  <c r="D178" i="14"/>
  <c r="A178" i="14"/>
  <c r="D88" i="14"/>
  <c r="A88" i="14"/>
  <c r="D144" i="14"/>
  <c r="A144" i="14"/>
  <c r="D49" i="14"/>
  <c r="A49" i="14"/>
  <c r="D26" i="14"/>
  <c r="A26" i="14"/>
  <c r="D131" i="14"/>
  <c r="A131" i="14"/>
  <c r="D166" i="14"/>
  <c r="A166" i="14"/>
  <c r="A106" i="14"/>
  <c r="D106" i="14"/>
  <c r="D52" i="14"/>
  <c r="A52" i="14"/>
  <c r="A98" i="14"/>
  <c r="D98" i="14"/>
  <c r="D105" i="14"/>
  <c r="A105" i="14"/>
  <c r="D44" i="14"/>
  <c r="A44" i="14"/>
  <c r="D185" i="14"/>
  <c r="A185" i="14"/>
  <c r="A173" i="14"/>
  <c r="D173" i="14"/>
  <c r="D77" i="14"/>
  <c r="A77" i="14"/>
  <c r="D159" i="14"/>
  <c r="A159" i="14"/>
  <c r="A42" i="14"/>
  <c r="D42" i="14"/>
  <c r="D59" i="14"/>
  <c r="A59" i="14"/>
  <c r="D229" i="14"/>
  <c r="A229" i="14"/>
  <c r="A115" i="14"/>
  <c r="D115" i="14"/>
  <c r="D120" i="14"/>
  <c r="A120" i="14"/>
  <c r="D126" i="14"/>
  <c r="A126" i="14"/>
  <c r="D114" i="14"/>
  <c r="A114" i="14"/>
  <c r="D100" i="14"/>
  <c r="A100" i="14"/>
  <c r="D132" i="14"/>
  <c r="A132" i="14"/>
  <c r="D130" i="14"/>
  <c r="A130" i="14"/>
  <c r="D186" i="14"/>
  <c r="A186" i="14"/>
  <c r="A99" i="14"/>
  <c r="D99" i="14"/>
  <c r="D121" i="14"/>
  <c r="A121" i="14"/>
  <c r="D141" i="14"/>
  <c r="A141" i="14"/>
  <c r="D61" i="14"/>
  <c r="A61" i="14"/>
  <c r="D29" i="14"/>
  <c r="A29" i="14"/>
  <c r="A194" i="14"/>
  <c r="D194" i="14"/>
  <c r="D69" i="14"/>
  <c r="A69" i="14"/>
  <c r="D90" i="14"/>
  <c r="A90" i="14"/>
  <c r="D123" i="14"/>
  <c r="A123" i="14"/>
  <c r="A27" i="14"/>
  <c r="D27" i="14"/>
  <c r="D15" i="14"/>
  <c r="A15" i="14"/>
  <c r="D177" i="14"/>
  <c r="A177" i="14"/>
  <c r="D134" i="14"/>
  <c r="A134" i="14"/>
  <c r="D21" i="14"/>
  <c r="A21" i="14"/>
  <c r="A153" i="14"/>
  <c r="D153" i="14"/>
  <c r="D28" i="14"/>
  <c r="A28" i="14"/>
  <c r="D192" i="14"/>
  <c r="A192" i="14"/>
  <c r="D43" i="14"/>
  <c r="A43" i="14"/>
  <c r="D167" i="14"/>
  <c r="A167" i="14"/>
  <c r="D197" i="14"/>
  <c r="A197" i="14"/>
  <c r="D33" i="14"/>
  <c r="A33" i="14"/>
  <c r="D184" i="14"/>
  <c r="A184" i="14"/>
  <c r="D137" i="14"/>
  <c r="A137" i="14"/>
  <c r="A174" i="14"/>
  <c r="D174" i="14"/>
  <c r="D190" i="14"/>
  <c r="A190" i="14"/>
  <c r="D112" i="14"/>
  <c r="A112" i="14"/>
  <c r="A165" i="14"/>
  <c r="D165" i="14"/>
  <c r="D136" i="14"/>
  <c r="A136" i="14"/>
  <c r="D124" i="14"/>
  <c r="A124" i="14"/>
  <c r="D219" i="14"/>
  <c r="A219" i="14"/>
  <c r="D38" i="14"/>
  <c r="A38" i="14"/>
  <c r="D220" i="14"/>
  <c r="A220" i="14"/>
  <c r="D111" i="14"/>
  <c r="A111" i="14"/>
  <c r="D149" i="14"/>
  <c r="A149" i="14"/>
  <c r="D157" i="14"/>
  <c r="A157" i="14"/>
  <c r="D50" i="14"/>
  <c r="A50" i="14"/>
  <c r="D125" i="14"/>
  <c r="A125" i="14"/>
  <c r="A36" i="14"/>
  <c r="D36" i="14"/>
  <c r="D191" i="14"/>
  <c r="A191" i="14"/>
  <c r="D151" i="14"/>
  <c r="A151" i="14"/>
  <c r="D72" i="14"/>
  <c r="A72" i="14"/>
  <c r="D86" i="14"/>
  <c r="A86" i="14"/>
  <c r="D129" i="14"/>
  <c r="A129" i="14"/>
  <c r="D164" i="14"/>
  <c r="A164" i="14"/>
  <c r="A148" i="14"/>
  <c r="D148" i="14"/>
  <c r="D94" i="14"/>
  <c r="A94" i="14"/>
  <c r="D154" i="14"/>
  <c r="A154" i="14"/>
  <c r="D128" i="14"/>
  <c r="A128" i="14"/>
  <c r="D107" i="14"/>
  <c r="A107" i="14"/>
  <c r="D127" i="14"/>
  <c r="A127" i="14"/>
  <c r="D51" i="14"/>
  <c r="A51" i="14"/>
  <c r="D78" i="14"/>
  <c r="A78" i="14"/>
  <c r="D48" i="14"/>
  <c r="A48" i="14"/>
  <c r="D68" i="14"/>
  <c r="A68" i="14"/>
  <c r="D201" i="14"/>
  <c r="A201" i="14"/>
  <c r="D180" i="14"/>
  <c r="A180" i="14"/>
  <c r="D32" i="14"/>
  <c r="A32" i="14"/>
  <c r="D168" i="14"/>
  <c r="A168" i="14"/>
  <c r="D82" i="14"/>
  <c r="A82" i="14"/>
  <c r="D40" i="14"/>
  <c r="A40" i="14"/>
  <c r="D103" i="14"/>
  <c r="A103" i="14"/>
  <c r="D46" i="14"/>
  <c r="A46" i="14"/>
  <c r="D143" i="14"/>
  <c r="A143" i="14"/>
  <c r="D193" i="14"/>
  <c r="A193" i="14"/>
  <c r="D7" i="14"/>
  <c r="A7" i="14"/>
  <c r="D152" i="14"/>
  <c r="A152" i="14"/>
  <c r="D87" i="14"/>
  <c r="A87" i="14"/>
  <c r="D104" i="14"/>
  <c r="A104" i="14"/>
  <c r="A183" i="14"/>
  <c r="D183" i="14"/>
  <c r="A60" i="14"/>
  <c r="D60" i="14"/>
  <c r="A62" i="14"/>
  <c r="D62" i="14"/>
  <c r="D211" i="14"/>
  <c r="A211" i="14"/>
  <c r="T6" i="14"/>
  <c r="R12" i="13"/>
  <c r="AP12" i="13"/>
  <c r="AN12" i="13"/>
  <c r="AF12" i="13"/>
  <c r="AJ12" i="13"/>
  <c r="AR12" i="13"/>
  <c r="X12" i="13"/>
  <c r="V12" i="13"/>
  <c r="AH12" i="13"/>
  <c r="AD12" i="13"/>
  <c r="Z12" i="13"/>
  <c r="AL12" i="13"/>
  <c r="AB12" i="13"/>
  <c r="T12" i="13"/>
  <c r="M10" i="13"/>
  <c r="AN10" i="13"/>
  <c r="AR10" i="13"/>
  <c r="AL10" i="13"/>
  <c r="AP10" i="13"/>
  <c r="F10" i="20" l="1"/>
  <c r="P13" i="13"/>
  <c r="A100" i="20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AT31" i="13"/>
  <c r="AT35" i="13"/>
  <c r="AT67" i="13"/>
  <c r="AT71" i="13"/>
  <c r="AT79" i="13"/>
  <c r="AT83" i="13"/>
  <c r="AT91" i="13"/>
  <c r="AT99" i="13"/>
  <c r="AT103" i="13"/>
  <c r="AT111" i="13"/>
  <c r="AT123" i="13"/>
  <c r="AT127" i="13"/>
  <c r="AT135" i="13"/>
  <c r="AT139" i="13"/>
  <c r="AT143" i="13"/>
  <c r="AT147" i="13"/>
  <c r="AT155" i="13"/>
  <c r="AT159" i="13"/>
  <c r="AT163" i="13"/>
  <c r="AT167" i="13"/>
  <c r="AT171" i="13"/>
  <c r="AT175" i="13"/>
  <c r="AT195" i="13"/>
  <c r="AT199" i="13"/>
  <c r="AT203" i="13"/>
  <c r="AT211" i="13"/>
  <c r="AT20" i="13"/>
  <c r="AT24" i="13"/>
  <c r="AT32" i="13"/>
  <c r="AT48" i="13"/>
  <c r="AT64" i="13"/>
  <c r="AT76" i="13"/>
  <c r="AT88" i="13"/>
  <c r="AT92" i="13"/>
  <c r="AT96" i="13"/>
  <c r="AT100" i="13"/>
  <c r="AT104" i="13"/>
  <c r="AT112" i="13"/>
  <c r="AT116" i="13"/>
  <c r="AT120" i="13"/>
  <c r="AT128" i="13"/>
  <c r="AT132" i="13"/>
  <c r="AT144" i="13"/>
  <c r="AT148" i="13"/>
  <c r="AT152" i="13"/>
  <c r="AT160" i="13"/>
  <c r="AT176" i="13"/>
  <c r="AT192" i="13"/>
  <c r="AT196" i="13"/>
  <c r="AT204" i="13"/>
  <c r="AT212" i="13"/>
  <c r="AT220" i="13"/>
  <c r="AT252" i="13"/>
  <c r="AT260" i="13"/>
  <c r="AT13" i="13"/>
  <c r="AT25" i="13"/>
  <c r="AT29" i="13"/>
  <c r="AT33" i="13"/>
  <c r="AT53" i="13"/>
  <c r="AT57" i="13"/>
  <c r="AT69" i="13"/>
  <c r="AT81" i="13"/>
  <c r="AT93" i="13"/>
  <c r="AT101" i="13"/>
  <c r="AT105" i="13"/>
  <c r="AT109" i="13"/>
  <c r="AT113" i="13"/>
  <c r="AT121" i="13"/>
  <c r="AT137" i="13"/>
  <c r="AT153" i="13"/>
  <c r="AT157" i="13"/>
  <c r="AT161" i="13"/>
  <c r="AT173" i="13"/>
  <c r="AT185" i="13"/>
  <c r="AT189" i="13"/>
  <c r="AT197" i="13"/>
  <c r="AT233" i="13"/>
  <c r="AT253" i="13"/>
  <c r="AT14" i="13"/>
  <c r="AT26" i="13"/>
  <c r="AT30" i="13"/>
  <c r="AT34" i="13"/>
  <c r="AT46" i="13"/>
  <c r="AT50" i="13"/>
  <c r="AT54" i="13"/>
  <c r="AT58" i="13"/>
  <c r="AT66" i="13"/>
  <c r="AT74" i="13"/>
  <c r="AT78" i="13"/>
  <c r="AT94" i="13"/>
  <c r="AT98" i="13"/>
  <c r="AT118" i="13"/>
  <c r="AT126" i="13"/>
  <c r="AT142" i="13"/>
  <c r="AT150" i="13"/>
  <c r="AT154" i="13"/>
  <c r="AT158" i="13"/>
  <c r="AT166" i="13"/>
  <c r="AT170" i="13"/>
  <c r="AT178" i="13"/>
  <c r="AT190" i="13"/>
  <c r="AT202" i="13"/>
  <c r="AT214" i="13"/>
  <c r="AT222" i="13"/>
  <c r="AT80" i="13"/>
  <c r="E12" i="5"/>
  <c r="AH10" i="13"/>
  <c r="E13" i="5"/>
  <c r="AJ10" i="13"/>
  <c r="E11" i="5"/>
  <c r="AF10" i="13"/>
  <c r="E10" i="5"/>
  <c r="AD10" i="13"/>
  <c r="E17" i="5"/>
  <c r="E9" i="5"/>
  <c r="AB10" i="13"/>
  <c r="E7" i="5"/>
  <c r="X10" i="13"/>
  <c r="E16" i="5"/>
  <c r="E14" i="5"/>
  <c r="E8" i="5"/>
  <c r="Z10" i="13"/>
  <c r="E15" i="5"/>
  <c r="P25" i="13" l="1"/>
  <c r="F22" i="20"/>
  <c r="A22" i="20"/>
  <c r="P149" i="13"/>
  <c r="F146" i="20"/>
  <c r="A146" i="20"/>
  <c r="T33" i="13"/>
  <c r="V27" i="13"/>
  <c r="C2" i="5"/>
  <c r="R13" i="13"/>
  <c r="AT191" i="13"/>
  <c r="AT149" i="13"/>
  <c r="AT215" i="13"/>
  <c r="AT133" i="13"/>
  <c r="AT39" i="13"/>
  <c r="AT186" i="13"/>
  <c r="AT42" i="13"/>
  <c r="AT181" i="13"/>
  <c r="AT179" i="13"/>
  <c r="AT51" i="13"/>
  <c r="A9" i="20"/>
  <c r="P12" i="13"/>
  <c r="F9" i="20"/>
  <c r="AT44" i="13"/>
  <c r="AT172" i="13"/>
  <c r="AT129" i="13"/>
  <c r="AT156" i="13"/>
  <c r="AT145" i="13"/>
  <c r="AT140" i="13"/>
  <c r="AT182" i="13"/>
  <c r="AT246" i="13"/>
  <c r="AT70" i="13"/>
  <c r="AT38" i="13"/>
  <c r="AT22" i="13"/>
  <c r="AT90" i="13"/>
  <c r="AT134" i="13"/>
  <c r="AT136" i="13"/>
  <c r="AT141" i="13"/>
  <c r="AT184" i="13"/>
  <c r="AT248" i="13"/>
  <c r="AT40" i="13"/>
  <c r="AT62" i="13"/>
  <c r="AT110" i="13"/>
  <c r="AT238" i="13"/>
  <c r="AT12" i="13"/>
  <c r="AT177" i="13"/>
  <c r="AT55" i="13"/>
  <c r="AT165" i="13"/>
  <c r="AT82" i="13"/>
  <c r="AT106" i="13"/>
  <c r="AT183" i="13"/>
  <c r="AT200" i="13"/>
  <c r="AT56" i="13"/>
  <c r="AT77" i="13"/>
  <c r="AT87" i="13"/>
  <c r="AT61" i="13"/>
  <c r="AT43" i="13"/>
  <c r="AT217" i="13"/>
  <c r="AT193" i="13"/>
  <c r="AT117" i="13"/>
  <c r="AT85" i="13"/>
  <c r="AT245" i="13"/>
  <c r="AT68" i="13"/>
  <c r="AT244" i="13"/>
  <c r="AT240" i="13"/>
  <c r="AT210" i="13"/>
  <c r="AT17" i="13"/>
  <c r="AT41" i="13"/>
  <c r="AT227" i="13"/>
  <c r="AT236" i="13"/>
  <c r="AT60" i="13"/>
  <c r="AT59" i="13"/>
  <c r="AT119" i="13"/>
  <c r="AT45" i="13"/>
  <c r="AT235" i="13"/>
  <c r="AT114" i="13"/>
  <c r="AT241" i="13"/>
  <c r="AT15" i="13"/>
  <c r="AT174" i="13"/>
  <c r="AT138" i="13"/>
  <c r="AT254" i="13"/>
  <c r="AT205" i="13"/>
  <c r="AT257" i="13"/>
  <c r="AT16" i="13"/>
  <c r="AT218" i="13"/>
  <c r="AT239" i="13"/>
  <c r="AT52" i="13"/>
  <c r="AT131" i="13"/>
  <c r="AT225" i="13"/>
  <c r="AT206" i="13"/>
  <c r="AT223" i="13"/>
  <c r="AT86" i="13"/>
  <c r="AT213" i="13"/>
  <c r="AT187" i="13"/>
  <c r="AT251" i="13"/>
  <c r="AT73" i="13"/>
  <c r="AT231" i="13"/>
  <c r="AT234" i="13"/>
  <c r="AT84" i="13"/>
  <c r="AT226" i="13"/>
  <c r="AT216" i="13"/>
  <c r="AT208" i="13"/>
  <c r="AT255" i="13"/>
  <c r="AT108" i="13"/>
  <c r="AT115" i="13"/>
  <c r="AT102" i="13"/>
  <c r="AT18" i="13"/>
  <c r="AT258" i="13"/>
  <c r="AT261" i="13"/>
  <c r="AT65" i="13"/>
  <c r="AT37" i="13"/>
  <c r="AT259" i="13"/>
  <c r="AT207" i="13"/>
  <c r="AT180" i="13"/>
  <c r="AT224" i="13"/>
  <c r="AT256" i="13"/>
  <c r="AT194" i="13"/>
  <c r="AT72" i="13"/>
  <c r="AT63" i="13"/>
  <c r="AT146" i="13"/>
  <c r="AT188" i="13"/>
  <c r="AT198" i="13"/>
  <c r="AT209" i="13"/>
  <c r="AT97" i="13"/>
  <c r="AT249" i="13"/>
  <c r="AT36" i="13"/>
  <c r="AT201" i="13"/>
  <c r="AT169" i="13"/>
  <c r="AT219" i="13"/>
  <c r="AT49" i="13"/>
  <c r="AT125" i="13"/>
  <c r="AT89" i="13"/>
  <c r="AT21" i="13"/>
  <c r="AT28" i="13"/>
  <c r="AT107" i="13"/>
  <c r="AT229" i="13"/>
  <c r="AT237" i="13"/>
  <c r="AT232" i="13"/>
  <c r="AT164" i="13"/>
  <c r="AT27" i="13"/>
  <c r="AT168" i="13"/>
  <c r="AT95" i="13"/>
  <c r="AT47" i="13"/>
  <c r="AT124" i="13"/>
  <c r="AT247" i="13"/>
  <c r="AT250" i="13"/>
  <c r="AT130" i="13"/>
  <c r="AT75" i="13"/>
  <c r="AT221" i="13"/>
  <c r="AT228" i="13"/>
  <c r="AT162" i="13"/>
  <c r="AT243" i="13"/>
  <c r="AT23" i="13"/>
  <c r="AT19" i="13"/>
  <c r="AT122" i="13"/>
  <c r="AT151" i="13"/>
  <c r="AT242" i="13"/>
  <c r="AT230" i="13"/>
  <c r="D253" i="20" l="1"/>
  <c r="E5" i="5"/>
  <c r="T10" i="13"/>
  <c r="E6" i="5"/>
  <c r="V10" i="13"/>
  <c r="R10" i="13"/>
  <c r="E4" i="5"/>
  <c r="P10" i="13"/>
  <c r="E18" i="5"/>
  <c r="AT10" i="13"/>
  <c r="E3" i="5" l="1"/>
  <c r="P8" i="13"/>
</calcChain>
</file>

<file path=xl/sharedStrings.xml><?xml version="1.0" encoding="utf-8"?>
<sst xmlns="http://schemas.openxmlformats.org/spreadsheetml/2006/main" count="1953" uniqueCount="760">
  <si>
    <t>AIDE : info@fruitstock.eu</t>
  </si>
  <si>
    <t>ETAPES</t>
  </si>
  <si>
    <t>DESCRIPTION</t>
  </si>
  <si>
    <t>RIB</t>
  </si>
  <si>
    <t>FICHIER DE
COMMANDE</t>
  </si>
  <si>
    <r>
      <t xml:space="preserve">Parution tous les dimanches :
    - Envoi du lien ONEDRIVE par Email au </t>
    </r>
    <r>
      <rPr>
        <b/>
        <sz val="8"/>
        <color theme="9" tint="-0.249977111117893"/>
        <rFont val="Calibri (Corps)"/>
      </rPr>
      <t xml:space="preserve">RESPONSABLE </t>
    </r>
    <r>
      <rPr>
        <sz val="8"/>
        <rFont val="Calibri (Corps)"/>
      </rPr>
      <t>de groupe</t>
    </r>
  </si>
  <si>
    <t>13335</t>
  </si>
  <si>
    <t>00401</t>
  </si>
  <si>
    <t>04937390936</t>
  </si>
  <si>
    <t>32</t>
  </si>
  <si>
    <t>CE AQUITAINE POITOU CHARENTES</t>
  </si>
  <si>
    <t>COMMANDE
(70kg Min)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</si>
  <si>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partage le lien OneDrive aux </t>
    </r>
    <r>
      <rPr>
        <b/>
        <sz val="8"/>
        <color rgb="FF00B050"/>
        <rFont val="Calibri (Corps)"/>
      </rPr>
      <t>ADHÉRENTS</t>
    </r>
  </si>
  <si>
    <t>c/étab</t>
  </si>
  <si>
    <t>c/guichet</t>
  </si>
  <si>
    <t>c/compte</t>
  </si>
  <si>
    <t>c/rice</t>
  </si>
  <si>
    <t>domiciliation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</si>
  <si>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ses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peuvent accéder directement au fichier de commande via le lien OneDrive puis :
    - Créer un compte Microsoft si besoin
    - Se conneter à leur compte Microsoft
    - Cliquer sur le bouton "</t>
    </r>
    <r>
      <rPr>
        <b/>
        <sz val="8"/>
        <color theme="1"/>
        <rFont val="Calibri (Corps)"/>
      </rPr>
      <t>Modifier le Classeur</t>
    </r>
    <r>
      <rPr>
        <sz val="8"/>
        <color theme="1"/>
        <rFont val="Calibri (Corps)"/>
      </rPr>
      <t>"</t>
    </r>
  </si>
  <si>
    <t>IBAN (Idenfiant international de compte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</si>
  <si>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 - Remplit les coordonnées de livraison
    - Remplit les coordonnées du </t>
    </r>
    <r>
      <rPr>
        <b/>
        <sz val="8"/>
        <color theme="9" tint="-0.249977111117893"/>
        <rFont val="Calibri (Corps)"/>
      </rPr>
      <t>RESPONSABLE</t>
    </r>
  </si>
  <si>
    <t>FR76</t>
  </si>
  <si>
    <t>1333</t>
  </si>
  <si>
    <t>5004</t>
  </si>
  <si>
    <t>0104</t>
  </si>
  <si>
    <t>9373</t>
  </si>
  <si>
    <t>9093</t>
  </si>
  <si>
    <t>632</t>
  </si>
  <si>
    <r>
      <rPr>
        <sz val="8"/>
        <rFont val="Calibri (Corps)"/>
      </rPr>
      <t>Chaque</t>
    </r>
    <r>
      <rPr>
        <sz val="8"/>
        <color rgb="FF00B050"/>
        <rFont val="Calibri (Corps)"/>
      </rPr>
      <t xml:space="preserve">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remplit sa colonne "</t>
    </r>
    <r>
      <rPr>
        <b/>
        <sz val="8"/>
        <rFont val="Calibri (Corps)"/>
      </rPr>
      <t>QTÉ</t>
    </r>
    <r>
      <rPr>
        <sz val="8"/>
        <color theme="1"/>
        <rFont val="Calibri (Corps)"/>
      </rPr>
      <t>"</t>
    </r>
  </si>
  <si>
    <t>BIC (Identifiant international de l'établissement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</si>
  <si>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envoie un mail à </t>
    </r>
    <r>
      <rPr>
        <b/>
        <i/>
        <sz val="8"/>
        <color rgb="FFC00000"/>
        <rFont val="Calibri (Corps)"/>
      </rPr>
      <t>cmd@fruitstock.eu</t>
    </r>
    <r>
      <rPr>
        <sz val="8"/>
        <rFont val="Calibri (Corps)"/>
      </rPr>
      <t xml:space="preserve"> avec :
    - Objet : cmd_(DEPT)_(VILLE)</t>
    </r>
    <r>
      <rPr>
        <sz val="8"/>
        <color theme="1"/>
        <rFont val="Calibri (Corps)"/>
      </rPr>
      <t xml:space="preserve">
    - Nom du groupe
    - Lien du fichier OneDrive
    - Nombre de pièces pour Ananas, Melon et Pastèque</t>
    </r>
  </si>
  <si>
    <t>C E P A F R P P 3 3 3</t>
  </si>
  <si>
    <t>FACTURE
-
REGULARISATION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</si>
  <si>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- Reçoit le Bon de Livraison (BL)
   - Reçoit une facture pour chaque personne
   - Partage des factures à chaque </t>
    </r>
    <r>
      <rPr>
        <b/>
        <sz val="8"/>
        <color rgb="FF00B050"/>
        <rFont val="Calibri (Corps)"/>
      </rPr>
      <t>ADHÉRENT</t>
    </r>
  </si>
  <si>
    <t>Intitulé du compte</t>
  </si>
  <si>
    <t>Banque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</si>
  <si>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les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:
    - Paient à réception de la facture (24H)
    - Motif virement :  Reprendre le libellé envoyé avec la facture</t>
    </r>
  </si>
  <si>
    <t>MR FRAIZE ALEXANDRE</t>
  </si>
  <si>
    <t>CAISSE D'EPARGNE</t>
  </si>
  <si>
    <t>LIVRAISON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</si>
  <si>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veillera à :
    - Regarder l'aspect de la palette et prendre des photos si elle te parait abimée ouvrir la palette et accéder aux cartons
    - Regarder l'aspect des fruits/légumes et prendre photos de tout ce qui te semble "abîmé" par le transport ou par le froid
    - Lister l'ensemble de ces dysfonctionnements sur le bordereau de transport
    - Le signer
    - Le photographier et le remettre au transporteur</t>
    </r>
  </si>
  <si>
    <t>SAV</t>
  </si>
  <si>
    <r>
      <t xml:space="preserve">Chaque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du groupe peut remplir son propre fichier SAV :
    - Fichier envoyé systématiquement dans le mail de facture au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
    - Renvoie à</t>
    </r>
    <r>
      <rPr>
        <b/>
        <i/>
        <sz val="8"/>
        <color rgb="FFC00000"/>
        <rFont val="Calibri (Corps)"/>
      </rPr>
      <t xml:space="preserve"> sav@fruitstock.eu</t>
    </r>
    <r>
      <rPr>
        <sz val="8"/>
        <rFont val="Calibri (Corps)"/>
      </rPr>
      <t xml:space="preserve"> avec RIB ou lien Paypal</t>
    </r>
    <r>
      <rPr>
        <sz val="8"/>
        <color theme="1"/>
        <rFont val="Calibri (Corps)"/>
      </rPr>
      <t>.Me</t>
    </r>
  </si>
  <si>
    <t>LEGENDE</t>
  </si>
  <si>
    <t>COULEUR</t>
  </si>
  <si>
    <t>Certifié BIO</t>
  </si>
  <si>
    <t>Non certifié BIO mais équivalent</t>
  </si>
  <si>
    <t>OFFRE</t>
  </si>
  <si>
    <t>Offre promotionnelle</t>
  </si>
  <si>
    <t>❤️</t>
  </si>
  <si>
    <t>Coup de Cœur - Excellente Qualité</t>
  </si>
  <si>
    <t>Commande du
Dimanche au
Mercredi 12h</t>
  </si>
  <si>
    <t>(*) : Obligatoire</t>
  </si>
  <si>
    <r>
      <t xml:space="preserve">Département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</si>
  <si>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AIDE</t>
  </si>
  <si>
    <t>TOTAL
(-10%)</t>
  </si>
  <si>
    <t xml:space="preserve">LIVRAISON
</t>
  </si>
  <si>
    <r>
      <t xml:space="preserve">Prénom NOM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</si>
  <si>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Adresse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</si>
  <si>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RESPONSABLE</t>
  </si>
  <si>
    <r>
      <t xml:space="preserve">Code Postal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</si>
  <si>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Ville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</si>
  <si>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FDP ESTIMÉ</t>
  </si>
  <si>
    <r>
      <t xml:space="preserve">Téléphone 1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</si>
  <si>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Téléphone 2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</si>
  <si>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TOTAL</t>
  </si>
  <si>
    <t>AU KG</t>
  </si>
  <si>
    <r>
      <t xml:space="preserve">Téléphone </t>
    </r>
    <r>
      <rPr>
        <b/>
        <sz val="8"/>
        <rFont val="Arial"/>
        <family val="2"/>
      </rPr>
      <t>(*)</t>
    </r>
    <r>
      <rPr>
        <b/>
        <sz val="8"/>
        <color rgb="FFC00000"/>
        <rFont val="Arial"/>
        <family val="2"/>
      </rPr>
      <t xml:space="preserve"> </t>
    </r>
    <r>
      <rPr>
        <b/>
        <sz val="8"/>
        <color theme="0"/>
        <rFont val="Arial"/>
        <family val="2"/>
      </rPr>
      <t>:</t>
    </r>
  </si>
  <si>
    <t>QTÉ TOTAL</t>
  </si>
  <si>
    <t>PRIX TOTAL</t>
  </si>
  <si>
    <r>
      <t xml:space="preserve">Email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</si>
  <si>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CODE</t>
  </si>
  <si>
    <t>INFO</t>
  </si>
  <si>
    <t>DESIGNATION</t>
  </si>
  <si>
    <t>ORIGINE</t>
  </si>
  <si>
    <t>UNITE</t>
  </si>
  <si>
    <t xml:space="preserve">10kg
(-10%)
</t>
  </si>
  <si>
    <t xml:space="preserve">30kg
(- 20%)
</t>
  </si>
  <si>
    <t xml:space="preserve">60kg
(- 30%)
</t>
  </si>
  <si>
    <t>QTÉ</t>
  </si>
  <si>
    <t>PRIX</t>
  </si>
  <si>
    <t>FDP/kg</t>
  </si>
  <si>
    <t>FDP estimé</t>
  </si>
  <si>
    <t>Total</t>
  </si>
  <si>
    <t>TRIE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</si>
  <si>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</si>
  <si>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</si>
  <si>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</si>
  <si>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</si>
  <si>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</si>
  <si>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</si>
  <si>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</si>
  <si>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</si>
  <si>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</si>
  <si>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</si>
  <si>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</si>
  <si>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</si>
  <si>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</si>
  <si>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</si>
  <si>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</si>
  <si>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</si>
  <si>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</si>
  <si>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</si>
  <si>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</si>
  <si>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</si>
  <si>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</si>
  <si>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</si>
  <si>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</si>
  <si>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</si>
  <si>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</si>
  <si>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</si>
  <si>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</si>
  <si>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</si>
  <si>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</si>
  <si>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</si>
  <si>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</si>
  <si>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</si>
  <si>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</si>
  <si>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</si>
  <si>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</si>
  <si>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</si>
  <si>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</si>
  <si>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</si>
  <si>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</si>
  <si>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</si>
  <si>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</si>
  <si>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</si>
  <si>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</si>
  <si>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</si>
  <si>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</si>
  <si>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</si>
  <si>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</si>
  <si>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</si>
  <si>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</si>
  <si>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</si>
  <si>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</si>
  <si>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</si>
  <si>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</si>
  <si>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</si>
  <si>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</si>
  <si>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</si>
  <si>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</si>
  <si>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</si>
  <si>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</si>
  <si>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</si>
  <si>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</si>
  <si>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</si>
  <si>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</si>
  <si>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</si>
  <si>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</si>
  <si>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</si>
  <si>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</si>
  <si>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</si>
  <si>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</si>
  <si>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</si>
  <si>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</si>
  <si>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</si>
  <si>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</si>
  <si>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</si>
  <si>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</si>
  <si>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</si>
  <si>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</si>
  <si>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</si>
  <si>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</si>
  <si>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</si>
  <si>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</si>
  <si>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</si>
  <si>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</si>
  <si>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</si>
  <si>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</si>
  <si>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</si>
  <si>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</si>
  <si>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</si>
  <si>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</si>
  <si>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</si>
  <si>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</si>
  <si>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</si>
  <si>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</si>
  <si>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</si>
  <si>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</si>
  <si>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</si>
  <si>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</si>
  <si>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</si>
  <si>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</si>
  <si>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</si>
  <si>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</si>
  <si>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</si>
  <si>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</si>
  <si>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</si>
  <si>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</si>
  <si>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</si>
  <si>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</si>
  <si>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</si>
  <si>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</si>
  <si>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</si>
  <si>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</si>
  <si>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</si>
  <si>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</si>
  <si>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</si>
  <si>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</si>
  <si>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</si>
  <si>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</si>
  <si>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</si>
  <si>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</si>
  <si>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</si>
  <si>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</si>
  <si>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</si>
  <si>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</si>
  <si>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</si>
  <si>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</si>
  <si>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</si>
  <si>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</si>
  <si>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</si>
  <si>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</si>
  <si>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</si>
  <si>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</si>
  <si>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</si>
  <si>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</si>
  <si>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</si>
  <si>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</si>
  <si>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</si>
  <si>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</si>
  <si>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</si>
  <si>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</si>
  <si>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</si>
  <si>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</si>
  <si>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</si>
  <si>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</si>
  <si>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</si>
  <si>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</si>
  <si>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</si>
  <si>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</si>
  <si>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</si>
  <si>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</si>
  <si>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</si>
  <si>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</si>
  <si>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</si>
  <si>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</si>
  <si>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</si>
  <si>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</si>
  <si>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</si>
  <si>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</si>
  <si>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</si>
  <si>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</si>
  <si>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</si>
  <si>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</si>
  <si>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</si>
  <si>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</si>
  <si>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</si>
  <si>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</si>
  <si>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</si>
  <si>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</si>
  <si>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</si>
  <si>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</si>
  <si>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</si>
  <si>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</si>
  <si>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</si>
  <si>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</si>
  <si>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</si>
  <si>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</si>
  <si>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</si>
  <si>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</si>
  <si>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</si>
  <si>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</si>
  <si>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</si>
  <si>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</si>
  <si>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</si>
  <si>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</si>
  <si>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</si>
  <si>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</si>
  <si>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</si>
  <si>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</si>
  <si>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</si>
  <si>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</si>
  <si>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</si>
  <si>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</si>
  <si>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</si>
  <si>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</si>
  <si>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</si>
  <si>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</si>
  <si>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</si>
  <si>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</si>
  <si>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</si>
  <si>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</si>
  <si>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</si>
  <si>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</si>
  <si>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</si>
  <si>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</si>
  <si>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</si>
  <si>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</si>
  <si>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</si>
  <si>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</si>
  <si>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</si>
  <si>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</si>
  <si>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</si>
  <si>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</si>
  <si>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</si>
  <si>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</si>
  <si>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</si>
  <si>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</si>
  <si>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</si>
  <si>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</si>
  <si>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</si>
  <si>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</si>
  <si>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</si>
  <si>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</si>
  <si>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</si>
  <si>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</si>
  <si>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</si>
  <si>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</si>
  <si>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</si>
  <si>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</si>
  <si>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</si>
  <si>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</si>
  <si>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</si>
  <si>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</si>
  <si>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</si>
  <si>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</si>
  <si>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</si>
  <si>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</si>
  <si>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</si>
  <si>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</si>
  <si>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</si>
  <si>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</si>
  <si>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</si>
  <si>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</si>
  <si>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</si>
  <si>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</si>
  <si>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</si>
  <si>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</si>
  <si>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</si>
  <si>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</si>
  <si>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</si>
  <si>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</si>
  <si>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</si>
  <si>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</si>
  <si>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</si>
  <si>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</si>
  <si>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</si>
  <si>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</si>
  <si>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</si>
  <si>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</si>
  <si>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</si>
  <si>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</si>
  <si>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</si>
  <si>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</si>
  <si>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</si>
  <si>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</si>
  <si>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</si>
  <si>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</si>
  <si>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</si>
  <si>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</si>
  <si>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</si>
  <si>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</si>
  <si>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</si>
  <si>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</si>
  <si>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</si>
  <si>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</si>
  <si>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</si>
  <si>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</si>
  <si>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</si>
  <si>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</si>
  <si>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</si>
  <si>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</si>
  <si>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</si>
  <si>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</si>
  <si>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</si>
  <si>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</si>
  <si>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</si>
  <si>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</si>
  <si>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</si>
  <si>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</si>
  <si>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</si>
  <si>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</si>
  <si>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</si>
  <si>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</si>
  <si>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</si>
  <si>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</si>
  <si>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</si>
  <si>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</si>
  <si>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</si>
  <si>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</si>
  <si>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</si>
  <si>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</si>
  <si>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</si>
  <si>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</si>
  <si>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</si>
  <si>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</si>
  <si>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</si>
  <si>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</si>
  <si>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</si>
  <si>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</si>
  <si>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</si>
  <si>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</si>
  <si>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</si>
  <si>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</si>
  <si>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</si>
  <si>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</si>
  <si>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</si>
  <si>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</si>
  <si>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</si>
  <si>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</si>
  <si>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</si>
  <si>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</si>
  <si>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</si>
  <si>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</si>
  <si>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</si>
  <si>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</si>
  <si>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</si>
  <si>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</si>
  <si>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</si>
  <si>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</si>
  <si>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</si>
  <si>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</si>
  <si>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</si>
  <si>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</si>
  <si>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</si>
  <si>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</si>
  <si>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</si>
  <si>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</si>
  <si>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</si>
  <si>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</si>
  <si>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</si>
  <si>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</si>
  <si>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</si>
  <si>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</si>
  <si>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</si>
  <si>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</si>
  <si>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</si>
  <si>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</si>
  <si>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</si>
  <si>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</si>
  <si>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</si>
  <si>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</si>
  <si>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</si>
  <si>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</si>
  <si>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</si>
  <si>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</si>
  <si>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</si>
  <si>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</si>
  <si>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</si>
  <si>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</si>
  <si>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</si>
  <si>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</si>
  <si>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</si>
  <si>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</si>
  <si>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</si>
  <si>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</si>
  <si>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</si>
  <si>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</si>
  <si>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</si>
  <si>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</si>
  <si>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</si>
  <si>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</si>
  <si>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</si>
  <si>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</si>
  <si>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</si>
  <si>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</si>
  <si>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</si>
  <si>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</si>
  <si>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</si>
  <si>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</si>
  <si>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</si>
  <si>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</si>
  <si>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</si>
  <si>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</si>
  <si>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</si>
  <si>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</si>
  <si>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</si>
  <si>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</si>
  <si>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</si>
  <si>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</si>
  <si>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</si>
  <si>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</si>
  <si>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</si>
  <si>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</si>
  <si>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</si>
  <si>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</si>
  <si>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</si>
  <si>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</si>
  <si>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</si>
  <si>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</si>
  <si>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</si>
  <si>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</si>
  <si>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</si>
  <si>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</si>
  <si>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</si>
  <si>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</si>
  <si>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</si>
  <si>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</si>
  <si>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</si>
  <si>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</si>
  <si>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</si>
  <si>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</si>
  <si>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</si>
  <si>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</si>
  <si>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</si>
  <si>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</si>
  <si>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</si>
  <si>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</si>
  <si>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</si>
  <si>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</si>
  <si>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</si>
  <si>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</si>
  <si>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</si>
  <si>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</si>
  <si>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</si>
  <si>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</si>
  <si>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</si>
  <si>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</si>
  <si>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</si>
  <si>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</si>
  <si>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</si>
  <si>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</si>
  <si>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PRIX
UNITAIRE
(+ fdp)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</si>
  <si>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</si>
  <si>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</si>
  <si>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</si>
  <si>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</si>
  <si>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</si>
  <si>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</si>
  <si>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</si>
  <si>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</si>
  <si>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</si>
  <si>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</si>
  <si>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</si>
  <si>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</si>
  <si>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</si>
  <si>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</si>
  <si>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</si>
  <si>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</si>
  <si>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</si>
  <si>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</si>
  <si>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</si>
  <si>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</si>
  <si>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</si>
  <si>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</si>
  <si>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</si>
  <si>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</si>
  <si>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</si>
  <si>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</si>
  <si>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</si>
  <si>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</si>
  <si>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</si>
  <si>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</si>
  <si>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</si>
  <si>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</si>
  <si>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</si>
  <si>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</si>
  <si>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</si>
  <si>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</si>
  <si>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</si>
  <si>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</si>
  <si>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</si>
  <si>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</si>
  <si>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</si>
  <si>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</si>
  <si>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</si>
  <si>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</si>
  <si>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</si>
  <si>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</si>
  <si>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</si>
  <si>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</si>
  <si>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</si>
  <si>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</si>
  <si>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</si>
  <si>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</si>
  <si>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</si>
  <si>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</si>
  <si>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</si>
  <si>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</si>
  <si>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</si>
  <si>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</si>
  <si>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</si>
  <si>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</si>
  <si>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</si>
  <si>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</si>
  <si>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</si>
  <si>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</si>
  <si>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</si>
  <si>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</si>
  <si>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</si>
  <si>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</si>
  <si>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</si>
  <si>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</si>
  <si>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</si>
  <si>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</si>
  <si>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</si>
  <si>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</si>
  <si>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</si>
  <si>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</si>
  <si>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</si>
  <si>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</si>
  <si>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</si>
  <si>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</si>
  <si>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</si>
  <si>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</si>
  <si>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</si>
  <si>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</si>
  <si>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</si>
  <si>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</si>
  <si>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</si>
  <si>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</si>
  <si>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</si>
  <si>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</si>
  <si>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</si>
  <si>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</si>
  <si>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</si>
  <si>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</si>
  <si>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</si>
  <si>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</si>
  <si>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</si>
  <si>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</si>
  <si>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</si>
  <si>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</si>
  <si>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</si>
  <si>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</si>
  <si>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</si>
  <si>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</si>
  <si>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</si>
  <si>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</si>
  <si>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</si>
  <si>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</si>
  <si>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</si>
  <si>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</si>
  <si>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</si>
  <si>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</si>
  <si>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</si>
  <si>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</si>
  <si>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</si>
  <si>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</si>
  <si>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</si>
  <si>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</si>
  <si>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</si>
  <si>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</si>
  <si>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</si>
  <si>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</si>
  <si>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</si>
  <si>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</si>
  <si>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</si>
  <si>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</si>
  <si>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</si>
  <si>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</si>
  <si>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</si>
  <si>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</si>
  <si>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</si>
  <si>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</si>
  <si>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</si>
  <si>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</si>
  <si>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</si>
  <si>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</si>
  <si>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</si>
  <si>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</si>
  <si>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</si>
  <si>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</si>
  <si>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</si>
  <si>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</si>
  <si>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</si>
  <si>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</si>
  <si>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</si>
  <si>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</si>
  <si>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</si>
  <si>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</si>
  <si>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</si>
  <si>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</si>
  <si>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</si>
  <si>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</si>
  <si>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</si>
  <si>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</si>
  <si>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</si>
  <si>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</si>
  <si>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</si>
  <si>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</si>
  <si>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</si>
  <si>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</si>
  <si>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</si>
  <si>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</si>
  <si>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</si>
  <si>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</si>
  <si>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</si>
  <si>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</si>
  <si>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</si>
  <si>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</si>
  <si>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</si>
  <si>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</si>
  <si>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</si>
  <si>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</si>
  <si>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</si>
  <si>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</si>
  <si>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</si>
  <si>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</si>
  <si>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</si>
  <si>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</si>
  <si>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</si>
  <si>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COMMANDE - FRUITSTOCK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</si>
  <si>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</si>
  <si>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</si>
  <si>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</si>
  <si>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</si>
  <si>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</si>
  <si>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</si>
  <si>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</si>
  <si>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</si>
  <si>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</si>
  <si>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</si>
  <si>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</si>
  <si>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</si>
  <si>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</si>
  <si>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</si>
  <si>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</si>
  <si>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</si>
  <si>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</si>
  <si>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</si>
  <si>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</si>
  <si>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</si>
  <si>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</si>
  <si>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</si>
  <si>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</si>
  <si>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</si>
  <si>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</si>
  <si>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</si>
  <si>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</si>
  <si>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</si>
  <si>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</si>
  <si>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</si>
  <si>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</si>
  <si>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</si>
  <si>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</si>
  <si>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</si>
  <si>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</si>
  <si>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</si>
  <si>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</si>
  <si>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</si>
  <si>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</si>
  <si>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</si>
  <si>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</si>
  <si>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</si>
  <si>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</si>
  <si>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</si>
  <si>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</si>
  <si>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</si>
  <si>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</si>
  <si>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</si>
  <si>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</si>
  <si>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</si>
  <si>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</si>
  <si>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</si>
  <si>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</si>
  <si>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</si>
  <si>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</si>
  <si>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</si>
  <si>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</si>
  <si>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</si>
  <si>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</si>
  <si>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S44</t>
  </si>
  <si>
    <t>QTE</t>
  </si>
  <si>
    <t>Prénom NOM</t>
  </si>
  <si>
    <t>À REMPLIR</t>
  </si>
  <si>
    <t>BON DE COMMANDE - FRUITSTOCK</t>
  </si>
  <si>
    <t>N° de Commande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</si>
</sst>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6" formatCode="00"/>
  </numFmts>
  <fonts count="8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 (Corps)"/>
    </font>
    <font>
      <b/>
      <sz val="8"/>
      <color indexed="5"/>
      <name val="Calibri (Corps)"/>
    </font>
    <font>
      <b/>
      <sz val="8"/>
      <color theme="0"/>
      <name val="Calibri (Corps)"/>
    </font>
    <font>
      <b/>
      <sz val="8"/>
      <color theme="9" tint="-0.249977111117893"/>
      <name val="Calibri (Corps)"/>
    </font>
    <font>
      <sz val="8"/>
      <name val="Calibri (Corps)"/>
    </font>
    <font>
      <b/>
      <sz val="8"/>
      <color theme="1"/>
      <name val="Calibri (Corps)"/>
    </font>
    <font>
      <b/>
      <sz val="8"/>
      <color rgb="FFFF0000"/>
      <name val="Calibri (Corps)"/>
    </font>
    <font>
      <b/>
      <sz val="8"/>
      <color rgb="FF00B050"/>
      <name val="Calibri (Corps)"/>
    </font>
    <font>
      <b/>
      <sz val="8"/>
      <color indexed="2"/>
      <name val="Calibri (Corps)"/>
    </font>
    <font>
      <sz val="8"/>
      <color rgb="FF00B050"/>
      <name val="Calibri (Corps)"/>
    </font>
    <font>
      <b/>
      <i/>
      <sz val="8"/>
      <color rgb="FFC00000"/>
      <name val="Calibri (Corps)"/>
    </font>
    <font>
      <sz val="8"/>
      <color rgb="FFFF0000"/>
      <name val="Calibri (Corps)"/>
    </font>
    <font>
      <b/>
      <sz val="8"/>
      <name val="Calibri (Corps)"/>
    </font>
    <font>
      <b/>
      <sz val="10"/>
      <color indexed="5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b/>
      <sz val="16"/>
      <color theme="6" tint="0.59999389629810485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b/>
      <i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sz val="18"/>
      <color theme="0"/>
      <name val="Arial"/>
      <family val="2"/>
    </font>
    <font>
      <b/>
      <u/>
      <sz val="10"/>
      <color theme="0"/>
      <name val="Arial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b/>
      <sz val="8"/>
      <color theme="6" tint="-0.249977111117893"/>
      <name val="Calibri (Corps)"/>
    </font>
    <font>
      <b/>
      <sz val="8"/>
      <color theme="3" tint="0.39997558519241921"/>
      <name val="Calibri (Corps)"/>
    </font>
    <font>
      <b/>
      <sz val="10"/>
      <color indexed="5"/>
      <name val="Calibri (Corps)"/>
    </font>
    <font>
      <b/>
      <sz val="16"/>
      <color theme="4"/>
      <name val="Arial"/>
      <family val="2"/>
    </font>
    <font>
      <sz val="8"/>
      <color rgb="FFC00000"/>
      <name val="Arial"/>
      <family val="2"/>
    </font>
    <font>
      <sz val="12"/>
      <color theme="4"/>
      <name val="Arial"/>
      <family val="2"/>
    </font>
    <font>
      <b/>
      <sz val="10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9"/>
      <color theme="6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9"/>
      <color theme="7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ck">
        <color theme="0"/>
      </top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dashed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ashed">
        <color theme="0"/>
      </bottom>
      <diagonal/>
    </border>
    <border>
      <left/>
      <right style="thick">
        <color theme="0"/>
      </right>
      <top style="thick">
        <color theme="0"/>
      </top>
      <bottom style="dashed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/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/>
      <top style="thick">
        <color theme="0"/>
      </top>
      <bottom style="thin">
        <color theme="0" tint="-0.24994659260841701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dashed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dashed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dashed">
        <color theme="0"/>
      </top>
      <bottom style="dashed">
        <color theme="0"/>
      </bottom>
      <diagonal/>
    </border>
    <border>
      <left/>
      <right style="thick">
        <color theme="0"/>
      </right>
      <top style="dashed">
        <color theme="0"/>
      </top>
      <bottom style="dashed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theme="1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ck">
        <color theme="1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</borders>
  <cellStyleXfs count="10">
    <xf numFmtId="0" fontId="0" fillId="0" borderId="0"/>
    <xf numFmtId="44" fontId="3" fillId="0" borderId="0" applyFont="0" applyFill="0" applyBorder="0"/>
    <xf numFmtId="44" fontId="3" fillId="0" borderId="0" applyFont="0" applyFill="0" applyBorder="0"/>
    <xf numFmtId="44" fontId="23" fillId="0" borderId="0" applyFont="0" applyFill="0" applyBorder="0"/>
    <xf numFmtId="0" fontId="23" fillId="0" borderId="0"/>
    <xf numFmtId="0" fontId="50" fillId="0" borderId="0" applyNumberFormat="0" applyFill="0" applyBorder="0" applyAlignment="0" applyProtection="0"/>
    <xf numFmtId="0" fontId="2" fillId="0" borderId="0"/>
    <xf numFmtId="0" fontId="1" fillId="0" borderId="0"/>
    <xf numFmtId="0" fontId="1" fillId="0" borderId="0"/>
    <xf numFmtId="44" fontId="1" fillId="0" borderId="0" applyFont="0" applyFill="0" applyBorder="0"/>
  </cellStyleXfs>
  <cellXfs count="524">
    <xf numFmtId="0" fontId="0" fillId="0" borderId="0" xfId="0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0" fillId="2" borderId="24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0" fillId="2" borderId="26" xfId="0" applyFont="1" applyFill="1" applyBorder="1" applyAlignment="1">
      <alignment vertical="center"/>
    </xf>
    <xf numFmtId="0" fontId="10" fillId="2" borderId="1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2" borderId="42" xfId="0" applyFont="1" applyFill="1" applyBorder="1" applyAlignment="1">
      <alignment vertical="center"/>
    </xf>
    <xf numFmtId="0" fontId="11" fillId="2" borderId="29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6" fontId="12" fillId="0" borderId="0" xfId="0" applyNumberFormat="1" applyFont="1" applyAlignment="1">
      <alignment horizontal="center" vertical="center"/>
    </xf>
    <xf numFmtId="0" fontId="13" fillId="0" borderId="0" xfId="0" applyFont="1"/>
    <xf numFmtId="0" fontId="14" fillId="5" borderId="0" xfId="0" applyFont="1" applyFill="1" applyAlignment="1">
      <alignment horizontal="center" vertical="center"/>
    </xf>
    <xf numFmtId="0" fontId="15" fillId="5" borderId="44" xfId="0" applyFont="1" applyFill="1" applyBorder="1" applyAlignment="1">
      <alignment horizontal="left" vertical="center"/>
    </xf>
    <xf numFmtId="166" fontId="15" fillId="5" borderId="44" xfId="0" applyNumberFormat="1" applyFont="1" applyFill="1" applyBorder="1" applyAlignment="1">
      <alignment horizontal="center" vertical="center"/>
    </xf>
    <xf numFmtId="4" fontId="15" fillId="5" borderId="44" xfId="0" applyNumberFormat="1" applyFont="1" applyFill="1" applyBorder="1" applyAlignment="1">
      <alignment horizontal="center" vertical="center"/>
    </xf>
    <xf numFmtId="4" fontId="15" fillId="5" borderId="4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4" fontId="12" fillId="0" borderId="0" xfId="0" applyNumberFormat="1" applyFont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166" fontId="15" fillId="5" borderId="0" xfId="0" applyNumberFormat="1" applyFont="1" applyFill="1" applyAlignment="1">
      <alignment horizontal="center" vertical="center"/>
    </xf>
    <xf numFmtId="4" fontId="15" fillId="5" borderId="0" xfId="0" applyNumberFormat="1" applyFont="1" applyFill="1" applyAlignment="1">
      <alignment horizontal="center" vertical="center"/>
    </xf>
    <xf numFmtId="0" fontId="12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2" fontId="18" fillId="0" borderId="0" xfId="0" applyNumberFormat="1" applyFont="1" applyAlignment="1">
      <alignment horizontal="center" vertical="center" wrapText="1"/>
    </xf>
    <xf numFmtId="2" fontId="12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0" fillId="0" borderId="0" xfId="0" applyFont="1" applyAlignment="1">
      <alignment vertical="center" wrapText="1"/>
    </xf>
    <xf numFmtId="2" fontId="7" fillId="0" borderId="27" xfId="0" applyNumberFormat="1" applyFont="1" applyBorder="1" applyAlignment="1">
      <alignment horizontal="center" vertical="center" wrapText="1"/>
    </xf>
    <xf numFmtId="2" fontId="20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22" fillId="6" borderId="27" xfId="0" applyFont="1" applyFill="1" applyBorder="1" applyAlignment="1">
      <alignment horizontal="center" vertical="center" wrapText="1"/>
    </xf>
    <xf numFmtId="2" fontId="22" fillId="6" borderId="27" xfId="0" applyNumberFormat="1" applyFont="1" applyFill="1" applyBorder="1" applyAlignment="1">
      <alignment horizontal="center" vertical="center" wrapText="1"/>
    </xf>
    <xf numFmtId="2" fontId="16" fillId="0" borderId="0" xfId="0" applyNumberFormat="1" applyFont="1" applyAlignment="1">
      <alignment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center" vertical="center" wrapText="1"/>
    </xf>
    <xf numFmtId="2" fontId="18" fillId="0" borderId="27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vertical="center" wrapText="1"/>
    </xf>
    <xf numFmtId="2" fontId="21" fillId="0" borderId="0" xfId="0" applyNumberFormat="1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26" fillId="0" borderId="0" xfId="0" applyFont="1" applyAlignment="1"/>
    <xf numFmtId="0" fontId="25" fillId="0" borderId="0" xfId="0" applyFont="1" applyAlignment="1">
      <alignment vertical="center" wrapText="1"/>
    </xf>
    <xf numFmtId="0" fontId="29" fillId="2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" borderId="53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vertical="center"/>
    </xf>
    <xf numFmtId="44" fontId="0" fillId="9" borderId="28" xfId="0" applyNumberFormat="1" applyFill="1" applyBorder="1" applyAlignment="1">
      <alignment horizontal="center" vertical="center"/>
    </xf>
    <xf numFmtId="1" fontId="0" fillId="9" borderId="28" xfId="0" applyNumberFormat="1" applyFill="1" applyBorder="1" applyAlignment="1">
      <alignment horizontal="center" vertical="center"/>
    </xf>
    <xf numFmtId="44" fontId="0" fillId="9" borderId="31" xfId="0" applyNumberFormat="1" applyFill="1" applyBorder="1" applyAlignment="1">
      <alignment vertical="center"/>
    </xf>
    <xf numFmtId="0" fontId="11" fillId="2" borderId="42" xfId="0" applyFont="1" applyFill="1" applyBorder="1" applyAlignment="1">
      <alignment vertical="center"/>
    </xf>
    <xf numFmtId="44" fontId="0" fillId="9" borderId="43" xfId="0" applyNumberFormat="1" applyFill="1" applyBorder="1" applyAlignment="1">
      <alignment horizontal="center" vertical="center"/>
    </xf>
    <xf numFmtId="44" fontId="0" fillId="9" borderId="35" xfId="0" applyNumberFormat="1" applyFill="1" applyBorder="1" applyAlignment="1">
      <alignment horizontal="center" vertical="center"/>
    </xf>
    <xf numFmtId="44" fontId="0" fillId="9" borderId="49" xfId="0" applyNumberFormat="1" applyFill="1" applyBorder="1" applyAlignment="1">
      <alignment horizontal="center" vertical="center"/>
    </xf>
    <xf numFmtId="44" fontId="0" fillId="9" borderId="49" xfId="0" applyNumberFormat="1" applyFill="1" applyBorder="1"/>
    <xf numFmtId="44" fontId="0" fillId="9" borderId="28" xfId="0" applyNumberFormat="1" applyFill="1" applyBorder="1" applyAlignment="1">
      <alignment vertical="center"/>
    </xf>
    <xf numFmtId="44" fontId="0" fillId="9" borderId="43" xfId="0" applyNumberFormat="1" applyFill="1" applyBorder="1" applyAlignment="1">
      <alignment vertical="center"/>
    </xf>
    <xf numFmtId="44" fontId="0" fillId="9" borderId="21" xfId="0" applyNumberFormat="1" applyFill="1" applyBorder="1" applyAlignment="1">
      <alignment vertical="center"/>
    </xf>
    <xf numFmtId="1" fontId="16" fillId="0" borderId="27" xfId="0" applyNumberFormat="1" applyFont="1" applyBorder="1" applyAlignment="1">
      <alignment horizontal="center" vertical="center" wrapText="1"/>
    </xf>
    <xf numFmtId="0" fontId="0" fillId="0" borderId="0" xfId="0" applyFill="1"/>
    <xf numFmtId="0" fontId="22" fillId="6" borderId="32" xfId="0" applyFont="1" applyFill="1" applyBorder="1" applyAlignment="1">
      <alignment horizontal="center" vertical="center" wrapText="1"/>
    </xf>
    <xf numFmtId="0" fontId="24" fillId="4" borderId="53" xfId="0" applyFont="1" applyFill="1" applyBorder="1" applyAlignment="1">
      <alignment horizontal="center" vertical="center" wrapText="1"/>
    </xf>
    <xf numFmtId="0" fontId="32" fillId="0" borderId="49" xfId="0" applyFont="1" applyBorder="1" applyAlignment="1">
      <alignment horizontal="center" vertical="center" wrapText="1"/>
    </xf>
    <xf numFmtId="0" fontId="10" fillId="0" borderId="0" xfId="0" applyFont="1" applyFill="1" applyAlignment="1">
      <alignment horizontal="center" vertical="center"/>
    </xf>
    <xf numFmtId="0" fontId="29" fillId="2" borderId="26" xfId="0" applyFont="1" applyFill="1" applyBorder="1" applyAlignment="1">
      <alignment vertical="center"/>
    </xf>
    <xf numFmtId="1" fontId="0" fillId="9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49" fontId="34" fillId="0" borderId="0" xfId="0" applyNumberFormat="1" applyFont="1"/>
    <xf numFmtId="49" fontId="36" fillId="2" borderId="4" xfId="0" applyNumberFormat="1" applyFont="1" applyFill="1" applyBorder="1" applyAlignment="1">
      <alignment horizontal="center" vertical="center"/>
    </xf>
    <xf numFmtId="49" fontId="34" fillId="0" borderId="63" xfId="0" applyNumberFormat="1" applyFont="1" applyFill="1" applyBorder="1" applyAlignment="1">
      <alignment horizontal="left" vertical="center" wrapText="1"/>
    </xf>
    <xf numFmtId="49" fontId="42" fillId="0" borderId="0" xfId="0" applyNumberFormat="1" applyFont="1" applyFill="1" applyAlignment="1">
      <alignment horizontal="center" vertical="center"/>
    </xf>
    <xf numFmtId="49" fontId="34" fillId="0" borderId="9" xfId="0" applyNumberFormat="1" applyFont="1" applyBorder="1" applyAlignment="1">
      <alignment horizontal="left" vertical="center"/>
    </xf>
    <xf numFmtId="49" fontId="34" fillId="0" borderId="11" xfId="0" applyNumberFormat="1" applyFont="1" applyBorder="1" applyAlignment="1">
      <alignment horizontal="left" vertical="center" wrapText="1"/>
    </xf>
    <xf numFmtId="49" fontId="34" fillId="0" borderId="6" xfId="0" applyNumberFormat="1" applyFont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horizontal="left" vertical="center" wrapText="1"/>
    </xf>
    <xf numFmtId="49" fontId="36" fillId="2" borderId="5" xfId="0" applyNumberFormat="1" applyFont="1" applyFill="1" applyBorder="1" applyAlignment="1">
      <alignment horizontal="center"/>
    </xf>
    <xf numFmtId="49" fontId="34" fillId="3" borderId="12" xfId="0" applyNumberFormat="1" applyFont="1" applyFill="1" applyBorder="1"/>
    <xf numFmtId="49" fontId="34" fillId="0" borderId="7" xfId="0" applyNumberFormat="1" applyFont="1" applyBorder="1"/>
    <xf numFmtId="49" fontId="34" fillId="0" borderId="13" xfId="0" applyNumberFormat="1" applyFont="1" applyBorder="1"/>
    <xf numFmtId="49" fontId="34" fillId="0" borderId="14" xfId="0" applyNumberFormat="1" applyFont="1" applyBorder="1"/>
    <xf numFmtId="49" fontId="40" fillId="0" borderId="13" xfId="0" applyNumberFormat="1" applyFont="1" applyBorder="1" applyAlignment="1">
      <alignment horizontal="center"/>
    </xf>
    <xf numFmtId="49" fontId="45" fillId="0" borderId="15" xfId="0" applyNumberFormat="1" applyFont="1" applyBorder="1" applyAlignment="1">
      <alignment horizontal="center" vertical="center"/>
    </xf>
    <xf numFmtId="49" fontId="34" fillId="0" borderId="11" xfId="0" applyNumberFormat="1" applyFont="1" applyBorder="1"/>
    <xf numFmtId="49" fontId="47" fillId="2" borderId="5" xfId="0" applyNumberFormat="1" applyFont="1" applyFill="1" applyBorder="1" applyAlignment="1">
      <alignment horizontal="center" vertical="center"/>
    </xf>
    <xf numFmtId="49" fontId="47" fillId="2" borderId="5" xfId="0" applyNumberFormat="1" applyFont="1" applyFill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27" xfId="0" applyFont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/>
    </xf>
    <xf numFmtId="49" fontId="10" fillId="2" borderId="3" xfId="0" applyNumberFormat="1" applyFont="1" applyFill="1" applyBorder="1" applyAlignment="1">
      <alignment horizontal="center" vertical="center"/>
    </xf>
    <xf numFmtId="49" fontId="10" fillId="2" borderId="4" xfId="0" applyNumberFormat="1" applyFont="1" applyFill="1" applyBorder="1" applyAlignment="1">
      <alignment horizontal="center" vertical="center"/>
    </xf>
    <xf numFmtId="49" fontId="34" fillId="0" borderId="6" xfId="0" applyNumberFormat="1" applyFont="1" applyFill="1" applyBorder="1" applyAlignment="1">
      <alignment horizontal="left" vertical="center" wrapText="1"/>
    </xf>
    <xf numFmtId="49" fontId="40" fillId="0" borderId="0" xfId="0" applyNumberFormat="1" applyFont="1" applyFill="1" applyAlignment="1">
      <alignment horizontal="center" vertical="center"/>
    </xf>
    <xf numFmtId="49" fontId="34" fillId="0" borderId="7" xfId="0" applyNumberFormat="1" applyFont="1" applyFill="1" applyBorder="1" applyAlignment="1">
      <alignment horizontal="left" vertical="center" wrapText="1"/>
    </xf>
    <xf numFmtId="0" fontId="0" fillId="0" borderId="16" xfId="0" applyBorder="1"/>
    <xf numFmtId="0" fontId="0" fillId="9" borderId="15" xfId="0" applyFill="1" applyBorder="1"/>
    <xf numFmtId="9" fontId="10" fillId="2" borderId="26" xfId="0" applyNumberFormat="1" applyFont="1" applyFill="1" applyBorder="1" applyAlignment="1">
      <alignment horizontal="center" vertical="center"/>
    </xf>
    <xf numFmtId="9" fontId="10" fillId="2" borderId="29" xfId="0" applyNumberFormat="1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0" xfId="0" applyFont="1"/>
    <xf numFmtId="0" fontId="59" fillId="0" borderId="0" xfId="0" applyFont="1" applyAlignment="1">
      <alignment vertical="center"/>
    </xf>
    <xf numFmtId="0" fontId="4" fillId="0" borderId="69" xfId="6" applyFont="1" applyBorder="1" applyAlignment="1" applyProtection="1">
      <alignment horizontal="center" vertical="center"/>
    </xf>
    <xf numFmtId="0" fontId="4" fillId="0" borderId="69" xfId="6" applyFont="1" applyBorder="1" applyAlignment="1" applyProtection="1">
      <alignment vertical="center"/>
    </xf>
    <xf numFmtId="0" fontId="1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4" fontId="6" fillId="11" borderId="73" xfId="6" applyNumberFormat="1" applyFont="1" applyFill="1" applyBorder="1" applyAlignment="1" applyProtection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60" fillId="0" borderId="0" xfId="0" applyFont="1" applyFill="1" applyAlignment="1"/>
    <xf numFmtId="0" fontId="67" fillId="10" borderId="78" xfId="0" applyFont="1" applyFill="1" applyBorder="1" applyAlignment="1">
      <alignment horizontal="center" vertical="center"/>
    </xf>
    <xf numFmtId="0" fontId="67" fillId="10" borderId="78" xfId="0" applyFont="1" applyFill="1" applyBorder="1" applyAlignment="1">
      <alignment horizontal="center" vertical="center" wrapText="1"/>
    </xf>
    <xf numFmtId="2" fontId="67" fillId="10" borderId="78" xfId="0" applyNumberFormat="1" applyFont="1" applyFill="1" applyBorder="1" applyAlignment="1">
      <alignment horizontal="center" vertical="center"/>
    </xf>
    <xf numFmtId="44" fontId="67" fillId="10" borderId="78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9" fontId="26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4" fillId="0" borderId="103" xfId="6" applyFont="1" applyFill="1" applyBorder="1" applyAlignment="1" applyProtection="1">
      <alignment horizontal="center" vertical="center"/>
    </xf>
    <xf numFmtId="0" fontId="4" fillId="0" borderId="103" xfId="6" applyFont="1" applyFill="1" applyBorder="1" applyAlignment="1" applyProtection="1">
      <alignment vertical="center"/>
    </xf>
    <xf numFmtId="0" fontId="54" fillId="0" borderId="103" xfId="6" applyFont="1" applyFill="1" applyBorder="1" applyAlignment="1" applyProtection="1">
      <alignment horizontal="center" vertical="center"/>
    </xf>
    <xf numFmtId="0" fontId="4" fillId="0" borderId="104" xfId="6" applyFont="1" applyFill="1" applyBorder="1" applyAlignment="1" applyProtection="1">
      <alignment horizontal="center" vertical="center"/>
    </xf>
    <xf numFmtId="0" fontId="53" fillId="0" borderId="66" xfId="6" applyFont="1" applyBorder="1" applyAlignment="1" applyProtection="1">
      <alignment horizontal="center" vertical="center" wrapText="1"/>
    </xf>
    <xf numFmtId="0" fontId="4" fillId="0" borderId="66" xfId="6" applyFont="1" applyBorder="1" applyAlignment="1" applyProtection="1">
      <alignment horizontal="center" vertical="center"/>
    </xf>
    <xf numFmtId="0" fontId="51" fillId="0" borderId="66" xfId="6" applyFont="1" applyBorder="1" applyAlignment="1" applyProtection="1">
      <alignment horizontal="center" vertical="center" wrapText="1"/>
    </xf>
    <xf numFmtId="0" fontId="4" fillId="0" borderId="66" xfId="6" applyFont="1" applyBorder="1" applyAlignment="1" applyProtection="1">
      <alignment vertical="center"/>
    </xf>
    <xf numFmtId="49" fontId="6" fillId="0" borderId="66" xfId="6" applyNumberFormat="1" applyFont="1" applyBorder="1" applyAlignment="1" applyProtection="1">
      <alignment horizontal="center" vertical="center" wrapText="1"/>
    </xf>
    <xf numFmtId="49" fontId="6" fillId="0" borderId="67" xfId="6" applyNumberFormat="1" applyFont="1" applyBorder="1" applyAlignment="1" applyProtection="1">
      <alignment horizontal="center" vertical="center" wrapText="1"/>
    </xf>
    <xf numFmtId="0" fontId="4" fillId="0" borderId="67" xfId="6" applyFont="1" applyBorder="1" applyAlignment="1" applyProtection="1">
      <alignment horizontal="center" vertical="center"/>
    </xf>
    <xf numFmtId="0" fontId="4" fillId="0" borderId="65" xfId="6" applyFont="1" applyBorder="1" applyAlignment="1" applyProtection="1">
      <alignment horizontal="center" vertical="center"/>
    </xf>
    <xf numFmtId="1" fontId="6" fillId="11" borderId="77" xfId="6" applyNumberFormat="1" applyFont="1" applyFill="1" applyBorder="1" applyAlignment="1" applyProtection="1">
      <alignment horizontal="center" vertical="center" wrapText="1"/>
    </xf>
    <xf numFmtId="1" fontId="6" fillId="11" borderId="72" xfId="6" applyNumberFormat="1" applyFont="1" applyFill="1" applyBorder="1" applyAlignment="1" applyProtection="1">
      <alignment horizontal="center" vertical="center" wrapText="1"/>
    </xf>
    <xf numFmtId="44" fontId="6" fillId="11" borderId="76" xfId="6" applyNumberFormat="1" applyFont="1" applyFill="1" applyBorder="1" applyAlignment="1" applyProtection="1">
      <alignment horizontal="center" vertical="center" wrapText="1"/>
    </xf>
    <xf numFmtId="44" fontId="6" fillId="11" borderId="96" xfId="6" applyNumberFormat="1" applyFont="1" applyFill="1" applyBorder="1" applyAlignment="1" applyProtection="1">
      <alignment horizontal="center" vertical="center" wrapText="1"/>
    </xf>
    <xf numFmtId="1" fontId="55" fillId="3" borderId="88" xfId="6" applyNumberFormat="1" applyFont="1" applyFill="1" applyBorder="1" applyAlignment="1" applyProtection="1">
      <alignment horizontal="center" vertical="center" wrapText="1"/>
    </xf>
    <xf numFmtId="1" fontId="55" fillId="3" borderId="75" xfId="6" applyNumberFormat="1" applyFont="1" applyFill="1" applyBorder="1" applyAlignment="1" applyProtection="1">
      <alignment horizontal="center" vertical="center" wrapText="1"/>
    </xf>
    <xf numFmtId="1" fontId="55" fillId="3" borderId="89" xfId="6" applyNumberFormat="1" applyFont="1" applyFill="1" applyBorder="1" applyAlignment="1" applyProtection="1">
      <alignment horizontal="center" vertical="center" wrapText="1"/>
    </xf>
    <xf numFmtId="1" fontId="55" fillId="3" borderId="93" xfId="6" applyNumberFormat="1" applyFont="1" applyFill="1" applyBorder="1" applyAlignment="1" applyProtection="1">
      <alignment horizontal="center" vertical="center" wrapText="1"/>
    </xf>
    <xf numFmtId="1" fontId="55" fillId="3" borderId="97" xfId="6" applyNumberFormat="1" applyFont="1" applyFill="1" applyBorder="1" applyAlignment="1" applyProtection="1">
      <alignment horizontal="center" vertical="center" wrapText="1"/>
    </xf>
    <xf numFmtId="1" fontId="55" fillId="3" borderId="98" xfId="6" applyNumberFormat="1" applyFont="1" applyFill="1" applyBorder="1" applyAlignment="1" applyProtection="1">
      <alignment horizontal="center" vertical="center" wrapText="1"/>
    </xf>
    <xf numFmtId="0" fontId="57" fillId="10" borderId="90" xfId="6" applyFont="1" applyFill="1" applyBorder="1" applyAlignment="1" applyProtection="1">
      <alignment horizontal="center" vertical="center"/>
    </xf>
    <xf numFmtId="2" fontId="5" fillId="0" borderId="90" xfId="6" applyNumberFormat="1" applyFont="1" applyFill="1" applyBorder="1" applyAlignment="1" applyProtection="1">
      <alignment horizontal="center" vertical="center"/>
    </xf>
    <xf numFmtId="44" fontId="5" fillId="0" borderId="90" xfId="6" applyNumberFormat="1" applyFont="1" applyFill="1" applyBorder="1" applyAlignment="1" applyProtection="1">
      <alignment horizontal="center" vertical="center"/>
    </xf>
    <xf numFmtId="44" fontId="5" fillId="11" borderId="100" xfId="6" applyNumberFormat="1" applyFont="1" applyFill="1" applyBorder="1" applyAlignment="1" applyProtection="1">
      <alignment vertical="center"/>
    </xf>
    <xf numFmtId="44" fontId="5" fillId="11" borderId="101" xfId="6" applyNumberFormat="1" applyFont="1" applyFill="1" applyBorder="1" applyAlignment="1" applyProtection="1">
      <alignment horizontal="center" vertical="center"/>
    </xf>
    <xf numFmtId="44" fontId="5" fillId="11" borderId="100" xfId="6" applyNumberFormat="1" applyFont="1" applyFill="1" applyBorder="1" applyAlignment="1" applyProtection="1">
      <alignment horizontal="center" vertical="center"/>
    </xf>
    <xf numFmtId="44" fontId="5" fillId="11" borderId="94" xfId="6" applyNumberFormat="1" applyFont="1" applyFill="1" applyBorder="1" applyAlignment="1" applyProtection="1">
      <alignment horizontal="center" vertical="center"/>
    </xf>
    <xf numFmtId="0" fontId="4" fillId="0" borderId="81" xfId="6" applyFont="1" applyBorder="1" applyAlignment="1" applyProtection="1">
      <alignment vertical="center"/>
    </xf>
    <xf numFmtId="0" fontId="4" fillId="0" borderId="64" xfId="6" applyFont="1" applyBorder="1" applyAlignment="1" applyProtection="1">
      <alignment vertical="center"/>
    </xf>
    <xf numFmtId="0" fontId="4" fillId="0" borderId="74" xfId="6" applyFont="1" applyBorder="1" applyAlignment="1" applyProtection="1">
      <alignment horizontal="center" vertical="center"/>
    </xf>
    <xf numFmtId="0" fontId="4" fillId="0" borderId="71" xfId="6" applyFont="1" applyBorder="1" applyAlignment="1" applyProtection="1">
      <alignment horizontal="center" vertical="center"/>
    </xf>
    <xf numFmtId="0" fontId="4" fillId="0" borderId="0" xfId="6" applyFont="1" applyBorder="1" applyAlignment="1" applyProtection="1">
      <alignment vertical="center"/>
    </xf>
    <xf numFmtId="0" fontId="31" fillId="0" borderId="0" xfId="6" applyFont="1" applyBorder="1" applyAlignment="1" applyProtection="1">
      <alignment horizontal="center" vertical="center"/>
    </xf>
    <xf numFmtId="1" fontId="51" fillId="3" borderId="81" xfId="6" applyNumberFormat="1" applyFont="1" applyFill="1" applyBorder="1" applyAlignment="1" applyProtection="1">
      <alignment horizontal="center" vertical="center" wrapText="1"/>
    </xf>
    <xf numFmtId="1" fontId="51" fillId="3" borderId="110" xfId="6" applyNumberFormat="1" applyFont="1" applyFill="1" applyBorder="1" applyAlignment="1" applyProtection="1">
      <alignment horizontal="center" vertical="center" wrapText="1"/>
    </xf>
    <xf numFmtId="1" fontId="51" fillId="3" borderId="74" xfId="6" applyNumberFormat="1" applyFont="1" applyFill="1" applyBorder="1" applyAlignment="1" applyProtection="1">
      <alignment horizontal="center" vertical="center" wrapText="1"/>
    </xf>
    <xf numFmtId="1" fontId="51" fillId="3" borderId="70" xfId="6" applyNumberFormat="1" applyFont="1" applyFill="1" applyBorder="1" applyAlignment="1" applyProtection="1">
      <alignment horizontal="center" vertical="center" wrapText="1"/>
    </xf>
    <xf numFmtId="1" fontId="51" fillId="3" borderId="111" xfId="6" applyNumberFormat="1" applyFont="1" applyFill="1" applyBorder="1" applyAlignment="1" applyProtection="1">
      <alignment horizontal="center" vertical="center" wrapText="1"/>
    </xf>
    <xf numFmtId="0" fontId="9" fillId="0" borderId="107" xfId="6" applyFont="1" applyFill="1" applyBorder="1" applyAlignment="1" applyProtection="1">
      <alignment vertical="center" wrapText="1"/>
    </xf>
    <xf numFmtId="0" fontId="9" fillId="0" borderId="105" xfId="6" applyFont="1" applyFill="1" applyBorder="1" applyAlignment="1" applyProtection="1">
      <alignment vertical="center" wrapText="1"/>
    </xf>
    <xf numFmtId="1" fontId="55" fillId="3" borderId="118" xfId="6" applyNumberFormat="1" applyFont="1" applyFill="1" applyBorder="1" applyAlignment="1" applyProtection="1">
      <alignment horizontal="center" vertical="center"/>
    </xf>
    <xf numFmtId="49" fontId="55" fillId="3" borderId="118" xfId="6" applyNumberFormat="1" applyFont="1" applyFill="1" applyBorder="1" applyAlignment="1" applyProtection="1">
      <alignment horizontal="center" vertical="center" wrapText="1"/>
    </xf>
    <xf numFmtId="1" fontId="55" fillId="3" borderId="120" xfId="6" applyNumberFormat="1" applyFont="1" applyFill="1" applyBorder="1" applyAlignment="1" applyProtection="1">
      <alignment horizontal="center" vertical="center" wrapText="1"/>
    </xf>
    <xf numFmtId="1" fontId="55" fillId="3" borderId="121" xfId="6" applyNumberFormat="1" applyFont="1" applyFill="1" applyBorder="1" applyAlignment="1" applyProtection="1">
      <alignment horizontal="center" vertical="center" wrapText="1"/>
    </xf>
    <xf numFmtId="1" fontId="55" fillId="3" borderId="117" xfId="6" applyNumberFormat="1" applyFont="1" applyFill="1" applyBorder="1" applyAlignment="1" applyProtection="1">
      <alignment horizontal="center" vertical="center" wrapText="1"/>
    </xf>
    <xf numFmtId="0" fontId="51" fillId="3" borderId="123" xfId="6" applyFont="1" applyFill="1" applyBorder="1" applyAlignment="1" applyProtection="1">
      <alignment horizontal="left" vertical="center" wrapText="1"/>
    </xf>
    <xf numFmtId="0" fontId="51" fillId="3" borderId="91" xfId="6" applyFont="1" applyFill="1" applyBorder="1" applyAlignment="1" applyProtection="1">
      <alignment horizontal="left" vertical="center" wrapText="1"/>
    </xf>
    <xf numFmtId="0" fontId="51" fillId="3" borderId="105" xfId="6" applyFont="1" applyFill="1" applyBorder="1" applyAlignment="1" applyProtection="1">
      <alignment horizontal="left" vertical="center" wrapText="1"/>
    </xf>
    <xf numFmtId="0" fontId="6" fillId="3" borderId="109" xfId="6" applyFont="1" applyFill="1" applyBorder="1" applyAlignment="1" applyProtection="1">
      <alignment vertical="center" wrapText="1"/>
    </xf>
    <xf numFmtId="0" fontId="51" fillId="3" borderId="127" xfId="6" applyFont="1" applyFill="1" applyBorder="1" applyAlignment="1" applyProtection="1">
      <alignment horizontal="left" vertical="center" wrapText="1"/>
    </xf>
    <xf numFmtId="0" fontId="51" fillId="3" borderId="71" xfId="6" applyFont="1" applyFill="1" applyBorder="1" applyAlignment="1" applyProtection="1">
      <alignment horizontal="left" vertical="center" wrapText="1"/>
    </xf>
    <xf numFmtId="0" fontId="51" fillId="3" borderId="72" xfId="6" applyFont="1" applyFill="1" applyBorder="1" applyAlignment="1" applyProtection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4" fillId="11" borderId="78" xfId="0" applyFont="1" applyFill="1" applyBorder="1" applyAlignment="1" applyProtection="1">
      <alignment horizontal="center" vertical="center" wrapText="1"/>
      <protection locked="0"/>
    </xf>
    <xf numFmtId="0" fontId="69" fillId="0" borderId="78" xfId="0" applyFont="1" applyBorder="1" applyAlignment="1" applyProtection="1">
      <alignment horizontal="left" vertical="center" wrapText="1"/>
      <protection locked="0"/>
    </xf>
    <xf numFmtId="49" fontId="40" fillId="0" borderId="0" xfId="0" applyNumberFormat="1" applyFont="1" applyFill="1" applyBorder="1" applyAlignment="1">
      <alignment horizontal="center" vertical="center"/>
    </xf>
    <xf numFmtId="49" fontId="34" fillId="0" borderId="0" xfId="0" applyNumberFormat="1" applyFont="1" applyFill="1" applyBorder="1"/>
    <xf numFmtId="49" fontId="35" fillId="0" borderId="0" xfId="0" applyNumberFormat="1" applyFont="1" applyFill="1" applyBorder="1" applyAlignment="1"/>
    <xf numFmtId="0" fontId="0" fillId="0" borderId="0" xfId="0" applyFill="1" applyBorder="1"/>
    <xf numFmtId="49" fontId="34" fillId="0" borderId="0" xfId="0" applyNumberFormat="1" applyFont="1" applyFill="1" applyBorder="1" applyAlignment="1">
      <alignment horizontal="center"/>
    </xf>
    <xf numFmtId="49" fontId="37" fillId="0" borderId="0" xfId="0" applyNumberFormat="1" applyFont="1" applyFill="1" applyBorder="1" applyAlignment="1">
      <alignment horizontal="left" vertical="center"/>
    </xf>
    <xf numFmtId="49" fontId="74" fillId="0" borderId="0" xfId="0" applyNumberFormat="1" applyFont="1" applyFill="1" applyBorder="1" applyAlignment="1">
      <alignment horizontal="center" vertical="center"/>
    </xf>
    <xf numFmtId="49" fontId="75" fillId="0" borderId="0" xfId="0" applyNumberFormat="1" applyFont="1" applyFill="1" applyBorder="1" applyAlignment="1">
      <alignment horizontal="center" vertical="center"/>
    </xf>
    <xf numFmtId="1" fontId="55" fillId="3" borderId="118" xfId="6" applyNumberFormat="1" applyFont="1" applyFill="1" applyBorder="1" applyAlignment="1" applyProtection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 wrapText="1"/>
    </xf>
    <xf numFmtId="0" fontId="10" fillId="8" borderId="39" xfId="0" applyFont="1" applyFill="1" applyBorder="1" applyAlignment="1">
      <alignment horizontal="center" vertical="center"/>
    </xf>
    <xf numFmtId="49" fontId="2" fillId="0" borderId="33" xfId="0" applyNumberFormat="1" applyFont="1" applyBorder="1" applyAlignment="1">
      <alignment vertical="center" wrapText="1"/>
    </xf>
    <xf numFmtId="49" fontId="2" fillId="0" borderId="33" xfId="0" applyNumberFormat="1" applyFont="1" applyBorder="1" applyAlignment="1">
      <alignment horizontal="center" vertical="center" wrapText="1"/>
    </xf>
    <xf numFmtId="49" fontId="2" fillId="0" borderId="27" xfId="0" applyNumberFormat="1" applyFont="1" applyBorder="1" applyAlignment="1">
      <alignment vertical="center" wrapText="1"/>
    </xf>
    <xf numFmtId="49" fontId="2" fillId="0" borderId="30" xfId="0" applyNumberFormat="1" applyFont="1" applyBorder="1" applyAlignment="1">
      <alignment vertical="center" wrapText="1"/>
    </xf>
    <xf numFmtId="0" fontId="77" fillId="0" borderId="99" xfId="6" applyFont="1" applyBorder="1" applyAlignment="1" applyProtection="1">
      <alignment horizontal="center" vertical="center"/>
      <protection locked="0"/>
    </xf>
    <xf numFmtId="0" fontId="67" fillId="0" borderId="90" xfId="6" applyFont="1" applyBorder="1" applyAlignment="1" applyProtection="1">
      <alignment horizontal="center" vertical="center" wrapText="1"/>
    </xf>
    <xf numFmtId="0" fontId="31" fillId="0" borderId="90" xfId="6" applyFont="1" applyBorder="1" applyAlignment="1" applyProtection="1">
      <alignment horizontal="center" vertical="center" wrapText="1"/>
    </xf>
    <xf numFmtId="164" fontId="57" fillId="10" borderId="90" xfId="6" applyNumberFormat="1" applyFont="1" applyFill="1" applyBorder="1" applyAlignment="1" applyProtection="1">
      <alignment horizontal="center" vertical="center"/>
    </xf>
    <xf numFmtId="0" fontId="73" fillId="11" borderId="78" xfId="0" applyFont="1" applyFill="1" applyBorder="1" applyAlignment="1">
      <alignment horizontal="center" vertical="center"/>
    </xf>
    <xf numFmtId="0" fontId="0" fillId="11" borderId="78" xfId="0" applyFill="1" applyBorder="1" applyAlignment="1">
      <alignment horizontal="left"/>
    </xf>
    <xf numFmtId="0" fontId="0" fillId="11" borderId="78" xfId="0" applyFill="1" applyBorder="1"/>
    <xf numFmtId="44" fontId="0" fillId="11" borderId="78" xfId="0" applyNumberFormat="1" applyFill="1" applyBorder="1" applyAlignment="1">
      <alignment horizontal="center"/>
    </xf>
    <xf numFmtId="0" fontId="0" fillId="11" borderId="78" xfId="0" applyFill="1" applyBorder="1" applyAlignment="1" applyProtection="1">
      <alignment horizontal="center"/>
      <protection locked="0"/>
    </xf>
    <xf numFmtId="0" fontId="73" fillId="0" borderId="78" xfId="0" applyFont="1" applyFill="1" applyBorder="1" applyAlignment="1">
      <alignment horizontal="center" vertical="center"/>
    </xf>
    <xf numFmtId="0" fontId="0" fillId="0" borderId="78" xfId="0" applyFill="1" applyBorder="1" applyAlignment="1">
      <alignment horizontal="left"/>
    </xf>
    <xf numFmtId="0" fontId="0" fillId="0" borderId="78" xfId="0" applyFill="1" applyBorder="1"/>
    <xf numFmtId="44" fontId="0" fillId="0" borderId="78" xfId="0" applyNumberFormat="1" applyFill="1" applyBorder="1" applyAlignment="1">
      <alignment horizontal="center"/>
    </xf>
    <xf numFmtId="0" fontId="0" fillId="0" borderId="78" xfId="0" applyFill="1" applyBorder="1" applyAlignment="1" applyProtection="1">
      <alignment horizontal="center"/>
      <protection locked="0"/>
    </xf>
    <xf numFmtId="0" fontId="0" fillId="0" borderId="84" xfId="0" applyBorder="1" applyAlignment="1">
      <alignment horizontal="center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26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44" fontId="0" fillId="0" borderId="28" xfId="0" applyNumberFormat="1" applyBorder="1" applyAlignment="1" applyProtection="1">
      <alignment horizontal="center" vertical="center"/>
      <protection locked="0"/>
    </xf>
    <xf numFmtId="0" fontId="26" fillId="0" borderId="0" xfId="0" applyFont="1" applyFill="1" applyAlignment="1">
      <alignment horizontal="center" vertical="center" wrapText="1"/>
    </xf>
    <xf numFmtId="0" fontId="78" fillId="0" borderId="0" xfId="0" applyFont="1" applyFill="1" applyAlignment="1" applyProtection="1">
      <alignment horizontal="center" vertical="center" wrapText="1"/>
      <protection locked="0"/>
    </xf>
    <xf numFmtId="0" fontId="66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4" fillId="0" borderId="0" xfId="0" applyNumberFormat="1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12" fillId="0" borderId="78" xfId="0" applyFont="1" applyBorder="1" applyAlignment="1">
      <alignment horizontal="center" vertical="center"/>
    </xf>
    <xf numFmtId="0" fontId="55" fillId="3" borderId="78" xfId="0" applyFont="1" applyFill="1" applyBorder="1" applyAlignment="1">
      <alignment vertical="center" wrapText="1"/>
    </xf>
    <xf numFmtId="0" fontId="56" fillId="3" borderId="78" xfId="0" applyFont="1" applyFill="1" applyBorder="1" applyAlignment="1">
      <alignment horizontal="center" vertical="center"/>
    </xf>
    <xf numFmtId="0" fontId="56" fillId="3" borderId="78" xfId="0" applyFont="1" applyFill="1" applyBorder="1" applyAlignment="1">
      <alignment horizontal="center" vertical="center" wrapText="1"/>
    </xf>
    <xf numFmtId="0" fontId="67" fillId="10" borderId="78" xfId="0" applyFont="1" applyFill="1" applyBorder="1" applyAlignment="1">
      <alignment vertical="center" wrapText="1"/>
    </xf>
    <xf numFmtId="0" fontId="12" fillId="0" borderId="78" xfId="0" applyFont="1" applyBorder="1" applyAlignment="1">
      <alignment horizontal="center" vertical="center" wrapText="1"/>
    </xf>
    <xf numFmtId="0" fontId="66" fillId="0" borderId="78" xfId="0" applyNumberFormat="1" applyFont="1" applyFill="1" applyBorder="1" applyAlignment="1">
      <alignment vertical="center"/>
    </xf>
    <xf numFmtId="0" fontId="4" fillId="0" borderId="139" xfId="0" applyFont="1" applyBorder="1"/>
    <xf numFmtId="0" fontId="55" fillId="3" borderId="139" xfId="0" applyFont="1" applyFill="1" applyBorder="1" applyAlignment="1">
      <alignment horizontal="center" vertical="center" wrapText="1"/>
    </xf>
    <xf numFmtId="49" fontId="55" fillId="3" borderId="139" xfId="0" applyNumberFormat="1" applyFont="1" applyFill="1" applyBorder="1" applyAlignment="1">
      <alignment horizontal="center" vertical="center" wrapText="1"/>
    </xf>
    <xf numFmtId="0" fontId="4" fillId="0" borderId="139" xfId="0" applyFont="1" applyFill="1" applyBorder="1"/>
    <xf numFmtId="0" fontId="57" fillId="0" borderId="139" xfId="0" applyFont="1" applyFill="1" applyBorder="1" applyAlignment="1">
      <alignment vertical="center" wrapText="1"/>
    </xf>
    <xf numFmtId="164" fontId="57" fillId="0" borderId="139" xfId="0" applyNumberFormat="1" applyFont="1" applyFill="1" applyBorder="1" applyAlignment="1">
      <alignment horizontal="center" vertical="center"/>
    </xf>
    <xf numFmtId="0" fontId="57" fillId="0" borderId="139" xfId="0" applyFont="1" applyFill="1" applyBorder="1" applyAlignment="1">
      <alignment horizontal="center" vertical="center"/>
    </xf>
    <xf numFmtId="0" fontId="57" fillId="0" borderId="139" xfId="0" applyNumberFormat="1" applyFont="1" applyFill="1" applyBorder="1" applyAlignment="1">
      <alignment horizontal="center" vertical="center"/>
    </xf>
    <xf numFmtId="0" fontId="4" fillId="0" borderId="139" xfId="0" applyFont="1" applyBorder="1" applyAlignment="1">
      <alignment horizontal="center" vertical="center"/>
    </xf>
    <xf numFmtId="49" fontId="74" fillId="12" borderId="78" xfId="0" applyNumberFormat="1" applyFont="1" applyFill="1" applyBorder="1" applyAlignment="1">
      <alignment horizontal="center" vertical="center"/>
    </xf>
    <xf numFmtId="49" fontId="34" fillId="0" borderId="78" xfId="0" applyNumberFormat="1" applyFont="1" applyBorder="1" applyAlignment="1">
      <alignment horizontal="center"/>
    </xf>
    <xf numFmtId="49" fontId="34" fillId="0" borderId="145" xfId="0" applyNumberFormat="1" applyFont="1" applyBorder="1" applyAlignment="1">
      <alignment horizontal="center"/>
    </xf>
    <xf numFmtId="49" fontId="34" fillId="0" borderId="147" xfId="0" applyNumberFormat="1" applyFont="1" applyBorder="1" applyAlignment="1">
      <alignment horizontal="center"/>
    </xf>
    <xf numFmtId="49" fontId="34" fillId="0" borderId="148" xfId="0" applyNumberFormat="1" applyFont="1" applyBorder="1" applyAlignment="1">
      <alignment horizontal="center"/>
    </xf>
    <xf numFmtId="49" fontId="80" fillId="0" borderId="144" xfId="0" applyNumberFormat="1" applyFont="1" applyFill="1" applyBorder="1" applyAlignment="1">
      <alignment horizontal="center" vertical="center"/>
    </xf>
    <xf numFmtId="49" fontId="80" fillId="0" borderId="78" xfId="0" applyNumberFormat="1" applyFont="1" applyFill="1" applyBorder="1" applyAlignment="1">
      <alignment horizontal="center" vertical="center"/>
    </xf>
    <xf numFmtId="49" fontId="80" fillId="0" borderId="145" xfId="0" applyNumberFormat="1" applyFont="1" applyFill="1" applyBorder="1" applyAlignment="1">
      <alignment horizontal="center" vertical="center"/>
    </xf>
    <xf numFmtId="49" fontId="82" fillId="0" borderId="141" xfId="0" applyNumberFormat="1" applyFont="1" applyFill="1" applyBorder="1" applyAlignment="1">
      <alignment horizontal="center" vertical="center"/>
    </xf>
    <xf numFmtId="49" fontId="82" fillId="0" borderId="142" xfId="0" applyNumberFormat="1" applyFont="1" applyFill="1" applyBorder="1" applyAlignment="1">
      <alignment horizontal="center" vertical="center"/>
    </xf>
    <xf numFmtId="49" fontId="74" fillId="12" borderId="144" xfId="0" applyNumberFormat="1" applyFont="1" applyFill="1" applyBorder="1" applyAlignment="1">
      <alignment horizontal="center" vertical="center"/>
    </xf>
    <xf numFmtId="2" fontId="66" fillId="0" borderId="78" xfId="0" applyNumberFormat="1" applyFont="1" applyFill="1" applyBorder="1" applyAlignment="1">
      <alignment vertical="center" wrapText="1"/>
    </xf>
    <xf numFmtId="2" fontId="66" fillId="0" borderId="78" xfId="0" applyNumberFormat="1" applyFont="1" applyFill="1" applyBorder="1" applyAlignment="1">
      <alignment vertical="center"/>
    </xf>
    <xf numFmtId="44" fontId="66" fillId="0" borderId="78" xfId="0" applyNumberFormat="1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6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left" vertical="center"/>
    </xf>
    <xf numFmtId="4" fontId="85" fillId="0" borderId="0" xfId="0" applyNumberFormat="1" applyFont="1" applyAlignment="1">
      <alignment horizontal="center" vertical="center"/>
    </xf>
    <xf numFmtId="0" fontId="31" fillId="0" borderId="139" xfId="0" applyFont="1" applyBorder="1" applyAlignment="1">
      <alignment horizontal="center" vertical="center"/>
    </xf>
    <xf numFmtId="0" fontId="68" fillId="0" borderId="139" xfId="0" applyFont="1" applyFill="1" applyBorder="1" applyAlignment="1">
      <alignment horizontal="left" vertical="center" wrapText="1"/>
    </xf>
    <xf numFmtId="0" fontId="59" fillId="0" borderId="139" xfId="0" applyFont="1" applyBorder="1" applyAlignment="1">
      <alignment horizontal="center" vertical="center"/>
    </xf>
    <xf numFmtId="0" fontId="68" fillId="0" borderId="139" xfId="0" applyFont="1" applyFill="1" applyBorder="1" applyAlignment="1">
      <alignment horizontal="left" vertical="center"/>
    </xf>
    <xf numFmtId="0" fontId="59" fillId="0" borderId="139" xfId="0" applyFont="1" applyBorder="1" applyAlignment="1" applyProtection="1">
      <alignment horizontal="center" vertical="center"/>
      <protection locked="0"/>
    </xf>
    <xf numFmtId="1" fontId="56" fillId="3" borderId="139" xfId="0" applyNumberFormat="1" applyFont="1" applyFill="1" applyBorder="1" applyAlignment="1">
      <alignment horizontal="center" vertical="center"/>
    </xf>
    <xf numFmtId="0" fontId="57" fillId="10" borderId="139" xfId="0" applyFont="1" applyFill="1" applyBorder="1" applyAlignment="1">
      <alignment horizontal="center" vertical="center"/>
    </xf>
    <xf numFmtId="0" fontId="57" fillId="10" borderId="139" xfId="0" applyFont="1" applyFill="1" applyBorder="1" applyAlignment="1">
      <alignment horizontal="center" vertical="center" wrapText="1"/>
    </xf>
    <xf numFmtId="0" fontId="57" fillId="10" borderId="139" xfId="0" applyFont="1" applyFill="1" applyBorder="1" applyAlignment="1">
      <alignment horizontal="left" vertical="center" wrapText="1"/>
    </xf>
    <xf numFmtId="2" fontId="57" fillId="10" borderId="139" xfId="0" applyNumberFormat="1" applyFont="1" applyFill="1" applyBorder="1" applyAlignment="1">
      <alignment horizontal="center" vertical="center"/>
    </xf>
    <xf numFmtId="1" fontId="56" fillId="3" borderId="150" xfId="0" applyNumberFormat="1" applyFont="1" applyFill="1" applyBorder="1" applyAlignment="1">
      <alignment horizontal="center" vertical="center"/>
    </xf>
    <xf numFmtId="0" fontId="56" fillId="3" borderId="151" xfId="0" applyFont="1" applyFill="1" applyBorder="1" applyAlignment="1">
      <alignment horizontal="center" vertical="center"/>
    </xf>
    <xf numFmtId="0" fontId="56" fillId="3" borderId="152" xfId="0" applyFont="1" applyFill="1" applyBorder="1" applyAlignment="1">
      <alignment horizontal="center" vertical="center"/>
    </xf>
    <xf numFmtId="2" fontId="57" fillId="10" borderId="153" xfId="0" applyNumberFormat="1" applyFont="1" applyFill="1" applyBorder="1" applyAlignment="1">
      <alignment horizontal="center" vertical="center"/>
    </xf>
    <xf numFmtId="0" fontId="62" fillId="0" borderId="92" xfId="0" applyFont="1" applyBorder="1" applyAlignment="1">
      <alignment horizontal="center" vertical="center"/>
    </xf>
    <xf numFmtId="0" fontId="68" fillId="0" borderId="154" xfId="0" applyFont="1" applyFill="1" applyBorder="1" applyAlignment="1">
      <alignment horizontal="left" vertical="center"/>
    </xf>
    <xf numFmtId="0" fontId="24" fillId="10" borderId="139" xfId="0" applyFont="1" applyFill="1" applyBorder="1" applyAlignment="1">
      <alignment horizontal="center" vertical="center"/>
    </xf>
    <xf numFmtId="0" fontId="57" fillId="10" borderId="139" xfId="0" applyFont="1" applyFill="1" applyBorder="1" applyAlignment="1">
      <alignment horizontal="center" textRotation="90" wrapText="1"/>
    </xf>
    <xf numFmtId="0" fontId="55" fillId="3" borderId="78" xfId="0" applyFont="1" applyFill="1" applyBorder="1" applyAlignment="1">
      <alignment horizontal="center" vertical="center" wrapText="1"/>
    </xf>
    <xf numFmtId="1" fontId="51" fillId="3" borderId="157" xfId="6" applyNumberFormat="1" applyFont="1" applyFill="1" applyBorder="1" applyAlignment="1" applyProtection="1">
      <alignment horizontal="center" vertical="center" wrapText="1"/>
    </xf>
    <xf numFmtId="164" fontId="6" fillId="11" borderId="128" xfId="6" applyNumberFormat="1" applyFont="1" applyFill="1" applyBorder="1" applyAlignment="1" applyProtection="1">
      <alignment vertical="center" wrapText="1"/>
    </xf>
    <xf numFmtId="1" fontId="51" fillId="3" borderId="156" xfId="6" applyNumberFormat="1" applyFont="1" applyFill="1" applyBorder="1" applyAlignment="1" applyProtection="1">
      <alignment horizontal="center" vertical="center" wrapText="1"/>
    </xf>
    <xf numFmtId="164" fontId="6" fillId="11" borderId="73" xfId="6" applyNumberFormat="1" applyFont="1" applyFill="1" applyBorder="1" applyAlignment="1" applyProtection="1">
      <alignment vertical="center" wrapText="1"/>
    </xf>
    <xf numFmtId="164" fontId="57" fillId="10" borderId="90" xfId="6" applyNumberFormat="1" applyFont="1" applyFill="1" applyBorder="1" applyAlignment="1" applyProtection="1">
      <alignment horizontal="center" vertical="center" wrapText="1"/>
    </xf>
    <xf numFmtId="1" fontId="51" fillId="3" borderId="59" xfId="6" applyNumberFormat="1" applyFont="1" applyFill="1" applyBorder="1" applyAlignment="1" applyProtection="1">
      <alignment horizontal="center" vertical="center" wrapText="1"/>
    </xf>
    <xf numFmtId="164" fontId="6" fillId="11" borderId="160" xfId="6" applyNumberFormat="1" applyFont="1" applyFill="1" applyBorder="1" applyAlignment="1" applyProtection="1">
      <alignment vertical="center" wrapText="1"/>
    </xf>
    <xf numFmtId="0" fontId="0" fillId="0" borderId="78" xfId="0" applyNumberFormat="1" applyFill="1" applyBorder="1" applyAlignment="1" applyProtection="1">
      <alignment horizontal="left" vertical="center"/>
      <protection locked="0"/>
    </xf>
    <xf numFmtId="0" fontId="0" fillId="11" borderId="78" xfId="0" applyNumberFormat="1" applyFill="1" applyBorder="1" applyAlignment="1" applyProtection="1">
      <alignment horizontal="left" vertical="center"/>
      <protection locked="0"/>
    </xf>
    <xf numFmtId="49" fontId="6" fillId="0" borderId="68" xfId="6" applyNumberFormat="1" applyFont="1" applyBorder="1" applyAlignment="1" applyProtection="1">
      <alignment horizontal="center" vertical="center" wrapText="1"/>
    </xf>
    <xf numFmtId="49" fontId="0" fillId="11" borderId="78" xfId="0" applyNumberFormat="1" applyFill="1" applyBorder="1" applyAlignment="1" applyProtection="1">
      <alignment horizontal="left" vertical="center"/>
      <protection locked="0"/>
    </xf>
    <xf numFmtId="0" fontId="57" fillId="10" borderId="90" xfId="6" applyNumberFormat="1" applyFont="1" applyFill="1" applyBorder="1" applyAlignment="1" applyProtection="1">
      <alignment horizontal="center" vertical="center" wrapText="1"/>
    </xf>
    <xf numFmtId="0" fontId="67" fillId="10" borderId="165" xfId="0" applyFont="1" applyFill="1" applyBorder="1" applyAlignment="1">
      <alignment vertical="center" wrapText="1"/>
    </xf>
    <xf numFmtId="0" fontId="67" fillId="10" borderId="165" xfId="0" applyFont="1" applyFill="1" applyBorder="1" applyAlignment="1">
      <alignment horizontal="center" vertical="center" wrapText="1"/>
    </xf>
    <xf numFmtId="2" fontId="67" fillId="10" borderId="165" xfId="0" applyNumberFormat="1" applyFont="1" applyFill="1" applyBorder="1" applyAlignment="1">
      <alignment horizontal="center" vertical="center"/>
    </xf>
    <xf numFmtId="44" fontId="67" fillId="10" borderId="165" xfId="0" applyNumberFormat="1" applyFont="1" applyFill="1" applyBorder="1" applyAlignment="1">
      <alignment horizontal="center" vertical="center"/>
    </xf>
    <xf numFmtId="2" fontId="66" fillId="0" borderId="95" xfId="0" applyNumberFormat="1" applyFont="1" applyFill="1" applyBorder="1" applyAlignment="1">
      <alignment vertical="center" wrapText="1"/>
    </xf>
    <xf numFmtId="0" fontId="66" fillId="0" borderId="95" xfId="0" applyNumberFormat="1" applyFont="1" applyFill="1" applyBorder="1" applyAlignment="1">
      <alignment vertical="center"/>
    </xf>
    <xf numFmtId="2" fontId="66" fillId="0" borderId="95" xfId="0" applyNumberFormat="1" applyFont="1" applyFill="1" applyBorder="1" applyAlignment="1">
      <alignment vertical="center"/>
    </xf>
    <xf numFmtId="44" fontId="66" fillId="0" borderId="95" xfId="0" applyNumberFormat="1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9" fillId="0" borderId="0" xfId="0" applyFont="1" applyFill="1" applyBorder="1" applyAlignment="1" applyProtection="1">
      <alignment horizontal="center" vertical="center" wrapText="1"/>
      <protection locked="0"/>
    </xf>
    <xf numFmtId="0" fontId="55" fillId="0" borderId="0" xfId="0" applyFont="1" applyFill="1" applyBorder="1" applyAlignment="1">
      <alignment horizontal="center" vertical="center" wrapText="1"/>
    </xf>
    <xf numFmtId="0" fontId="55" fillId="3" borderId="169" xfId="0" applyFont="1" applyFill="1" applyBorder="1" applyAlignment="1">
      <alignment vertical="center" wrapText="1"/>
    </xf>
    <xf numFmtId="0" fontId="55" fillId="3" borderId="174" xfId="0" applyFont="1" applyFill="1" applyBorder="1" applyAlignment="1">
      <alignment vertical="center" wrapText="1"/>
    </xf>
    <xf numFmtId="0" fontId="12" fillId="0" borderId="17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176" xfId="0" applyFont="1" applyBorder="1" applyAlignment="1">
      <alignment horizontal="center" vertical="center"/>
    </xf>
    <xf numFmtId="0" fontId="72" fillId="0" borderId="172" xfId="0" applyFont="1" applyBorder="1" applyAlignment="1">
      <alignment horizontal="center" vertical="center" wrapText="1"/>
    </xf>
    <xf numFmtId="0" fontId="72" fillId="0" borderId="0" xfId="0" applyFont="1" applyBorder="1" applyAlignment="1">
      <alignment horizontal="left" vertical="center" wrapText="1"/>
    </xf>
    <xf numFmtId="0" fontId="72" fillId="0" borderId="0" xfId="0" applyFont="1" applyBorder="1" applyAlignment="1">
      <alignment horizontal="center" vertical="center"/>
    </xf>
    <xf numFmtId="7" fontId="72" fillId="0" borderId="176" xfId="0" applyNumberFormat="1" applyFont="1" applyBorder="1" applyAlignment="1">
      <alignment horizontal="center" vertical="center"/>
    </xf>
    <xf numFmtId="0" fontId="12" fillId="3" borderId="173" xfId="0" applyFont="1" applyFill="1" applyBorder="1" applyAlignment="1">
      <alignment horizontal="center" vertical="center" wrapText="1"/>
    </xf>
    <xf numFmtId="0" fontId="72" fillId="3" borderId="172" xfId="0" applyFont="1" applyFill="1" applyBorder="1" applyAlignment="1">
      <alignment horizontal="center" vertical="center" wrapText="1"/>
    </xf>
    <xf numFmtId="0" fontId="72" fillId="3" borderId="0" xfId="0" applyFont="1" applyFill="1" applyBorder="1" applyAlignment="1">
      <alignment horizontal="left" vertical="center" wrapText="1"/>
    </xf>
    <xf numFmtId="0" fontId="72" fillId="3" borderId="0" xfId="0" applyFont="1" applyFill="1" applyBorder="1" applyAlignment="1">
      <alignment horizontal="center" vertical="center"/>
    </xf>
    <xf numFmtId="7" fontId="72" fillId="3" borderId="176" xfId="0" applyNumberFormat="1" applyFont="1" applyFill="1" applyBorder="1" applyAlignment="1">
      <alignment horizontal="center" vertical="center"/>
    </xf>
    <xf numFmtId="0" fontId="87" fillId="3" borderId="177" xfId="0" applyFont="1" applyFill="1" applyBorder="1" applyAlignment="1">
      <alignment horizontal="center" vertical="center" wrapText="1"/>
    </xf>
    <xf numFmtId="0" fontId="87" fillId="0" borderId="177" xfId="0" applyFont="1" applyFill="1" applyBorder="1" applyAlignment="1">
      <alignment vertical="center"/>
    </xf>
    <xf numFmtId="7" fontId="87" fillId="0" borderId="178" xfId="0" applyNumberFormat="1" applyFont="1" applyFill="1" applyBorder="1" applyAlignment="1">
      <alignment horizontal="center" vertical="center"/>
    </xf>
    <xf numFmtId="49" fontId="84" fillId="15" borderId="78" xfId="0" applyNumberFormat="1" applyFont="1" applyFill="1" applyBorder="1" applyAlignment="1">
      <alignment horizontal="center" vertical="center"/>
    </xf>
    <xf numFmtId="49" fontId="84" fillId="0" borderId="147" xfId="0" applyNumberFormat="1" applyFont="1" applyBorder="1" applyAlignment="1">
      <alignment horizontal="center" vertical="center"/>
    </xf>
    <xf numFmtId="49" fontId="35" fillId="2" borderId="5" xfId="0" applyNumberFormat="1" applyFont="1" applyFill="1" applyBorder="1" applyAlignment="1">
      <alignment horizontal="center"/>
    </xf>
    <xf numFmtId="49" fontId="35" fillId="2" borderId="6" xfId="0" applyNumberFormat="1" applyFont="1" applyFill="1" applyBorder="1" applyAlignment="1">
      <alignment horizontal="center"/>
    </xf>
    <xf numFmtId="49" fontId="48" fillId="0" borderId="1" xfId="0" applyNumberFormat="1" applyFont="1" applyFill="1" applyBorder="1" applyAlignment="1">
      <alignment horizontal="center" vertical="center"/>
    </xf>
    <xf numFmtId="49" fontId="48" fillId="0" borderId="2" xfId="0" applyNumberFormat="1" applyFont="1" applyFill="1" applyBorder="1" applyAlignment="1">
      <alignment horizontal="center" vertical="center"/>
    </xf>
    <xf numFmtId="49" fontId="47" fillId="2" borderId="3" xfId="0" applyNumberFormat="1" applyFont="1" applyFill="1" applyBorder="1" applyAlignment="1">
      <alignment horizontal="center" vertical="center" wrapText="1"/>
    </xf>
    <xf numFmtId="49" fontId="47" fillId="2" borderId="8" xfId="0" applyNumberFormat="1" applyFont="1" applyFill="1" applyBorder="1" applyAlignment="1">
      <alignment horizontal="center" vertical="center" wrapText="1"/>
    </xf>
    <xf numFmtId="49" fontId="47" fillId="2" borderId="10" xfId="0" applyNumberFormat="1" applyFont="1" applyFill="1" applyBorder="1" applyAlignment="1">
      <alignment horizontal="center" vertical="center" wrapText="1"/>
    </xf>
    <xf numFmtId="49" fontId="82" fillId="0" borderId="142" xfId="0" applyNumberFormat="1" applyFont="1" applyFill="1" applyBorder="1" applyAlignment="1">
      <alignment horizontal="center" vertical="center"/>
    </xf>
    <xf numFmtId="49" fontId="82" fillId="0" borderId="143" xfId="0" applyNumberFormat="1" applyFont="1" applyFill="1" applyBorder="1" applyAlignment="1">
      <alignment horizontal="center" vertical="center"/>
    </xf>
    <xf numFmtId="49" fontId="74" fillId="12" borderId="78" xfId="0" applyNumberFormat="1" applyFont="1" applyFill="1" applyBorder="1" applyAlignment="1">
      <alignment horizontal="center" vertical="center"/>
    </xf>
    <xf numFmtId="49" fontId="74" fillId="12" borderId="145" xfId="0" applyNumberFormat="1" applyFont="1" applyFill="1" applyBorder="1" applyAlignment="1">
      <alignment horizontal="center" vertical="center"/>
    </xf>
    <xf numFmtId="49" fontId="28" fillId="14" borderId="144" xfId="0" applyNumberFormat="1" applyFont="1" applyFill="1" applyBorder="1" applyAlignment="1">
      <alignment horizontal="center" vertical="center"/>
    </xf>
    <xf numFmtId="49" fontId="28" fillId="14" borderId="78" xfId="0" applyNumberFormat="1" applyFont="1" applyFill="1" applyBorder="1" applyAlignment="1">
      <alignment horizontal="center" vertical="center"/>
    </xf>
    <xf numFmtId="49" fontId="28" fillId="14" borderId="145" xfId="0" applyNumberFormat="1" applyFont="1" applyFill="1" applyBorder="1" applyAlignment="1">
      <alignment horizontal="center" vertical="center"/>
    </xf>
    <xf numFmtId="49" fontId="81" fillId="13" borderId="144" xfId="0" applyNumberFormat="1" applyFont="1" applyFill="1" applyBorder="1" applyAlignment="1">
      <alignment horizontal="center" vertical="center"/>
    </xf>
    <xf numFmtId="49" fontId="81" fillId="13" borderId="78" xfId="0" applyNumberFormat="1" applyFont="1" applyFill="1" applyBorder="1" applyAlignment="1">
      <alignment horizontal="center" vertical="center"/>
    </xf>
    <xf numFmtId="49" fontId="81" fillId="13" borderId="145" xfId="0" applyNumberFormat="1" applyFont="1" applyFill="1" applyBorder="1" applyAlignment="1">
      <alignment horizontal="center" vertical="center"/>
    </xf>
    <xf numFmtId="49" fontId="83" fillId="0" borderId="144" xfId="0" applyNumberFormat="1" applyFont="1" applyBorder="1" applyAlignment="1">
      <alignment horizontal="center" vertical="center"/>
    </xf>
    <xf numFmtId="49" fontId="83" fillId="0" borderId="78" xfId="0" applyNumberFormat="1" applyFont="1" applyBorder="1" applyAlignment="1">
      <alignment horizontal="center" vertical="center"/>
    </xf>
    <xf numFmtId="49" fontId="83" fillId="0" borderId="145" xfId="0" applyNumberFormat="1" applyFont="1" applyBorder="1" applyAlignment="1">
      <alignment horizontal="center" vertical="center"/>
    </xf>
    <xf numFmtId="49" fontId="76" fillId="2" borderId="140" xfId="0" applyNumberFormat="1" applyFont="1" applyFill="1" applyBorder="1" applyAlignment="1">
      <alignment horizontal="center" vertical="center"/>
    </xf>
    <xf numFmtId="49" fontId="76" fillId="2" borderId="136" xfId="0" applyNumberFormat="1" applyFont="1" applyFill="1" applyBorder="1" applyAlignment="1">
      <alignment horizontal="center" vertical="center"/>
    </xf>
    <xf numFmtId="49" fontId="76" fillId="2" borderId="137" xfId="0" applyNumberFormat="1" applyFont="1" applyFill="1" applyBorder="1" applyAlignment="1">
      <alignment horizontal="center" vertical="center"/>
    </xf>
    <xf numFmtId="49" fontId="84" fillId="15" borderId="144" xfId="0" applyNumberFormat="1" applyFont="1" applyFill="1" applyBorder="1" applyAlignment="1">
      <alignment horizontal="center" vertical="center"/>
    </xf>
    <xf numFmtId="49" fontId="84" fillId="0" borderId="146" xfId="0" applyNumberFormat="1" applyFont="1" applyBorder="1" applyAlignment="1">
      <alignment horizontal="center" vertical="center"/>
    </xf>
    <xf numFmtId="0" fontId="66" fillId="0" borderId="115" xfId="6" applyFont="1" applyFill="1" applyBorder="1" applyAlignment="1" applyProtection="1">
      <alignment horizontal="center" vertical="center" wrapText="1"/>
    </xf>
    <xf numFmtId="0" fontId="66" fillId="0" borderId="116" xfId="6" applyFont="1" applyFill="1" applyBorder="1" applyAlignment="1" applyProtection="1">
      <alignment horizontal="center" vertical="center" wrapText="1"/>
    </xf>
    <xf numFmtId="0" fontId="58" fillId="11" borderId="131" xfId="6" applyFont="1" applyFill="1" applyBorder="1" applyAlignment="1" applyProtection="1">
      <alignment horizontal="center" vertical="center" wrapText="1"/>
      <protection locked="0"/>
    </xf>
    <xf numFmtId="0" fontId="58" fillId="11" borderId="130" xfId="6" applyFont="1" applyFill="1" applyBorder="1" applyAlignment="1" applyProtection="1">
      <alignment horizontal="center" vertical="center" wrapText="1"/>
      <protection locked="0"/>
    </xf>
    <xf numFmtId="0" fontId="58" fillId="11" borderId="109" xfId="6" applyFont="1" applyFill="1" applyBorder="1" applyAlignment="1" applyProtection="1">
      <alignment horizontal="center" vertical="center" wrapText="1"/>
      <protection locked="0"/>
    </xf>
    <xf numFmtId="0" fontId="58" fillId="11" borderId="80" xfId="6" applyFont="1" applyFill="1" applyBorder="1" applyAlignment="1" applyProtection="1">
      <alignment horizontal="center" vertical="center" wrapText="1"/>
      <protection locked="0"/>
    </xf>
    <xf numFmtId="0" fontId="52" fillId="3" borderId="82" xfId="6" applyFont="1" applyFill="1" applyBorder="1" applyAlignment="1" applyProtection="1">
      <alignment horizontal="center" vertical="center" wrapText="1"/>
    </xf>
    <xf numFmtId="0" fontId="52" fillId="3" borderId="79" xfId="6" applyFont="1" applyFill="1" applyBorder="1" applyAlignment="1" applyProtection="1">
      <alignment horizontal="center" vertical="center" wrapText="1"/>
    </xf>
    <xf numFmtId="0" fontId="52" fillId="3" borderId="108" xfId="6" applyFont="1" applyFill="1" applyBorder="1" applyAlignment="1" applyProtection="1">
      <alignment horizontal="center" vertical="center" wrapText="1"/>
    </xf>
    <xf numFmtId="0" fontId="52" fillId="3" borderId="0" xfId="6" applyFont="1" applyFill="1" applyBorder="1" applyAlignment="1" applyProtection="1">
      <alignment horizontal="center" vertical="center" wrapText="1"/>
    </xf>
    <xf numFmtId="0" fontId="24" fillId="11" borderId="112" xfId="6" applyFont="1" applyFill="1" applyBorder="1" applyAlignment="1" applyProtection="1">
      <alignment horizontal="center" vertical="center" wrapText="1"/>
    </xf>
    <xf numFmtId="0" fontId="24" fillId="11" borderId="125" xfId="6" applyFont="1" applyFill="1" applyBorder="1" applyAlignment="1" applyProtection="1">
      <alignment horizontal="center" vertical="center" wrapText="1"/>
    </xf>
    <xf numFmtId="0" fontId="58" fillId="11" borderId="132" xfId="6" applyFont="1" applyFill="1" applyBorder="1" applyAlignment="1" applyProtection="1">
      <alignment horizontal="center" vertical="center" wrapText="1"/>
      <protection locked="0"/>
    </xf>
    <xf numFmtId="0" fontId="58" fillId="11" borderId="116" xfId="6" applyFont="1" applyFill="1" applyBorder="1" applyAlignment="1" applyProtection="1">
      <alignment horizontal="center" vertical="center" wrapText="1"/>
      <protection locked="0"/>
    </xf>
    <xf numFmtId="0" fontId="57" fillId="10" borderId="90" xfId="6" applyFont="1" applyFill="1" applyBorder="1" applyAlignment="1" applyProtection="1">
      <alignment horizontal="left" vertical="center" wrapText="1"/>
    </xf>
    <xf numFmtId="166" fontId="57" fillId="11" borderId="182" xfId="6" applyNumberFormat="1" applyFont="1" applyFill="1" applyBorder="1" applyAlignment="1" applyProtection="1">
      <alignment horizontal="left" vertical="center" wrapText="1"/>
      <protection locked="0"/>
    </xf>
    <xf numFmtId="166" fontId="57" fillId="11" borderId="157" xfId="6" applyNumberFormat="1" applyFont="1" applyFill="1" applyBorder="1" applyAlignment="1" applyProtection="1">
      <alignment horizontal="left" vertical="center" wrapText="1"/>
      <protection locked="0"/>
    </xf>
    <xf numFmtId="166" fontId="57" fillId="11" borderId="183" xfId="6" applyNumberFormat="1" applyFont="1" applyFill="1" applyBorder="1" applyAlignment="1" applyProtection="1">
      <alignment horizontal="left" vertical="center" wrapText="1"/>
      <protection locked="0"/>
    </xf>
    <xf numFmtId="49" fontId="57" fillId="11" borderId="122" xfId="6" applyNumberFormat="1" applyFont="1" applyFill="1" applyBorder="1" applyAlignment="1" applyProtection="1">
      <alignment horizontal="left" vertical="center" wrapText="1"/>
      <protection locked="0"/>
    </xf>
    <xf numFmtId="49" fontId="57" fillId="11" borderId="134" xfId="6" applyNumberFormat="1" applyFont="1" applyFill="1" applyBorder="1" applyAlignment="1" applyProtection="1">
      <alignment horizontal="left" vertical="center" wrapText="1"/>
      <protection locked="0"/>
    </xf>
    <xf numFmtId="49" fontId="57" fillId="11" borderId="135" xfId="6" applyNumberFormat="1" applyFont="1" applyFill="1" applyBorder="1" applyAlignment="1" applyProtection="1">
      <alignment horizontal="left" vertical="center" wrapText="1"/>
      <protection locked="0"/>
    </xf>
    <xf numFmtId="0" fontId="63" fillId="3" borderId="59" xfId="6" applyFont="1" applyFill="1" applyBorder="1" applyAlignment="1" applyProtection="1">
      <alignment horizontal="center" vertical="center" wrapText="1"/>
    </xf>
    <xf numFmtId="0" fontId="63" fillId="3" borderId="60" xfId="6" applyFont="1" applyFill="1" applyBorder="1" applyAlignment="1" applyProtection="1">
      <alignment horizontal="center" vertical="center" wrapText="1"/>
    </xf>
    <xf numFmtId="0" fontId="63" fillId="3" borderId="61" xfId="6" applyFont="1" applyFill="1" applyBorder="1" applyAlignment="1" applyProtection="1">
      <alignment horizontal="center" vertical="center" wrapText="1"/>
    </xf>
    <xf numFmtId="49" fontId="57" fillId="11" borderId="129" xfId="6" applyNumberFormat="1" applyFont="1" applyFill="1" applyBorder="1" applyAlignment="1" applyProtection="1">
      <alignment horizontal="left" vertical="center" wrapText="1"/>
      <protection locked="0"/>
    </xf>
    <xf numFmtId="49" fontId="57" fillId="11" borderId="73" xfId="6" applyNumberFormat="1" applyFont="1" applyFill="1" applyBorder="1" applyAlignment="1" applyProtection="1">
      <alignment horizontal="left" vertical="center" wrapText="1"/>
      <protection locked="0"/>
    </xf>
    <xf numFmtId="0" fontId="63" fillId="3" borderId="126" xfId="6" applyFont="1" applyFill="1" applyBorder="1" applyAlignment="1" applyProtection="1">
      <alignment horizontal="center" vertical="center" wrapText="1"/>
    </xf>
    <xf numFmtId="1" fontId="51" fillId="3" borderId="75" xfId="6" applyNumberFormat="1" applyFont="1" applyFill="1" applyBorder="1" applyAlignment="1" applyProtection="1">
      <alignment horizontal="center" vertical="center" wrapText="1"/>
    </xf>
    <xf numFmtId="1" fontId="51" fillId="3" borderId="158" xfId="6" applyNumberFormat="1" applyFont="1" applyFill="1" applyBorder="1" applyAlignment="1" applyProtection="1">
      <alignment horizontal="center" vertical="center" wrapText="1"/>
    </xf>
    <xf numFmtId="0" fontId="70" fillId="11" borderId="109" xfId="5" applyFont="1" applyFill="1" applyBorder="1" applyAlignment="1" applyProtection="1">
      <alignment horizontal="center" vertical="center" wrapText="1"/>
    </xf>
    <xf numFmtId="0" fontId="70" fillId="11" borderId="126" xfId="5" applyFont="1" applyFill="1" applyBorder="1" applyAlignment="1" applyProtection="1">
      <alignment horizontal="center" vertical="center" wrapText="1"/>
    </xf>
    <xf numFmtId="0" fontId="70" fillId="11" borderId="80" xfId="5" applyFont="1" applyFill="1" applyBorder="1" applyAlignment="1" applyProtection="1">
      <alignment horizontal="center" vertical="center" wrapText="1"/>
    </xf>
    <xf numFmtId="0" fontId="70" fillId="11" borderId="108" xfId="5" applyFont="1" applyFill="1" applyBorder="1" applyAlignment="1" applyProtection="1">
      <alignment horizontal="center" vertical="center" wrapText="1"/>
    </xf>
    <xf numFmtId="0" fontId="70" fillId="11" borderId="0" xfId="5" applyFont="1" applyFill="1" applyBorder="1" applyAlignment="1" applyProtection="1">
      <alignment horizontal="center" vertical="center" wrapText="1"/>
    </xf>
    <xf numFmtId="0" fontId="70" fillId="11" borderId="106" xfId="5" applyFont="1" applyFill="1" applyBorder="1" applyAlignment="1" applyProtection="1">
      <alignment horizontal="center" vertical="center" wrapText="1"/>
    </xf>
    <xf numFmtId="0" fontId="70" fillId="11" borderId="113" xfId="5" applyFont="1" applyFill="1" applyBorder="1" applyAlignment="1" applyProtection="1">
      <alignment horizontal="center" vertical="center" wrapText="1"/>
    </xf>
    <xf numFmtId="0" fontId="70" fillId="11" borderId="155" xfId="5" applyFont="1" applyFill="1" applyBorder="1" applyAlignment="1" applyProtection="1">
      <alignment horizontal="center" vertical="center" wrapText="1"/>
    </xf>
    <xf numFmtId="0" fontId="70" fillId="11" borderId="114" xfId="5" applyFont="1" applyFill="1" applyBorder="1" applyAlignment="1" applyProtection="1">
      <alignment horizontal="center" vertical="center" wrapText="1"/>
    </xf>
    <xf numFmtId="1" fontId="51" fillId="3" borderId="133" xfId="6" applyNumberFormat="1" applyFont="1" applyFill="1" applyBorder="1" applyAlignment="1" applyProtection="1">
      <alignment horizontal="center" vertical="center" wrapText="1"/>
    </xf>
    <xf numFmtId="1" fontId="51" fillId="3" borderId="159" xfId="6" applyNumberFormat="1" applyFont="1" applyFill="1" applyBorder="1" applyAlignment="1" applyProtection="1">
      <alignment horizontal="center" vertical="center" wrapText="1"/>
    </xf>
    <xf numFmtId="2" fontId="6" fillId="11" borderId="131" xfId="6" applyNumberFormat="1" applyFont="1" applyFill="1" applyBorder="1" applyAlignment="1" applyProtection="1">
      <alignment horizontal="center" vertical="center" wrapText="1"/>
    </xf>
    <xf numFmtId="2" fontId="6" fillId="11" borderId="77" xfId="6" applyNumberFormat="1" applyFont="1" applyFill="1" applyBorder="1" applyAlignment="1" applyProtection="1">
      <alignment horizontal="center" vertical="center" wrapText="1"/>
    </xf>
    <xf numFmtId="0" fontId="51" fillId="3" borderId="129" xfId="6" applyFont="1" applyFill="1" applyBorder="1" applyAlignment="1" applyProtection="1">
      <alignment horizontal="center" vertical="center" wrapText="1"/>
    </xf>
    <xf numFmtId="0" fontId="8" fillId="11" borderId="109" xfId="6" applyFont="1" applyFill="1" applyBorder="1" applyAlignment="1" applyProtection="1">
      <alignment horizontal="center" vertical="center" wrapText="1"/>
    </xf>
    <xf numFmtId="0" fontId="8" fillId="11" borderId="80" xfId="6" applyFont="1" applyFill="1" applyBorder="1" applyAlignment="1" applyProtection="1">
      <alignment horizontal="center" vertical="center" wrapText="1"/>
    </xf>
    <xf numFmtId="0" fontId="8" fillId="11" borderId="108" xfId="6" applyFont="1" applyFill="1" applyBorder="1" applyAlignment="1" applyProtection="1">
      <alignment horizontal="center" vertical="center" wrapText="1"/>
    </xf>
    <xf numFmtId="0" fontId="8" fillId="11" borderId="106" xfId="6" applyFont="1" applyFill="1" applyBorder="1" applyAlignment="1" applyProtection="1">
      <alignment horizontal="center" vertical="center" wrapText="1"/>
    </xf>
    <xf numFmtId="0" fontId="8" fillId="11" borderId="113" xfId="6" applyFont="1" applyFill="1" applyBorder="1" applyAlignment="1" applyProtection="1">
      <alignment horizontal="center" vertical="center" wrapText="1"/>
    </xf>
    <xf numFmtId="0" fontId="8" fillId="11" borderId="114" xfId="6" applyFont="1" applyFill="1" applyBorder="1" applyAlignment="1" applyProtection="1">
      <alignment horizontal="center" vertical="center" wrapText="1"/>
    </xf>
    <xf numFmtId="0" fontId="64" fillId="3" borderId="108" xfId="6" applyFont="1" applyFill="1" applyBorder="1" applyAlignment="1" applyProtection="1">
      <alignment horizontal="center" vertical="center" wrapText="1"/>
    </xf>
    <xf numFmtId="0" fontId="64" fillId="3" borderId="113" xfId="6" applyFont="1" applyFill="1" applyBorder="1" applyAlignment="1" applyProtection="1">
      <alignment horizontal="center" vertical="center" wrapText="1"/>
    </xf>
    <xf numFmtId="0" fontId="64" fillId="3" borderId="82" xfId="6" applyFont="1" applyFill="1" applyBorder="1" applyAlignment="1" applyProtection="1">
      <alignment horizontal="center" vertical="center" wrapText="1"/>
    </xf>
    <xf numFmtId="0" fontId="64" fillId="3" borderId="79" xfId="6" applyFont="1" applyFill="1" applyBorder="1" applyAlignment="1" applyProtection="1">
      <alignment horizontal="center" vertical="center" wrapText="1"/>
    </xf>
    <xf numFmtId="0" fontId="64" fillId="3" borderId="124" xfId="6" applyFont="1" applyFill="1" applyBorder="1" applyAlignment="1" applyProtection="1">
      <alignment horizontal="center" vertical="center" wrapText="1"/>
    </xf>
    <xf numFmtId="1" fontId="55" fillId="3" borderId="119" xfId="6" applyNumberFormat="1" applyFont="1" applyFill="1" applyBorder="1" applyAlignment="1" applyProtection="1">
      <alignment horizontal="center" vertical="center" wrapText="1"/>
    </xf>
    <xf numFmtId="1" fontId="55" fillId="3" borderId="118" xfId="6" applyNumberFormat="1" applyFont="1" applyFill="1" applyBorder="1" applyAlignment="1" applyProtection="1">
      <alignment horizontal="center" vertical="center" wrapText="1"/>
    </xf>
    <xf numFmtId="0" fontId="66" fillId="11" borderId="109" xfId="6" applyFont="1" applyFill="1" applyBorder="1" applyAlignment="1" applyProtection="1">
      <alignment horizontal="center" vertical="center" wrapText="1"/>
    </xf>
    <xf numFmtId="0" fontId="66" fillId="11" borderId="80" xfId="6" applyFont="1" applyFill="1" applyBorder="1" applyAlignment="1" applyProtection="1">
      <alignment horizontal="center" vertical="center" wrapText="1"/>
    </xf>
    <xf numFmtId="0" fontId="66" fillId="11" borderId="113" xfId="6" applyFont="1" applyFill="1" applyBorder="1" applyAlignment="1" applyProtection="1">
      <alignment horizontal="center" vertical="center" wrapText="1"/>
    </xf>
    <xf numFmtId="0" fontId="66" fillId="11" borderId="114" xfId="6" applyFont="1" applyFill="1" applyBorder="1" applyAlignment="1" applyProtection="1">
      <alignment horizontal="center" vertical="center" wrapText="1"/>
    </xf>
    <xf numFmtId="0" fontId="58" fillId="11" borderId="109" xfId="6" applyFont="1" applyFill="1" applyBorder="1" applyAlignment="1" applyProtection="1">
      <alignment horizontal="center" vertical="center" wrapText="1"/>
    </xf>
    <xf numFmtId="0" fontId="58" fillId="11" borderId="80" xfId="6" applyFont="1" applyFill="1" applyBorder="1" applyAlignment="1" applyProtection="1">
      <alignment horizontal="center" vertical="center" wrapText="1"/>
    </xf>
    <xf numFmtId="0" fontId="24" fillId="11" borderId="108" xfId="6" applyFont="1" applyFill="1" applyBorder="1" applyAlignment="1" applyProtection="1">
      <alignment horizontal="center" vertical="center" wrapText="1"/>
    </xf>
    <xf numFmtId="0" fontId="24" fillId="11" borderId="106" xfId="6" applyFont="1" applyFill="1" applyBorder="1" applyAlignment="1" applyProtection="1">
      <alignment horizontal="center" vertical="center" wrapText="1"/>
    </xf>
    <xf numFmtId="0" fontId="24" fillId="11" borderId="113" xfId="6" applyFont="1" applyFill="1" applyBorder="1" applyAlignment="1" applyProtection="1">
      <alignment horizontal="center" vertical="center" wrapText="1"/>
    </xf>
    <xf numFmtId="0" fontId="24" fillId="11" borderId="114" xfId="6" applyFont="1" applyFill="1" applyBorder="1" applyAlignment="1" applyProtection="1">
      <alignment horizontal="center" vertical="center" wrapText="1"/>
    </xf>
    <xf numFmtId="0" fontId="2" fillId="0" borderId="27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41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10" fillId="2" borderId="2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" vertical="center"/>
    </xf>
    <xf numFmtId="0" fontId="11" fillId="2" borderId="55" xfId="0" applyFont="1" applyFill="1" applyBorder="1" applyAlignment="1">
      <alignment horizontal="center" vertical="center"/>
    </xf>
    <xf numFmtId="0" fontId="11" fillId="2" borderId="62" xfId="0" applyFont="1" applyFill="1" applyBorder="1" applyAlignment="1">
      <alignment horizontal="center" vertical="center"/>
    </xf>
    <xf numFmtId="0" fontId="29" fillId="2" borderId="54" xfId="0" applyFont="1" applyFill="1" applyBorder="1" applyAlignment="1">
      <alignment horizontal="center" vertical="center"/>
    </xf>
    <xf numFmtId="0" fontId="29" fillId="2" borderId="55" xfId="0" applyFont="1" applyFill="1" applyBorder="1" applyAlignment="1">
      <alignment horizontal="center" vertical="center"/>
    </xf>
    <xf numFmtId="0" fontId="29" fillId="2" borderId="62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40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60" fillId="3" borderId="139" xfId="0" applyFont="1" applyFill="1" applyBorder="1" applyAlignment="1">
      <alignment horizontal="center" vertical="center"/>
    </xf>
    <xf numFmtId="49" fontId="59" fillId="0" borderId="139" xfId="0" applyNumberFormat="1" applyFont="1" applyBorder="1" applyAlignment="1">
      <alignment horizontal="left" vertical="center"/>
    </xf>
    <xf numFmtId="0" fontId="59" fillId="0" borderId="139" xfId="0" applyNumberFormat="1" applyFont="1" applyBorder="1" applyAlignment="1">
      <alignment horizontal="left" vertical="center"/>
    </xf>
    <xf numFmtId="0" fontId="59" fillId="0" borderId="149" xfId="0" applyNumberFormat="1" applyFont="1" applyBorder="1" applyAlignment="1">
      <alignment horizontal="left" vertical="center"/>
    </xf>
    <xf numFmtId="0" fontId="79" fillId="0" borderId="138" xfId="0" applyFont="1" applyFill="1" applyBorder="1" applyAlignment="1" applyProtection="1">
      <alignment horizontal="left" vertical="top"/>
      <protection locked="0"/>
    </xf>
    <xf numFmtId="0" fontId="79" fillId="0" borderId="0" xfId="0" applyFont="1" applyFill="1" applyBorder="1" applyAlignment="1" applyProtection="1">
      <alignment horizontal="left" vertical="top"/>
      <protection locked="0"/>
    </xf>
    <xf numFmtId="0" fontId="69" fillId="0" borderId="165" xfId="0" applyFont="1" applyBorder="1" applyAlignment="1" applyProtection="1">
      <alignment horizontal="center" vertical="center" wrapText="1"/>
      <protection locked="0"/>
    </xf>
    <xf numFmtId="0" fontId="69" fillId="0" borderId="175" xfId="0" applyFont="1" applyBorder="1" applyAlignment="1" applyProtection="1">
      <alignment horizontal="center" vertical="center" wrapText="1"/>
      <protection locked="0"/>
    </xf>
    <xf numFmtId="0" fontId="55" fillId="0" borderId="163" xfId="0" applyFont="1" applyFill="1" applyBorder="1" applyAlignment="1">
      <alignment horizontal="center" vertical="center" wrapText="1"/>
    </xf>
    <xf numFmtId="0" fontId="55" fillId="0" borderId="85" xfId="0" applyFont="1" applyFill="1" applyBorder="1" applyAlignment="1">
      <alignment horizontal="center" vertical="center" wrapText="1"/>
    </xf>
    <xf numFmtId="0" fontId="55" fillId="0" borderId="170" xfId="0" applyFont="1" applyFill="1" applyBorder="1" applyAlignment="1">
      <alignment horizontal="center" vertical="center" wrapText="1"/>
    </xf>
    <xf numFmtId="0" fontId="55" fillId="0" borderId="86" xfId="0" applyFont="1" applyFill="1" applyBorder="1" applyAlignment="1">
      <alignment horizontal="center" vertical="center" wrapText="1"/>
    </xf>
    <xf numFmtId="0" fontId="55" fillId="0" borderId="87" xfId="0" applyFont="1" applyFill="1" applyBorder="1" applyAlignment="1">
      <alignment horizontal="center" vertical="center" wrapText="1"/>
    </xf>
    <xf numFmtId="0" fontId="55" fillId="0" borderId="171" xfId="0" applyFont="1" applyFill="1" applyBorder="1" applyAlignment="1">
      <alignment horizontal="center" vertical="center" wrapText="1"/>
    </xf>
    <xf numFmtId="0" fontId="60" fillId="3" borderId="179" xfId="0" applyFont="1" applyFill="1" applyBorder="1" applyAlignment="1">
      <alignment horizontal="center" vertical="center"/>
    </xf>
    <xf numFmtId="0" fontId="60" fillId="3" borderId="180" xfId="0" applyFont="1" applyFill="1" applyBorder="1" applyAlignment="1">
      <alignment horizontal="center" vertical="center"/>
    </xf>
    <xf numFmtId="0" fontId="60" fillId="3" borderId="181" xfId="0" applyFont="1" applyFill="1" applyBorder="1" applyAlignment="1">
      <alignment horizontal="center" vertical="center"/>
    </xf>
    <xf numFmtId="0" fontId="57" fillId="0" borderId="167" xfId="0" applyFont="1" applyFill="1" applyBorder="1" applyAlignment="1">
      <alignment horizontal="left" vertical="center" wrapText="1"/>
    </xf>
    <xf numFmtId="0" fontId="57" fillId="0" borderId="84" xfId="0" applyFont="1" applyFill="1" applyBorder="1" applyAlignment="1">
      <alignment horizontal="left" vertical="center"/>
    </xf>
    <xf numFmtId="0" fontId="57" fillId="0" borderId="83" xfId="0" applyFont="1" applyFill="1" applyBorder="1" applyAlignment="1">
      <alignment horizontal="left" vertical="top" wrapText="1"/>
    </xf>
    <xf numFmtId="0" fontId="57" fillId="0" borderId="102" xfId="0" applyFont="1" applyFill="1" applyBorder="1" applyAlignment="1">
      <alignment horizontal="left" vertical="top"/>
    </xf>
    <xf numFmtId="0" fontId="57" fillId="0" borderId="168" xfId="0" applyFont="1" applyFill="1" applyBorder="1" applyAlignment="1">
      <alignment horizontal="left" vertical="top"/>
    </xf>
    <xf numFmtId="14" fontId="69" fillId="0" borderId="83" xfId="0" applyNumberFormat="1" applyFont="1" applyFill="1" applyBorder="1" applyAlignment="1" applyProtection="1">
      <alignment horizontal="center" vertical="center" wrapText="1"/>
      <protection locked="0"/>
    </xf>
    <xf numFmtId="0" fontId="69" fillId="0" borderId="168" xfId="0" applyFont="1" applyFill="1" applyBorder="1" applyAlignment="1" applyProtection="1">
      <alignment horizontal="center" vertical="center" wrapText="1"/>
      <protection locked="0"/>
    </xf>
    <xf numFmtId="44" fontId="69" fillId="0" borderId="83" xfId="3" applyFont="1" applyFill="1" applyBorder="1"/>
    <xf numFmtId="44" fontId="69" fillId="0" borderId="168" xfId="3" applyFont="1" applyFill="1" applyBorder="1"/>
    <xf numFmtId="0" fontId="12" fillId="0" borderId="83" xfId="0" applyFont="1" applyBorder="1" applyAlignment="1">
      <alignment horizontal="center" vertical="center"/>
    </xf>
    <xf numFmtId="0" fontId="12" fillId="0" borderId="102" xfId="0" applyFont="1" applyBorder="1" applyAlignment="1">
      <alignment horizontal="center" vertical="center"/>
    </xf>
    <xf numFmtId="0" fontId="12" fillId="0" borderId="84" xfId="0" applyFont="1" applyBorder="1" applyAlignment="1">
      <alignment horizontal="center" vertical="center"/>
    </xf>
    <xf numFmtId="0" fontId="60" fillId="3" borderId="78" xfId="0" applyFont="1" applyFill="1" applyBorder="1" applyAlignment="1">
      <alignment horizontal="center" vertical="center"/>
    </xf>
    <xf numFmtId="0" fontId="69" fillId="0" borderId="78" xfId="0" applyFont="1" applyBorder="1" applyAlignment="1" applyProtection="1">
      <alignment horizontal="center" vertical="center" wrapText="1"/>
      <protection locked="0"/>
    </xf>
    <xf numFmtId="0" fontId="69" fillId="0" borderId="83" xfId="0" applyFont="1" applyFill="1" applyBorder="1" applyAlignment="1" applyProtection="1">
      <alignment horizontal="center" vertical="center" wrapText="1"/>
      <protection locked="0"/>
    </xf>
    <xf numFmtId="0" fontId="69" fillId="0" borderId="84" xfId="0" applyFont="1" applyFill="1" applyBorder="1" applyAlignment="1" applyProtection="1">
      <alignment horizontal="center" vertical="center" wrapText="1"/>
      <protection locked="0"/>
    </xf>
    <xf numFmtId="0" fontId="55" fillId="0" borderId="161" xfId="0" applyFont="1" applyFill="1" applyBorder="1" applyAlignment="1">
      <alignment horizontal="center" vertical="center" wrapText="1"/>
    </xf>
    <xf numFmtId="0" fontId="55" fillId="0" borderId="164" xfId="0" applyFont="1" applyFill="1" applyBorder="1" applyAlignment="1">
      <alignment horizontal="center" vertical="center" wrapText="1"/>
    </xf>
    <xf numFmtId="0" fontId="57" fillId="0" borderId="83" xfId="0" applyFont="1" applyFill="1" applyBorder="1" applyAlignment="1">
      <alignment horizontal="left" vertical="center" wrapText="1"/>
    </xf>
    <xf numFmtId="0" fontId="60" fillId="0" borderId="83" xfId="0" applyFont="1" applyFill="1" applyBorder="1" applyAlignment="1">
      <alignment horizontal="center" vertical="center"/>
    </xf>
    <xf numFmtId="0" fontId="60" fillId="0" borderId="102" xfId="0" applyFont="1" applyFill="1" applyBorder="1" applyAlignment="1">
      <alignment horizontal="center" vertical="center"/>
    </xf>
    <xf numFmtId="0" fontId="60" fillId="0" borderId="84" xfId="0" applyFont="1" applyFill="1" applyBorder="1" applyAlignment="1">
      <alignment horizontal="center" vertical="center"/>
    </xf>
    <xf numFmtId="44" fontId="65" fillId="10" borderId="139" xfId="0" applyNumberFormat="1" applyFont="1" applyFill="1" applyBorder="1" applyAlignment="1">
      <alignment horizontal="center" vertical="center"/>
    </xf>
    <xf numFmtId="0" fontId="65" fillId="0" borderId="139" xfId="0" applyNumberFormat="1" applyFont="1" applyFill="1" applyBorder="1" applyAlignment="1">
      <alignment horizontal="center" vertical="center" wrapText="1"/>
    </xf>
    <xf numFmtId="0" fontId="65" fillId="3" borderId="138" xfId="0" applyNumberFormat="1" applyFont="1" applyFill="1" applyBorder="1" applyAlignment="1">
      <alignment horizontal="center" vertical="center"/>
    </xf>
    <xf numFmtId="0" fontId="65" fillId="3" borderId="166" xfId="0" applyNumberFormat="1" applyFont="1" applyFill="1" applyBorder="1" applyAlignment="1">
      <alignment horizontal="center" vertical="center"/>
    </xf>
    <xf numFmtId="0" fontId="65" fillId="3" borderId="138" xfId="0" applyNumberFormat="1" applyFont="1" applyFill="1" applyBorder="1" applyAlignment="1">
      <alignment horizontal="center" vertical="center" wrapText="1"/>
    </xf>
    <xf numFmtId="0" fontId="65" fillId="3" borderId="166" xfId="0" applyNumberFormat="1" applyFont="1" applyFill="1" applyBorder="1" applyAlignment="1">
      <alignment horizontal="center" vertical="center" wrapText="1"/>
    </xf>
    <xf numFmtId="0" fontId="61" fillId="3" borderId="139" xfId="0" applyFont="1" applyFill="1" applyBorder="1" applyAlignment="1">
      <alignment horizontal="center" vertical="center" wrapText="1"/>
    </xf>
    <xf numFmtId="0" fontId="71" fillId="0" borderId="139" xfId="0" applyFont="1" applyFill="1" applyBorder="1" applyAlignment="1">
      <alignment horizontal="center" vertical="center" wrapText="1"/>
    </xf>
    <xf numFmtId="0" fontId="72" fillId="0" borderId="139" xfId="0" applyFont="1" applyFill="1" applyBorder="1" applyAlignment="1">
      <alignment horizontal="center" vertical="center"/>
    </xf>
    <xf numFmtId="0" fontId="10" fillId="3" borderId="78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87" xfId="0" applyFont="1" applyFill="1" applyBorder="1" applyAlignment="1">
      <alignment horizontal="center" vertical="center"/>
    </xf>
    <xf numFmtId="0" fontId="10" fillId="3" borderId="138" xfId="0" applyFont="1" applyFill="1" applyBorder="1" applyAlignment="1">
      <alignment horizontal="center" vertical="center"/>
    </xf>
    <xf numFmtId="0" fontId="10" fillId="3" borderId="86" xfId="0" applyFont="1" applyFill="1" applyBorder="1" applyAlignment="1">
      <alignment horizontal="center" vertical="center"/>
    </xf>
    <xf numFmtId="0" fontId="73" fillId="11" borderId="161" xfId="0" applyFont="1" applyFill="1" applyBorder="1" applyAlignment="1">
      <alignment horizontal="center" vertical="center"/>
    </xf>
    <xf numFmtId="0" fontId="73" fillId="11" borderId="162" xfId="0" applyFont="1" applyFill="1" applyBorder="1" applyAlignment="1">
      <alignment horizontal="center" vertical="center"/>
    </xf>
    <xf numFmtId="0" fontId="19" fillId="0" borderId="3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30" fillId="7" borderId="18" xfId="0" applyFont="1" applyFill="1" applyBorder="1" applyAlignment="1">
      <alignment horizontal="center" vertical="center"/>
    </xf>
    <xf numFmtId="0" fontId="30" fillId="7" borderId="19" xfId="0" applyFont="1" applyFill="1" applyBorder="1" applyAlignment="1">
      <alignment horizontal="center" vertical="center"/>
    </xf>
    <xf numFmtId="0" fontId="30" fillId="7" borderId="20" xfId="0" applyFont="1" applyFill="1" applyBorder="1" applyAlignment="1">
      <alignment horizontal="center" vertical="center"/>
    </xf>
    <xf numFmtId="0" fontId="10" fillId="8" borderId="18" xfId="0" applyFont="1" applyFill="1" applyBorder="1" applyAlignment="1">
      <alignment horizontal="center" vertical="center"/>
    </xf>
    <xf numFmtId="0" fontId="10" fillId="8" borderId="19" xfId="0" applyFont="1" applyFill="1" applyBorder="1" applyAlignment="1">
      <alignment horizontal="center" vertical="center"/>
    </xf>
    <xf numFmtId="0" fontId="28" fillId="0" borderId="18" xfId="0" applyFont="1" applyBorder="1" applyAlignment="1" applyProtection="1">
      <alignment horizontal="left" vertical="top" wrapText="1"/>
      <protection locked="0"/>
    </xf>
    <xf numFmtId="0" fontId="28" fillId="0" borderId="19" xfId="0" applyFont="1" applyBorder="1" applyAlignment="1" applyProtection="1">
      <alignment horizontal="left" vertical="top" wrapText="1"/>
      <protection locked="0"/>
    </xf>
    <xf numFmtId="0" fontId="28" fillId="0" borderId="20" xfId="0" applyFont="1" applyBorder="1" applyAlignment="1" applyProtection="1">
      <alignment horizontal="left" vertical="top" wrapText="1"/>
      <protection locked="0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7" fillId="0" borderId="48" xfId="0" applyFont="1" applyBorder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49" fontId="2" fillId="0" borderId="42" xfId="0" applyNumberFormat="1" applyFont="1" applyBorder="1" applyAlignment="1">
      <alignment horizontal="center" vertical="top" wrapText="1"/>
    </xf>
    <xf numFmtId="49" fontId="2" fillId="0" borderId="34" xfId="0" applyNumberFormat="1" applyFont="1" applyBorder="1" applyAlignment="1">
      <alignment horizontal="center" vertical="top" wrapText="1"/>
    </xf>
    <xf numFmtId="49" fontId="2" fillId="0" borderId="52" xfId="0" applyNumberFormat="1" applyFont="1" applyBorder="1" applyAlignment="1">
      <alignment horizontal="center" vertical="top" wrapText="1"/>
    </xf>
    <xf numFmtId="49" fontId="2" fillId="0" borderId="57" xfId="0" applyNumberFormat="1" applyFont="1" applyBorder="1" applyAlignment="1">
      <alignment horizontal="center" vertical="top" wrapText="1"/>
    </xf>
    <xf numFmtId="0" fontId="2" fillId="0" borderId="57" xfId="0" applyNumberFormat="1" applyFont="1" applyBorder="1" applyAlignment="1">
      <alignment horizontal="center" vertical="top" wrapText="1"/>
    </xf>
    <xf numFmtId="0" fontId="2" fillId="0" borderId="46" xfId="0" applyNumberFormat="1" applyFont="1" applyBorder="1" applyAlignment="1">
      <alignment horizontal="center" vertical="top" wrapText="1"/>
    </xf>
    <xf numFmtId="0" fontId="2" fillId="0" borderId="58" xfId="0" applyFont="1" applyBorder="1" applyAlignment="1">
      <alignment horizontal="center" vertical="top" wrapText="1"/>
    </xf>
    <xf numFmtId="0" fontId="2" fillId="0" borderId="56" xfId="0" applyFont="1" applyBorder="1" applyAlignment="1">
      <alignment horizontal="center" vertical="top" wrapText="1"/>
    </xf>
    <xf numFmtId="0" fontId="2" fillId="0" borderId="51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top" wrapText="1"/>
    </xf>
    <xf numFmtId="0" fontId="2" fillId="0" borderId="50" xfId="0" applyFont="1" applyBorder="1" applyAlignment="1">
      <alignment horizontal="center" vertical="top" wrapText="1"/>
    </xf>
    <xf numFmtId="0" fontId="2" fillId="0" borderId="47" xfId="0" applyFont="1" applyBorder="1" applyAlignment="1">
      <alignment horizontal="center" vertical="top" wrapText="1"/>
    </xf>
    <xf numFmtId="0" fontId="33" fillId="0" borderId="18" xfId="0" applyFont="1" applyBorder="1" applyAlignment="1" applyProtection="1">
      <alignment horizontal="center" vertical="top" wrapText="1"/>
      <protection locked="0"/>
    </xf>
    <xf numFmtId="0" fontId="33" fillId="0" borderId="19" xfId="0" applyFont="1" applyBorder="1" applyAlignment="1" applyProtection="1">
      <alignment horizontal="center" vertical="top" wrapText="1"/>
      <protection locked="0"/>
    </xf>
    <xf numFmtId="0" fontId="33" fillId="0" borderId="20" xfId="0" applyFont="1" applyBorder="1" applyAlignment="1" applyProtection="1">
      <alignment horizontal="center" vertical="top" wrapText="1"/>
      <protection locked="0"/>
    </xf>
  </cellXfs>
  <cellStyles count="10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Monétaire 2" xfId="9" xr:uid="{0FA4B8A4-50B1-4BA2-968A-3A1B21A24B27}"/>
    <cellStyle name="Normal" xfId="0" builtinId="0"/>
    <cellStyle name="Normal 2" xfId="4" xr:uid="{00000000-0005-0000-0000-000005000000}"/>
    <cellStyle name="Normal 3" xfId="6" xr:uid="{9425A43B-5DB3-4BA5-A419-E9F2F98B583B}"/>
    <cellStyle name="Normal 3 2" xfId="8" xr:uid="{E7E7B264-226D-4D22-842C-D4AED053CD92}"/>
    <cellStyle name="Normal 4" xfId="7" xr:uid="{115DE186-EF13-4EE9-BB50-F5EB60E970C8}"/>
  </cellStyles>
  <dxfs count="67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6" tint="0.59996337778862885"/>
        </patternFill>
      </fill>
    </dxf>
    <dxf>
      <fill>
        <patternFill patternType="none">
          <fgColor auto="1"/>
          <bgColor auto="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1"/>
        <color rgb="FF1F497D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2450509</xdr:colOff>
      <xdr:row>5</xdr:row>
      <xdr:rowOff>382141</xdr:rowOff>
    </xdr:from>
    <xdr:to>
      <xdr:col>2</xdr:col>
      <xdr:colOff>4155822</xdr:colOff>
      <xdr:row>5</xdr:row>
      <xdr:rowOff>648683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509" y="1899791"/>
          <a:ext cx="1705313" cy="266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commandes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1971675</xdr:colOff>
          <xdr:row>2</xdr:row>
          <xdr:rowOff>504825</xdr:rowOff>
        </xdr:from>
        <xdr:to>
          <xdr:col>7</xdr:col>
          <xdr:colOff>3429000</xdr:colOff>
          <xdr:row>3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66" tableBorderDxfId="65">
  <autoFilter ref="B9:F10" xr:uid="{5A90F09D-1587-42B4-B0CA-779D97F86391}"/>
  <tableColumns count="5">
    <tableColumn id="1" xr3:uid="{161C9312-DDE7-4B10-B6CA-7424FD978E96}" name="CODE" dataDxfId="64"/>
    <tableColumn id="2" xr3:uid="{A1ED327A-62F0-43A5-8BB3-B1C75128CE21}" name="DESIGNATION" dataDxfId="63"/>
    <tableColumn id="3" xr3:uid="{8CA943E5-7C0D-46C3-AA08-C32135D57173}" name="UNITE" dataDxfId="62"/>
    <tableColumn id="4" xr3:uid="{C70D7847-3821-4D16-AD86-08FEBF46E5E1}" name="QTE" dataDxfId="61"/>
    <tableColumn id="5" xr3:uid="{C9330A21-0ED9-46F0-B3F5-39FEA7130357}" name="PRIX" dataDxfId="6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19420-E72B-45A0-A05A-9A60064049E7}" name="Tableau46" displayName="Tableau46" ref="B9:F10" insertRow="1" totalsRowShown="0" dataDxfId="59" tableBorderDxfId="58">
  <autoFilter ref="B9:F10" xr:uid="{5A90F09D-1587-42B4-B0CA-779D97F86391}"/>
  <tableColumns count="5">
    <tableColumn id="1" xr3:uid="{FCA62C4F-F7EA-487B-9FA4-8EAE07F89E33}" name="CODE" dataDxfId="57"/>
    <tableColumn id="2" xr3:uid="{D25B4304-5B96-4FEF-BEBE-B7F07158F08B}" name="DESIGNATION" dataDxfId="56"/>
    <tableColumn id="3" xr3:uid="{1CE85522-7FED-4BF0-83DA-6FE2F110A223}" name="UNITE" dataDxfId="55"/>
    <tableColumn id="4" xr3:uid="{AB0FFBAB-213E-4E94-A3FB-251BD24AB8CA}" name="QTE" dataDxfId="54"/>
    <tableColumn id="5" xr3:uid="{3EDB9888-6C2C-451B-83FE-5634C493046A}" name="PRIX" dataDxfId="5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52" dataDxfId="51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50"/>
    <tableColumn id="2" xr3:uid="{1AEDBBCF-B969-4BF3-B02E-64C46A23AD59}" name="DESIGNATION" dataDxfId="49"/>
    <tableColumn id="3" xr3:uid="{4EA59147-749C-4468-9B7B-4B4C9BBD75F5}" name="ORIGINE" dataDxfId="48"/>
    <tableColumn id="4" xr3:uid="{585E701F-252D-430B-B33D-35A060232053}" name="PRODUCTO" dataDxfId="47"/>
    <tableColumn id="5" xr3:uid="{BF762DE2-2875-4434-9FD8-5D34C4701DC5}" name="ORIGEN" dataDxfId="46"/>
    <tableColumn id="14" xr3:uid="{C630E999-3D2A-48BF-A595-13C941E3AA4D}" name="INFO" dataDxfId="45"/>
    <tableColumn id="6" xr3:uid="{63CBA093-A0CF-42D1-8680-E35812F05A60}" name="PRIX_x000a_(sans FDP)" dataDxfId="44"/>
    <tableColumn id="9" xr3:uid="{D1A6CE2E-8DA8-46AE-B77F-3B2DDB8812A5}" name="UNITÉ" dataDxfId="43" dataCellStyle="Euro"/>
    <tableColumn id="10" xr3:uid="{46004EA1-DE5E-40BC-8A28-C643E5A540E3}" name="10kg" dataDxfId="42"/>
    <tableColumn id="11" xr3:uid="{F1DD5222-A015-46A4-B4E7-21D19F188CA5}" name="30kg" dataDxfId="41"/>
    <tableColumn id="16" xr3:uid="{19EB7FC2-278F-4573-835E-468B5744FEAB}" name="60kg" dataDxfId="40"/>
    <tableColumn id="7" xr3:uid="{97077F7B-9CC3-4B5D-A442-AF96610D1326}" name="5kg_x000a_Min" dataDxfId="39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38"/>
    <tableColumn id="2" xr3:uid="{00000000-0010-0000-0000-000002000000}" name="DPT" dataDxfId="37"/>
    <tableColumn id="3" xr3:uid="{00000000-0010-0000-0000-000003000000}" name="1 à 100 kg" dataDxfId="36"/>
    <tableColumn id="4" xr3:uid="{00000000-0010-0000-0000-000004000000}" name="101 à 200 kg" dataDxfId="3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34"/>
    <tableColumn id="2" xr3:uid="{00000000-0010-0000-0100-000002000000}" name="DPT" dataDxfId="33"/>
    <tableColumn id="3" xr3:uid="{00000000-0010-0000-0100-000003000000}" name="1 à 1 pal" dataDxfId="3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9"/>
  </sheetPr>
  <dimension ref="A1:W81"/>
  <sheetViews>
    <sheetView zoomScale="150" zoomScaleNormal="150" workbookViewId="0">
      <selection activeCell="C12" sqref="C12"/>
    </sheetView>
  </sheetViews>
  <sheetFormatPr baseColWidth="10" defaultColWidth="0" defaultRowHeight="11.25" zeroHeight="1"/>
  <cols>
    <col min="1" max="1" width="0.85546875" style="78" customWidth="1"/>
    <col min="2" max="2" width="16.28515625" style="78" customWidth="1"/>
    <col min="3" max="3" width="63.140625" style="78" customWidth="1"/>
    <col min="4" max="4" width="3.42578125" style="99" customWidth="1"/>
    <col min="5" max="5" width="5.28515625" style="99" bestFit="1" customWidth="1"/>
    <col min="6" max="6" width="8.140625" style="99" bestFit="1" customWidth="1"/>
    <col min="7" max="7" width="10.42578125" style="99" bestFit="1" customWidth="1"/>
    <col min="8" max="8" width="8.7109375" style="99" customWidth="1"/>
    <col min="9" max="9" width="11.42578125" style="99" customWidth="1"/>
    <col min="10" max="11" width="8.7109375" style="99" customWidth="1"/>
    <col min="12" max="12" width="8.7109375" style="188" customWidth="1"/>
    <col min="13" max="13" width="9" style="185" customWidth="1"/>
    <col min="14" max="14" width="5.140625" style="78" hidden="1" customWidth="1"/>
    <col min="15" max="15" width="4.42578125" style="78" hidden="1" customWidth="1"/>
    <col min="16" max="16" width="4.7109375" style="78" hidden="1" customWidth="1"/>
    <col min="17" max="23" width="0" style="78" hidden="1" customWidth="1"/>
    <col min="24" max="16384" width="10.85546875" style="78" hidden="1"/>
  </cols>
  <sheetData>
    <row r="1" spans="2:13" ht="5.0999999999999996" customHeight="1" thickBot="1"/>
    <row r="2" spans="2:13" ht="19.5" thickBot="1">
      <c r="B2" s="332" t="s">
        <v>0</v>
      </c>
      <c r="C2" s="333" t="s">
        <v>0</v>
      </c>
      <c r="D2" s="103"/>
      <c r="E2" s="103"/>
      <c r="F2" s="103"/>
      <c r="G2" s="103"/>
      <c r="H2" s="103"/>
      <c r="I2" s="103"/>
      <c r="J2" s="103"/>
      <c r="K2" s="103"/>
      <c r="L2" s="184"/>
    </row>
    <row r="3" spans="2:13" ht="15.75" thickBot="1">
      <c r="B3" s="100" t="s">
        <v>1</v>
      </c>
      <c r="C3" s="101" t="s">
        <v>2</v>
      </c>
      <c r="E3" s="350" t="s">
        <v>3</v>
      </c>
      <c r="F3" s="351"/>
      <c r="G3" s="351"/>
      <c r="H3" s="351"/>
      <c r="I3" s="351"/>
      <c r="J3" s="351"/>
      <c r="K3" s="352"/>
      <c r="L3" s="186"/>
      <c r="M3" s="186"/>
    </row>
    <row r="4" spans="2:13" ht="27" thickTop="1" thickBot="1">
      <c r="B4" s="96" t="s">
        <v>4</v>
      </c>
      <c r="C4" s="102" t="s">
        <v>5</v>
      </c>
      <c r="D4" s="103"/>
      <c r="E4" s="258" t="s">
        <v>6</v>
      </c>
      <c r="F4" s="259" t="s">
        <v>7</v>
      </c>
      <c r="G4" s="259" t="s">
        <v>8</v>
      </c>
      <c r="H4" s="259" t="s">
        <v>9</v>
      </c>
      <c r="I4" s="337" t="s">
        <v>10</v>
      </c>
      <c r="J4" s="337"/>
      <c r="K4" s="338"/>
      <c r="L4" s="190"/>
    </row>
    <row r="5" spans="2:13" ht="15" customHeight="1">
      <c r="B5" s="334" t="s">
        <v>11</v>
      </c>
      <c r="C5" s="104" t="s">
        <v>12</v>
      </c>
      <c r="D5" s="103"/>
      <c r="E5" s="260" t="s">
        <v>13</v>
      </c>
      <c r="F5" s="250" t="s">
        <v>14</v>
      </c>
      <c r="G5" s="250" t="s">
        <v>15</v>
      </c>
      <c r="H5" s="250" t="s">
        <v>16</v>
      </c>
      <c r="I5" s="339" t="s">
        <v>17</v>
      </c>
      <c r="J5" s="339"/>
      <c r="K5" s="340"/>
      <c r="L5" s="190"/>
    </row>
    <row r="6" spans="2:13" ht="56.25">
      <c r="B6" s="335"/>
      <c r="C6" s="80" t="s">
        <v>18</v>
      </c>
      <c r="D6" s="103"/>
      <c r="E6" s="344" t="s">
        <v>19</v>
      </c>
      <c r="F6" s="345"/>
      <c r="G6" s="345"/>
      <c r="H6" s="345"/>
      <c r="I6" s="345"/>
      <c r="J6" s="345"/>
      <c r="K6" s="346"/>
      <c r="L6" s="191"/>
    </row>
    <row r="7" spans="2:13" ht="39.950000000000003" customHeight="1">
      <c r="B7" s="335"/>
      <c r="C7" s="80" t="s">
        <v>20</v>
      </c>
      <c r="D7" s="81"/>
      <c r="E7" s="255" t="s">
        <v>21</v>
      </c>
      <c r="F7" s="256" t="s">
        <v>22</v>
      </c>
      <c r="G7" s="256" t="s">
        <v>23</v>
      </c>
      <c r="H7" s="256" t="s">
        <v>24</v>
      </c>
      <c r="I7" s="256" t="s">
        <v>25</v>
      </c>
      <c r="J7" s="256" t="s">
        <v>26</v>
      </c>
      <c r="K7" s="257" t="s">
        <v>27</v>
      </c>
      <c r="L7" s="191"/>
    </row>
    <row r="8" spans="2:13" ht="18.75" customHeight="1">
      <c r="B8" s="335"/>
      <c r="C8" s="82" t="s">
        <v>28</v>
      </c>
      <c r="E8" s="341" t="s">
        <v>29</v>
      </c>
      <c r="F8" s="342"/>
      <c r="G8" s="342"/>
      <c r="H8" s="342"/>
      <c r="I8" s="342"/>
      <c r="J8" s="342"/>
      <c r="K8" s="343"/>
      <c r="L8" s="189"/>
    </row>
    <row r="9" spans="2:13" ht="60" customHeight="1" thickBot="1">
      <c r="B9" s="336"/>
      <c r="C9" s="83" t="s">
        <v>30</v>
      </c>
      <c r="E9" s="347" t="s">
        <v>31</v>
      </c>
      <c r="F9" s="348"/>
      <c r="G9" s="348"/>
      <c r="H9" s="348"/>
      <c r="I9" s="348"/>
      <c r="J9" s="348"/>
      <c r="K9" s="349"/>
      <c r="L9" s="189"/>
    </row>
    <row r="10" spans="2:13" ht="54.95" customHeight="1" thickBot="1">
      <c r="B10" s="334" t="s">
        <v>32</v>
      </c>
      <c r="C10" s="84" t="s">
        <v>33</v>
      </c>
      <c r="E10" s="353" t="s">
        <v>34</v>
      </c>
      <c r="F10" s="328"/>
      <c r="G10" s="328"/>
      <c r="H10" s="328" t="s">
        <v>35</v>
      </c>
      <c r="I10" s="328"/>
      <c r="J10" s="251"/>
      <c r="K10" s="252"/>
    </row>
    <row r="11" spans="2:13" ht="39.950000000000003" customHeight="1" thickBot="1">
      <c r="B11" s="336"/>
      <c r="C11" s="84" t="s">
        <v>36</v>
      </c>
      <c r="E11" s="354" t="s">
        <v>37</v>
      </c>
      <c r="F11" s="329"/>
      <c r="G11" s="329"/>
      <c r="H11" s="329" t="s">
        <v>38</v>
      </c>
      <c r="I11" s="329"/>
      <c r="J11" s="253"/>
      <c r="K11" s="254"/>
    </row>
    <row r="12" spans="2:13" ht="90.75" thickBot="1">
      <c r="B12" s="95" t="s">
        <v>39</v>
      </c>
      <c r="C12" s="102" t="s">
        <v>40</v>
      </c>
      <c r="D12" s="103"/>
      <c r="E12" s="103"/>
      <c r="F12" s="103"/>
      <c r="G12" s="103"/>
      <c r="H12" s="103"/>
      <c r="I12" s="103"/>
      <c r="J12" s="103"/>
      <c r="K12" s="103"/>
      <c r="L12" s="184"/>
    </row>
    <row r="13" spans="2:13" ht="39.950000000000003" customHeight="1" thickBot="1">
      <c r="B13" s="95" t="s">
        <v>41</v>
      </c>
      <c r="C13" s="102" t="s">
        <v>42</v>
      </c>
      <c r="D13" s="103"/>
      <c r="E13" s="103"/>
      <c r="F13" s="103"/>
      <c r="G13" s="103"/>
      <c r="H13" s="103"/>
      <c r="I13" s="103"/>
      <c r="J13" s="103"/>
      <c r="K13" s="103"/>
      <c r="L13" s="184"/>
    </row>
    <row r="14" spans="2:13" ht="12" thickBot="1">
      <c r="B14" s="85"/>
      <c r="C14" s="86"/>
    </row>
    <row r="15" spans="2:13" ht="12" thickBot="1">
      <c r="B15" s="330" t="s">
        <v>43</v>
      </c>
      <c r="C15" s="331"/>
    </row>
    <row r="16" spans="2:13" ht="12" thickBot="1">
      <c r="B16" s="87" t="s">
        <v>44</v>
      </c>
      <c r="C16" s="79" t="s">
        <v>2</v>
      </c>
    </row>
    <row r="17" spans="2:13">
      <c r="B17" s="88"/>
      <c r="C17" s="89" t="s">
        <v>45</v>
      </c>
    </row>
    <row r="18" spans="2:13">
      <c r="B18" s="90"/>
      <c r="C18" s="91" t="s">
        <v>46</v>
      </c>
    </row>
    <row r="19" spans="2:13">
      <c r="B19" s="92" t="s">
        <v>47</v>
      </c>
      <c r="C19" s="91" t="s">
        <v>48</v>
      </c>
    </row>
    <row r="20" spans="2:13" ht="12" thickBot="1">
      <c r="B20" s="93" t="s">
        <v>49</v>
      </c>
      <c r="C20" s="94" t="s">
        <v>50</v>
      </c>
    </row>
    <row r="21" spans="2:13"/>
    <row r="22" spans="2:13" s="4" customFormat="1" ht="15" hidden="1">
      <c r="L22" s="187"/>
      <c r="M22" s="187"/>
    </row>
    <row r="23" spans="2:13" s="4" customFormat="1" ht="15" hidden="1">
      <c r="L23" s="187"/>
      <c r="M23" s="187"/>
    </row>
    <row r="24" spans="2:13" s="4" customFormat="1" ht="15" hidden="1">
      <c r="L24" s="187"/>
      <c r="M24" s="187"/>
    </row>
    <row r="25" spans="2:13" s="4" customFormat="1" ht="15" hidden="1">
      <c r="L25" s="187"/>
      <c r="M25" s="187"/>
    </row>
    <row r="26" spans="2:13" s="4" customFormat="1" ht="15" hidden="1">
      <c r="L26" s="187"/>
      <c r="M26" s="187"/>
    </row>
    <row r="27" spans="2:13" s="4" customFormat="1" ht="15" hidden="1">
      <c r="L27" s="187"/>
      <c r="M27" s="187"/>
    </row>
    <row r="28" spans="2:13" s="4" customFormat="1" ht="15" hidden="1">
      <c r="L28" s="187"/>
      <c r="M28" s="187"/>
    </row>
    <row r="29" spans="2:13" s="4" customFormat="1" ht="15" hidden="1">
      <c r="L29" s="187"/>
      <c r="M29" s="187"/>
    </row>
    <row r="30" spans="2:13" s="4" customFormat="1" ht="15" hidden="1">
      <c r="L30" s="187"/>
      <c r="M30" s="187"/>
    </row>
    <row r="31" spans="2:13" s="4" customFormat="1" ht="15" hidden="1">
      <c r="L31" s="187"/>
      <c r="M31" s="187"/>
    </row>
    <row r="32" spans="2:13" s="4" customFormat="1" ht="15" hidden="1">
      <c r="L32" s="187"/>
      <c r="M32" s="187"/>
    </row>
    <row r="33" spans="12:13" s="4" customFormat="1" ht="15" hidden="1">
      <c r="L33" s="187"/>
      <c r="M33" s="187"/>
    </row>
    <row r="34" spans="12:13" s="4" customFormat="1" ht="15" hidden="1">
      <c r="L34" s="187"/>
      <c r="M34" s="187"/>
    </row>
    <row r="35" spans="12:13" s="4" customFormat="1" ht="15" hidden="1">
      <c r="L35" s="187"/>
      <c r="M35" s="187"/>
    </row>
    <row r="36" spans="12:13" s="4" customFormat="1" ht="15" hidden="1">
      <c r="L36" s="187"/>
      <c r="M36" s="187"/>
    </row>
    <row r="37" spans="12:13" s="4" customFormat="1" ht="15" hidden="1">
      <c r="L37" s="187"/>
      <c r="M37" s="187"/>
    </row>
    <row r="38" spans="12:13" s="4" customFormat="1" ht="15" hidden="1">
      <c r="L38" s="187"/>
      <c r="M38" s="187"/>
    </row>
    <row r="39" spans="12:13" s="4" customFormat="1" ht="15" hidden="1">
      <c r="L39" s="187"/>
      <c r="M39" s="187"/>
    </row>
    <row r="40" spans="12:13" s="4" customFormat="1" ht="15" hidden="1">
      <c r="L40" s="187"/>
      <c r="M40" s="187"/>
    </row>
    <row r="41" spans="12:13" s="4" customFormat="1" ht="15" hidden="1">
      <c r="L41" s="187"/>
      <c r="M41" s="187"/>
    </row>
    <row r="42" spans="12:13" s="4" customFormat="1" ht="15" hidden="1">
      <c r="L42" s="187"/>
      <c r="M42" s="187"/>
    </row>
    <row r="43" spans="12:13" s="4" customFormat="1" ht="15" hidden="1">
      <c r="L43" s="187"/>
      <c r="M43" s="187"/>
    </row>
    <row r="44" spans="12:13" s="4" customFormat="1" ht="15" hidden="1">
      <c r="L44" s="187"/>
      <c r="M44" s="187"/>
    </row>
    <row r="45" spans="12:13" s="4" customFormat="1" ht="15" hidden="1">
      <c r="L45" s="187"/>
      <c r="M45" s="187"/>
    </row>
    <row r="46" spans="12:13" s="4" customFormat="1" ht="15" hidden="1">
      <c r="L46" s="187"/>
      <c r="M46" s="187"/>
    </row>
    <row r="47" spans="12:13" s="4" customFormat="1" ht="15" hidden="1">
      <c r="L47" s="187"/>
      <c r="M47" s="187"/>
    </row>
    <row r="81"/>
  </sheetData>
  <sheetProtection algorithmName="SHA-512" hashValue="4VPqc8+ecydwaGufgh4IvfaLX3O4QTBMR7pcRLF1aS9xlWxHPZSFzVzrtWyra3wVxHf6X7Cu5jdupH/nfnk2wA==" saltValue="6eJMvMAe2N8I8QCevGaF7Q==" spinCount="100000" sheet="1" objects="1" scenarios="1"/>
  <mergeCells count="14">
    <mergeCell ref="H10:I10"/>
    <mergeCell ref="H11:I11"/>
    <mergeCell ref="B15:C15"/>
    <mergeCell ref="B2:C2"/>
    <mergeCell ref="B5:B9"/>
    <mergeCell ref="B10:B11"/>
    <mergeCell ref="I4:K4"/>
    <mergeCell ref="I5:K5"/>
    <mergeCell ref="E8:K8"/>
    <mergeCell ref="E6:K6"/>
    <mergeCell ref="E9:K9"/>
    <mergeCell ref="E3:K3"/>
    <mergeCell ref="E10:G10"/>
    <mergeCell ref="E11:G11"/>
  </mergeCells>
  <printOptions horizontalCentered="1"/>
  <pageMargins left="0.39370078740157483" right="0.39370078740157483" top="0.39370078740157483" bottom="0.39370078740157483" header="0.39370078740157483" footer="0.3937007874015748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106F-3464-4E75-A32B-8BA15FB6337C}">
  <sheetPr codeName="Feuil4" filterMode="1">
    <tabColor theme="6"/>
  </sheetPr>
  <dimension ref="A1:BE263"/>
  <sheetViews>
    <sheetView showGridLines="0" zoomScale="113" zoomScaleNormal="100" workbookViewId="0">
      <pane xSplit="14" ySplit="11" topLeftCell="O12" activePane="bottomRight" state="frozen"/>
      <selection pane="topRight" activeCell="I1" sqref="I1"/>
      <selection pane="bottomLeft" activeCell="A12" sqref="A12"/>
      <selection pane="bottomRight" activeCell="E2" sqref="E2:J2"/>
    </sheetView>
  </sheetViews>
  <sheetFormatPr baseColWidth="10" defaultColWidth="0" defaultRowHeight="11.25" zeroHeight="1"/>
  <cols>
    <col min="1" max="1" width="6.7109375" style="133" customWidth="1"/>
    <col min="2" max="2" width="5.28515625" style="131" customWidth="1"/>
    <col min="3" max="3" width="20.85546875" style="133" customWidth="1"/>
    <col min="4" max="4" width="15.85546875" style="133" customWidth="1"/>
    <col min="5" max="5" width="9.28515625" style="133" customWidth="1"/>
    <col min="6" max="6" width="6" style="131" customWidth="1"/>
    <col min="7" max="9" width="7.85546875" style="131" customWidth="1"/>
    <col min="10" max="10" width="8.85546875" style="131" customWidth="1"/>
    <col min="11" max="12" width="10.7109375" style="131" customWidth="1"/>
    <col min="13" max="13" width="10.7109375" style="133" customWidth="1"/>
    <col min="14" max="14" width="1.7109375" style="156" customWidth="1"/>
    <col min="15" max="15" width="7.7109375" style="158" customWidth="1"/>
    <col min="16" max="16" width="9.7109375" style="133" customWidth="1"/>
    <col min="17" max="17" width="7" style="131" bestFit="1" customWidth="1"/>
    <col min="18" max="18" width="9.7109375" style="131" customWidth="1"/>
    <col min="19" max="19" width="7" style="131" bestFit="1" customWidth="1"/>
    <col min="20" max="20" width="9.7109375" style="131" customWidth="1"/>
    <col min="21" max="21" width="7" style="131" bestFit="1" customWidth="1"/>
    <col min="22" max="22" width="9.7109375" style="131" customWidth="1"/>
    <col min="23" max="23" width="7" style="131" bestFit="1" customWidth="1"/>
    <col min="24" max="24" width="9.7109375" style="131" customWidth="1"/>
    <col min="25" max="25" width="7" style="131" bestFit="1" customWidth="1"/>
    <col min="26" max="26" width="9.7109375" style="131" customWidth="1"/>
    <col min="27" max="27" width="7" style="131" bestFit="1" customWidth="1"/>
    <col min="28" max="28" width="9.7109375" style="131" customWidth="1"/>
    <col min="29" max="29" width="7" style="131" bestFit="1" customWidth="1"/>
    <col min="30" max="30" width="9.7109375" style="131" customWidth="1"/>
    <col min="31" max="31" width="7" style="131" bestFit="1" customWidth="1"/>
    <col min="32" max="32" width="9.7109375" style="131" customWidth="1"/>
    <col min="33" max="33" width="7" style="131" bestFit="1" customWidth="1"/>
    <col min="34" max="34" width="9.7109375" style="131" customWidth="1"/>
    <col min="35" max="35" width="7" style="131" bestFit="1" customWidth="1"/>
    <col min="36" max="36" width="9.7109375" style="131" customWidth="1"/>
    <col min="37" max="37" width="7" style="131" bestFit="1" customWidth="1"/>
    <col min="38" max="38" width="9.7109375" style="131" customWidth="1"/>
    <col min="39" max="39" width="7" style="131" bestFit="1" customWidth="1"/>
    <col min="40" max="40" width="9.7109375" style="131" customWidth="1"/>
    <col min="41" max="41" width="7" style="131" bestFit="1" customWidth="1"/>
    <col min="42" max="42" width="9.7109375" style="131" customWidth="1"/>
    <col min="43" max="43" width="7" style="131" bestFit="1" customWidth="1"/>
    <col min="44" max="44" width="9.7109375" style="131" customWidth="1"/>
    <col min="45" max="45" width="7" style="131" bestFit="1" customWidth="1"/>
    <col min="46" max="46" width="9.7109375" style="131" customWidth="1"/>
    <col min="47" max="47" width="7" style="131" bestFit="1" customWidth="1"/>
    <col min="48" max="48" width="9.7109375" style="131" customWidth="1"/>
    <col min="49" max="49" width="7" style="131" bestFit="1" customWidth="1"/>
    <col min="50" max="50" width="9.7109375" style="131" customWidth="1"/>
    <col min="51" max="51" width="7" style="131" bestFit="1" customWidth="1"/>
    <col min="52" max="52" width="9.7109375" style="131" customWidth="1"/>
    <col min="53" max="53" width="7" style="131" bestFit="1" customWidth="1"/>
    <col min="54" max="54" width="9.7109375" style="131" customWidth="1"/>
    <col min="55" max="55" width="3.140625" style="131" customWidth="1"/>
    <col min="56" max="57" width="0" style="133" hidden="1" customWidth="1"/>
    <col min="58" max="16384" width="11.42578125" style="133" hidden="1"/>
  </cols>
  <sheetData>
    <row r="1" spans="1:55" ht="39.950000000000003" customHeight="1" thickTop="1" thickBot="1">
      <c r="A1" s="376" t="s">
        <v>694</v>
      </c>
      <c r="B1" s="377"/>
      <c r="C1" s="377"/>
      <c r="D1" s="381"/>
      <c r="E1" s="381"/>
      <c r="F1" s="381"/>
      <c r="G1" s="381"/>
      <c r="H1" s="381"/>
      <c r="I1" s="381"/>
      <c r="J1" s="381"/>
      <c r="K1" s="376" t="s">
        <v>754</v>
      </c>
      <c r="L1" s="377"/>
      <c r="M1" s="378"/>
      <c r="N1" s="361"/>
      <c r="O1" s="166"/>
      <c r="P1" s="167"/>
      <c r="Q1" s="130"/>
      <c r="T1" s="132"/>
    </row>
    <row r="2" spans="1:55" ht="18" customHeight="1" thickTop="1" thickBot="1">
      <c r="A2" s="398" t="s">
        <v>51</v>
      </c>
      <c r="B2" s="399"/>
      <c r="C2" s="176" t="s">
        <v>52</v>
      </c>
      <c r="D2" s="177" t="s">
        <v>53</v>
      </c>
      <c r="E2" s="370"/>
      <c r="F2" s="371"/>
      <c r="G2" s="371"/>
      <c r="H2" s="371"/>
      <c r="I2" s="371"/>
      <c r="J2" s="372"/>
      <c r="K2" s="384" t="s">
        <v>54</v>
      </c>
      <c r="L2" s="385"/>
      <c r="M2" s="386"/>
      <c r="N2" s="362"/>
      <c r="O2" s="355"/>
      <c r="P2" s="356"/>
      <c r="Q2" s="134"/>
      <c r="R2" s="134"/>
      <c r="S2" s="134"/>
    </row>
    <row r="3" spans="1:55" ht="18" customHeight="1" thickTop="1">
      <c r="A3" s="400"/>
      <c r="B3" s="401"/>
      <c r="C3" s="404" t="s">
        <v>56</v>
      </c>
      <c r="D3" s="178" t="s">
        <v>57</v>
      </c>
      <c r="E3" s="373" t="s">
        <v>757</v>
      </c>
      <c r="F3" s="374"/>
      <c r="G3" s="374"/>
      <c r="H3" s="374"/>
      <c r="I3" s="374"/>
      <c r="J3" s="375"/>
      <c r="K3" s="387"/>
      <c r="L3" s="388"/>
      <c r="M3" s="389"/>
      <c r="N3" s="362"/>
      <c r="O3" s="411" t="s">
        <v>59</v>
      </c>
      <c r="P3" s="412"/>
      <c r="Q3" s="296"/>
      <c r="R3" s="135"/>
      <c r="S3" s="135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</row>
    <row r="4" spans="1:55" ht="18" customHeight="1" thickBot="1">
      <c r="A4" s="400"/>
      <c r="B4" s="401"/>
      <c r="C4" s="404"/>
      <c r="D4" s="178" t="s">
        <v>58</v>
      </c>
      <c r="E4" s="373" t="s">
        <v>757</v>
      </c>
      <c r="F4" s="374"/>
      <c r="G4" s="374"/>
      <c r="H4" s="374"/>
      <c r="I4" s="374"/>
      <c r="J4" s="375"/>
      <c r="K4" s="387"/>
      <c r="L4" s="388"/>
      <c r="M4" s="389"/>
      <c r="N4" s="362"/>
      <c r="O4" s="413"/>
      <c r="P4" s="414"/>
      <c r="Q4" s="296"/>
      <c r="R4" s="135"/>
      <c r="S4" s="135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7"/>
    </row>
    <row r="5" spans="1:55" ht="18" customHeight="1" thickTop="1">
      <c r="A5" s="400"/>
      <c r="B5" s="401"/>
      <c r="C5" s="404"/>
      <c r="D5" s="178" t="s">
        <v>60</v>
      </c>
      <c r="E5" s="373" t="s">
        <v>757</v>
      </c>
      <c r="F5" s="374"/>
      <c r="G5" s="374"/>
      <c r="H5" s="374"/>
      <c r="I5" s="374"/>
      <c r="J5" s="375"/>
      <c r="K5" s="387"/>
      <c r="L5" s="388"/>
      <c r="M5" s="389"/>
      <c r="N5" s="363"/>
      <c r="O5" s="417">
        <v>1</v>
      </c>
      <c r="P5" s="418"/>
      <c r="Q5" s="365">
        <v>2</v>
      </c>
      <c r="R5" s="365"/>
      <c r="S5" s="365">
        <v>3</v>
      </c>
      <c r="T5" s="365"/>
      <c r="U5" s="365">
        <v>4</v>
      </c>
      <c r="V5" s="365"/>
      <c r="W5" s="365">
        <v>5</v>
      </c>
      <c r="X5" s="365"/>
      <c r="Y5" s="365">
        <v>6</v>
      </c>
      <c r="Z5" s="365"/>
      <c r="AA5" s="365">
        <v>7</v>
      </c>
      <c r="AB5" s="365"/>
      <c r="AC5" s="365">
        <v>8</v>
      </c>
      <c r="AD5" s="365"/>
      <c r="AE5" s="365">
        <v>9</v>
      </c>
      <c r="AF5" s="365"/>
      <c r="AG5" s="365">
        <v>10</v>
      </c>
      <c r="AH5" s="365"/>
      <c r="AI5" s="365">
        <v>11</v>
      </c>
      <c r="AJ5" s="365"/>
      <c r="AK5" s="365">
        <v>12</v>
      </c>
      <c r="AL5" s="365"/>
      <c r="AM5" s="365">
        <v>13</v>
      </c>
      <c r="AN5" s="365"/>
      <c r="AO5" s="365">
        <v>14</v>
      </c>
      <c r="AP5" s="365"/>
      <c r="AQ5" s="365">
        <v>15</v>
      </c>
      <c r="AR5" s="365"/>
      <c r="AS5" s="365">
        <v>16</v>
      </c>
      <c r="AT5" s="365"/>
      <c r="AU5" s="365">
        <v>17</v>
      </c>
      <c r="AV5" s="365"/>
      <c r="AW5" s="365">
        <v>18</v>
      </c>
      <c r="AX5" s="365"/>
      <c r="AY5" s="365">
        <v>19</v>
      </c>
      <c r="AZ5" s="365"/>
      <c r="BA5" s="365">
        <v>20</v>
      </c>
      <c r="BB5" s="365"/>
      <c r="BC5" s="137"/>
    </row>
    <row r="6" spans="1:55" ht="18" customHeight="1" thickBot="1">
      <c r="A6" s="400"/>
      <c r="B6" s="401"/>
      <c r="C6" s="404"/>
      <c r="D6" s="178" t="s">
        <v>61</v>
      </c>
      <c r="E6" s="373" t="s">
        <v>757</v>
      </c>
      <c r="F6" s="374"/>
      <c r="G6" s="374"/>
      <c r="H6" s="374"/>
      <c r="I6" s="374"/>
      <c r="J6" s="375"/>
      <c r="K6" s="390"/>
      <c r="L6" s="391"/>
      <c r="M6" s="392"/>
      <c r="N6" s="363"/>
      <c r="O6" s="419"/>
      <c r="P6" s="420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6"/>
      <c r="AP6" s="366"/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6"/>
      <c r="BC6" s="137"/>
    </row>
    <row r="7" spans="1:55" ht="24.95" customHeight="1" thickTop="1" thickBot="1">
      <c r="A7" s="400"/>
      <c r="B7" s="401"/>
      <c r="C7" s="405"/>
      <c r="D7" s="179" t="s">
        <v>63</v>
      </c>
      <c r="E7" s="379" t="s">
        <v>757</v>
      </c>
      <c r="F7" s="379"/>
      <c r="G7" s="397" t="s">
        <v>64</v>
      </c>
      <c r="H7" s="397"/>
      <c r="I7" s="379" t="s">
        <v>757</v>
      </c>
      <c r="J7" s="380"/>
      <c r="K7" s="382" t="s">
        <v>62</v>
      </c>
      <c r="L7" s="287" t="s">
        <v>66</v>
      </c>
      <c r="M7" s="288" t="e">
        <f>#REF!</f>
        <v>#REF!</v>
      </c>
      <c r="N7" s="363"/>
      <c r="O7" s="415" t="str">
        <f>E8</f>
        <v>À REMPLIR</v>
      </c>
      <c r="P7" s="416"/>
      <c r="Q7" s="359" t="s">
        <v>756</v>
      </c>
      <c r="R7" s="360"/>
      <c r="S7" s="359" t="s">
        <v>756</v>
      </c>
      <c r="T7" s="360"/>
      <c r="U7" s="359" t="s">
        <v>756</v>
      </c>
      <c r="V7" s="360"/>
      <c r="W7" s="359" t="s">
        <v>756</v>
      </c>
      <c r="X7" s="360"/>
      <c r="Y7" s="359" t="s">
        <v>756</v>
      </c>
      <c r="Z7" s="360"/>
      <c r="AA7" s="359" t="s">
        <v>756</v>
      </c>
      <c r="AB7" s="360"/>
      <c r="AC7" s="359" t="s">
        <v>756</v>
      </c>
      <c r="AD7" s="360"/>
      <c r="AE7" s="359" t="s">
        <v>756</v>
      </c>
      <c r="AF7" s="360"/>
      <c r="AG7" s="359" t="s">
        <v>756</v>
      </c>
      <c r="AH7" s="360"/>
      <c r="AI7" s="359" t="s">
        <v>756</v>
      </c>
      <c r="AJ7" s="360"/>
      <c r="AK7" s="359" t="s">
        <v>756</v>
      </c>
      <c r="AL7" s="360"/>
      <c r="AM7" s="359" t="s">
        <v>756</v>
      </c>
      <c r="AN7" s="360"/>
      <c r="AO7" s="359" t="s">
        <v>756</v>
      </c>
      <c r="AP7" s="360"/>
      <c r="AQ7" s="359" t="s">
        <v>756</v>
      </c>
      <c r="AR7" s="368"/>
      <c r="AS7" s="359" t="s">
        <v>756</v>
      </c>
      <c r="AT7" s="360"/>
      <c r="AU7" s="359" t="s">
        <v>756</v>
      </c>
      <c r="AV7" s="360"/>
      <c r="AW7" s="359" t="s">
        <v>756</v>
      </c>
      <c r="AX7" s="360"/>
      <c r="AY7" s="359" t="s">
        <v>756</v>
      </c>
      <c r="AZ7" s="360"/>
      <c r="BA7" s="359" t="s">
        <v>756</v>
      </c>
      <c r="BB7" s="368"/>
      <c r="BC7" s="137"/>
    </row>
    <row r="8" spans="1:55" ht="24.95" customHeight="1" thickTop="1" thickBot="1">
      <c r="A8" s="400"/>
      <c r="B8" s="401"/>
      <c r="C8" s="406" t="s">
        <v>59</v>
      </c>
      <c r="D8" s="174" t="s">
        <v>57</v>
      </c>
      <c r="E8" s="373" t="s">
        <v>757</v>
      </c>
      <c r="F8" s="374"/>
      <c r="G8" s="374"/>
      <c r="H8" s="374"/>
      <c r="I8" s="374"/>
      <c r="J8" s="375"/>
      <c r="K8" s="383"/>
      <c r="L8" s="289" t="s">
        <v>65</v>
      </c>
      <c r="M8" s="290" t="e">
        <f>FDP_CMD</f>
        <v>#REF!</v>
      </c>
      <c r="N8" s="363"/>
      <c r="O8" s="292" t="s">
        <v>55</v>
      </c>
      <c r="P8" s="293" t="e">
        <f>#REF!</f>
        <v>#REF!</v>
      </c>
      <c r="Q8" s="357" t="s">
        <v>110</v>
      </c>
      <c r="R8" s="367"/>
      <c r="S8" s="357" t="s">
        <v>110</v>
      </c>
      <c r="T8" s="367"/>
      <c r="U8" s="357" t="s">
        <v>110</v>
      </c>
      <c r="V8" s="367"/>
      <c r="W8" s="357" t="s">
        <v>110</v>
      </c>
      <c r="X8" s="367"/>
      <c r="Y8" s="357" t="s">
        <v>110</v>
      </c>
      <c r="Z8" s="367"/>
      <c r="AA8" s="357" t="s">
        <v>110</v>
      </c>
      <c r="AB8" s="367"/>
      <c r="AC8" s="357" t="s">
        <v>110</v>
      </c>
      <c r="AD8" s="367"/>
      <c r="AE8" s="357" t="s">
        <v>110</v>
      </c>
      <c r="AF8" s="367"/>
      <c r="AG8" s="357" t="s">
        <v>110</v>
      </c>
      <c r="AH8" s="367"/>
      <c r="AI8" s="357" t="s">
        <v>110</v>
      </c>
      <c r="AJ8" s="367"/>
      <c r="AK8" s="357" t="s">
        <v>110</v>
      </c>
      <c r="AL8" s="367"/>
      <c r="AM8" s="357" t="s">
        <v>110</v>
      </c>
      <c r="AN8" s="367"/>
      <c r="AO8" s="357" t="s">
        <v>110</v>
      </c>
      <c r="AP8" s="367"/>
      <c r="AQ8" s="357" t="s">
        <v>110</v>
      </c>
      <c r="AR8" s="358"/>
      <c r="AS8" s="357" t="s">
        <v>110</v>
      </c>
      <c r="AT8" s="367"/>
      <c r="AU8" s="357" t="s">
        <v>110</v>
      </c>
      <c r="AV8" s="367"/>
      <c r="AW8" s="357" t="s">
        <v>110</v>
      </c>
      <c r="AX8" s="367"/>
      <c r="AY8" s="357" t="s">
        <v>110</v>
      </c>
      <c r="AZ8" s="367"/>
      <c r="BA8" s="357" t="s">
        <v>110</v>
      </c>
      <c r="BB8" s="358"/>
      <c r="BC8" s="137"/>
    </row>
    <row r="9" spans="1:55" ht="15" customHeight="1" thickTop="1">
      <c r="A9" s="400"/>
      <c r="B9" s="401"/>
      <c r="C9" s="407"/>
      <c r="D9" s="173" t="s">
        <v>67</v>
      </c>
      <c r="E9" s="373" t="s">
        <v>757</v>
      </c>
      <c r="F9" s="374"/>
      <c r="G9" s="374"/>
      <c r="H9" s="374"/>
      <c r="I9" s="374"/>
      <c r="J9" s="375"/>
      <c r="K9" s="393" t="s">
        <v>68</v>
      </c>
      <c r="L9" s="394"/>
      <c r="M9" s="162" t="s">
        <v>69</v>
      </c>
      <c r="N9" s="362"/>
      <c r="O9" s="161" t="s">
        <v>65</v>
      </c>
      <c r="P9" s="162" t="s">
        <v>65</v>
      </c>
      <c r="Q9" s="163" t="s">
        <v>65</v>
      </c>
      <c r="R9" s="162" t="s">
        <v>65</v>
      </c>
      <c r="S9" s="161" t="s">
        <v>65</v>
      </c>
      <c r="T9" s="164" t="s">
        <v>65</v>
      </c>
      <c r="U9" s="163" t="s">
        <v>65</v>
      </c>
      <c r="V9" s="162" t="s">
        <v>65</v>
      </c>
      <c r="W9" s="161" t="s">
        <v>65</v>
      </c>
      <c r="X9" s="164" t="s">
        <v>65</v>
      </c>
      <c r="Y9" s="163" t="s">
        <v>65</v>
      </c>
      <c r="Z9" s="162" t="s">
        <v>65</v>
      </c>
      <c r="AA9" s="161" t="s">
        <v>65</v>
      </c>
      <c r="AB9" s="164" t="s">
        <v>65</v>
      </c>
      <c r="AC9" s="163" t="s">
        <v>65</v>
      </c>
      <c r="AD9" s="162" t="s">
        <v>65</v>
      </c>
      <c r="AE9" s="161" t="s">
        <v>65</v>
      </c>
      <c r="AF9" s="164" t="s">
        <v>65</v>
      </c>
      <c r="AG9" s="163" t="s">
        <v>65</v>
      </c>
      <c r="AH9" s="162" t="s">
        <v>65</v>
      </c>
      <c r="AI9" s="161" t="s">
        <v>65</v>
      </c>
      <c r="AJ9" s="164" t="s">
        <v>65</v>
      </c>
      <c r="AK9" s="163" t="s">
        <v>65</v>
      </c>
      <c r="AL9" s="162" t="s">
        <v>65</v>
      </c>
      <c r="AM9" s="161" t="s">
        <v>65</v>
      </c>
      <c r="AN9" s="164" t="s">
        <v>65</v>
      </c>
      <c r="AO9" s="163" t="s">
        <v>65</v>
      </c>
      <c r="AP9" s="162" t="s">
        <v>65</v>
      </c>
      <c r="AQ9" s="163" t="s">
        <v>65</v>
      </c>
      <c r="AR9" s="165" t="s">
        <v>65</v>
      </c>
      <c r="AS9" s="161" t="s">
        <v>65</v>
      </c>
      <c r="AT9" s="164" t="s">
        <v>65</v>
      </c>
      <c r="AU9" s="163" t="s">
        <v>65</v>
      </c>
      <c r="AV9" s="162" t="s">
        <v>65</v>
      </c>
      <c r="AW9" s="161" t="s">
        <v>65</v>
      </c>
      <c r="AX9" s="164" t="s">
        <v>65</v>
      </c>
      <c r="AY9" s="163" t="s">
        <v>65</v>
      </c>
      <c r="AZ9" s="162" t="s">
        <v>65</v>
      </c>
      <c r="BA9" s="163" t="s">
        <v>65</v>
      </c>
      <c r="BB9" s="165" t="s">
        <v>65</v>
      </c>
      <c r="BC9" s="137"/>
    </row>
    <row r="10" spans="1:55" ht="15" customHeight="1" thickBot="1">
      <c r="A10" s="402"/>
      <c r="B10" s="403"/>
      <c r="C10" s="408"/>
      <c r="D10" s="175" t="s">
        <v>70</v>
      </c>
      <c r="E10" s="373" t="s">
        <v>757</v>
      </c>
      <c r="F10" s="374"/>
      <c r="G10" s="374"/>
      <c r="H10" s="374"/>
      <c r="I10" s="374"/>
      <c r="J10" s="375"/>
      <c r="K10" s="395" t="e">
        <f>SUM(K12:K261)</f>
        <v>#REF!</v>
      </c>
      <c r="L10" s="396"/>
      <c r="M10" s="116" t="e">
        <f>SUM(M12:M261)</f>
        <v>#REF!</v>
      </c>
      <c r="N10" s="362"/>
      <c r="O10" s="138" t="e">
        <f>#REF!</f>
        <v>#REF!</v>
      </c>
      <c r="P10" s="116" t="e">
        <f>#REF!</f>
        <v>#REF!</v>
      </c>
      <c r="Q10" s="139" t="e">
        <f>#REF!</f>
        <v>#REF!</v>
      </c>
      <c r="R10" s="116" t="e">
        <f>#REF!</f>
        <v>#REF!</v>
      </c>
      <c r="S10" s="138" t="e">
        <f>#REF!</f>
        <v>#REF!</v>
      </c>
      <c r="T10" s="140" t="e">
        <f>#REF!</f>
        <v>#REF!</v>
      </c>
      <c r="U10" s="139" t="e">
        <f>#REF!</f>
        <v>#REF!</v>
      </c>
      <c r="V10" s="116" t="e">
        <f>#REF!</f>
        <v>#REF!</v>
      </c>
      <c r="W10" s="138" t="e">
        <f>#REF!</f>
        <v>#REF!</v>
      </c>
      <c r="X10" s="140" t="e">
        <f>#REF!</f>
        <v>#REF!</v>
      </c>
      <c r="Y10" s="139" t="e">
        <f>#REF!</f>
        <v>#REF!</v>
      </c>
      <c r="Z10" s="116" t="e">
        <f>#REF!</f>
        <v>#REF!</v>
      </c>
      <c r="AA10" s="138" t="e">
        <f>#REF!</f>
        <v>#REF!</v>
      </c>
      <c r="AB10" s="140" t="e">
        <f>#REF!</f>
        <v>#REF!</v>
      </c>
      <c r="AC10" s="139" t="e">
        <f>#REF!</f>
        <v>#REF!</v>
      </c>
      <c r="AD10" s="116" t="e">
        <f>#REF!</f>
        <v>#REF!</v>
      </c>
      <c r="AE10" s="138" t="e">
        <f>#REF!</f>
        <v>#REF!</v>
      </c>
      <c r="AF10" s="140" t="e">
        <f>#REF!</f>
        <v>#REF!</v>
      </c>
      <c r="AG10" s="139" t="e">
        <f>#REF!</f>
        <v>#REF!</v>
      </c>
      <c r="AH10" s="116" t="e">
        <f>#REF!</f>
        <v>#REF!</v>
      </c>
      <c r="AI10" s="138" t="e">
        <f>#REF!</f>
        <v>#REF!</v>
      </c>
      <c r="AJ10" s="140" t="e">
        <f>#REF!</f>
        <v>#REF!</v>
      </c>
      <c r="AK10" s="139" t="e">
        <f>#REF!</f>
        <v>#REF!</v>
      </c>
      <c r="AL10" s="116" t="e">
        <f>#REF!</f>
        <v>#REF!</v>
      </c>
      <c r="AM10" s="138" t="e">
        <f>#REF!</f>
        <v>#REF!</v>
      </c>
      <c r="AN10" s="140" t="e">
        <f>#REF!</f>
        <v>#REF!</v>
      </c>
      <c r="AO10" s="139" t="e">
        <f>#REF!</f>
        <v>#REF!</v>
      </c>
      <c r="AP10" s="116" t="e">
        <f>#REF!</f>
        <v>#REF!</v>
      </c>
      <c r="AQ10" s="139" t="e">
        <f>#REF!</f>
        <v>#REF!</v>
      </c>
      <c r="AR10" s="141" t="e">
        <f>#REF!</f>
        <v>#REF!</v>
      </c>
      <c r="AS10" s="138" t="e">
        <f>#REF!</f>
        <v>#REF!</v>
      </c>
      <c r="AT10" s="140" t="e">
        <f>#REF!</f>
        <v>#REF!</v>
      </c>
      <c r="AU10" s="139" t="e">
        <f>#REF!</f>
        <v>#REF!</v>
      </c>
      <c r="AV10" s="116" t="e">
        <f>#REF!</f>
        <v>#REF!</v>
      </c>
      <c r="AW10" s="138" t="e">
        <f>#REF!</f>
        <v>#REF!</v>
      </c>
      <c r="AX10" s="140" t="e">
        <f>#REF!</f>
        <v>#REF!</v>
      </c>
      <c r="AY10" s="139" t="e">
        <f>#REF!</f>
        <v>#REF!</v>
      </c>
      <c r="AZ10" s="116" t="e">
        <f>#REF!</f>
        <v>#REF!</v>
      </c>
      <c r="BA10" s="139" t="e">
        <f>#REF!</f>
        <v>#REF!</v>
      </c>
      <c r="BB10" s="141" t="e">
        <f>#REF!</f>
        <v>#REF!</v>
      </c>
      <c r="BC10" s="137"/>
    </row>
    <row r="11" spans="1:55" ht="54.95" customHeight="1" thickTop="1">
      <c r="A11" s="192" t="s">
        <v>71</v>
      </c>
      <c r="B11" s="192" t="s">
        <v>72</v>
      </c>
      <c r="C11" s="409" t="s">
        <v>73</v>
      </c>
      <c r="D11" s="410"/>
      <c r="E11" s="169" t="s">
        <v>514</v>
      </c>
      <c r="F11" s="168" t="s">
        <v>75</v>
      </c>
      <c r="G11" s="169" t="s">
        <v>76</v>
      </c>
      <c r="H11" s="169" t="s">
        <v>77</v>
      </c>
      <c r="I11" s="170" t="s">
        <v>78</v>
      </c>
      <c r="J11" s="170" t="s">
        <v>74</v>
      </c>
      <c r="K11" s="171" t="s">
        <v>79</v>
      </c>
      <c r="L11" s="169" t="s">
        <v>85</v>
      </c>
      <c r="M11" s="172" t="s">
        <v>80</v>
      </c>
      <c r="N11" s="362"/>
      <c r="O11" s="145" t="s">
        <v>79</v>
      </c>
      <c r="P11" s="144" t="s">
        <v>80</v>
      </c>
      <c r="Q11" s="143" t="s">
        <v>79</v>
      </c>
      <c r="R11" s="144" t="s">
        <v>80</v>
      </c>
      <c r="S11" s="143" t="s">
        <v>79</v>
      </c>
      <c r="T11" s="142" t="s">
        <v>80</v>
      </c>
      <c r="U11" s="143" t="s">
        <v>79</v>
      </c>
      <c r="V11" s="144" t="s">
        <v>80</v>
      </c>
      <c r="W11" s="143" t="s">
        <v>79</v>
      </c>
      <c r="X11" s="142" t="s">
        <v>80</v>
      </c>
      <c r="Y11" s="143" t="s">
        <v>79</v>
      </c>
      <c r="Z11" s="144" t="s">
        <v>80</v>
      </c>
      <c r="AA11" s="143" t="s">
        <v>79</v>
      </c>
      <c r="AB11" s="142" t="s">
        <v>80</v>
      </c>
      <c r="AC11" s="143" t="s">
        <v>79</v>
      </c>
      <c r="AD11" s="144" t="s">
        <v>80</v>
      </c>
      <c r="AE11" s="143" t="s">
        <v>79</v>
      </c>
      <c r="AF11" s="142" t="s">
        <v>80</v>
      </c>
      <c r="AG11" s="143" t="s">
        <v>79</v>
      </c>
      <c r="AH11" s="144" t="s">
        <v>80</v>
      </c>
      <c r="AI11" s="143" t="s">
        <v>79</v>
      </c>
      <c r="AJ11" s="142" t="s">
        <v>80</v>
      </c>
      <c r="AK11" s="143" t="s">
        <v>79</v>
      </c>
      <c r="AL11" s="144" t="s">
        <v>80</v>
      </c>
      <c r="AM11" s="143" t="s">
        <v>79</v>
      </c>
      <c r="AN11" s="142" t="s">
        <v>80</v>
      </c>
      <c r="AO11" s="143" t="s">
        <v>79</v>
      </c>
      <c r="AP11" s="144" t="s">
        <v>80</v>
      </c>
      <c r="AQ11" s="146" t="s">
        <v>79</v>
      </c>
      <c r="AR11" s="147" t="s">
        <v>80</v>
      </c>
      <c r="AS11" s="143" t="s">
        <v>79</v>
      </c>
      <c r="AT11" s="142" t="s">
        <v>80</v>
      </c>
      <c r="AU11" s="143" t="s">
        <v>79</v>
      </c>
      <c r="AV11" s="144" t="s">
        <v>80</v>
      </c>
      <c r="AW11" s="143" t="s">
        <v>79</v>
      </c>
      <c r="AX11" s="142" t="s">
        <v>80</v>
      </c>
      <c r="AY11" s="143" t="s">
        <v>79</v>
      </c>
      <c r="AZ11" s="144" t="s">
        <v>80</v>
      </c>
      <c r="BA11" s="146" t="s">
        <v>79</v>
      </c>
      <c r="BB11" s="147" t="s">
        <v>80</v>
      </c>
      <c r="BC11" s="137"/>
    </row>
    <row r="12" spans="1:55" ht="30" customHeight="1">
      <c r="A12" s="203" t="e">
        <f>#REF!</f>
        <v>#REF!</v>
      </c>
      <c r="B12" s="204" t="e">
        <f xml:space="preserve"> IF(#REF!=0, "",#REF!)</f>
        <v>#REF!</v>
      </c>
      <c r="C12" s="369" t="e">
        <f>#REF!</f>
        <v>#REF!</v>
      </c>
      <c r="D12" s="369"/>
      <c r="E12" s="291" t="e">
        <f>#REF!</f>
        <v>#REF!</v>
      </c>
      <c r="F12" s="148" t="e">
        <f>#REF!</f>
        <v>#REF!</v>
      </c>
      <c r="G12" s="205" t="e">
        <f xml:space="preserve"> IF(#REF!="", "",#REF!)</f>
        <v>#REF!</v>
      </c>
      <c r="H12" s="205" t="e">
        <f xml:space="preserve"> IF(#REF!="", "",#REF!)</f>
        <v>#REF!</v>
      </c>
      <c r="I12" s="205" t="e">
        <f xml:space="preserve"> IF(#REF!="", "",#REF!)</f>
        <v>#REF!</v>
      </c>
      <c r="J12" s="298" t="e">
        <f>#REF!</f>
        <v>#REF!</v>
      </c>
      <c r="K12" s="149" t="e">
        <f>#REF!</f>
        <v>#REF!</v>
      </c>
      <c r="L12" s="149" t="e">
        <f>#REF!</f>
        <v>#REF!</v>
      </c>
      <c r="M12" s="150" t="e">
        <f>#REF!</f>
        <v>#REF!</v>
      </c>
      <c r="N12" s="364"/>
      <c r="O12" s="202"/>
      <c r="P12" s="151" t="e">
        <f>#REF!</f>
        <v>#REF!</v>
      </c>
      <c r="Q12" s="202"/>
      <c r="R12" s="152" t="e">
        <f>#REF!</f>
        <v>#REF!</v>
      </c>
      <c r="S12" s="202"/>
      <c r="T12" s="153" t="e">
        <f>#REF!</f>
        <v>#REF!</v>
      </c>
      <c r="U12" s="202"/>
      <c r="V12" s="153" t="e">
        <f>#REF!</f>
        <v>#REF!</v>
      </c>
      <c r="W12" s="202"/>
      <c r="X12" s="153" t="e">
        <f>#REF!</f>
        <v>#REF!</v>
      </c>
      <c r="Y12" s="202"/>
      <c r="Z12" s="152" t="e">
        <f>#REF!</f>
        <v>#REF!</v>
      </c>
      <c r="AA12" s="202"/>
      <c r="AB12" s="153" t="e">
        <f>#REF!</f>
        <v>#REF!</v>
      </c>
      <c r="AC12" s="202"/>
      <c r="AD12" s="152" t="e">
        <f>#REF!</f>
        <v>#REF!</v>
      </c>
      <c r="AE12" s="202"/>
      <c r="AF12" s="153" t="e">
        <f>#REF!</f>
        <v>#REF!</v>
      </c>
      <c r="AG12" s="202"/>
      <c r="AH12" s="152" t="e">
        <f>#REF!</f>
        <v>#REF!</v>
      </c>
      <c r="AI12" s="202"/>
      <c r="AJ12" s="153" t="e">
        <f>#REF!</f>
        <v>#REF!</v>
      </c>
      <c r="AK12" s="202"/>
      <c r="AL12" s="152" t="e">
        <f>#REF!</f>
        <v>#REF!</v>
      </c>
      <c r="AM12" s="202"/>
      <c r="AN12" s="153" t="e">
        <f>#REF!</f>
        <v>#REF!</v>
      </c>
      <c r="AO12" s="202"/>
      <c r="AP12" s="152" t="e">
        <f>#REF!</f>
        <v>#REF!</v>
      </c>
      <c r="AQ12" s="202"/>
      <c r="AR12" s="154" t="e">
        <f>#REF!</f>
        <v>#REF!</v>
      </c>
      <c r="AS12" s="202"/>
      <c r="AT12" s="153" t="e">
        <f>#REF!</f>
        <v>#REF!</v>
      </c>
      <c r="AU12" s="202"/>
      <c r="AV12" s="152" t="e">
        <f>#REF!</f>
        <v>#REF!</v>
      </c>
      <c r="AW12" s="202"/>
      <c r="AX12" s="153" t="e">
        <f>#REF!</f>
        <v>#REF!</v>
      </c>
      <c r="AY12" s="202"/>
      <c r="AZ12" s="152" t="e">
        <f>#REF!</f>
        <v>#REF!</v>
      </c>
      <c r="BA12" s="202"/>
      <c r="BB12" s="154" t="e">
        <f>#REF!</f>
        <v>#REF!</v>
      </c>
      <c r="BC12" s="137"/>
    </row>
    <row r="13" spans="1:55" ht="30" customHeight="1">
      <c r="A13" s="203" t="e">
        <f>#REF!</f>
        <v>#REF!</v>
      </c>
      <c r="B13" s="204" t="e">
        <f xml:space="preserve"> IF(#REF!=0, "",#REF!)</f>
        <v>#REF!</v>
      </c>
      <c r="C13" s="369" t="e">
        <f>#REF!</f>
        <v>#REF!</v>
      </c>
      <c r="D13" s="369"/>
      <c r="E13" s="291" t="e">
        <f>#REF!</f>
        <v>#REF!</v>
      </c>
      <c r="F13" s="148" t="e">
        <f>#REF!</f>
        <v>#REF!</v>
      </c>
      <c r="G13" s="205" t="e">
        <f xml:space="preserve"> IF(#REF!="", "",#REF!)</f>
        <v>#REF!</v>
      </c>
      <c r="H13" s="205" t="e">
        <f xml:space="preserve"> IF(#REF!="", "",#REF!)</f>
        <v>#REF!</v>
      </c>
      <c r="I13" s="205" t="e">
        <f xml:space="preserve"> IF(#REF!="", "",#REF!)</f>
        <v>#REF!</v>
      </c>
      <c r="J13" s="298" t="e">
        <f>#REF!</f>
        <v>#REF!</v>
      </c>
      <c r="K13" s="149" t="e">
        <f>#REF!</f>
        <v>#REF!</v>
      </c>
      <c r="L13" s="149" t="e">
        <f>#REF!</f>
        <v>#REF!</v>
      </c>
      <c r="M13" s="150" t="e">
        <f>#REF!</f>
        <v>#REF!</v>
      </c>
      <c r="N13" s="364"/>
      <c r="O13" s="202"/>
      <c r="P13" s="151" t="e">
        <f>#REF!</f>
        <v>#REF!</v>
      </c>
      <c r="Q13" s="202"/>
      <c r="R13" s="152" t="e">
        <f>#REF!</f>
        <v>#REF!</v>
      </c>
      <c r="S13" s="202"/>
      <c r="T13" s="153" t="e">
        <f>#REF!</f>
        <v>#REF!</v>
      </c>
      <c r="U13" s="202"/>
      <c r="V13" s="153" t="e">
        <f>#REF!</f>
        <v>#REF!</v>
      </c>
      <c r="W13" s="202"/>
      <c r="X13" s="153" t="e">
        <f>#REF!</f>
        <v>#REF!</v>
      </c>
      <c r="Y13" s="202"/>
      <c r="Z13" s="152" t="e">
        <f>#REF!</f>
        <v>#REF!</v>
      </c>
      <c r="AA13" s="202"/>
      <c r="AB13" s="153" t="e">
        <f>#REF!</f>
        <v>#REF!</v>
      </c>
      <c r="AC13" s="202"/>
      <c r="AD13" s="152" t="e">
        <f>#REF!</f>
        <v>#REF!</v>
      </c>
      <c r="AE13" s="202"/>
      <c r="AF13" s="153" t="e">
        <f>#REF!</f>
        <v>#REF!</v>
      </c>
      <c r="AG13" s="202"/>
      <c r="AH13" s="152" t="e">
        <f>#REF!</f>
        <v>#REF!</v>
      </c>
      <c r="AI13" s="202"/>
      <c r="AJ13" s="153" t="e">
        <f>#REF!</f>
        <v>#REF!</v>
      </c>
      <c r="AK13" s="202"/>
      <c r="AL13" s="152" t="e">
        <f>#REF!</f>
        <v>#REF!</v>
      </c>
      <c r="AM13" s="202"/>
      <c r="AN13" s="153" t="e">
        <f>#REF!</f>
        <v>#REF!</v>
      </c>
      <c r="AO13" s="202"/>
      <c r="AP13" s="152" t="e">
        <f>#REF!</f>
        <v>#REF!</v>
      </c>
      <c r="AQ13" s="202"/>
      <c r="AR13" s="154" t="e">
        <f>#REF!</f>
        <v>#REF!</v>
      </c>
      <c r="AS13" s="202"/>
      <c r="AT13" s="153" t="e">
        <f>#REF!</f>
        <v>#REF!</v>
      </c>
      <c r="AU13" s="202"/>
      <c r="AV13" s="152" t="e">
        <f>#REF!</f>
        <v>#REF!</v>
      </c>
      <c r="AW13" s="202"/>
      <c r="AX13" s="153" t="e">
        <f>#REF!</f>
        <v>#REF!</v>
      </c>
      <c r="AY13" s="202"/>
      <c r="AZ13" s="152" t="e">
        <f>#REF!</f>
        <v>#REF!</v>
      </c>
      <c r="BA13" s="202"/>
      <c r="BB13" s="154" t="e">
        <f>#REF!</f>
        <v>#REF!</v>
      </c>
      <c r="BC13" s="137"/>
    </row>
    <row r="14" spans="1:55" ht="30" customHeight="1">
      <c r="A14" s="203" t="e">
        <f>#REF!</f>
        <v>#REF!</v>
      </c>
      <c r="B14" s="204" t="e">
        <f xml:space="preserve"> IF(#REF!=0, "",#REF!)</f>
        <v>#REF!</v>
      </c>
      <c r="C14" s="369" t="e">
        <f>#REF!</f>
        <v>#REF!</v>
      </c>
      <c r="D14" s="369"/>
      <c r="E14" s="291" t="e">
        <f>#REF!</f>
        <v>#REF!</v>
      </c>
      <c r="F14" s="148" t="e">
        <f>#REF!</f>
        <v>#REF!</v>
      </c>
      <c r="G14" s="205" t="e">
        <f xml:space="preserve"> IF(#REF!="", "",#REF!)</f>
        <v>#REF!</v>
      </c>
      <c r="H14" s="205" t="e">
        <f xml:space="preserve"> IF(#REF!="", "",#REF!)</f>
        <v>#REF!</v>
      </c>
      <c r="I14" s="205" t="e">
        <f xml:space="preserve"> IF(#REF!="", "",#REF!)</f>
        <v>#REF!</v>
      </c>
      <c r="J14" s="298" t="e">
        <f>#REF!</f>
        <v>#REF!</v>
      </c>
      <c r="K14" s="149" t="e">
        <f>#REF!</f>
        <v>#REF!</v>
      </c>
      <c r="L14" s="149" t="e">
        <f>#REF!</f>
        <v>#REF!</v>
      </c>
      <c r="M14" s="150" t="e">
        <f>#REF!</f>
        <v>#REF!</v>
      </c>
      <c r="N14" s="364"/>
      <c r="O14" s="202"/>
      <c r="P14" s="151" t="e">
        <f>#REF!</f>
        <v>#REF!</v>
      </c>
      <c r="Q14" s="202"/>
      <c r="R14" s="152" t="e">
        <f>#REF!</f>
        <v>#REF!</v>
      </c>
      <c r="S14" s="202"/>
      <c r="T14" s="153" t="e">
        <f>#REF!</f>
        <v>#REF!</v>
      </c>
      <c r="U14" s="202"/>
      <c r="V14" s="153" t="e">
        <f>#REF!</f>
        <v>#REF!</v>
      </c>
      <c r="W14" s="202"/>
      <c r="X14" s="153" t="e">
        <f>#REF!</f>
        <v>#REF!</v>
      </c>
      <c r="Y14" s="202"/>
      <c r="Z14" s="152" t="e">
        <f>#REF!</f>
        <v>#REF!</v>
      </c>
      <c r="AA14" s="202"/>
      <c r="AB14" s="153" t="e">
        <f>#REF!</f>
        <v>#REF!</v>
      </c>
      <c r="AC14" s="202"/>
      <c r="AD14" s="152" t="e">
        <f>#REF!</f>
        <v>#REF!</v>
      </c>
      <c r="AE14" s="202"/>
      <c r="AF14" s="153" t="e">
        <f>#REF!</f>
        <v>#REF!</v>
      </c>
      <c r="AG14" s="202"/>
      <c r="AH14" s="152" t="e">
        <f>#REF!</f>
        <v>#REF!</v>
      </c>
      <c r="AI14" s="202"/>
      <c r="AJ14" s="153" t="e">
        <f>#REF!</f>
        <v>#REF!</v>
      </c>
      <c r="AK14" s="202"/>
      <c r="AL14" s="152" t="e">
        <f>#REF!</f>
        <v>#REF!</v>
      </c>
      <c r="AM14" s="202"/>
      <c r="AN14" s="153" t="e">
        <f>#REF!</f>
        <v>#REF!</v>
      </c>
      <c r="AO14" s="202"/>
      <c r="AP14" s="152" t="e">
        <f>#REF!</f>
        <v>#REF!</v>
      </c>
      <c r="AQ14" s="202"/>
      <c r="AR14" s="154" t="e">
        <f>#REF!</f>
        <v>#REF!</v>
      </c>
      <c r="AS14" s="202"/>
      <c r="AT14" s="153" t="e">
        <f>#REF!</f>
        <v>#REF!</v>
      </c>
      <c r="AU14" s="202"/>
      <c r="AV14" s="152" t="e">
        <f>#REF!</f>
        <v>#REF!</v>
      </c>
      <c r="AW14" s="202"/>
      <c r="AX14" s="153" t="e">
        <f>#REF!</f>
        <v>#REF!</v>
      </c>
      <c r="AY14" s="202"/>
      <c r="AZ14" s="152" t="e">
        <f>#REF!</f>
        <v>#REF!</v>
      </c>
      <c r="BA14" s="202"/>
      <c r="BB14" s="154" t="e">
        <f>#REF!</f>
        <v>#REF!</v>
      </c>
      <c r="BC14" s="137"/>
    </row>
    <row r="15" spans="1:55" ht="30" customHeight="1">
      <c r="A15" s="203" t="e">
        <f>#REF!</f>
        <v>#REF!</v>
      </c>
      <c r="B15" s="204" t="e">
        <f xml:space="preserve"> IF(#REF!=0, "",#REF!)</f>
        <v>#REF!</v>
      </c>
      <c r="C15" s="369" t="e">
        <f>#REF!</f>
        <v>#REF!</v>
      </c>
      <c r="D15" s="369"/>
      <c r="E15" s="291" t="e">
        <f>#REF!</f>
        <v>#REF!</v>
      </c>
      <c r="F15" s="148" t="e">
        <f>#REF!</f>
        <v>#REF!</v>
      </c>
      <c r="G15" s="205" t="e">
        <f xml:space="preserve"> IF(#REF!="", "",#REF!)</f>
        <v>#REF!</v>
      </c>
      <c r="H15" s="205" t="e">
        <f xml:space="preserve"> IF(#REF!="", "",#REF!)</f>
        <v>#REF!</v>
      </c>
      <c r="I15" s="205" t="e">
        <f xml:space="preserve"> IF(#REF!="", "",#REF!)</f>
        <v>#REF!</v>
      </c>
      <c r="J15" s="298" t="e">
        <f>#REF!</f>
        <v>#REF!</v>
      </c>
      <c r="K15" s="149" t="e">
        <f>#REF!</f>
        <v>#REF!</v>
      </c>
      <c r="L15" s="149" t="e">
        <f>#REF!</f>
        <v>#REF!</v>
      </c>
      <c r="M15" s="150" t="e">
        <f>#REF!</f>
        <v>#REF!</v>
      </c>
      <c r="N15" s="364"/>
      <c r="O15" s="202"/>
      <c r="P15" s="151" t="e">
        <f>#REF!</f>
        <v>#REF!</v>
      </c>
      <c r="Q15" s="202"/>
      <c r="R15" s="152" t="e">
        <f>#REF!</f>
        <v>#REF!</v>
      </c>
      <c r="S15" s="202"/>
      <c r="T15" s="153" t="e">
        <f>#REF!</f>
        <v>#REF!</v>
      </c>
      <c r="U15" s="202"/>
      <c r="V15" s="153" t="e">
        <f>#REF!</f>
        <v>#REF!</v>
      </c>
      <c r="W15" s="202"/>
      <c r="X15" s="153" t="e">
        <f>#REF!</f>
        <v>#REF!</v>
      </c>
      <c r="Y15" s="202"/>
      <c r="Z15" s="152" t="e">
        <f>#REF!</f>
        <v>#REF!</v>
      </c>
      <c r="AA15" s="202"/>
      <c r="AB15" s="153" t="e">
        <f>#REF!</f>
        <v>#REF!</v>
      </c>
      <c r="AC15" s="202"/>
      <c r="AD15" s="152" t="e">
        <f>#REF!</f>
        <v>#REF!</v>
      </c>
      <c r="AE15" s="202"/>
      <c r="AF15" s="153" t="e">
        <f>#REF!</f>
        <v>#REF!</v>
      </c>
      <c r="AG15" s="202"/>
      <c r="AH15" s="152" t="e">
        <f>#REF!</f>
        <v>#REF!</v>
      </c>
      <c r="AI15" s="202"/>
      <c r="AJ15" s="153" t="e">
        <f>#REF!</f>
        <v>#REF!</v>
      </c>
      <c r="AK15" s="202"/>
      <c r="AL15" s="152" t="e">
        <f>#REF!</f>
        <v>#REF!</v>
      </c>
      <c r="AM15" s="202"/>
      <c r="AN15" s="153" t="e">
        <f>#REF!</f>
        <v>#REF!</v>
      </c>
      <c r="AO15" s="202"/>
      <c r="AP15" s="152" t="e">
        <f>#REF!</f>
        <v>#REF!</v>
      </c>
      <c r="AQ15" s="202"/>
      <c r="AR15" s="154" t="e">
        <f>#REF!</f>
        <v>#REF!</v>
      </c>
      <c r="AS15" s="202"/>
      <c r="AT15" s="153" t="e">
        <f>#REF!</f>
        <v>#REF!</v>
      </c>
      <c r="AU15" s="202"/>
      <c r="AV15" s="152" t="e">
        <f>#REF!</f>
        <v>#REF!</v>
      </c>
      <c r="AW15" s="202"/>
      <c r="AX15" s="153" t="e">
        <f>#REF!</f>
        <v>#REF!</v>
      </c>
      <c r="AY15" s="202"/>
      <c r="AZ15" s="152" t="e">
        <f>#REF!</f>
        <v>#REF!</v>
      </c>
      <c r="BA15" s="202"/>
      <c r="BB15" s="154" t="e">
        <f>#REF!</f>
        <v>#REF!</v>
      </c>
      <c r="BC15" s="137"/>
    </row>
    <row r="16" spans="1:55" ht="30" customHeight="1">
      <c r="A16" s="203" t="e">
        <f>#REF!</f>
        <v>#REF!</v>
      </c>
      <c r="B16" s="204" t="e">
        <f xml:space="preserve"> IF(#REF!=0, "",#REF!)</f>
        <v>#REF!</v>
      </c>
      <c r="C16" s="369" t="e">
        <f>#REF!</f>
        <v>#REF!</v>
      </c>
      <c r="D16" s="369"/>
      <c r="E16" s="291" t="e">
        <f>#REF!</f>
        <v>#REF!</v>
      </c>
      <c r="F16" s="148" t="e">
        <f>#REF!</f>
        <v>#REF!</v>
      </c>
      <c r="G16" s="205" t="e">
        <f xml:space="preserve"> IF(#REF!="", "",#REF!)</f>
        <v>#REF!</v>
      </c>
      <c r="H16" s="205" t="e">
        <f xml:space="preserve"> IF(#REF!="", "",#REF!)</f>
        <v>#REF!</v>
      </c>
      <c r="I16" s="205" t="e">
        <f xml:space="preserve"> IF(#REF!="", "",#REF!)</f>
        <v>#REF!</v>
      </c>
      <c r="J16" s="298" t="e">
        <f>#REF!</f>
        <v>#REF!</v>
      </c>
      <c r="K16" s="149" t="e">
        <f>#REF!</f>
        <v>#REF!</v>
      </c>
      <c r="L16" s="149" t="e">
        <f>#REF!</f>
        <v>#REF!</v>
      </c>
      <c r="M16" s="150" t="e">
        <f>#REF!</f>
        <v>#REF!</v>
      </c>
      <c r="N16" s="364"/>
      <c r="O16" s="202"/>
      <c r="P16" s="151" t="e">
        <f>#REF!</f>
        <v>#REF!</v>
      </c>
      <c r="Q16" s="202"/>
      <c r="R16" s="152" t="e">
        <f>#REF!</f>
        <v>#REF!</v>
      </c>
      <c r="S16" s="202"/>
      <c r="T16" s="153" t="e">
        <f>#REF!</f>
        <v>#REF!</v>
      </c>
      <c r="U16" s="202"/>
      <c r="V16" s="153" t="e">
        <f>#REF!</f>
        <v>#REF!</v>
      </c>
      <c r="W16" s="202"/>
      <c r="X16" s="153" t="e">
        <f>#REF!</f>
        <v>#REF!</v>
      </c>
      <c r="Y16" s="202"/>
      <c r="Z16" s="152" t="e">
        <f>#REF!</f>
        <v>#REF!</v>
      </c>
      <c r="AA16" s="202"/>
      <c r="AB16" s="153" t="e">
        <f>#REF!</f>
        <v>#REF!</v>
      </c>
      <c r="AC16" s="202"/>
      <c r="AD16" s="152" t="e">
        <f>#REF!</f>
        <v>#REF!</v>
      </c>
      <c r="AE16" s="202"/>
      <c r="AF16" s="153" t="e">
        <f>#REF!</f>
        <v>#REF!</v>
      </c>
      <c r="AG16" s="202"/>
      <c r="AH16" s="152" t="e">
        <f>#REF!</f>
        <v>#REF!</v>
      </c>
      <c r="AI16" s="202"/>
      <c r="AJ16" s="153" t="e">
        <f>#REF!</f>
        <v>#REF!</v>
      </c>
      <c r="AK16" s="202"/>
      <c r="AL16" s="152" t="e">
        <f>#REF!</f>
        <v>#REF!</v>
      </c>
      <c r="AM16" s="202"/>
      <c r="AN16" s="153" t="e">
        <f>#REF!</f>
        <v>#REF!</v>
      </c>
      <c r="AO16" s="202"/>
      <c r="AP16" s="152" t="e">
        <f>#REF!</f>
        <v>#REF!</v>
      </c>
      <c r="AQ16" s="202"/>
      <c r="AR16" s="154" t="e">
        <f>#REF!</f>
        <v>#REF!</v>
      </c>
      <c r="AS16" s="202"/>
      <c r="AT16" s="153" t="e">
        <f>#REF!</f>
        <v>#REF!</v>
      </c>
      <c r="AU16" s="202"/>
      <c r="AV16" s="152" t="e">
        <f>#REF!</f>
        <v>#REF!</v>
      </c>
      <c r="AW16" s="202"/>
      <c r="AX16" s="153" t="e">
        <f>#REF!</f>
        <v>#REF!</v>
      </c>
      <c r="AY16" s="202"/>
      <c r="AZ16" s="152" t="e">
        <f>#REF!</f>
        <v>#REF!</v>
      </c>
      <c r="BA16" s="202"/>
      <c r="BB16" s="154" t="e">
        <f>#REF!</f>
        <v>#REF!</v>
      </c>
      <c r="BC16" s="137"/>
    </row>
    <row r="17" spans="1:55" ht="30" customHeight="1">
      <c r="A17" s="203" t="e">
        <f>#REF!</f>
        <v>#REF!</v>
      </c>
      <c r="B17" s="204" t="e">
        <f xml:space="preserve"> IF(#REF!=0, "",#REF!)</f>
        <v>#REF!</v>
      </c>
      <c r="C17" s="369" t="e">
        <f>#REF!</f>
        <v>#REF!</v>
      </c>
      <c r="D17" s="369"/>
      <c r="E17" s="291" t="e">
        <f>#REF!</f>
        <v>#REF!</v>
      </c>
      <c r="F17" s="148" t="e">
        <f>#REF!</f>
        <v>#REF!</v>
      </c>
      <c r="G17" s="205" t="e">
        <f xml:space="preserve"> IF(#REF!="", "",#REF!)</f>
        <v>#REF!</v>
      </c>
      <c r="H17" s="205" t="e">
        <f xml:space="preserve"> IF(#REF!="", "",#REF!)</f>
        <v>#REF!</v>
      </c>
      <c r="I17" s="205" t="e">
        <f xml:space="preserve"> IF(#REF!="", "",#REF!)</f>
        <v>#REF!</v>
      </c>
      <c r="J17" s="298" t="e">
        <f>#REF!</f>
        <v>#REF!</v>
      </c>
      <c r="K17" s="149" t="e">
        <f>#REF!</f>
        <v>#REF!</v>
      </c>
      <c r="L17" s="149" t="e">
        <f>#REF!</f>
        <v>#REF!</v>
      </c>
      <c r="M17" s="150" t="e">
        <f>#REF!</f>
        <v>#REF!</v>
      </c>
      <c r="N17" s="364"/>
      <c r="O17" s="202"/>
      <c r="P17" s="151" t="e">
        <f>#REF!</f>
        <v>#REF!</v>
      </c>
      <c r="Q17" s="202"/>
      <c r="R17" s="152" t="e">
        <f>#REF!</f>
        <v>#REF!</v>
      </c>
      <c r="S17" s="202"/>
      <c r="T17" s="153" t="e">
        <f>#REF!</f>
        <v>#REF!</v>
      </c>
      <c r="U17" s="202"/>
      <c r="V17" s="153" t="e">
        <f>#REF!</f>
        <v>#REF!</v>
      </c>
      <c r="W17" s="202"/>
      <c r="X17" s="153" t="e">
        <f>#REF!</f>
        <v>#REF!</v>
      </c>
      <c r="Y17" s="202"/>
      <c r="Z17" s="152" t="e">
        <f>#REF!</f>
        <v>#REF!</v>
      </c>
      <c r="AA17" s="202"/>
      <c r="AB17" s="153" t="e">
        <f>#REF!</f>
        <v>#REF!</v>
      </c>
      <c r="AC17" s="202"/>
      <c r="AD17" s="152" t="e">
        <f>#REF!</f>
        <v>#REF!</v>
      </c>
      <c r="AE17" s="202"/>
      <c r="AF17" s="153" t="e">
        <f>#REF!</f>
        <v>#REF!</v>
      </c>
      <c r="AG17" s="202"/>
      <c r="AH17" s="152" t="e">
        <f>#REF!</f>
        <v>#REF!</v>
      </c>
      <c r="AI17" s="202"/>
      <c r="AJ17" s="153" t="e">
        <f>#REF!</f>
        <v>#REF!</v>
      </c>
      <c r="AK17" s="202"/>
      <c r="AL17" s="152" t="e">
        <f>#REF!</f>
        <v>#REF!</v>
      </c>
      <c r="AM17" s="202"/>
      <c r="AN17" s="153" t="e">
        <f>#REF!</f>
        <v>#REF!</v>
      </c>
      <c r="AO17" s="202"/>
      <c r="AP17" s="152" t="e">
        <f>#REF!</f>
        <v>#REF!</v>
      </c>
      <c r="AQ17" s="202"/>
      <c r="AR17" s="154" t="e">
        <f>#REF!</f>
        <v>#REF!</v>
      </c>
      <c r="AS17" s="202"/>
      <c r="AT17" s="153" t="e">
        <f>#REF!</f>
        <v>#REF!</v>
      </c>
      <c r="AU17" s="202"/>
      <c r="AV17" s="152" t="e">
        <f>#REF!</f>
        <v>#REF!</v>
      </c>
      <c r="AW17" s="202"/>
      <c r="AX17" s="153" t="e">
        <f>#REF!</f>
        <v>#REF!</v>
      </c>
      <c r="AY17" s="202"/>
      <c r="AZ17" s="152" t="e">
        <f>#REF!</f>
        <v>#REF!</v>
      </c>
      <c r="BA17" s="202"/>
      <c r="BB17" s="154" t="e">
        <f>#REF!</f>
        <v>#REF!</v>
      </c>
      <c r="BC17" s="137"/>
    </row>
    <row r="18" spans="1:55" ht="30" customHeight="1">
      <c r="A18" s="203" t="e">
        <f>#REF!</f>
        <v>#REF!</v>
      </c>
      <c r="B18" s="204" t="e">
        <f xml:space="preserve"> IF(#REF!=0, "",#REF!)</f>
        <v>#REF!</v>
      </c>
      <c r="C18" s="369" t="e">
        <f>#REF!</f>
        <v>#REF!</v>
      </c>
      <c r="D18" s="369"/>
      <c r="E18" s="291" t="e">
        <f>#REF!</f>
        <v>#REF!</v>
      </c>
      <c r="F18" s="148" t="e">
        <f>#REF!</f>
        <v>#REF!</v>
      </c>
      <c r="G18" s="205" t="e">
        <f xml:space="preserve"> IF(#REF!="", "",#REF!)</f>
        <v>#REF!</v>
      </c>
      <c r="H18" s="205" t="e">
        <f xml:space="preserve"> IF(#REF!="", "",#REF!)</f>
        <v>#REF!</v>
      </c>
      <c r="I18" s="205" t="e">
        <f xml:space="preserve"> IF(#REF!="", "",#REF!)</f>
        <v>#REF!</v>
      </c>
      <c r="J18" s="298" t="e">
        <f>#REF!</f>
        <v>#REF!</v>
      </c>
      <c r="K18" s="149" t="e">
        <f>#REF!</f>
        <v>#REF!</v>
      </c>
      <c r="L18" s="149" t="e">
        <f>#REF!</f>
        <v>#REF!</v>
      </c>
      <c r="M18" s="150" t="e">
        <f>#REF!</f>
        <v>#REF!</v>
      </c>
      <c r="N18" s="364"/>
      <c r="O18" s="202"/>
      <c r="P18" s="151" t="e">
        <f>#REF!</f>
        <v>#REF!</v>
      </c>
      <c r="Q18" s="202"/>
      <c r="R18" s="152" t="e">
        <f>#REF!</f>
        <v>#REF!</v>
      </c>
      <c r="S18" s="202"/>
      <c r="T18" s="153" t="e">
        <f>#REF!</f>
        <v>#REF!</v>
      </c>
      <c r="U18" s="202"/>
      <c r="V18" s="153" t="e">
        <f>#REF!</f>
        <v>#REF!</v>
      </c>
      <c r="W18" s="202"/>
      <c r="X18" s="153" t="e">
        <f>#REF!</f>
        <v>#REF!</v>
      </c>
      <c r="Y18" s="202"/>
      <c r="Z18" s="152" t="e">
        <f>#REF!</f>
        <v>#REF!</v>
      </c>
      <c r="AA18" s="202"/>
      <c r="AB18" s="153" t="e">
        <f>#REF!</f>
        <v>#REF!</v>
      </c>
      <c r="AC18" s="202"/>
      <c r="AD18" s="152" t="e">
        <f>#REF!</f>
        <v>#REF!</v>
      </c>
      <c r="AE18" s="202"/>
      <c r="AF18" s="153" t="e">
        <f>#REF!</f>
        <v>#REF!</v>
      </c>
      <c r="AG18" s="202"/>
      <c r="AH18" s="152" t="e">
        <f>#REF!</f>
        <v>#REF!</v>
      </c>
      <c r="AI18" s="202"/>
      <c r="AJ18" s="153" t="e">
        <f>#REF!</f>
        <v>#REF!</v>
      </c>
      <c r="AK18" s="202"/>
      <c r="AL18" s="152" t="e">
        <f>#REF!</f>
        <v>#REF!</v>
      </c>
      <c r="AM18" s="202"/>
      <c r="AN18" s="153" t="e">
        <f>#REF!</f>
        <v>#REF!</v>
      </c>
      <c r="AO18" s="202"/>
      <c r="AP18" s="152" t="e">
        <f>#REF!</f>
        <v>#REF!</v>
      </c>
      <c r="AQ18" s="202"/>
      <c r="AR18" s="154" t="e">
        <f>#REF!</f>
        <v>#REF!</v>
      </c>
      <c r="AS18" s="202"/>
      <c r="AT18" s="153" t="e">
        <f>#REF!</f>
        <v>#REF!</v>
      </c>
      <c r="AU18" s="202"/>
      <c r="AV18" s="152" t="e">
        <f>#REF!</f>
        <v>#REF!</v>
      </c>
      <c r="AW18" s="202"/>
      <c r="AX18" s="153" t="e">
        <f>#REF!</f>
        <v>#REF!</v>
      </c>
      <c r="AY18" s="202"/>
      <c r="AZ18" s="152" t="e">
        <f>#REF!</f>
        <v>#REF!</v>
      </c>
      <c r="BA18" s="202"/>
      <c r="BB18" s="154" t="e">
        <f>#REF!</f>
        <v>#REF!</v>
      </c>
      <c r="BC18" s="137"/>
    </row>
    <row r="19" spans="1:55" ht="30" customHeight="1">
      <c r="A19" s="203" t="e">
        <f>#REF!</f>
        <v>#REF!</v>
      </c>
      <c r="B19" s="204" t="e">
        <f xml:space="preserve"> IF(#REF!=0, "",#REF!)</f>
        <v>#REF!</v>
      </c>
      <c r="C19" s="369" t="e">
        <f>#REF!</f>
        <v>#REF!</v>
      </c>
      <c r="D19" s="369"/>
      <c r="E19" s="291" t="e">
        <f>#REF!</f>
        <v>#REF!</v>
      </c>
      <c r="F19" s="148" t="e">
        <f>#REF!</f>
        <v>#REF!</v>
      </c>
      <c r="G19" s="205" t="e">
        <f xml:space="preserve"> IF(#REF!="", "",#REF!)</f>
        <v>#REF!</v>
      </c>
      <c r="H19" s="205" t="e">
        <f xml:space="preserve"> IF(#REF!="", "",#REF!)</f>
        <v>#REF!</v>
      </c>
      <c r="I19" s="205" t="e">
        <f xml:space="preserve"> IF(#REF!="", "",#REF!)</f>
        <v>#REF!</v>
      </c>
      <c r="J19" s="298" t="e">
        <f>#REF!</f>
        <v>#REF!</v>
      </c>
      <c r="K19" s="149" t="e">
        <f>#REF!</f>
        <v>#REF!</v>
      </c>
      <c r="L19" s="149" t="e">
        <f>#REF!</f>
        <v>#REF!</v>
      </c>
      <c r="M19" s="150" t="e">
        <f>#REF!</f>
        <v>#REF!</v>
      </c>
      <c r="N19" s="364"/>
      <c r="O19" s="202"/>
      <c r="P19" s="151" t="e">
        <f>#REF!</f>
        <v>#REF!</v>
      </c>
      <c r="Q19" s="202"/>
      <c r="R19" s="152" t="e">
        <f>#REF!</f>
        <v>#REF!</v>
      </c>
      <c r="S19" s="202"/>
      <c r="T19" s="153" t="e">
        <f>#REF!</f>
        <v>#REF!</v>
      </c>
      <c r="U19" s="202"/>
      <c r="V19" s="153" t="e">
        <f>#REF!</f>
        <v>#REF!</v>
      </c>
      <c r="W19" s="202"/>
      <c r="X19" s="153" t="e">
        <f>#REF!</f>
        <v>#REF!</v>
      </c>
      <c r="Y19" s="202"/>
      <c r="Z19" s="152" t="e">
        <f>#REF!</f>
        <v>#REF!</v>
      </c>
      <c r="AA19" s="202"/>
      <c r="AB19" s="153" t="e">
        <f>#REF!</f>
        <v>#REF!</v>
      </c>
      <c r="AC19" s="202"/>
      <c r="AD19" s="152" t="e">
        <f>#REF!</f>
        <v>#REF!</v>
      </c>
      <c r="AE19" s="202"/>
      <c r="AF19" s="153" t="e">
        <f>#REF!</f>
        <v>#REF!</v>
      </c>
      <c r="AG19" s="202"/>
      <c r="AH19" s="152" t="e">
        <f>#REF!</f>
        <v>#REF!</v>
      </c>
      <c r="AI19" s="202"/>
      <c r="AJ19" s="153" t="e">
        <f>#REF!</f>
        <v>#REF!</v>
      </c>
      <c r="AK19" s="202"/>
      <c r="AL19" s="152" t="e">
        <f>#REF!</f>
        <v>#REF!</v>
      </c>
      <c r="AM19" s="202"/>
      <c r="AN19" s="153" t="e">
        <f>#REF!</f>
        <v>#REF!</v>
      </c>
      <c r="AO19" s="202"/>
      <c r="AP19" s="152" t="e">
        <f>#REF!</f>
        <v>#REF!</v>
      </c>
      <c r="AQ19" s="202"/>
      <c r="AR19" s="154" t="e">
        <f>#REF!</f>
        <v>#REF!</v>
      </c>
      <c r="AS19" s="202"/>
      <c r="AT19" s="153" t="e">
        <f>#REF!</f>
        <v>#REF!</v>
      </c>
      <c r="AU19" s="202"/>
      <c r="AV19" s="152" t="e">
        <f>#REF!</f>
        <v>#REF!</v>
      </c>
      <c r="AW19" s="202"/>
      <c r="AX19" s="153" t="e">
        <f>#REF!</f>
        <v>#REF!</v>
      </c>
      <c r="AY19" s="202"/>
      <c r="AZ19" s="152" t="e">
        <f>#REF!</f>
        <v>#REF!</v>
      </c>
      <c r="BA19" s="202"/>
      <c r="BB19" s="154" t="e">
        <f>#REF!</f>
        <v>#REF!</v>
      </c>
      <c r="BC19" s="137"/>
    </row>
    <row r="20" spans="1:55" ht="30" customHeight="1">
      <c r="A20" s="203" t="e">
        <f>#REF!</f>
        <v>#REF!</v>
      </c>
      <c r="B20" s="204" t="e">
        <f xml:space="preserve"> IF(#REF!=0, "",#REF!)</f>
        <v>#REF!</v>
      </c>
      <c r="C20" s="369" t="e">
        <f>#REF!</f>
        <v>#REF!</v>
      </c>
      <c r="D20" s="369"/>
      <c r="E20" s="291" t="e">
        <f>#REF!</f>
        <v>#REF!</v>
      </c>
      <c r="F20" s="148" t="e">
        <f>#REF!</f>
        <v>#REF!</v>
      </c>
      <c r="G20" s="205" t="e">
        <f xml:space="preserve"> IF(#REF!="", "",#REF!)</f>
        <v>#REF!</v>
      </c>
      <c r="H20" s="205" t="e">
        <f xml:space="preserve"> IF(#REF!="", "",#REF!)</f>
        <v>#REF!</v>
      </c>
      <c r="I20" s="205" t="e">
        <f xml:space="preserve"> IF(#REF!="", "",#REF!)</f>
        <v>#REF!</v>
      </c>
      <c r="J20" s="298" t="e">
        <f>#REF!</f>
        <v>#REF!</v>
      </c>
      <c r="K20" s="149" t="e">
        <f>#REF!</f>
        <v>#REF!</v>
      </c>
      <c r="L20" s="149" t="e">
        <f>#REF!</f>
        <v>#REF!</v>
      </c>
      <c r="M20" s="150" t="e">
        <f>#REF!</f>
        <v>#REF!</v>
      </c>
      <c r="N20" s="364"/>
      <c r="O20" s="202"/>
      <c r="P20" s="151" t="e">
        <f>#REF!</f>
        <v>#REF!</v>
      </c>
      <c r="Q20" s="202"/>
      <c r="R20" s="152" t="e">
        <f>#REF!</f>
        <v>#REF!</v>
      </c>
      <c r="S20" s="202"/>
      <c r="T20" s="153" t="e">
        <f>#REF!</f>
        <v>#REF!</v>
      </c>
      <c r="U20" s="202"/>
      <c r="V20" s="153" t="e">
        <f>#REF!</f>
        <v>#REF!</v>
      </c>
      <c r="W20" s="202"/>
      <c r="X20" s="153" t="e">
        <f>#REF!</f>
        <v>#REF!</v>
      </c>
      <c r="Y20" s="202"/>
      <c r="Z20" s="152" t="e">
        <f>#REF!</f>
        <v>#REF!</v>
      </c>
      <c r="AA20" s="202"/>
      <c r="AB20" s="153" t="e">
        <f>#REF!</f>
        <v>#REF!</v>
      </c>
      <c r="AC20" s="202"/>
      <c r="AD20" s="152" t="e">
        <f>#REF!</f>
        <v>#REF!</v>
      </c>
      <c r="AE20" s="202"/>
      <c r="AF20" s="153" t="e">
        <f>#REF!</f>
        <v>#REF!</v>
      </c>
      <c r="AG20" s="202"/>
      <c r="AH20" s="152" t="e">
        <f>#REF!</f>
        <v>#REF!</v>
      </c>
      <c r="AI20" s="202"/>
      <c r="AJ20" s="153" t="e">
        <f>#REF!</f>
        <v>#REF!</v>
      </c>
      <c r="AK20" s="202"/>
      <c r="AL20" s="152" t="e">
        <f>#REF!</f>
        <v>#REF!</v>
      </c>
      <c r="AM20" s="202"/>
      <c r="AN20" s="153" t="e">
        <f>#REF!</f>
        <v>#REF!</v>
      </c>
      <c r="AO20" s="202"/>
      <c r="AP20" s="152" t="e">
        <f>#REF!</f>
        <v>#REF!</v>
      </c>
      <c r="AQ20" s="202"/>
      <c r="AR20" s="154" t="e">
        <f>#REF!</f>
        <v>#REF!</v>
      </c>
      <c r="AS20" s="202"/>
      <c r="AT20" s="153" t="e">
        <f>#REF!</f>
        <v>#REF!</v>
      </c>
      <c r="AU20" s="202"/>
      <c r="AV20" s="152" t="e">
        <f>#REF!</f>
        <v>#REF!</v>
      </c>
      <c r="AW20" s="202"/>
      <c r="AX20" s="153" t="e">
        <f>#REF!</f>
        <v>#REF!</v>
      </c>
      <c r="AY20" s="202"/>
      <c r="AZ20" s="152" t="e">
        <f>#REF!</f>
        <v>#REF!</v>
      </c>
      <c r="BA20" s="202"/>
      <c r="BB20" s="154" t="e">
        <f>#REF!</f>
        <v>#REF!</v>
      </c>
      <c r="BC20" s="137"/>
    </row>
    <row r="21" spans="1:55" ht="30" customHeight="1">
      <c r="A21" s="203" t="e">
        <f>#REF!</f>
        <v>#REF!</v>
      </c>
      <c r="B21" s="204" t="e">
        <f xml:space="preserve"> IF(#REF!=0, "",#REF!)</f>
        <v>#REF!</v>
      </c>
      <c r="C21" s="369" t="e">
        <f>#REF!</f>
        <v>#REF!</v>
      </c>
      <c r="D21" s="369"/>
      <c r="E21" s="291" t="e">
        <f>#REF!</f>
        <v>#REF!</v>
      </c>
      <c r="F21" s="148" t="e">
        <f>#REF!</f>
        <v>#REF!</v>
      </c>
      <c r="G21" s="205" t="e">
        <f xml:space="preserve"> IF(#REF!="", "",#REF!)</f>
        <v>#REF!</v>
      </c>
      <c r="H21" s="205" t="e">
        <f xml:space="preserve"> IF(#REF!="", "",#REF!)</f>
        <v>#REF!</v>
      </c>
      <c r="I21" s="205" t="e">
        <f xml:space="preserve"> IF(#REF!="", "",#REF!)</f>
        <v>#REF!</v>
      </c>
      <c r="J21" s="298" t="e">
        <f>#REF!</f>
        <v>#REF!</v>
      </c>
      <c r="K21" s="149" t="e">
        <f>#REF!</f>
        <v>#REF!</v>
      </c>
      <c r="L21" s="149" t="e">
        <f>#REF!</f>
        <v>#REF!</v>
      </c>
      <c r="M21" s="150" t="e">
        <f>#REF!</f>
        <v>#REF!</v>
      </c>
      <c r="N21" s="364"/>
      <c r="O21" s="202"/>
      <c r="P21" s="151" t="e">
        <f>#REF!</f>
        <v>#REF!</v>
      </c>
      <c r="Q21" s="202"/>
      <c r="R21" s="152" t="e">
        <f>#REF!</f>
        <v>#REF!</v>
      </c>
      <c r="S21" s="202"/>
      <c r="T21" s="153" t="e">
        <f>#REF!</f>
        <v>#REF!</v>
      </c>
      <c r="U21" s="202"/>
      <c r="V21" s="153" t="e">
        <f>#REF!</f>
        <v>#REF!</v>
      </c>
      <c r="W21" s="202"/>
      <c r="X21" s="153" t="e">
        <f>#REF!</f>
        <v>#REF!</v>
      </c>
      <c r="Y21" s="202"/>
      <c r="Z21" s="152" t="e">
        <f>#REF!</f>
        <v>#REF!</v>
      </c>
      <c r="AA21" s="202"/>
      <c r="AB21" s="153" t="e">
        <f>#REF!</f>
        <v>#REF!</v>
      </c>
      <c r="AC21" s="202"/>
      <c r="AD21" s="152" t="e">
        <f>#REF!</f>
        <v>#REF!</v>
      </c>
      <c r="AE21" s="202"/>
      <c r="AF21" s="153" t="e">
        <f>#REF!</f>
        <v>#REF!</v>
      </c>
      <c r="AG21" s="202"/>
      <c r="AH21" s="152" t="e">
        <f>#REF!</f>
        <v>#REF!</v>
      </c>
      <c r="AI21" s="202"/>
      <c r="AJ21" s="153" t="e">
        <f>#REF!</f>
        <v>#REF!</v>
      </c>
      <c r="AK21" s="202"/>
      <c r="AL21" s="152" t="e">
        <f>#REF!</f>
        <v>#REF!</v>
      </c>
      <c r="AM21" s="202"/>
      <c r="AN21" s="153" t="e">
        <f>#REF!</f>
        <v>#REF!</v>
      </c>
      <c r="AO21" s="202"/>
      <c r="AP21" s="152" t="e">
        <f>#REF!</f>
        <v>#REF!</v>
      </c>
      <c r="AQ21" s="202"/>
      <c r="AR21" s="154" t="e">
        <f>#REF!</f>
        <v>#REF!</v>
      </c>
      <c r="AS21" s="202"/>
      <c r="AT21" s="153" t="e">
        <f>#REF!</f>
        <v>#REF!</v>
      </c>
      <c r="AU21" s="202"/>
      <c r="AV21" s="152" t="e">
        <f>#REF!</f>
        <v>#REF!</v>
      </c>
      <c r="AW21" s="202"/>
      <c r="AX21" s="153" t="e">
        <f>#REF!</f>
        <v>#REF!</v>
      </c>
      <c r="AY21" s="202"/>
      <c r="AZ21" s="152" t="e">
        <f>#REF!</f>
        <v>#REF!</v>
      </c>
      <c r="BA21" s="202"/>
      <c r="BB21" s="154" t="e">
        <f>#REF!</f>
        <v>#REF!</v>
      </c>
      <c r="BC21" s="137"/>
    </row>
    <row r="22" spans="1:55" ht="30" customHeight="1">
      <c r="A22" s="203" t="e">
        <f>#REF!</f>
        <v>#REF!</v>
      </c>
      <c r="B22" s="204" t="e">
        <f xml:space="preserve"> IF(#REF!=0, "",#REF!)</f>
        <v>#REF!</v>
      </c>
      <c r="C22" s="369" t="e">
        <f>#REF!</f>
        <v>#REF!</v>
      </c>
      <c r="D22" s="369"/>
      <c r="E22" s="291" t="e">
        <f>#REF!</f>
        <v>#REF!</v>
      </c>
      <c r="F22" s="148" t="e">
        <f>#REF!</f>
        <v>#REF!</v>
      </c>
      <c r="G22" s="205" t="e">
        <f xml:space="preserve"> IF(#REF!="", "",#REF!)</f>
        <v>#REF!</v>
      </c>
      <c r="H22" s="205" t="e">
        <f xml:space="preserve"> IF(#REF!="", "",#REF!)</f>
        <v>#REF!</v>
      </c>
      <c r="I22" s="205" t="e">
        <f xml:space="preserve"> IF(#REF!="", "",#REF!)</f>
        <v>#REF!</v>
      </c>
      <c r="J22" s="298" t="e">
        <f>#REF!</f>
        <v>#REF!</v>
      </c>
      <c r="K22" s="149" t="e">
        <f>#REF!</f>
        <v>#REF!</v>
      </c>
      <c r="L22" s="149" t="e">
        <f>#REF!</f>
        <v>#REF!</v>
      </c>
      <c r="M22" s="150" t="e">
        <f>#REF!</f>
        <v>#REF!</v>
      </c>
      <c r="N22" s="364"/>
      <c r="O22" s="202"/>
      <c r="P22" s="151" t="e">
        <f>#REF!</f>
        <v>#REF!</v>
      </c>
      <c r="Q22" s="202"/>
      <c r="R22" s="152" t="e">
        <f>#REF!</f>
        <v>#REF!</v>
      </c>
      <c r="S22" s="202"/>
      <c r="T22" s="153" t="e">
        <f>#REF!</f>
        <v>#REF!</v>
      </c>
      <c r="U22" s="202"/>
      <c r="V22" s="153" t="e">
        <f>#REF!</f>
        <v>#REF!</v>
      </c>
      <c r="W22" s="202"/>
      <c r="X22" s="153" t="e">
        <f>#REF!</f>
        <v>#REF!</v>
      </c>
      <c r="Y22" s="202"/>
      <c r="Z22" s="152" t="e">
        <f>#REF!</f>
        <v>#REF!</v>
      </c>
      <c r="AA22" s="202"/>
      <c r="AB22" s="153" t="e">
        <f>#REF!</f>
        <v>#REF!</v>
      </c>
      <c r="AC22" s="202"/>
      <c r="AD22" s="152" t="e">
        <f>#REF!</f>
        <v>#REF!</v>
      </c>
      <c r="AE22" s="202"/>
      <c r="AF22" s="153" t="e">
        <f>#REF!</f>
        <v>#REF!</v>
      </c>
      <c r="AG22" s="202"/>
      <c r="AH22" s="152" t="e">
        <f>#REF!</f>
        <v>#REF!</v>
      </c>
      <c r="AI22" s="202"/>
      <c r="AJ22" s="153" t="e">
        <f>#REF!</f>
        <v>#REF!</v>
      </c>
      <c r="AK22" s="202"/>
      <c r="AL22" s="152" t="e">
        <f>#REF!</f>
        <v>#REF!</v>
      </c>
      <c r="AM22" s="202"/>
      <c r="AN22" s="153" t="e">
        <f>#REF!</f>
        <v>#REF!</v>
      </c>
      <c r="AO22" s="202"/>
      <c r="AP22" s="152" t="e">
        <f>#REF!</f>
        <v>#REF!</v>
      </c>
      <c r="AQ22" s="202"/>
      <c r="AR22" s="154" t="e">
        <f>#REF!</f>
        <v>#REF!</v>
      </c>
      <c r="AS22" s="202"/>
      <c r="AT22" s="153" t="e">
        <f>#REF!</f>
        <v>#REF!</v>
      </c>
      <c r="AU22" s="202"/>
      <c r="AV22" s="152" t="e">
        <f>#REF!</f>
        <v>#REF!</v>
      </c>
      <c r="AW22" s="202"/>
      <c r="AX22" s="153" t="e">
        <f>#REF!</f>
        <v>#REF!</v>
      </c>
      <c r="AY22" s="202"/>
      <c r="AZ22" s="152" t="e">
        <f>#REF!</f>
        <v>#REF!</v>
      </c>
      <c r="BA22" s="202"/>
      <c r="BB22" s="154" t="e">
        <f>#REF!</f>
        <v>#REF!</v>
      </c>
      <c r="BC22" s="137"/>
    </row>
    <row r="23" spans="1:55" ht="30" customHeight="1">
      <c r="A23" s="203" t="e">
        <f>#REF!</f>
        <v>#REF!</v>
      </c>
      <c r="B23" s="204" t="e">
        <f xml:space="preserve"> IF(#REF!=0, "",#REF!)</f>
        <v>#REF!</v>
      </c>
      <c r="C23" s="369" t="e">
        <f>#REF!</f>
        <v>#REF!</v>
      </c>
      <c r="D23" s="369"/>
      <c r="E23" s="291" t="e">
        <f>#REF!</f>
        <v>#REF!</v>
      </c>
      <c r="F23" s="148" t="e">
        <f>#REF!</f>
        <v>#REF!</v>
      </c>
      <c r="G23" s="205" t="e">
        <f xml:space="preserve"> IF(#REF!="", "",#REF!)</f>
        <v>#REF!</v>
      </c>
      <c r="H23" s="205" t="e">
        <f xml:space="preserve"> IF(#REF!="", "",#REF!)</f>
        <v>#REF!</v>
      </c>
      <c r="I23" s="205" t="e">
        <f xml:space="preserve"> IF(#REF!="", "",#REF!)</f>
        <v>#REF!</v>
      </c>
      <c r="J23" s="298" t="e">
        <f>#REF!</f>
        <v>#REF!</v>
      </c>
      <c r="K23" s="149" t="e">
        <f>#REF!</f>
        <v>#REF!</v>
      </c>
      <c r="L23" s="149" t="e">
        <f>#REF!</f>
        <v>#REF!</v>
      </c>
      <c r="M23" s="150" t="e">
        <f>#REF!</f>
        <v>#REF!</v>
      </c>
      <c r="N23" s="364"/>
      <c r="O23" s="202"/>
      <c r="P23" s="151" t="e">
        <f>#REF!</f>
        <v>#REF!</v>
      </c>
      <c r="Q23" s="202"/>
      <c r="R23" s="152" t="e">
        <f>#REF!</f>
        <v>#REF!</v>
      </c>
      <c r="S23" s="202"/>
      <c r="T23" s="153" t="e">
        <f>#REF!</f>
        <v>#REF!</v>
      </c>
      <c r="U23" s="202"/>
      <c r="V23" s="153" t="e">
        <f>#REF!</f>
        <v>#REF!</v>
      </c>
      <c r="W23" s="202"/>
      <c r="X23" s="153" t="e">
        <f>#REF!</f>
        <v>#REF!</v>
      </c>
      <c r="Y23" s="202"/>
      <c r="Z23" s="152" t="e">
        <f>#REF!</f>
        <v>#REF!</v>
      </c>
      <c r="AA23" s="202"/>
      <c r="AB23" s="153" t="e">
        <f>#REF!</f>
        <v>#REF!</v>
      </c>
      <c r="AC23" s="202"/>
      <c r="AD23" s="152" t="e">
        <f>#REF!</f>
        <v>#REF!</v>
      </c>
      <c r="AE23" s="202"/>
      <c r="AF23" s="153" t="e">
        <f>#REF!</f>
        <v>#REF!</v>
      </c>
      <c r="AG23" s="202"/>
      <c r="AH23" s="152" t="e">
        <f>#REF!</f>
        <v>#REF!</v>
      </c>
      <c r="AI23" s="202"/>
      <c r="AJ23" s="153" t="e">
        <f>#REF!</f>
        <v>#REF!</v>
      </c>
      <c r="AK23" s="202"/>
      <c r="AL23" s="152" t="e">
        <f>#REF!</f>
        <v>#REF!</v>
      </c>
      <c r="AM23" s="202"/>
      <c r="AN23" s="153" t="e">
        <f>#REF!</f>
        <v>#REF!</v>
      </c>
      <c r="AO23" s="202"/>
      <c r="AP23" s="152" t="e">
        <f>#REF!</f>
        <v>#REF!</v>
      </c>
      <c r="AQ23" s="202"/>
      <c r="AR23" s="154" t="e">
        <f>#REF!</f>
        <v>#REF!</v>
      </c>
      <c r="AS23" s="202"/>
      <c r="AT23" s="153" t="e">
        <f>#REF!</f>
        <v>#REF!</v>
      </c>
      <c r="AU23" s="202"/>
      <c r="AV23" s="152" t="e">
        <f>#REF!</f>
        <v>#REF!</v>
      </c>
      <c r="AW23" s="202"/>
      <c r="AX23" s="153" t="e">
        <f>#REF!</f>
        <v>#REF!</v>
      </c>
      <c r="AY23" s="202"/>
      <c r="AZ23" s="152" t="e">
        <f>#REF!</f>
        <v>#REF!</v>
      </c>
      <c r="BA23" s="202"/>
      <c r="BB23" s="154" t="e">
        <f>#REF!</f>
        <v>#REF!</v>
      </c>
      <c r="BC23" s="137"/>
    </row>
    <row r="24" spans="1:55" ht="30" customHeight="1">
      <c r="A24" s="203" t="e">
        <f>#REF!</f>
        <v>#REF!</v>
      </c>
      <c r="B24" s="204" t="e">
        <f xml:space="preserve"> IF(#REF!=0, "",#REF!)</f>
        <v>#REF!</v>
      </c>
      <c r="C24" s="369" t="e">
        <f>#REF!</f>
        <v>#REF!</v>
      </c>
      <c r="D24" s="369"/>
      <c r="E24" s="291" t="e">
        <f>#REF!</f>
        <v>#REF!</v>
      </c>
      <c r="F24" s="148" t="e">
        <f>#REF!</f>
        <v>#REF!</v>
      </c>
      <c r="G24" s="205" t="e">
        <f xml:space="preserve"> IF(#REF!="", "",#REF!)</f>
        <v>#REF!</v>
      </c>
      <c r="H24" s="205" t="e">
        <f xml:space="preserve"> IF(#REF!="", "",#REF!)</f>
        <v>#REF!</v>
      </c>
      <c r="I24" s="205" t="e">
        <f xml:space="preserve"> IF(#REF!="", "",#REF!)</f>
        <v>#REF!</v>
      </c>
      <c r="J24" s="298" t="e">
        <f>#REF!</f>
        <v>#REF!</v>
      </c>
      <c r="K24" s="149" t="e">
        <f>#REF!</f>
        <v>#REF!</v>
      </c>
      <c r="L24" s="149" t="e">
        <f>#REF!</f>
        <v>#REF!</v>
      </c>
      <c r="M24" s="150" t="e">
        <f>#REF!</f>
        <v>#REF!</v>
      </c>
      <c r="N24" s="364"/>
      <c r="O24" s="202"/>
      <c r="P24" s="151" t="e">
        <f>#REF!</f>
        <v>#REF!</v>
      </c>
      <c r="Q24" s="202"/>
      <c r="R24" s="152" t="e">
        <f>#REF!</f>
        <v>#REF!</v>
      </c>
      <c r="S24" s="202"/>
      <c r="T24" s="153" t="e">
        <f>#REF!</f>
        <v>#REF!</v>
      </c>
      <c r="U24" s="202"/>
      <c r="V24" s="153" t="e">
        <f>#REF!</f>
        <v>#REF!</v>
      </c>
      <c r="W24" s="202"/>
      <c r="X24" s="153" t="e">
        <f>#REF!</f>
        <v>#REF!</v>
      </c>
      <c r="Y24" s="202"/>
      <c r="Z24" s="152" t="e">
        <f>#REF!</f>
        <v>#REF!</v>
      </c>
      <c r="AA24" s="202"/>
      <c r="AB24" s="153" t="e">
        <f>#REF!</f>
        <v>#REF!</v>
      </c>
      <c r="AC24" s="202"/>
      <c r="AD24" s="152" t="e">
        <f>#REF!</f>
        <v>#REF!</v>
      </c>
      <c r="AE24" s="202"/>
      <c r="AF24" s="153" t="e">
        <f>#REF!</f>
        <v>#REF!</v>
      </c>
      <c r="AG24" s="202"/>
      <c r="AH24" s="152" t="e">
        <f>#REF!</f>
        <v>#REF!</v>
      </c>
      <c r="AI24" s="202"/>
      <c r="AJ24" s="153" t="e">
        <f>#REF!</f>
        <v>#REF!</v>
      </c>
      <c r="AK24" s="202"/>
      <c r="AL24" s="152" t="e">
        <f>#REF!</f>
        <v>#REF!</v>
      </c>
      <c r="AM24" s="202"/>
      <c r="AN24" s="153" t="e">
        <f>#REF!</f>
        <v>#REF!</v>
      </c>
      <c r="AO24" s="202"/>
      <c r="AP24" s="152" t="e">
        <f>#REF!</f>
        <v>#REF!</v>
      </c>
      <c r="AQ24" s="202"/>
      <c r="AR24" s="154" t="e">
        <f>#REF!</f>
        <v>#REF!</v>
      </c>
      <c r="AS24" s="202"/>
      <c r="AT24" s="153" t="e">
        <f>#REF!</f>
        <v>#REF!</v>
      </c>
      <c r="AU24" s="202"/>
      <c r="AV24" s="152" t="e">
        <f>#REF!</f>
        <v>#REF!</v>
      </c>
      <c r="AW24" s="202"/>
      <c r="AX24" s="153" t="e">
        <f>#REF!</f>
        <v>#REF!</v>
      </c>
      <c r="AY24" s="202"/>
      <c r="AZ24" s="152" t="e">
        <f>#REF!</f>
        <v>#REF!</v>
      </c>
      <c r="BA24" s="202"/>
      <c r="BB24" s="154" t="e">
        <f>#REF!</f>
        <v>#REF!</v>
      </c>
      <c r="BC24" s="137"/>
    </row>
    <row r="25" spans="1:55" ht="30" customHeight="1">
      <c r="A25" s="203" t="e">
        <f>#REF!</f>
        <v>#REF!</v>
      </c>
      <c r="B25" s="204" t="e">
        <f xml:space="preserve"> IF(#REF!=0, "",#REF!)</f>
        <v>#REF!</v>
      </c>
      <c r="C25" s="369" t="e">
        <f>#REF!</f>
        <v>#REF!</v>
      </c>
      <c r="D25" s="369"/>
      <c r="E25" s="291" t="e">
        <f>#REF!</f>
        <v>#REF!</v>
      </c>
      <c r="F25" s="148" t="e">
        <f>#REF!</f>
        <v>#REF!</v>
      </c>
      <c r="G25" s="205" t="e">
        <f xml:space="preserve"> IF(#REF!="", "",#REF!)</f>
        <v>#REF!</v>
      </c>
      <c r="H25" s="205" t="e">
        <f xml:space="preserve"> IF(#REF!="", "",#REF!)</f>
        <v>#REF!</v>
      </c>
      <c r="I25" s="205" t="e">
        <f xml:space="preserve"> IF(#REF!="", "",#REF!)</f>
        <v>#REF!</v>
      </c>
      <c r="J25" s="298" t="e">
        <f>#REF!</f>
        <v>#REF!</v>
      </c>
      <c r="K25" s="149" t="e">
        <f>#REF!</f>
        <v>#REF!</v>
      </c>
      <c r="L25" s="149" t="e">
        <f>#REF!</f>
        <v>#REF!</v>
      </c>
      <c r="M25" s="150" t="e">
        <f>#REF!</f>
        <v>#REF!</v>
      </c>
      <c r="N25" s="364"/>
      <c r="O25" s="202"/>
      <c r="P25" s="151" t="e">
        <f>#REF!</f>
        <v>#REF!</v>
      </c>
      <c r="Q25" s="202"/>
      <c r="R25" s="152" t="e">
        <f>#REF!</f>
        <v>#REF!</v>
      </c>
      <c r="S25" s="202"/>
      <c r="T25" s="153" t="e">
        <f>#REF!</f>
        <v>#REF!</v>
      </c>
      <c r="U25" s="202"/>
      <c r="V25" s="153" t="e">
        <f>#REF!</f>
        <v>#REF!</v>
      </c>
      <c r="W25" s="202"/>
      <c r="X25" s="153" t="e">
        <f>#REF!</f>
        <v>#REF!</v>
      </c>
      <c r="Y25" s="202"/>
      <c r="Z25" s="152" t="e">
        <f>#REF!</f>
        <v>#REF!</v>
      </c>
      <c r="AA25" s="202"/>
      <c r="AB25" s="153" t="e">
        <f>#REF!</f>
        <v>#REF!</v>
      </c>
      <c r="AC25" s="202"/>
      <c r="AD25" s="152" t="e">
        <f>#REF!</f>
        <v>#REF!</v>
      </c>
      <c r="AE25" s="202"/>
      <c r="AF25" s="153" t="e">
        <f>#REF!</f>
        <v>#REF!</v>
      </c>
      <c r="AG25" s="202"/>
      <c r="AH25" s="152" t="e">
        <f>#REF!</f>
        <v>#REF!</v>
      </c>
      <c r="AI25" s="202"/>
      <c r="AJ25" s="153" t="e">
        <f>#REF!</f>
        <v>#REF!</v>
      </c>
      <c r="AK25" s="202"/>
      <c r="AL25" s="152" t="e">
        <f>#REF!</f>
        <v>#REF!</v>
      </c>
      <c r="AM25" s="202"/>
      <c r="AN25" s="153" t="e">
        <f>#REF!</f>
        <v>#REF!</v>
      </c>
      <c r="AO25" s="202"/>
      <c r="AP25" s="152" t="e">
        <f>#REF!</f>
        <v>#REF!</v>
      </c>
      <c r="AQ25" s="202"/>
      <c r="AR25" s="154" t="e">
        <f>#REF!</f>
        <v>#REF!</v>
      </c>
      <c r="AS25" s="202"/>
      <c r="AT25" s="153" t="e">
        <f>#REF!</f>
        <v>#REF!</v>
      </c>
      <c r="AU25" s="202"/>
      <c r="AV25" s="152" t="e">
        <f>#REF!</f>
        <v>#REF!</v>
      </c>
      <c r="AW25" s="202"/>
      <c r="AX25" s="153" t="e">
        <f>#REF!</f>
        <v>#REF!</v>
      </c>
      <c r="AY25" s="202"/>
      <c r="AZ25" s="152" t="e">
        <f>#REF!</f>
        <v>#REF!</v>
      </c>
      <c r="BA25" s="202"/>
      <c r="BB25" s="154" t="e">
        <f>#REF!</f>
        <v>#REF!</v>
      </c>
      <c r="BC25" s="137"/>
    </row>
    <row r="26" spans="1:55" ht="30" customHeight="1">
      <c r="A26" s="203" t="e">
        <f>#REF!</f>
        <v>#REF!</v>
      </c>
      <c r="B26" s="204" t="e">
        <f xml:space="preserve"> IF(#REF!=0, "",#REF!)</f>
        <v>#REF!</v>
      </c>
      <c r="C26" s="369" t="e">
        <f>#REF!</f>
        <v>#REF!</v>
      </c>
      <c r="D26" s="369"/>
      <c r="E26" s="291" t="e">
        <f>#REF!</f>
        <v>#REF!</v>
      </c>
      <c r="F26" s="148" t="e">
        <f>#REF!</f>
        <v>#REF!</v>
      </c>
      <c r="G26" s="205" t="e">
        <f xml:space="preserve"> IF(#REF!="", "",#REF!)</f>
        <v>#REF!</v>
      </c>
      <c r="H26" s="205" t="e">
        <f xml:space="preserve"> IF(#REF!="", "",#REF!)</f>
        <v>#REF!</v>
      </c>
      <c r="I26" s="205" t="e">
        <f xml:space="preserve"> IF(#REF!="", "",#REF!)</f>
        <v>#REF!</v>
      </c>
      <c r="J26" s="298" t="e">
        <f>#REF!</f>
        <v>#REF!</v>
      </c>
      <c r="K26" s="149" t="e">
        <f>#REF!</f>
        <v>#REF!</v>
      </c>
      <c r="L26" s="149" t="e">
        <f>#REF!</f>
        <v>#REF!</v>
      </c>
      <c r="M26" s="150" t="e">
        <f>#REF!</f>
        <v>#REF!</v>
      </c>
      <c r="N26" s="364"/>
      <c r="O26" s="202"/>
      <c r="P26" s="151" t="e">
        <f>#REF!</f>
        <v>#REF!</v>
      </c>
      <c r="Q26" s="202"/>
      <c r="R26" s="152" t="e">
        <f>#REF!</f>
        <v>#REF!</v>
      </c>
      <c r="S26" s="202"/>
      <c r="T26" s="153" t="e">
        <f>#REF!</f>
        <v>#REF!</v>
      </c>
      <c r="U26" s="202"/>
      <c r="V26" s="153" t="e">
        <f>#REF!</f>
        <v>#REF!</v>
      </c>
      <c r="W26" s="202"/>
      <c r="X26" s="153" t="e">
        <f>#REF!</f>
        <v>#REF!</v>
      </c>
      <c r="Y26" s="202"/>
      <c r="Z26" s="152" t="e">
        <f>#REF!</f>
        <v>#REF!</v>
      </c>
      <c r="AA26" s="202"/>
      <c r="AB26" s="153" t="e">
        <f>#REF!</f>
        <v>#REF!</v>
      </c>
      <c r="AC26" s="202"/>
      <c r="AD26" s="152" t="e">
        <f>#REF!</f>
        <v>#REF!</v>
      </c>
      <c r="AE26" s="202"/>
      <c r="AF26" s="153" t="e">
        <f>#REF!</f>
        <v>#REF!</v>
      </c>
      <c r="AG26" s="202"/>
      <c r="AH26" s="152" t="e">
        <f>#REF!</f>
        <v>#REF!</v>
      </c>
      <c r="AI26" s="202"/>
      <c r="AJ26" s="153" t="e">
        <f>#REF!</f>
        <v>#REF!</v>
      </c>
      <c r="AK26" s="202"/>
      <c r="AL26" s="152" t="e">
        <f>#REF!</f>
        <v>#REF!</v>
      </c>
      <c r="AM26" s="202"/>
      <c r="AN26" s="153" t="e">
        <f>#REF!</f>
        <v>#REF!</v>
      </c>
      <c r="AO26" s="202"/>
      <c r="AP26" s="152" t="e">
        <f>#REF!</f>
        <v>#REF!</v>
      </c>
      <c r="AQ26" s="202"/>
      <c r="AR26" s="154" t="e">
        <f>#REF!</f>
        <v>#REF!</v>
      </c>
      <c r="AS26" s="202"/>
      <c r="AT26" s="153" t="e">
        <f>#REF!</f>
        <v>#REF!</v>
      </c>
      <c r="AU26" s="202"/>
      <c r="AV26" s="152" t="e">
        <f>#REF!</f>
        <v>#REF!</v>
      </c>
      <c r="AW26" s="202"/>
      <c r="AX26" s="153" t="e">
        <f>#REF!</f>
        <v>#REF!</v>
      </c>
      <c r="AY26" s="202"/>
      <c r="AZ26" s="152" t="e">
        <f>#REF!</f>
        <v>#REF!</v>
      </c>
      <c r="BA26" s="202"/>
      <c r="BB26" s="154" t="e">
        <f>#REF!</f>
        <v>#REF!</v>
      </c>
      <c r="BC26" s="137"/>
    </row>
    <row r="27" spans="1:55" ht="30" customHeight="1">
      <c r="A27" s="203" t="e">
        <f>#REF!</f>
        <v>#REF!</v>
      </c>
      <c r="B27" s="204" t="e">
        <f xml:space="preserve"> IF(#REF!=0, "",#REF!)</f>
        <v>#REF!</v>
      </c>
      <c r="C27" s="369" t="e">
        <f>#REF!</f>
        <v>#REF!</v>
      </c>
      <c r="D27" s="369"/>
      <c r="E27" s="291" t="e">
        <f>#REF!</f>
        <v>#REF!</v>
      </c>
      <c r="F27" s="148" t="e">
        <f>#REF!</f>
        <v>#REF!</v>
      </c>
      <c r="G27" s="205" t="e">
        <f xml:space="preserve"> IF(#REF!="", "",#REF!)</f>
        <v>#REF!</v>
      </c>
      <c r="H27" s="205" t="e">
        <f xml:space="preserve"> IF(#REF!="", "",#REF!)</f>
        <v>#REF!</v>
      </c>
      <c r="I27" s="205" t="e">
        <f xml:space="preserve"> IF(#REF!="", "",#REF!)</f>
        <v>#REF!</v>
      </c>
      <c r="J27" s="298" t="e">
        <f>#REF!</f>
        <v>#REF!</v>
      </c>
      <c r="K27" s="149" t="e">
        <f>#REF!</f>
        <v>#REF!</v>
      </c>
      <c r="L27" s="149" t="e">
        <f>#REF!</f>
        <v>#REF!</v>
      </c>
      <c r="M27" s="150" t="e">
        <f>#REF!</f>
        <v>#REF!</v>
      </c>
      <c r="N27" s="364"/>
      <c r="O27" s="202"/>
      <c r="P27" s="151" t="e">
        <f>#REF!</f>
        <v>#REF!</v>
      </c>
      <c r="Q27" s="202"/>
      <c r="R27" s="152" t="e">
        <f>#REF!</f>
        <v>#REF!</v>
      </c>
      <c r="S27" s="202"/>
      <c r="T27" s="153" t="e">
        <f>#REF!</f>
        <v>#REF!</v>
      </c>
      <c r="U27" s="202"/>
      <c r="V27" s="153" t="e">
        <f>#REF!</f>
        <v>#REF!</v>
      </c>
      <c r="W27" s="202"/>
      <c r="X27" s="153" t="e">
        <f>#REF!</f>
        <v>#REF!</v>
      </c>
      <c r="Y27" s="202"/>
      <c r="Z27" s="152" t="e">
        <f>#REF!</f>
        <v>#REF!</v>
      </c>
      <c r="AA27" s="202"/>
      <c r="AB27" s="153" t="e">
        <f>#REF!</f>
        <v>#REF!</v>
      </c>
      <c r="AC27" s="202"/>
      <c r="AD27" s="152" t="e">
        <f>#REF!</f>
        <v>#REF!</v>
      </c>
      <c r="AE27" s="202"/>
      <c r="AF27" s="153" t="e">
        <f>#REF!</f>
        <v>#REF!</v>
      </c>
      <c r="AG27" s="202"/>
      <c r="AH27" s="152" t="e">
        <f>#REF!</f>
        <v>#REF!</v>
      </c>
      <c r="AI27" s="202"/>
      <c r="AJ27" s="153" t="e">
        <f>#REF!</f>
        <v>#REF!</v>
      </c>
      <c r="AK27" s="202"/>
      <c r="AL27" s="152" t="e">
        <f>#REF!</f>
        <v>#REF!</v>
      </c>
      <c r="AM27" s="202"/>
      <c r="AN27" s="153" t="e">
        <f>#REF!</f>
        <v>#REF!</v>
      </c>
      <c r="AO27" s="202"/>
      <c r="AP27" s="152" t="e">
        <f>#REF!</f>
        <v>#REF!</v>
      </c>
      <c r="AQ27" s="202"/>
      <c r="AR27" s="154" t="e">
        <f>#REF!</f>
        <v>#REF!</v>
      </c>
      <c r="AS27" s="202"/>
      <c r="AT27" s="153" t="e">
        <f>#REF!</f>
        <v>#REF!</v>
      </c>
      <c r="AU27" s="202"/>
      <c r="AV27" s="152" t="e">
        <f>#REF!</f>
        <v>#REF!</v>
      </c>
      <c r="AW27" s="202"/>
      <c r="AX27" s="153" t="e">
        <f>#REF!</f>
        <v>#REF!</v>
      </c>
      <c r="AY27" s="202"/>
      <c r="AZ27" s="152" t="e">
        <f>#REF!</f>
        <v>#REF!</v>
      </c>
      <c r="BA27" s="202"/>
      <c r="BB27" s="154" t="e">
        <f>#REF!</f>
        <v>#REF!</v>
      </c>
      <c r="BC27" s="137"/>
    </row>
    <row r="28" spans="1:55" ht="30" customHeight="1">
      <c r="A28" s="203" t="e">
        <f>#REF!</f>
        <v>#REF!</v>
      </c>
      <c r="B28" s="204" t="e">
        <f xml:space="preserve"> IF(#REF!=0, "",#REF!)</f>
        <v>#REF!</v>
      </c>
      <c r="C28" s="369" t="e">
        <f>#REF!</f>
        <v>#REF!</v>
      </c>
      <c r="D28" s="369"/>
      <c r="E28" s="291" t="e">
        <f>#REF!</f>
        <v>#REF!</v>
      </c>
      <c r="F28" s="148" t="e">
        <f>#REF!</f>
        <v>#REF!</v>
      </c>
      <c r="G28" s="205" t="e">
        <f xml:space="preserve"> IF(#REF!="", "",#REF!)</f>
        <v>#REF!</v>
      </c>
      <c r="H28" s="205" t="e">
        <f xml:space="preserve"> IF(#REF!="", "",#REF!)</f>
        <v>#REF!</v>
      </c>
      <c r="I28" s="205" t="e">
        <f xml:space="preserve"> IF(#REF!="", "",#REF!)</f>
        <v>#REF!</v>
      </c>
      <c r="J28" s="298" t="e">
        <f>#REF!</f>
        <v>#REF!</v>
      </c>
      <c r="K28" s="149" t="e">
        <f>#REF!</f>
        <v>#REF!</v>
      </c>
      <c r="L28" s="149" t="e">
        <f>#REF!</f>
        <v>#REF!</v>
      </c>
      <c r="M28" s="150" t="e">
        <f>#REF!</f>
        <v>#REF!</v>
      </c>
      <c r="N28" s="364"/>
      <c r="O28" s="202"/>
      <c r="P28" s="151" t="e">
        <f>#REF!</f>
        <v>#REF!</v>
      </c>
      <c r="Q28" s="202"/>
      <c r="R28" s="152" t="e">
        <f>#REF!</f>
        <v>#REF!</v>
      </c>
      <c r="S28" s="202"/>
      <c r="T28" s="153" t="e">
        <f>#REF!</f>
        <v>#REF!</v>
      </c>
      <c r="U28" s="202"/>
      <c r="V28" s="153" t="e">
        <f>#REF!</f>
        <v>#REF!</v>
      </c>
      <c r="W28" s="202"/>
      <c r="X28" s="153" t="e">
        <f>#REF!</f>
        <v>#REF!</v>
      </c>
      <c r="Y28" s="202"/>
      <c r="Z28" s="152" t="e">
        <f>#REF!</f>
        <v>#REF!</v>
      </c>
      <c r="AA28" s="202"/>
      <c r="AB28" s="153" t="e">
        <f>#REF!</f>
        <v>#REF!</v>
      </c>
      <c r="AC28" s="202"/>
      <c r="AD28" s="152" t="e">
        <f>#REF!</f>
        <v>#REF!</v>
      </c>
      <c r="AE28" s="202"/>
      <c r="AF28" s="153" t="e">
        <f>#REF!</f>
        <v>#REF!</v>
      </c>
      <c r="AG28" s="202"/>
      <c r="AH28" s="152" t="e">
        <f>#REF!</f>
        <v>#REF!</v>
      </c>
      <c r="AI28" s="202"/>
      <c r="AJ28" s="153" t="e">
        <f>#REF!</f>
        <v>#REF!</v>
      </c>
      <c r="AK28" s="202"/>
      <c r="AL28" s="152" t="e">
        <f>#REF!</f>
        <v>#REF!</v>
      </c>
      <c r="AM28" s="202"/>
      <c r="AN28" s="153" t="e">
        <f>#REF!</f>
        <v>#REF!</v>
      </c>
      <c r="AO28" s="202"/>
      <c r="AP28" s="152" t="e">
        <f>#REF!</f>
        <v>#REF!</v>
      </c>
      <c r="AQ28" s="202"/>
      <c r="AR28" s="154" t="e">
        <f>#REF!</f>
        <v>#REF!</v>
      </c>
      <c r="AS28" s="202"/>
      <c r="AT28" s="153" t="e">
        <f>#REF!</f>
        <v>#REF!</v>
      </c>
      <c r="AU28" s="202"/>
      <c r="AV28" s="152" t="e">
        <f>#REF!</f>
        <v>#REF!</v>
      </c>
      <c r="AW28" s="202"/>
      <c r="AX28" s="153" t="e">
        <f>#REF!</f>
        <v>#REF!</v>
      </c>
      <c r="AY28" s="202"/>
      <c r="AZ28" s="152" t="e">
        <f>#REF!</f>
        <v>#REF!</v>
      </c>
      <c r="BA28" s="202"/>
      <c r="BB28" s="154" t="e">
        <f>#REF!</f>
        <v>#REF!</v>
      </c>
      <c r="BC28" s="137"/>
    </row>
    <row r="29" spans="1:55" ht="30" customHeight="1">
      <c r="A29" s="203" t="e">
        <f>#REF!</f>
        <v>#REF!</v>
      </c>
      <c r="B29" s="204" t="e">
        <f xml:space="preserve"> IF(#REF!=0, "",#REF!)</f>
        <v>#REF!</v>
      </c>
      <c r="C29" s="369" t="e">
        <f>#REF!</f>
        <v>#REF!</v>
      </c>
      <c r="D29" s="369"/>
      <c r="E29" s="291" t="e">
        <f>#REF!</f>
        <v>#REF!</v>
      </c>
      <c r="F29" s="148" t="e">
        <f>#REF!</f>
        <v>#REF!</v>
      </c>
      <c r="G29" s="205" t="e">
        <f xml:space="preserve"> IF(#REF!="", "",#REF!)</f>
        <v>#REF!</v>
      </c>
      <c r="H29" s="205" t="e">
        <f xml:space="preserve"> IF(#REF!="", "",#REF!)</f>
        <v>#REF!</v>
      </c>
      <c r="I29" s="205" t="e">
        <f xml:space="preserve"> IF(#REF!="", "",#REF!)</f>
        <v>#REF!</v>
      </c>
      <c r="J29" s="298" t="e">
        <f>#REF!</f>
        <v>#REF!</v>
      </c>
      <c r="K29" s="149" t="e">
        <f>#REF!</f>
        <v>#REF!</v>
      </c>
      <c r="L29" s="149" t="e">
        <f>#REF!</f>
        <v>#REF!</v>
      </c>
      <c r="M29" s="150" t="e">
        <f>#REF!</f>
        <v>#REF!</v>
      </c>
      <c r="N29" s="364"/>
      <c r="O29" s="202"/>
      <c r="P29" s="151" t="e">
        <f>#REF!</f>
        <v>#REF!</v>
      </c>
      <c r="Q29" s="202"/>
      <c r="R29" s="152" t="e">
        <f>#REF!</f>
        <v>#REF!</v>
      </c>
      <c r="S29" s="202"/>
      <c r="T29" s="153" t="e">
        <f>#REF!</f>
        <v>#REF!</v>
      </c>
      <c r="U29" s="202"/>
      <c r="V29" s="153" t="e">
        <f>#REF!</f>
        <v>#REF!</v>
      </c>
      <c r="W29" s="202"/>
      <c r="X29" s="153" t="e">
        <f>#REF!</f>
        <v>#REF!</v>
      </c>
      <c r="Y29" s="202"/>
      <c r="Z29" s="152" t="e">
        <f>#REF!</f>
        <v>#REF!</v>
      </c>
      <c r="AA29" s="202"/>
      <c r="AB29" s="153" t="e">
        <f>#REF!</f>
        <v>#REF!</v>
      </c>
      <c r="AC29" s="202"/>
      <c r="AD29" s="152" t="e">
        <f>#REF!</f>
        <v>#REF!</v>
      </c>
      <c r="AE29" s="202"/>
      <c r="AF29" s="153" t="e">
        <f>#REF!</f>
        <v>#REF!</v>
      </c>
      <c r="AG29" s="202"/>
      <c r="AH29" s="152" t="e">
        <f>#REF!</f>
        <v>#REF!</v>
      </c>
      <c r="AI29" s="202"/>
      <c r="AJ29" s="153" t="e">
        <f>#REF!</f>
        <v>#REF!</v>
      </c>
      <c r="AK29" s="202"/>
      <c r="AL29" s="152" t="e">
        <f>#REF!</f>
        <v>#REF!</v>
      </c>
      <c r="AM29" s="202"/>
      <c r="AN29" s="153" t="e">
        <f>#REF!</f>
        <v>#REF!</v>
      </c>
      <c r="AO29" s="202"/>
      <c r="AP29" s="152" t="e">
        <f>#REF!</f>
        <v>#REF!</v>
      </c>
      <c r="AQ29" s="202"/>
      <c r="AR29" s="154" t="e">
        <f>#REF!</f>
        <v>#REF!</v>
      </c>
      <c r="AS29" s="202"/>
      <c r="AT29" s="153" t="e">
        <f>#REF!</f>
        <v>#REF!</v>
      </c>
      <c r="AU29" s="202"/>
      <c r="AV29" s="152" t="e">
        <f>#REF!</f>
        <v>#REF!</v>
      </c>
      <c r="AW29" s="202"/>
      <c r="AX29" s="153" t="e">
        <f>#REF!</f>
        <v>#REF!</v>
      </c>
      <c r="AY29" s="202"/>
      <c r="AZ29" s="152" t="e">
        <f>#REF!</f>
        <v>#REF!</v>
      </c>
      <c r="BA29" s="202"/>
      <c r="BB29" s="154" t="e">
        <f>#REF!</f>
        <v>#REF!</v>
      </c>
      <c r="BC29" s="137"/>
    </row>
    <row r="30" spans="1:55" ht="30" customHeight="1">
      <c r="A30" s="203" t="e">
        <f>#REF!</f>
        <v>#REF!</v>
      </c>
      <c r="B30" s="204" t="e">
        <f xml:space="preserve"> IF(#REF!=0, "",#REF!)</f>
        <v>#REF!</v>
      </c>
      <c r="C30" s="369" t="e">
        <f>#REF!</f>
        <v>#REF!</v>
      </c>
      <c r="D30" s="369"/>
      <c r="E30" s="291" t="e">
        <f>#REF!</f>
        <v>#REF!</v>
      </c>
      <c r="F30" s="148" t="e">
        <f>#REF!</f>
        <v>#REF!</v>
      </c>
      <c r="G30" s="205" t="e">
        <f xml:space="preserve"> IF(#REF!="", "",#REF!)</f>
        <v>#REF!</v>
      </c>
      <c r="H30" s="205" t="e">
        <f xml:space="preserve"> IF(#REF!="", "",#REF!)</f>
        <v>#REF!</v>
      </c>
      <c r="I30" s="205" t="e">
        <f xml:space="preserve"> IF(#REF!="", "",#REF!)</f>
        <v>#REF!</v>
      </c>
      <c r="J30" s="298" t="e">
        <f>#REF!</f>
        <v>#REF!</v>
      </c>
      <c r="K30" s="149" t="e">
        <f>#REF!</f>
        <v>#REF!</v>
      </c>
      <c r="L30" s="149" t="e">
        <f>#REF!</f>
        <v>#REF!</v>
      </c>
      <c r="M30" s="150" t="e">
        <f>#REF!</f>
        <v>#REF!</v>
      </c>
      <c r="N30" s="364"/>
      <c r="O30" s="202"/>
      <c r="P30" s="151" t="e">
        <f>#REF!</f>
        <v>#REF!</v>
      </c>
      <c r="Q30" s="202"/>
      <c r="R30" s="152" t="e">
        <f>#REF!</f>
        <v>#REF!</v>
      </c>
      <c r="S30" s="202"/>
      <c r="T30" s="153" t="e">
        <f>#REF!</f>
        <v>#REF!</v>
      </c>
      <c r="U30" s="202"/>
      <c r="V30" s="153" t="e">
        <f>#REF!</f>
        <v>#REF!</v>
      </c>
      <c r="W30" s="202"/>
      <c r="X30" s="153" t="e">
        <f>#REF!</f>
        <v>#REF!</v>
      </c>
      <c r="Y30" s="202"/>
      <c r="Z30" s="152" t="e">
        <f>#REF!</f>
        <v>#REF!</v>
      </c>
      <c r="AA30" s="202"/>
      <c r="AB30" s="153" t="e">
        <f>#REF!</f>
        <v>#REF!</v>
      </c>
      <c r="AC30" s="202"/>
      <c r="AD30" s="152" t="e">
        <f>#REF!</f>
        <v>#REF!</v>
      </c>
      <c r="AE30" s="202"/>
      <c r="AF30" s="153" t="e">
        <f>#REF!</f>
        <v>#REF!</v>
      </c>
      <c r="AG30" s="202"/>
      <c r="AH30" s="152" t="e">
        <f>#REF!</f>
        <v>#REF!</v>
      </c>
      <c r="AI30" s="202"/>
      <c r="AJ30" s="153" t="e">
        <f>#REF!</f>
        <v>#REF!</v>
      </c>
      <c r="AK30" s="202"/>
      <c r="AL30" s="152" t="e">
        <f>#REF!</f>
        <v>#REF!</v>
      </c>
      <c r="AM30" s="202"/>
      <c r="AN30" s="153" t="e">
        <f>#REF!</f>
        <v>#REF!</v>
      </c>
      <c r="AO30" s="202"/>
      <c r="AP30" s="152" t="e">
        <f>#REF!</f>
        <v>#REF!</v>
      </c>
      <c r="AQ30" s="202"/>
      <c r="AR30" s="154" t="e">
        <f>#REF!</f>
        <v>#REF!</v>
      </c>
      <c r="AS30" s="202"/>
      <c r="AT30" s="153" t="e">
        <f>#REF!</f>
        <v>#REF!</v>
      </c>
      <c r="AU30" s="202"/>
      <c r="AV30" s="152" t="e">
        <f>#REF!</f>
        <v>#REF!</v>
      </c>
      <c r="AW30" s="202"/>
      <c r="AX30" s="153" t="e">
        <f>#REF!</f>
        <v>#REF!</v>
      </c>
      <c r="AY30" s="202"/>
      <c r="AZ30" s="152" t="e">
        <f>#REF!</f>
        <v>#REF!</v>
      </c>
      <c r="BA30" s="202"/>
      <c r="BB30" s="154" t="e">
        <f>#REF!</f>
        <v>#REF!</v>
      </c>
      <c r="BC30" s="137"/>
    </row>
    <row r="31" spans="1:55" ht="30" customHeight="1">
      <c r="A31" s="203" t="e">
        <f>#REF!</f>
        <v>#REF!</v>
      </c>
      <c r="B31" s="204" t="e">
        <f xml:space="preserve"> IF(#REF!=0, "",#REF!)</f>
        <v>#REF!</v>
      </c>
      <c r="C31" s="369" t="e">
        <f>#REF!</f>
        <v>#REF!</v>
      </c>
      <c r="D31" s="369"/>
      <c r="E31" s="291" t="e">
        <f>#REF!</f>
        <v>#REF!</v>
      </c>
      <c r="F31" s="148" t="e">
        <f>#REF!</f>
        <v>#REF!</v>
      </c>
      <c r="G31" s="205" t="e">
        <f xml:space="preserve"> IF(#REF!="", "",#REF!)</f>
        <v>#REF!</v>
      </c>
      <c r="H31" s="205" t="e">
        <f xml:space="preserve"> IF(#REF!="", "",#REF!)</f>
        <v>#REF!</v>
      </c>
      <c r="I31" s="205" t="e">
        <f xml:space="preserve"> IF(#REF!="", "",#REF!)</f>
        <v>#REF!</v>
      </c>
      <c r="J31" s="298" t="e">
        <f>#REF!</f>
        <v>#REF!</v>
      </c>
      <c r="K31" s="149" t="e">
        <f>#REF!</f>
        <v>#REF!</v>
      </c>
      <c r="L31" s="149" t="e">
        <f>#REF!</f>
        <v>#REF!</v>
      </c>
      <c r="M31" s="150" t="e">
        <f>#REF!</f>
        <v>#REF!</v>
      </c>
      <c r="N31" s="364"/>
      <c r="O31" s="202"/>
      <c r="P31" s="151" t="e">
        <f>#REF!</f>
        <v>#REF!</v>
      </c>
      <c r="Q31" s="202"/>
      <c r="R31" s="152" t="e">
        <f>#REF!</f>
        <v>#REF!</v>
      </c>
      <c r="S31" s="202"/>
      <c r="T31" s="153" t="e">
        <f>#REF!</f>
        <v>#REF!</v>
      </c>
      <c r="U31" s="202"/>
      <c r="V31" s="153" t="e">
        <f>#REF!</f>
        <v>#REF!</v>
      </c>
      <c r="W31" s="202"/>
      <c r="X31" s="153" t="e">
        <f>#REF!</f>
        <v>#REF!</v>
      </c>
      <c r="Y31" s="202"/>
      <c r="Z31" s="152" t="e">
        <f>#REF!</f>
        <v>#REF!</v>
      </c>
      <c r="AA31" s="202"/>
      <c r="AB31" s="153" t="e">
        <f>#REF!</f>
        <v>#REF!</v>
      </c>
      <c r="AC31" s="202"/>
      <c r="AD31" s="152" t="e">
        <f>#REF!</f>
        <v>#REF!</v>
      </c>
      <c r="AE31" s="202"/>
      <c r="AF31" s="153" t="e">
        <f>#REF!</f>
        <v>#REF!</v>
      </c>
      <c r="AG31" s="202"/>
      <c r="AH31" s="152" t="e">
        <f>#REF!</f>
        <v>#REF!</v>
      </c>
      <c r="AI31" s="202"/>
      <c r="AJ31" s="153" t="e">
        <f>#REF!</f>
        <v>#REF!</v>
      </c>
      <c r="AK31" s="202"/>
      <c r="AL31" s="152" t="e">
        <f>#REF!</f>
        <v>#REF!</v>
      </c>
      <c r="AM31" s="202"/>
      <c r="AN31" s="153" t="e">
        <f>#REF!</f>
        <v>#REF!</v>
      </c>
      <c r="AO31" s="202"/>
      <c r="AP31" s="152" t="e">
        <f>#REF!</f>
        <v>#REF!</v>
      </c>
      <c r="AQ31" s="202"/>
      <c r="AR31" s="154" t="e">
        <f>#REF!</f>
        <v>#REF!</v>
      </c>
      <c r="AS31" s="202"/>
      <c r="AT31" s="153" t="e">
        <f>#REF!</f>
        <v>#REF!</v>
      </c>
      <c r="AU31" s="202"/>
      <c r="AV31" s="152" t="e">
        <f>#REF!</f>
        <v>#REF!</v>
      </c>
      <c r="AW31" s="202"/>
      <c r="AX31" s="153" t="e">
        <f>#REF!</f>
        <v>#REF!</v>
      </c>
      <c r="AY31" s="202"/>
      <c r="AZ31" s="152" t="e">
        <f>#REF!</f>
        <v>#REF!</v>
      </c>
      <c r="BA31" s="202"/>
      <c r="BB31" s="154" t="e">
        <f>#REF!</f>
        <v>#REF!</v>
      </c>
      <c r="BC31" s="137"/>
    </row>
    <row r="32" spans="1:55" ht="30" customHeight="1">
      <c r="A32" s="203" t="e">
        <f>#REF!</f>
        <v>#REF!</v>
      </c>
      <c r="B32" s="204" t="e">
        <f xml:space="preserve"> IF(#REF!=0, "",#REF!)</f>
        <v>#REF!</v>
      </c>
      <c r="C32" s="369" t="e">
        <f>#REF!</f>
        <v>#REF!</v>
      </c>
      <c r="D32" s="369"/>
      <c r="E32" s="291" t="e">
        <f>#REF!</f>
        <v>#REF!</v>
      </c>
      <c r="F32" s="148" t="e">
        <f>#REF!</f>
        <v>#REF!</v>
      </c>
      <c r="G32" s="205" t="e">
        <f xml:space="preserve"> IF(#REF!="", "",#REF!)</f>
        <v>#REF!</v>
      </c>
      <c r="H32" s="205" t="e">
        <f xml:space="preserve"> IF(#REF!="", "",#REF!)</f>
        <v>#REF!</v>
      </c>
      <c r="I32" s="205" t="e">
        <f xml:space="preserve"> IF(#REF!="", "",#REF!)</f>
        <v>#REF!</v>
      </c>
      <c r="J32" s="298" t="e">
        <f>#REF!</f>
        <v>#REF!</v>
      </c>
      <c r="K32" s="149" t="e">
        <f>#REF!</f>
        <v>#REF!</v>
      </c>
      <c r="L32" s="149" t="e">
        <f>#REF!</f>
        <v>#REF!</v>
      </c>
      <c r="M32" s="150" t="e">
        <f>#REF!</f>
        <v>#REF!</v>
      </c>
      <c r="N32" s="364"/>
      <c r="O32" s="202"/>
      <c r="P32" s="151" t="e">
        <f>#REF!</f>
        <v>#REF!</v>
      </c>
      <c r="Q32" s="202"/>
      <c r="R32" s="152" t="e">
        <f>#REF!</f>
        <v>#REF!</v>
      </c>
      <c r="S32" s="202"/>
      <c r="T32" s="153" t="e">
        <f>#REF!</f>
        <v>#REF!</v>
      </c>
      <c r="U32" s="202"/>
      <c r="V32" s="153" t="e">
        <f>#REF!</f>
        <v>#REF!</v>
      </c>
      <c r="W32" s="202"/>
      <c r="X32" s="153" t="e">
        <f>#REF!</f>
        <v>#REF!</v>
      </c>
      <c r="Y32" s="202"/>
      <c r="Z32" s="152" t="e">
        <f>#REF!</f>
        <v>#REF!</v>
      </c>
      <c r="AA32" s="202"/>
      <c r="AB32" s="153" t="e">
        <f>#REF!</f>
        <v>#REF!</v>
      </c>
      <c r="AC32" s="202"/>
      <c r="AD32" s="152" t="e">
        <f>#REF!</f>
        <v>#REF!</v>
      </c>
      <c r="AE32" s="202"/>
      <c r="AF32" s="153" t="e">
        <f>#REF!</f>
        <v>#REF!</v>
      </c>
      <c r="AG32" s="202"/>
      <c r="AH32" s="152" t="e">
        <f>#REF!</f>
        <v>#REF!</v>
      </c>
      <c r="AI32" s="202"/>
      <c r="AJ32" s="153" t="e">
        <f>#REF!</f>
        <v>#REF!</v>
      </c>
      <c r="AK32" s="202"/>
      <c r="AL32" s="152" t="e">
        <f>#REF!</f>
        <v>#REF!</v>
      </c>
      <c r="AM32" s="202"/>
      <c r="AN32" s="153" t="e">
        <f>#REF!</f>
        <v>#REF!</v>
      </c>
      <c r="AO32" s="202"/>
      <c r="AP32" s="152" t="e">
        <f>#REF!</f>
        <v>#REF!</v>
      </c>
      <c r="AQ32" s="202"/>
      <c r="AR32" s="154" t="e">
        <f>#REF!</f>
        <v>#REF!</v>
      </c>
      <c r="AS32" s="202"/>
      <c r="AT32" s="153" t="e">
        <f>#REF!</f>
        <v>#REF!</v>
      </c>
      <c r="AU32" s="202"/>
      <c r="AV32" s="152" t="e">
        <f>#REF!</f>
        <v>#REF!</v>
      </c>
      <c r="AW32" s="202"/>
      <c r="AX32" s="153" t="e">
        <f>#REF!</f>
        <v>#REF!</v>
      </c>
      <c r="AY32" s="202"/>
      <c r="AZ32" s="152" t="e">
        <f>#REF!</f>
        <v>#REF!</v>
      </c>
      <c r="BA32" s="202"/>
      <c r="BB32" s="154" t="e">
        <f>#REF!</f>
        <v>#REF!</v>
      </c>
      <c r="BC32" s="137"/>
    </row>
    <row r="33" spans="1:55" ht="30" customHeight="1">
      <c r="A33" s="203" t="e">
        <f>#REF!</f>
        <v>#REF!</v>
      </c>
      <c r="B33" s="204" t="e">
        <f xml:space="preserve"> IF(#REF!=0, "",#REF!)</f>
        <v>#REF!</v>
      </c>
      <c r="C33" s="369" t="e">
        <f>#REF!</f>
        <v>#REF!</v>
      </c>
      <c r="D33" s="369"/>
      <c r="E33" s="291" t="e">
        <f>#REF!</f>
        <v>#REF!</v>
      </c>
      <c r="F33" s="148" t="e">
        <f>#REF!</f>
        <v>#REF!</v>
      </c>
      <c r="G33" s="205" t="e">
        <f xml:space="preserve"> IF(#REF!="", "",#REF!)</f>
        <v>#REF!</v>
      </c>
      <c r="H33" s="205" t="e">
        <f xml:space="preserve"> IF(#REF!="", "",#REF!)</f>
        <v>#REF!</v>
      </c>
      <c r="I33" s="205" t="e">
        <f xml:space="preserve"> IF(#REF!="", "",#REF!)</f>
        <v>#REF!</v>
      </c>
      <c r="J33" s="298" t="e">
        <f>#REF!</f>
        <v>#REF!</v>
      </c>
      <c r="K33" s="149" t="e">
        <f>#REF!</f>
        <v>#REF!</v>
      </c>
      <c r="L33" s="149" t="e">
        <f>#REF!</f>
        <v>#REF!</v>
      </c>
      <c r="M33" s="150" t="e">
        <f>#REF!</f>
        <v>#REF!</v>
      </c>
      <c r="N33" s="364"/>
      <c r="O33" s="202"/>
      <c r="P33" s="151" t="e">
        <f>#REF!</f>
        <v>#REF!</v>
      </c>
      <c r="Q33" s="202"/>
      <c r="R33" s="152" t="e">
        <f>#REF!</f>
        <v>#REF!</v>
      </c>
      <c r="S33" s="202"/>
      <c r="T33" s="153" t="e">
        <f>#REF!</f>
        <v>#REF!</v>
      </c>
      <c r="U33" s="202"/>
      <c r="V33" s="153" t="e">
        <f>#REF!</f>
        <v>#REF!</v>
      </c>
      <c r="W33" s="202"/>
      <c r="X33" s="153" t="e">
        <f>#REF!</f>
        <v>#REF!</v>
      </c>
      <c r="Y33" s="202"/>
      <c r="Z33" s="152" t="e">
        <f>#REF!</f>
        <v>#REF!</v>
      </c>
      <c r="AA33" s="202"/>
      <c r="AB33" s="153" t="e">
        <f>#REF!</f>
        <v>#REF!</v>
      </c>
      <c r="AC33" s="202"/>
      <c r="AD33" s="152" t="e">
        <f>#REF!</f>
        <v>#REF!</v>
      </c>
      <c r="AE33" s="202"/>
      <c r="AF33" s="153" t="e">
        <f>#REF!</f>
        <v>#REF!</v>
      </c>
      <c r="AG33" s="202"/>
      <c r="AH33" s="152" t="e">
        <f>#REF!</f>
        <v>#REF!</v>
      </c>
      <c r="AI33" s="202"/>
      <c r="AJ33" s="153" t="e">
        <f>#REF!</f>
        <v>#REF!</v>
      </c>
      <c r="AK33" s="202"/>
      <c r="AL33" s="152" t="e">
        <f>#REF!</f>
        <v>#REF!</v>
      </c>
      <c r="AM33" s="202"/>
      <c r="AN33" s="153" t="e">
        <f>#REF!</f>
        <v>#REF!</v>
      </c>
      <c r="AO33" s="202"/>
      <c r="AP33" s="152" t="e">
        <f>#REF!</f>
        <v>#REF!</v>
      </c>
      <c r="AQ33" s="202"/>
      <c r="AR33" s="154" t="e">
        <f>#REF!</f>
        <v>#REF!</v>
      </c>
      <c r="AS33" s="202"/>
      <c r="AT33" s="153" t="e">
        <f>#REF!</f>
        <v>#REF!</v>
      </c>
      <c r="AU33" s="202"/>
      <c r="AV33" s="152" t="e">
        <f>#REF!</f>
        <v>#REF!</v>
      </c>
      <c r="AW33" s="202"/>
      <c r="AX33" s="153" t="e">
        <f>#REF!</f>
        <v>#REF!</v>
      </c>
      <c r="AY33" s="202"/>
      <c r="AZ33" s="152" t="e">
        <f>#REF!</f>
        <v>#REF!</v>
      </c>
      <c r="BA33" s="202"/>
      <c r="BB33" s="154" t="e">
        <f>#REF!</f>
        <v>#REF!</v>
      </c>
      <c r="BC33" s="137"/>
    </row>
    <row r="34" spans="1:55" ht="30" customHeight="1">
      <c r="A34" s="203" t="e">
        <f>#REF!</f>
        <v>#REF!</v>
      </c>
      <c r="B34" s="204" t="e">
        <f xml:space="preserve"> IF(#REF!=0, "",#REF!)</f>
        <v>#REF!</v>
      </c>
      <c r="C34" s="369" t="e">
        <f>#REF!</f>
        <v>#REF!</v>
      </c>
      <c r="D34" s="369"/>
      <c r="E34" s="291" t="e">
        <f>#REF!</f>
        <v>#REF!</v>
      </c>
      <c r="F34" s="148" t="e">
        <f>#REF!</f>
        <v>#REF!</v>
      </c>
      <c r="G34" s="205" t="e">
        <f xml:space="preserve"> IF(#REF!="", "",#REF!)</f>
        <v>#REF!</v>
      </c>
      <c r="H34" s="205" t="e">
        <f xml:space="preserve"> IF(#REF!="", "",#REF!)</f>
        <v>#REF!</v>
      </c>
      <c r="I34" s="205" t="e">
        <f xml:space="preserve"> IF(#REF!="", "",#REF!)</f>
        <v>#REF!</v>
      </c>
      <c r="J34" s="298" t="e">
        <f>#REF!</f>
        <v>#REF!</v>
      </c>
      <c r="K34" s="149" t="e">
        <f>#REF!</f>
        <v>#REF!</v>
      </c>
      <c r="L34" s="149" t="e">
        <f>#REF!</f>
        <v>#REF!</v>
      </c>
      <c r="M34" s="150" t="e">
        <f>#REF!</f>
        <v>#REF!</v>
      </c>
      <c r="N34" s="364"/>
      <c r="O34" s="202"/>
      <c r="P34" s="151" t="e">
        <f>#REF!</f>
        <v>#REF!</v>
      </c>
      <c r="Q34" s="202"/>
      <c r="R34" s="152" t="e">
        <f>#REF!</f>
        <v>#REF!</v>
      </c>
      <c r="S34" s="202"/>
      <c r="T34" s="153" t="e">
        <f>#REF!</f>
        <v>#REF!</v>
      </c>
      <c r="U34" s="202"/>
      <c r="V34" s="153" t="e">
        <f>#REF!</f>
        <v>#REF!</v>
      </c>
      <c r="W34" s="202"/>
      <c r="X34" s="153" t="e">
        <f>#REF!</f>
        <v>#REF!</v>
      </c>
      <c r="Y34" s="202"/>
      <c r="Z34" s="152" t="e">
        <f>#REF!</f>
        <v>#REF!</v>
      </c>
      <c r="AA34" s="202"/>
      <c r="AB34" s="153" t="e">
        <f>#REF!</f>
        <v>#REF!</v>
      </c>
      <c r="AC34" s="202"/>
      <c r="AD34" s="152" t="e">
        <f>#REF!</f>
        <v>#REF!</v>
      </c>
      <c r="AE34" s="202"/>
      <c r="AF34" s="153" t="e">
        <f>#REF!</f>
        <v>#REF!</v>
      </c>
      <c r="AG34" s="202"/>
      <c r="AH34" s="152" t="e">
        <f>#REF!</f>
        <v>#REF!</v>
      </c>
      <c r="AI34" s="202"/>
      <c r="AJ34" s="153" t="e">
        <f>#REF!</f>
        <v>#REF!</v>
      </c>
      <c r="AK34" s="202"/>
      <c r="AL34" s="152" t="e">
        <f>#REF!</f>
        <v>#REF!</v>
      </c>
      <c r="AM34" s="202"/>
      <c r="AN34" s="153" t="e">
        <f>#REF!</f>
        <v>#REF!</v>
      </c>
      <c r="AO34" s="202"/>
      <c r="AP34" s="152" t="e">
        <f>#REF!</f>
        <v>#REF!</v>
      </c>
      <c r="AQ34" s="202"/>
      <c r="AR34" s="154" t="e">
        <f>#REF!</f>
        <v>#REF!</v>
      </c>
      <c r="AS34" s="202"/>
      <c r="AT34" s="153" t="e">
        <f>#REF!</f>
        <v>#REF!</v>
      </c>
      <c r="AU34" s="202"/>
      <c r="AV34" s="152" t="e">
        <f>#REF!</f>
        <v>#REF!</v>
      </c>
      <c r="AW34" s="202"/>
      <c r="AX34" s="153" t="e">
        <f>#REF!</f>
        <v>#REF!</v>
      </c>
      <c r="AY34" s="202"/>
      <c r="AZ34" s="152" t="e">
        <f>#REF!</f>
        <v>#REF!</v>
      </c>
      <c r="BA34" s="202"/>
      <c r="BB34" s="154" t="e">
        <f>#REF!</f>
        <v>#REF!</v>
      </c>
      <c r="BC34" s="137"/>
    </row>
    <row r="35" spans="1:55" ht="30" customHeight="1">
      <c r="A35" s="203" t="e">
        <f>#REF!</f>
        <v>#REF!</v>
      </c>
      <c r="B35" s="204" t="e">
        <f xml:space="preserve"> IF(#REF!=0, "",#REF!)</f>
        <v>#REF!</v>
      </c>
      <c r="C35" s="369" t="e">
        <f>#REF!</f>
        <v>#REF!</v>
      </c>
      <c r="D35" s="369"/>
      <c r="E35" s="291" t="e">
        <f>#REF!</f>
        <v>#REF!</v>
      </c>
      <c r="F35" s="148" t="e">
        <f>#REF!</f>
        <v>#REF!</v>
      </c>
      <c r="G35" s="205" t="e">
        <f xml:space="preserve"> IF(#REF!="", "",#REF!)</f>
        <v>#REF!</v>
      </c>
      <c r="H35" s="205" t="e">
        <f xml:space="preserve"> IF(#REF!="", "",#REF!)</f>
        <v>#REF!</v>
      </c>
      <c r="I35" s="205" t="e">
        <f xml:space="preserve"> IF(#REF!="", "",#REF!)</f>
        <v>#REF!</v>
      </c>
      <c r="J35" s="298" t="e">
        <f>#REF!</f>
        <v>#REF!</v>
      </c>
      <c r="K35" s="149" t="e">
        <f>#REF!</f>
        <v>#REF!</v>
      </c>
      <c r="L35" s="149" t="e">
        <f>#REF!</f>
        <v>#REF!</v>
      </c>
      <c r="M35" s="150" t="e">
        <f>#REF!</f>
        <v>#REF!</v>
      </c>
      <c r="N35" s="364"/>
      <c r="O35" s="202"/>
      <c r="P35" s="151" t="e">
        <f>#REF!</f>
        <v>#REF!</v>
      </c>
      <c r="Q35" s="202"/>
      <c r="R35" s="152" t="e">
        <f>#REF!</f>
        <v>#REF!</v>
      </c>
      <c r="S35" s="202"/>
      <c r="T35" s="153" t="e">
        <f>#REF!</f>
        <v>#REF!</v>
      </c>
      <c r="U35" s="202"/>
      <c r="V35" s="153" t="e">
        <f>#REF!</f>
        <v>#REF!</v>
      </c>
      <c r="W35" s="202"/>
      <c r="X35" s="153" t="e">
        <f>#REF!</f>
        <v>#REF!</v>
      </c>
      <c r="Y35" s="202"/>
      <c r="Z35" s="152" t="e">
        <f>#REF!</f>
        <v>#REF!</v>
      </c>
      <c r="AA35" s="202"/>
      <c r="AB35" s="153" t="e">
        <f>#REF!</f>
        <v>#REF!</v>
      </c>
      <c r="AC35" s="202"/>
      <c r="AD35" s="152" t="e">
        <f>#REF!</f>
        <v>#REF!</v>
      </c>
      <c r="AE35" s="202"/>
      <c r="AF35" s="153" t="e">
        <f>#REF!</f>
        <v>#REF!</v>
      </c>
      <c r="AG35" s="202"/>
      <c r="AH35" s="152" t="e">
        <f>#REF!</f>
        <v>#REF!</v>
      </c>
      <c r="AI35" s="202"/>
      <c r="AJ35" s="153" t="e">
        <f>#REF!</f>
        <v>#REF!</v>
      </c>
      <c r="AK35" s="202"/>
      <c r="AL35" s="152" t="e">
        <f>#REF!</f>
        <v>#REF!</v>
      </c>
      <c r="AM35" s="202"/>
      <c r="AN35" s="153" t="e">
        <f>#REF!</f>
        <v>#REF!</v>
      </c>
      <c r="AO35" s="202"/>
      <c r="AP35" s="152" t="e">
        <f>#REF!</f>
        <v>#REF!</v>
      </c>
      <c r="AQ35" s="202"/>
      <c r="AR35" s="154" t="e">
        <f>#REF!</f>
        <v>#REF!</v>
      </c>
      <c r="AS35" s="202"/>
      <c r="AT35" s="153" t="e">
        <f>#REF!</f>
        <v>#REF!</v>
      </c>
      <c r="AU35" s="202"/>
      <c r="AV35" s="152" t="e">
        <f>#REF!</f>
        <v>#REF!</v>
      </c>
      <c r="AW35" s="202"/>
      <c r="AX35" s="153" t="e">
        <f>#REF!</f>
        <v>#REF!</v>
      </c>
      <c r="AY35" s="202"/>
      <c r="AZ35" s="152" t="e">
        <f>#REF!</f>
        <v>#REF!</v>
      </c>
      <c r="BA35" s="202"/>
      <c r="BB35" s="154" t="e">
        <f>#REF!</f>
        <v>#REF!</v>
      </c>
      <c r="BC35" s="137"/>
    </row>
    <row r="36" spans="1:55" ht="30" customHeight="1">
      <c r="A36" s="203" t="e">
        <f>#REF!</f>
        <v>#REF!</v>
      </c>
      <c r="B36" s="204" t="e">
        <f xml:space="preserve"> IF(#REF!=0, "",#REF!)</f>
        <v>#REF!</v>
      </c>
      <c r="C36" s="369" t="e">
        <f>#REF!</f>
        <v>#REF!</v>
      </c>
      <c r="D36" s="369"/>
      <c r="E36" s="291" t="e">
        <f>#REF!</f>
        <v>#REF!</v>
      </c>
      <c r="F36" s="148" t="e">
        <f>#REF!</f>
        <v>#REF!</v>
      </c>
      <c r="G36" s="205" t="e">
        <f xml:space="preserve"> IF(#REF!="", "",#REF!)</f>
        <v>#REF!</v>
      </c>
      <c r="H36" s="205" t="e">
        <f xml:space="preserve"> IF(#REF!="", "",#REF!)</f>
        <v>#REF!</v>
      </c>
      <c r="I36" s="205" t="e">
        <f xml:space="preserve"> IF(#REF!="", "",#REF!)</f>
        <v>#REF!</v>
      </c>
      <c r="J36" s="298" t="e">
        <f>#REF!</f>
        <v>#REF!</v>
      </c>
      <c r="K36" s="149" t="e">
        <f>#REF!</f>
        <v>#REF!</v>
      </c>
      <c r="L36" s="149" t="e">
        <f>#REF!</f>
        <v>#REF!</v>
      </c>
      <c r="M36" s="150" t="e">
        <f>#REF!</f>
        <v>#REF!</v>
      </c>
      <c r="N36" s="364"/>
      <c r="O36" s="202"/>
      <c r="P36" s="151" t="e">
        <f>#REF!</f>
        <v>#REF!</v>
      </c>
      <c r="Q36" s="202"/>
      <c r="R36" s="152" t="e">
        <f>#REF!</f>
        <v>#REF!</v>
      </c>
      <c r="S36" s="202"/>
      <c r="T36" s="153" t="e">
        <f>#REF!</f>
        <v>#REF!</v>
      </c>
      <c r="U36" s="202"/>
      <c r="V36" s="153" t="e">
        <f>#REF!</f>
        <v>#REF!</v>
      </c>
      <c r="W36" s="202"/>
      <c r="X36" s="153" t="e">
        <f>#REF!</f>
        <v>#REF!</v>
      </c>
      <c r="Y36" s="202"/>
      <c r="Z36" s="152" t="e">
        <f>#REF!</f>
        <v>#REF!</v>
      </c>
      <c r="AA36" s="202"/>
      <c r="AB36" s="153" t="e">
        <f>#REF!</f>
        <v>#REF!</v>
      </c>
      <c r="AC36" s="202"/>
      <c r="AD36" s="152" t="e">
        <f>#REF!</f>
        <v>#REF!</v>
      </c>
      <c r="AE36" s="202"/>
      <c r="AF36" s="153" t="e">
        <f>#REF!</f>
        <v>#REF!</v>
      </c>
      <c r="AG36" s="202"/>
      <c r="AH36" s="152" t="e">
        <f>#REF!</f>
        <v>#REF!</v>
      </c>
      <c r="AI36" s="202"/>
      <c r="AJ36" s="153" t="e">
        <f>#REF!</f>
        <v>#REF!</v>
      </c>
      <c r="AK36" s="202"/>
      <c r="AL36" s="152" t="e">
        <f>#REF!</f>
        <v>#REF!</v>
      </c>
      <c r="AM36" s="202"/>
      <c r="AN36" s="153" t="e">
        <f>#REF!</f>
        <v>#REF!</v>
      </c>
      <c r="AO36" s="202"/>
      <c r="AP36" s="152" t="e">
        <f>#REF!</f>
        <v>#REF!</v>
      </c>
      <c r="AQ36" s="202"/>
      <c r="AR36" s="154" t="e">
        <f>#REF!</f>
        <v>#REF!</v>
      </c>
      <c r="AS36" s="202"/>
      <c r="AT36" s="153" t="e">
        <f>#REF!</f>
        <v>#REF!</v>
      </c>
      <c r="AU36" s="202"/>
      <c r="AV36" s="152" t="e">
        <f>#REF!</f>
        <v>#REF!</v>
      </c>
      <c r="AW36" s="202"/>
      <c r="AX36" s="153" t="e">
        <f>#REF!</f>
        <v>#REF!</v>
      </c>
      <c r="AY36" s="202"/>
      <c r="AZ36" s="152" t="e">
        <f>#REF!</f>
        <v>#REF!</v>
      </c>
      <c r="BA36" s="202"/>
      <c r="BB36" s="154" t="e">
        <f>#REF!</f>
        <v>#REF!</v>
      </c>
      <c r="BC36" s="137"/>
    </row>
    <row r="37" spans="1:55" ht="30" customHeight="1">
      <c r="A37" s="203" t="e">
        <f>#REF!</f>
        <v>#REF!</v>
      </c>
      <c r="B37" s="204" t="e">
        <f xml:space="preserve"> IF(#REF!=0, "",#REF!)</f>
        <v>#REF!</v>
      </c>
      <c r="C37" s="369" t="e">
        <f>#REF!</f>
        <v>#REF!</v>
      </c>
      <c r="D37" s="369"/>
      <c r="E37" s="291" t="e">
        <f>#REF!</f>
        <v>#REF!</v>
      </c>
      <c r="F37" s="148" t="e">
        <f>#REF!</f>
        <v>#REF!</v>
      </c>
      <c r="G37" s="205" t="e">
        <f xml:space="preserve"> IF(#REF!="", "",#REF!)</f>
        <v>#REF!</v>
      </c>
      <c r="H37" s="205" t="e">
        <f xml:space="preserve"> IF(#REF!="", "",#REF!)</f>
        <v>#REF!</v>
      </c>
      <c r="I37" s="205" t="e">
        <f xml:space="preserve"> IF(#REF!="", "",#REF!)</f>
        <v>#REF!</v>
      </c>
      <c r="J37" s="298" t="e">
        <f>#REF!</f>
        <v>#REF!</v>
      </c>
      <c r="K37" s="149" t="e">
        <f>#REF!</f>
        <v>#REF!</v>
      </c>
      <c r="L37" s="149" t="e">
        <f>#REF!</f>
        <v>#REF!</v>
      </c>
      <c r="M37" s="150" t="e">
        <f>#REF!</f>
        <v>#REF!</v>
      </c>
      <c r="N37" s="364"/>
      <c r="O37" s="202"/>
      <c r="P37" s="151" t="e">
        <f>#REF!</f>
        <v>#REF!</v>
      </c>
      <c r="Q37" s="202"/>
      <c r="R37" s="152" t="e">
        <f>#REF!</f>
        <v>#REF!</v>
      </c>
      <c r="S37" s="202"/>
      <c r="T37" s="153" t="e">
        <f>#REF!</f>
        <v>#REF!</v>
      </c>
      <c r="U37" s="202"/>
      <c r="V37" s="153" t="e">
        <f>#REF!</f>
        <v>#REF!</v>
      </c>
      <c r="W37" s="202"/>
      <c r="X37" s="153" t="e">
        <f>#REF!</f>
        <v>#REF!</v>
      </c>
      <c r="Y37" s="202"/>
      <c r="Z37" s="152" t="e">
        <f>#REF!</f>
        <v>#REF!</v>
      </c>
      <c r="AA37" s="202"/>
      <c r="AB37" s="153" t="e">
        <f>#REF!</f>
        <v>#REF!</v>
      </c>
      <c r="AC37" s="202"/>
      <c r="AD37" s="152" t="e">
        <f>#REF!</f>
        <v>#REF!</v>
      </c>
      <c r="AE37" s="202"/>
      <c r="AF37" s="153" t="e">
        <f>#REF!</f>
        <v>#REF!</v>
      </c>
      <c r="AG37" s="202"/>
      <c r="AH37" s="152" t="e">
        <f>#REF!</f>
        <v>#REF!</v>
      </c>
      <c r="AI37" s="202"/>
      <c r="AJ37" s="153" t="e">
        <f>#REF!</f>
        <v>#REF!</v>
      </c>
      <c r="AK37" s="202"/>
      <c r="AL37" s="152" t="e">
        <f>#REF!</f>
        <v>#REF!</v>
      </c>
      <c r="AM37" s="202"/>
      <c r="AN37" s="153" t="e">
        <f>#REF!</f>
        <v>#REF!</v>
      </c>
      <c r="AO37" s="202"/>
      <c r="AP37" s="152" t="e">
        <f>#REF!</f>
        <v>#REF!</v>
      </c>
      <c r="AQ37" s="202"/>
      <c r="AR37" s="154" t="e">
        <f>#REF!</f>
        <v>#REF!</v>
      </c>
      <c r="AS37" s="202"/>
      <c r="AT37" s="153" t="e">
        <f>#REF!</f>
        <v>#REF!</v>
      </c>
      <c r="AU37" s="202"/>
      <c r="AV37" s="152" t="e">
        <f>#REF!</f>
        <v>#REF!</v>
      </c>
      <c r="AW37" s="202"/>
      <c r="AX37" s="153" t="e">
        <f>#REF!</f>
        <v>#REF!</v>
      </c>
      <c r="AY37" s="202"/>
      <c r="AZ37" s="152" t="e">
        <f>#REF!</f>
        <v>#REF!</v>
      </c>
      <c r="BA37" s="202"/>
      <c r="BB37" s="154" t="e">
        <f>#REF!</f>
        <v>#REF!</v>
      </c>
      <c r="BC37" s="137"/>
    </row>
    <row r="38" spans="1:55" ht="30" customHeight="1">
      <c r="A38" s="203" t="e">
        <f>#REF!</f>
        <v>#REF!</v>
      </c>
      <c r="B38" s="204" t="e">
        <f xml:space="preserve"> IF(#REF!=0, "",#REF!)</f>
        <v>#REF!</v>
      </c>
      <c r="C38" s="369" t="e">
        <f>#REF!</f>
        <v>#REF!</v>
      </c>
      <c r="D38" s="369"/>
      <c r="E38" s="291" t="e">
        <f>#REF!</f>
        <v>#REF!</v>
      </c>
      <c r="F38" s="148" t="e">
        <f>#REF!</f>
        <v>#REF!</v>
      </c>
      <c r="G38" s="205" t="e">
        <f xml:space="preserve"> IF(#REF!="", "",#REF!)</f>
        <v>#REF!</v>
      </c>
      <c r="H38" s="205" t="e">
        <f xml:space="preserve"> IF(#REF!="", "",#REF!)</f>
        <v>#REF!</v>
      </c>
      <c r="I38" s="205" t="e">
        <f xml:space="preserve"> IF(#REF!="", "",#REF!)</f>
        <v>#REF!</v>
      </c>
      <c r="J38" s="298" t="e">
        <f>#REF!</f>
        <v>#REF!</v>
      </c>
      <c r="K38" s="149" t="e">
        <f>#REF!</f>
        <v>#REF!</v>
      </c>
      <c r="L38" s="149" t="e">
        <f>#REF!</f>
        <v>#REF!</v>
      </c>
      <c r="M38" s="150" t="e">
        <f>#REF!</f>
        <v>#REF!</v>
      </c>
      <c r="N38" s="364"/>
      <c r="O38" s="202"/>
      <c r="P38" s="151" t="e">
        <f>#REF!</f>
        <v>#REF!</v>
      </c>
      <c r="Q38" s="202"/>
      <c r="R38" s="152" t="e">
        <f>#REF!</f>
        <v>#REF!</v>
      </c>
      <c r="S38" s="202"/>
      <c r="T38" s="153" t="e">
        <f>#REF!</f>
        <v>#REF!</v>
      </c>
      <c r="U38" s="202"/>
      <c r="V38" s="153" t="e">
        <f>#REF!</f>
        <v>#REF!</v>
      </c>
      <c r="W38" s="202"/>
      <c r="X38" s="153" t="e">
        <f>#REF!</f>
        <v>#REF!</v>
      </c>
      <c r="Y38" s="202"/>
      <c r="Z38" s="152" t="e">
        <f>#REF!</f>
        <v>#REF!</v>
      </c>
      <c r="AA38" s="202"/>
      <c r="AB38" s="153" t="e">
        <f>#REF!</f>
        <v>#REF!</v>
      </c>
      <c r="AC38" s="202"/>
      <c r="AD38" s="152" t="e">
        <f>#REF!</f>
        <v>#REF!</v>
      </c>
      <c r="AE38" s="202"/>
      <c r="AF38" s="153" t="e">
        <f>#REF!</f>
        <v>#REF!</v>
      </c>
      <c r="AG38" s="202"/>
      <c r="AH38" s="152" t="e">
        <f>#REF!</f>
        <v>#REF!</v>
      </c>
      <c r="AI38" s="202"/>
      <c r="AJ38" s="153" t="e">
        <f>#REF!</f>
        <v>#REF!</v>
      </c>
      <c r="AK38" s="202"/>
      <c r="AL38" s="152" t="e">
        <f>#REF!</f>
        <v>#REF!</v>
      </c>
      <c r="AM38" s="202"/>
      <c r="AN38" s="153" t="e">
        <f>#REF!</f>
        <v>#REF!</v>
      </c>
      <c r="AO38" s="202"/>
      <c r="AP38" s="152" t="e">
        <f>#REF!</f>
        <v>#REF!</v>
      </c>
      <c r="AQ38" s="202"/>
      <c r="AR38" s="154" t="e">
        <f>#REF!</f>
        <v>#REF!</v>
      </c>
      <c r="AS38" s="202"/>
      <c r="AT38" s="153" t="e">
        <f>#REF!</f>
        <v>#REF!</v>
      </c>
      <c r="AU38" s="202"/>
      <c r="AV38" s="152" t="e">
        <f>#REF!</f>
        <v>#REF!</v>
      </c>
      <c r="AW38" s="202"/>
      <c r="AX38" s="153" t="e">
        <f>#REF!</f>
        <v>#REF!</v>
      </c>
      <c r="AY38" s="202"/>
      <c r="AZ38" s="152" t="e">
        <f>#REF!</f>
        <v>#REF!</v>
      </c>
      <c r="BA38" s="202"/>
      <c r="BB38" s="154" t="e">
        <f>#REF!</f>
        <v>#REF!</v>
      </c>
      <c r="BC38" s="137"/>
    </row>
    <row r="39" spans="1:55" ht="30" customHeight="1">
      <c r="A39" s="203" t="e">
        <f>#REF!</f>
        <v>#REF!</v>
      </c>
      <c r="B39" s="204" t="e">
        <f xml:space="preserve"> IF(#REF!=0, "",#REF!)</f>
        <v>#REF!</v>
      </c>
      <c r="C39" s="369" t="e">
        <f>#REF!</f>
        <v>#REF!</v>
      </c>
      <c r="D39" s="369"/>
      <c r="E39" s="291" t="e">
        <f>#REF!</f>
        <v>#REF!</v>
      </c>
      <c r="F39" s="148" t="e">
        <f>#REF!</f>
        <v>#REF!</v>
      </c>
      <c r="G39" s="205" t="e">
        <f xml:space="preserve"> IF(#REF!="", "",#REF!)</f>
        <v>#REF!</v>
      </c>
      <c r="H39" s="205" t="e">
        <f xml:space="preserve"> IF(#REF!="", "",#REF!)</f>
        <v>#REF!</v>
      </c>
      <c r="I39" s="205" t="e">
        <f xml:space="preserve"> IF(#REF!="", "",#REF!)</f>
        <v>#REF!</v>
      </c>
      <c r="J39" s="298" t="e">
        <f>#REF!</f>
        <v>#REF!</v>
      </c>
      <c r="K39" s="149" t="e">
        <f>#REF!</f>
        <v>#REF!</v>
      </c>
      <c r="L39" s="149" t="e">
        <f>#REF!</f>
        <v>#REF!</v>
      </c>
      <c r="M39" s="150" t="e">
        <f>#REF!</f>
        <v>#REF!</v>
      </c>
      <c r="N39" s="364"/>
      <c r="O39" s="202"/>
      <c r="P39" s="151" t="e">
        <f>#REF!</f>
        <v>#REF!</v>
      </c>
      <c r="Q39" s="202"/>
      <c r="R39" s="152" t="e">
        <f>#REF!</f>
        <v>#REF!</v>
      </c>
      <c r="S39" s="202"/>
      <c r="T39" s="153" t="e">
        <f>#REF!</f>
        <v>#REF!</v>
      </c>
      <c r="U39" s="202"/>
      <c r="V39" s="153" t="e">
        <f>#REF!</f>
        <v>#REF!</v>
      </c>
      <c r="W39" s="202"/>
      <c r="X39" s="153" t="e">
        <f>#REF!</f>
        <v>#REF!</v>
      </c>
      <c r="Y39" s="202"/>
      <c r="Z39" s="152" t="e">
        <f>#REF!</f>
        <v>#REF!</v>
      </c>
      <c r="AA39" s="202"/>
      <c r="AB39" s="153" t="e">
        <f>#REF!</f>
        <v>#REF!</v>
      </c>
      <c r="AC39" s="202"/>
      <c r="AD39" s="152" t="e">
        <f>#REF!</f>
        <v>#REF!</v>
      </c>
      <c r="AE39" s="202"/>
      <c r="AF39" s="153" t="e">
        <f>#REF!</f>
        <v>#REF!</v>
      </c>
      <c r="AG39" s="202"/>
      <c r="AH39" s="152" t="e">
        <f>#REF!</f>
        <v>#REF!</v>
      </c>
      <c r="AI39" s="202"/>
      <c r="AJ39" s="153" t="e">
        <f>#REF!</f>
        <v>#REF!</v>
      </c>
      <c r="AK39" s="202"/>
      <c r="AL39" s="152" t="e">
        <f>#REF!</f>
        <v>#REF!</v>
      </c>
      <c r="AM39" s="202"/>
      <c r="AN39" s="153" t="e">
        <f>#REF!</f>
        <v>#REF!</v>
      </c>
      <c r="AO39" s="202"/>
      <c r="AP39" s="152" t="e">
        <f>#REF!</f>
        <v>#REF!</v>
      </c>
      <c r="AQ39" s="202"/>
      <c r="AR39" s="154" t="e">
        <f>#REF!</f>
        <v>#REF!</v>
      </c>
      <c r="AS39" s="202"/>
      <c r="AT39" s="153" t="e">
        <f>#REF!</f>
        <v>#REF!</v>
      </c>
      <c r="AU39" s="202"/>
      <c r="AV39" s="152" t="e">
        <f>#REF!</f>
        <v>#REF!</v>
      </c>
      <c r="AW39" s="202"/>
      <c r="AX39" s="153" t="e">
        <f>#REF!</f>
        <v>#REF!</v>
      </c>
      <c r="AY39" s="202"/>
      <c r="AZ39" s="152" t="e">
        <f>#REF!</f>
        <v>#REF!</v>
      </c>
      <c r="BA39" s="202"/>
      <c r="BB39" s="154" t="e">
        <f>#REF!</f>
        <v>#REF!</v>
      </c>
      <c r="BC39" s="137"/>
    </row>
    <row r="40" spans="1:55" ht="30" customHeight="1">
      <c r="A40" s="203" t="e">
        <f>#REF!</f>
        <v>#REF!</v>
      </c>
      <c r="B40" s="204" t="e">
        <f xml:space="preserve"> IF(#REF!=0, "",#REF!)</f>
        <v>#REF!</v>
      </c>
      <c r="C40" s="369" t="e">
        <f>#REF!</f>
        <v>#REF!</v>
      </c>
      <c r="D40" s="369"/>
      <c r="E40" s="291" t="e">
        <f>#REF!</f>
        <v>#REF!</v>
      </c>
      <c r="F40" s="148" t="e">
        <f>#REF!</f>
        <v>#REF!</v>
      </c>
      <c r="G40" s="205" t="e">
        <f xml:space="preserve"> IF(#REF!="", "",#REF!)</f>
        <v>#REF!</v>
      </c>
      <c r="H40" s="205" t="e">
        <f xml:space="preserve"> IF(#REF!="", "",#REF!)</f>
        <v>#REF!</v>
      </c>
      <c r="I40" s="205" t="e">
        <f xml:space="preserve"> IF(#REF!="", "",#REF!)</f>
        <v>#REF!</v>
      </c>
      <c r="J40" s="298" t="e">
        <f>#REF!</f>
        <v>#REF!</v>
      </c>
      <c r="K40" s="149" t="e">
        <f>#REF!</f>
        <v>#REF!</v>
      </c>
      <c r="L40" s="149" t="e">
        <f>#REF!</f>
        <v>#REF!</v>
      </c>
      <c r="M40" s="150" t="e">
        <f>#REF!</f>
        <v>#REF!</v>
      </c>
      <c r="N40" s="364"/>
      <c r="O40" s="202"/>
      <c r="P40" s="151" t="e">
        <f>#REF!</f>
        <v>#REF!</v>
      </c>
      <c r="Q40" s="202"/>
      <c r="R40" s="152" t="e">
        <f>#REF!</f>
        <v>#REF!</v>
      </c>
      <c r="S40" s="202"/>
      <c r="T40" s="153" t="e">
        <f>#REF!</f>
        <v>#REF!</v>
      </c>
      <c r="U40" s="202"/>
      <c r="V40" s="153" t="e">
        <f>#REF!</f>
        <v>#REF!</v>
      </c>
      <c r="W40" s="202"/>
      <c r="X40" s="153" t="e">
        <f>#REF!</f>
        <v>#REF!</v>
      </c>
      <c r="Y40" s="202"/>
      <c r="Z40" s="152" t="e">
        <f>#REF!</f>
        <v>#REF!</v>
      </c>
      <c r="AA40" s="202"/>
      <c r="AB40" s="153" t="e">
        <f>#REF!</f>
        <v>#REF!</v>
      </c>
      <c r="AC40" s="202"/>
      <c r="AD40" s="152" t="e">
        <f>#REF!</f>
        <v>#REF!</v>
      </c>
      <c r="AE40" s="202"/>
      <c r="AF40" s="153" t="e">
        <f>#REF!</f>
        <v>#REF!</v>
      </c>
      <c r="AG40" s="202"/>
      <c r="AH40" s="152" t="e">
        <f>#REF!</f>
        <v>#REF!</v>
      </c>
      <c r="AI40" s="202"/>
      <c r="AJ40" s="153" t="e">
        <f>#REF!</f>
        <v>#REF!</v>
      </c>
      <c r="AK40" s="202"/>
      <c r="AL40" s="152" t="e">
        <f>#REF!</f>
        <v>#REF!</v>
      </c>
      <c r="AM40" s="202"/>
      <c r="AN40" s="153" t="e">
        <f>#REF!</f>
        <v>#REF!</v>
      </c>
      <c r="AO40" s="202"/>
      <c r="AP40" s="152" t="e">
        <f>#REF!</f>
        <v>#REF!</v>
      </c>
      <c r="AQ40" s="202"/>
      <c r="AR40" s="154" t="e">
        <f>#REF!</f>
        <v>#REF!</v>
      </c>
      <c r="AS40" s="202"/>
      <c r="AT40" s="153" t="e">
        <f>#REF!</f>
        <v>#REF!</v>
      </c>
      <c r="AU40" s="202"/>
      <c r="AV40" s="152" t="e">
        <f>#REF!</f>
        <v>#REF!</v>
      </c>
      <c r="AW40" s="202"/>
      <c r="AX40" s="153" t="e">
        <f>#REF!</f>
        <v>#REF!</v>
      </c>
      <c r="AY40" s="202"/>
      <c r="AZ40" s="152" t="e">
        <f>#REF!</f>
        <v>#REF!</v>
      </c>
      <c r="BA40" s="202"/>
      <c r="BB40" s="154" t="e">
        <f>#REF!</f>
        <v>#REF!</v>
      </c>
      <c r="BC40" s="137"/>
    </row>
    <row r="41" spans="1:55" ht="30" customHeight="1">
      <c r="A41" s="203" t="e">
        <f>#REF!</f>
        <v>#REF!</v>
      </c>
      <c r="B41" s="204" t="e">
        <f xml:space="preserve"> IF(#REF!=0, "",#REF!)</f>
        <v>#REF!</v>
      </c>
      <c r="C41" s="369" t="e">
        <f>#REF!</f>
        <v>#REF!</v>
      </c>
      <c r="D41" s="369"/>
      <c r="E41" s="291" t="e">
        <f>#REF!</f>
        <v>#REF!</v>
      </c>
      <c r="F41" s="148" t="e">
        <f>#REF!</f>
        <v>#REF!</v>
      </c>
      <c r="G41" s="205" t="e">
        <f xml:space="preserve"> IF(#REF!="", "",#REF!)</f>
        <v>#REF!</v>
      </c>
      <c r="H41" s="205" t="e">
        <f xml:space="preserve"> IF(#REF!="", "",#REF!)</f>
        <v>#REF!</v>
      </c>
      <c r="I41" s="205" t="e">
        <f xml:space="preserve"> IF(#REF!="", "",#REF!)</f>
        <v>#REF!</v>
      </c>
      <c r="J41" s="298" t="e">
        <f>#REF!</f>
        <v>#REF!</v>
      </c>
      <c r="K41" s="149" t="e">
        <f>#REF!</f>
        <v>#REF!</v>
      </c>
      <c r="L41" s="149" t="e">
        <f>#REF!</f>
        <v>#REF!</v>
      </c>
      <c r="M41" s="150" t="e">
        <f>#REF!</f>
        <v>#REF!</v>
      </c>
      <c r="N41" s="364"/>
      <c r="O41" s="202"/>
      <c r="P41" s="151" t="e">
        <f>#REF!</f>
        <v>#REF!</v>
      </c>
      <c r="Q41" s="202"/>
      <c r="R41" s="152" t="e">
        <f>#REF!</f>
        <v>#REF!</v>
      </c>
      <c r="S41" s="202"/>
      <c r="T41" s="153" t="e">
        <f>#REF!</f>
        <v>#REF!</v>
      </c>
      <c r="U41" s="202"/>
      <c r="V41" s="153" t="e">
        <f>#REF!</f>
        <v>#REF!</v>
      </c>
      <c r="W41" s="202"/>
      <c r="X41" s="153" t="e">
        <f>#REF!</f>
        <v>#REF!</v>
      </c>
      <c r="Y41" s="202"/>
      <c r="Z41" s="152" t="e">
        <f>#REF!</f>
        <v>#REF!</v>
      </c>
      <c r="AA41" s="202"/>
      <c r="AB41" s="153" t="e">
        <f>#REF!</f>
        <v>#REF!</v>
      </c>
      <c r="AC41" s="202"/>
      <c r="AD41" s="152" t="e">
        <f>#REF!</f>
        <v>#REF!</v>
      </c>
      <c r="AE41" s="202"/>
      <c r="AF41" s="153" t="e">
        <f>#REF!</f>
        <v>#REF!</v>
      </c>
      <c r="AG41" s="202"/>
      <c r="AH41" s="152" t="e">
        <f>#REF!</f>
        <v>#REF!</v>
      </c>
      <c r="AI41" s="202"/>
      <c r="AJ41" s="153" t="e">
        <f>#REF!</f>
        <v>#REF!</v>
      </c>
      <c r="AK41" s="202"/>
      <c r="AL41" s="152" t="e">
        <f>#REF!</f>
        <v>#REF!</v>
      </c>
      <c r="AM41" s="202"/>
      <c r="AN41" s="153" t="e">
        <f>#REF!</f>
        <v>#REF!</v>
      </c>
      <c r="AO41" s="202"/>
      <c r="AP41" s="152" t="e">
        <f>#REF!</f>
        <v>#REF!</v>
      </c>
      <c r="AQ41" s="202"/>
      <c r="AR41" s="154" t="e">
        <f>#REF!</f>
        <v>#REF!</v>
      </c>
      <c r="AS41" s="202"/>
      <c r="AT41" s="153" t="e">
        <f>#REF!</f>
        <v>#REF!</v>
      </c>
      <c r="AU41" s="202"/>
      <c r="AV41" s="152" t="e">
        <f>#REF!</f>
        <v>#REF!</v>
      </c>
      <c r="AW41" s="202"/>
      <c r="AX41" s="153" t="e">
        <f>#REF!</f>
        <v>#REF!</v>
      </c>
      <c r="AY41" s="202"/>
      <c r="AZ41" s="152" t="e">
        <f>#REF!</f>
        <v>#REF!</v>
      </c>
      <c r="BA41" s="202"/>
      <c r="BB41" s="154" t="e">
        <f>#REF!</f>
        <v>#REF!</v>
      </c>
      <c r="BC41" s="137"/>
    </row>
    <row r="42" spans="1:55" ht="30" customHeight="1">
      <c r="A42" s="203" t="e">
        <f>#REF!</f>
        <v>#REF!</v>
      </c>
      <c r="B42" s="204" t="e">
        <f xml:space="preserve"> IF(#REF!=0, "",#REF!)</f>
        <v>#REF!</v>
      </c>
      <c r="C42" s="369" t="e">
        <f>#REF!</f>
        <v>#REF!</v>
      </c>
      <c r="D42" s="369"/>
      <c r="E42" s="291" t="e">
        <f>#REF!</f>
        <v>#REF!</v>
      </c>
      <c r="F42" s="148" t="e">
        <f>#REF!</f>
        <v>#REF!</v>
      </c>
      <c r="G42" s="205" t="e">
        <f xml:space="preserve"> IF(#REF!="", "",#REF!)</f>
        <v>#REF!</v>
      </c>
      <c r="H42" s="205" t="e">
        <f xml:space="preserve"> IF(#REF!="", "",#REF!)</f>
        <v>#REF!</v>
      </c>
      <c r="I42" s="205" t="e">
        <f xml:space="preserve"> IF(#REF!="", "",#REF!)</f>
        <v>#REF!</v>
      </c>
      <c r="J42" s="298" t="e">
        <f>#REF!</f>
        <v>#REF!</v>
      </c>
      <c r="K42" s="149" t="e">
        <f>#REF!</f>
        <v>#REF!</v>
      </c>
      <c r="L42" s="149" t="e">
        <f>#REF!</f>
        <v>#REF!</v>
      </c>
      <c r="M42" s="150" t="e">
        <f>#REF!</f>
        <v>#REF!</v>
      </c>
      <c r="N42" s="364"/>
      <c r="O42" s="202"/>
      <c r="P42" s="151" t="e">
        <f>#REF!</f>
        <v>#REF!</v>
      </c>
      <c r="Q42" s="202"/>
      <c r="R42" s="152" t="e">
        <f>#REF!</f>
        <v>#REF!</v>
      </c>
      <c r="S42" s="202"/>
      <c r="T42" s="153" t="e">
        <f>#REF!</f>
        <v>#REF!</v>
      </c>
      <c r="U42" s="202"/>
      <c r="V42" s="153" t="e">
        <f>#REF!</f>
        <v>#REF!</v>
      </c>
      <c r="W42" s="202"/>
      <c r="X42" s="153" t="e">
        <f>#REF!</f>
        <v>#REF!</v>
      </c>
      <c r="Y42" s="202"/>
      <c r="Z42" s="152" t="e">
        <f>#REF!</f>
        <v>#REF!</v>
      </c>
      <c r="AA42" s="202"/>
      <c r="AB42" s="153" t="e">
        <f>#REF!</f>
        <v>#REF!</v>
      </c>
      <c r="AC42" s="202"/>
      <c r="AD42" s="152" t="e">
        <f>#REF!</f>
        <v>#REF!</v>
      </c>
      <c r="AE42" s="202"/>
      <c r="AF42" s="153" t="e">
        <f>#REF!</f>
        <v>#REF!</v>
      </c>
      <c r="AG42" s="202"/>
      <c r="AH42" s="152" t="e">
        <f>#REF!</f>
        <v>#REF!</v>
      </c>
      <c r="AI42" s="202"/>
      <c r="AJ42" s="153" t="e">
        <f>#REF!</f>
        <v>#REF!</v>
      </c>
      <c r="AK42" s="202"/>
      <c r="AL42" s="152" t="e">
        <f>#REF!</f>
        <v>#REF!</v>
      </c>
      <c r="AM42" s="202"/>
      <c r="AN42" s="153" t="e">
        <f>#REF!</f>
        <v>#REF!</v>
      </c>
      <c r="AO42" s="202"/>
      <c r="AP42" s="152" t="e">
        <f>#REF!</f>
        <v>#REF!</v>
      </c>
      <c r="AQ42" s="202"/>
      <c r="AR42" s="154" t="e">
        <f>#REF!</f>
        <v>#REF!</v>
      </c>
      <c r="AS42" s="202"/>
      <c r="AT42" s="153" t="e">
        <f>#REF!</f>
        <v>#REF!</v>
      </c>
      <c r="AU42" s="202"/>
      <c r="AV42" s="152" t="e">
        <f>#REF!</f>
        <v>#REF!</v>
      </c>
      <c r="AW42" s="202"/>
      <c r="AX42" s="153" t="e">
        <f>#REF!</f>
        <v>#REF!</v>
      </c>
      <c r="AY42" s="202"/>
      <c r="AZ42" s="152" t="e">
        <f>#REF!</f>
        <v>#REF!</v>
      </c>
      <c r="BA42" s="202"/>
      <c r="BB42" s="154" t="e">
        <f>#REF!</f>
        <v>#REF!</v>
      </c>
      <c r="BC42" s="137"/>
    </row>
    <row r="43" spans="1:55" ht="30" customHeight="1">
      <c r="A43" s="203" t="e">
        <f>#REF!</f>
        <v>#REF!</v>
      </c>
      <c r="B43" s="204" t="e">
        <f xml:space="preserve"> IF(#REF!=0, "",#REF!)</f>
        <v>#REF!</v>
      </c>
      <c r="C43" s="369" t="e">
        <f>#REF!</f>
        <v>#REF!</v>
      </c>
      <c r="D43" s="369"/>
      <c r="E43" s="291" t="e">
        <f>#REF!</f>
        <v>#REF!</v>
      </c>
      <c r="F43" s="148" t="e">
        <f>#REF!</f>
        <v>#REF!</v>
      </c>
      <c r="G43" s="205" t="e">
        <f xml:space="preserve"> IF(#REF!="", "",#REF!)</f>
        <v>#REF!</v>
      </c>
      <c r="H43" s="205" t="e">
        <f xml:space="preserve"> IF(#REF!="", "",#REF!)</f>
        <v>#REF!</v>
      </c>
      <c r="I43" s="205" t="e">
        <f xml:space="preserve"> IF(#REF!="", "",#REF!)</f>
        <v>#REF!</v>
      </c>
      <c r="J43" s="298" t="e">
        <f>#REF!</f>
        <v>#REF!</v>
      </c>
      <c r="K43" s="149" t="e">
        <f>#REF!</f>
        <v>#REF!</v>
      </c>
      <c r="L43" s="149" t="e">
        <f>#REF!</f>
        <v>#REF!</v>
      </c>
      <c r="M43" s="150" t="e">
        <f>#REF!</f>
        <v>#REF!</v>
      </c>
      <c r="N43" s="364"/>
      <c r="O43" s="202"/>
      <c r="P43" s="151" t="e">
        <f>#REF!</f>
        <v>#REF!</v>
      </c>
      <c r="Q43" s="202"/>
      <c r="R43" s="152" t="e">
        <f>#REF!</f>
        <v>#REF!</v>
      </c>
      <c r="S43" s="202"/>
      <c r="T43" s="153" t="e">
        <f>#REF!</f>
        <v>#REF!</v>
      </c>
      <c r="U43" s="202"/>
      <c r="V43" s="153" t="e">
        <f>#REF!</f>
        <v>#REF!</v>
      </c>
      <c r="W43" s="202"/>
      <c r="X43" s="153" t="e">
        <f>#REF!</f>
        <v>#REF!</v>
      </c>
      <c r="Y43" s="202"/>
      <c r="Z43" s="152" t="e">
        <f>#REF!</f>
        <v>#REF!</v>
      </c>
      <c r="AA43" s="202"/>
      <c r="AB43" s="153" t="e">
        <f>#REF!</f>
        <v>#REF!</v>
      </c>
      <c r="AC43" s="202"/>
      <c r="AD43" s="152" t="e">
        <f>#REF!</f>
        <v>#REF!</v>
      </c>
      <c r="AE43" s="202"/>
      <c r="AF43" s="153" t="e">
        <f>#REF!</f>
        <v>#REF!</v>
      </c>
      <c r="AG43" s="202"/>
      <c r="AH43" s="152" t="e">
        <f>#REF!</f>
        <v>#REF!</v>
      </c>
      <c r="AI43" s="202"/>
      <c r="AJ43" s="153" t="e">
        <f>#REF!</f>
        <v>#REF!</v>
      </c>
      <c r="AK43" s="202"/>
      <c r="AL43" s="152" t="e">
        <f>#REF!</f>
        <v>#REF!</v>
      </c>
      <c r="AM43" s="202"/>
      <c r="AN43" s="153" t="e">
        <f>#REF!</f>
        <v>#REF!</v>
      </c>
      <c r="AO43" s="202"/>
      <c r="AP43" s="152" t="e">
        <f>#REF!</f>
        <v>#REF!</v>
      </c>
      <c r="AQ43" s="202"/>
      <c r="AR43" s="154" t="e">
        <f>#REF!</f>
        <v>#REF!</v>
      </c>
      <c r="AS43" s="202"/>
      <c r="AT43" s="153" t="e">
        <f>#REF!</f>
        <v>#REF!</v>
      </c>
      <c r="AU43" s="202"/>
      <c r="AV43" s="152" t="e">
        <f>#REF!</f>
        <v>#REF!</v>
      </c>
      <c r="AW43" s="202"/>
      <c r="AX43" s="153" t="e">
        <f>#REF!</f>
        <v>#REF!</v>
      </c>
      <c r="AY43" s="202"/>
      <c r="AZ43" s="152" t="e">
        <f>#REF!</f>
        <v>#REF!</v>
      </c>
      <c r="BA43" s="202"/>
      <c r="BB43" s="154" t="e">
        <f>#REF!</f>
        <v>#REF!</v>
      </c>
      <c r="BC43" s="137"/>
    </row>
    <row r="44" spans="1:55" ht="30" customHeight="1">
      <c r="A44" s="203" t="e">
        <f>#REF!</f>
        <v>#REF!</v>
      </c>
      <c r="B44" s="204" t="e">
        <f xml:space="preserve"> IF(#REF!=0, "",#REF!)</f>
        <v>#REF!</v>
      </c>
      <c r="C44" s="369" t="e">
        <f>#REF!</f>
        <v>#REF!</v>
      </c>
      <c r="D44" s="369"/>
      <c r="E44" s="291" t="e">
        <f>#REF!</f>
        <v>#REF!</v>
      </c>
      <c r="F44" s="148" t="e">
        <f>#REF!</f>
        <v>#REF!</v>
      </c>
      <c r="G44" s="205" t="e">
        <f xml:space="preserve"> IF(#REF!="", "",#REF!)</f>
        <v>#REF!</v>
      </c>
      <c r="H44" s="205" t="e">
        <f xml:space="preserve"> IF(#REF!="", "",#REF!)</f>
        <v>#REF!</v>
      </c>
      <c r="I44" s="205" t="e">
        <f xml:space="preserve"> IF(#REF!="", "",#REF!)</f>
        <v>#REF!</v>
      </c>
      <c r="J44" s="298" t="e">
        <f>#REF!</f>
        <v>#REF!</v>
      </c>
      <c r="K44" s="149" t="e">
        <f>#REF!</f>
        <v>#REF!</v>
      </c>
      <c r="L44" s="149" t="e">
        <f>#REF!</f>
        <v>#REF!</v>
      </c>
      <c r="M44" s="150" t="e">
        <f>#REF!</f>
        <v>#REF!</v>
      </c>
      <c r="N44" s="364"/>
      <c r="O44" s="202"/>
      <c r="P44" s="151" t="e">
        <f>#REF!</f>
        <v>#REF!</v>
      </c>
      <c r="Q44" s="202"/>
      <c r="R44" s="152" t="e">
        <f>#REF!</f>
        <v>#REF!</v>
      </c>
      <c r="S44" s="202"/>
      <c r="T44" s="153" t="e">
        <f>#REF!</f>
        <v>#REF!</v>
      </c>
      <c r="U44" s="202"/>
      <c r="V44" s="153" t="e">
        <f>#REF!</f>
        <v>#REF!</v>
      </c>
      <c r="W44" s="202"/>
      <c r="X44" s="153" t="e">
        <f>#REF!</f>
        <v>#REF!</v>
      </c>
      <c r="Y44" s="202"/>
      <c r="Z44" s="152" t="e">
        <f>#REF!</f>
        <v>#REF!</v>
      </c>
      <c r="AA44" s="202"/>
      <c r="AB44" s="153" t="e">
        <f>#REF!</f>
        <v>#REF!</v>
      </c>
      <c r="AC44" s="202"/>
      <c r="AD44" s="152" t="e">
        <f>#REF!</f>
        <v>#REF!</v>
      </c>
      <c r="AE44" s="202"/>
      <c r="AF44" s="153" t="e">
        <f>#REF!</f>
        <v>#REF!</v>
      </c>
      <c r="AG44" s="202"/>
      <c r="AH44" s="152" t="e">
        <f>#REF!</f>
        <v>#REF!</v>
      </c>
      <c r="AI44" s="202"/>
      <c r="AJ44" s="153" t="e">
        <f>#REF!</f>
        <v>#REF!</v>
      </c>
      <c r="AK44" s="202"/>
      <c r="AL44" s="152" t="e">
        <f>#REF!</f>
        <v>#REF!</v>
      </c>
      <c r="AM44" s="202"/>
      <c r="AN44" s="153" t="e">
        <f>#REF!</f>
        <v>#REF!</v>
      </c>
      <c r="AO44" s="202"/>
      <c r="AP44" s="152" t="e">
        <f>#REF!</f>
        <v>#REF!</v>
      </c>
      <c r="AQ44" s="202"/>
      <c r="AR44" s="154" t="e">
        <f>#REF!</f>
        <v>#REF!</v>
      </c>
      <c r="AS44" s="202"/>
      <c r="AT44" s="153" t="e">
        <f>#REF!</f>
        <v>#REF!</v>
      </c>
      <c r="AU44" s="202"/>
      <c r="AV44" s="152" t="e">
        <f>#REF!</f>
        <v>#REF!</v>
      </c>
      <c r="AW44" s="202"/>
      <c r="AX44" s="153" t="e">
        <f>#REF!</f>
        <v>#REF!</v>
      </c>
      <c r="AY44" s="202"/>
      <c r="AZ44" s="152" t="e">
        <f>#REF!</f>
        <v>#REF!</v>
      </c>
      <c r="BA44" s="202"/>
      <c r="BB44" s="154" t="e">
        <f>#REF!</f>
        <v>#REF!</v>
      </c>
      <c r="BC44" s="137"/>
    </row>
    <row r="45" spans="1:55" ht="30" customHeight="1">
      <c r="A45" s="203" t="e">
        <f>#REF!</f>
        <v>#REF!</v>
      </c>
      <c r="B45" s="204" t="e">
        <f xml:space="preserve"> IF(#REF!=0, "",#REF!)</f>
        <v>#REF!</v>
      </c>
      <c r="C45" s="369" t="e">
        <f>#REF!</f>
        <v>#REF!</v>
      </c>
      <c r="D45" s="369"/>
      <c r="E45" s="291" t="e">
        <f>#REF!</f>
        <v>#REF!</v>
      </c>
      <c r="F45" s="148" t="e">
        <f>#REF!</f>
        <v>#REF!</v>
      </c>
      <c r="G45" s="205" t="e">
        <f xml:space="preserve"> IF(#REF!="", "",#REF!)</f>
        <v>#REF!</v>
      </c>
      <c r="H45" s="205" t="e">
        <f xml:space="preserve"> IF(#REF!="", "",#REF!)</f>
        <v>#REF!</v>
      </c>
      <c r="I45" s="205" t="e">
        <f xml:space="preserve"> IF(#REF!="", "",#REF!)</f>
        <v>#REF!</v>
      </c>
      <c r="J45" s="298" t="e">
        <f>#REF!</f>
        <v>#REF!</v>
      </c>
      <c r="K45" s="149" t="e">
        <f>#REF!</f>
        <v>#REF!</v>
      </c>
      <c r="L45" s="149" t="e">
        <f>#REF!</f>
        <v>#REF!</v>
      </c>
      <c r="M45" s="150" t="e">
        <f>#REF!</f>
        <v>#REF!</v>
      </c>
      <c r="N45" s="364"/>
      <c r="O45" s="202"/>
      <c r="P45" s="151" t="e">
        <f>#REF!</f>
        <v>#REF!</v>
      </c>
      <c r="Q45" s="202"/>
      <c r="R45" s="152" t="e">
        <f>#REF!</f>
        <v>#REF!</v>
      </c>
      <c r="S45" s="202"/>
      <c r="T45" s="153" t="e">
        <f>#REF!</f>
        <v>#REF!</v>
      </c>
      <c r="U45" s="202"/>
      <c r="V45" s="153" t="e">
        <f>#REF!</f>
        <v>#REF!</v>
      </c>
      <c r="W45" s="202"/>
      <c r="X45" s="153" t="e">
        <f>#REF!</f>
        <v>#REF!</v>
      </c>
      <c r="Y45" s="202"/>
      <c r="Z45" s="152" t="e">
        <f>#REF!</f>
        <v>#REF!</v>
      </c>
      <c r="AA45" s="202"/>
      <c r="AB45" s="153" t="e">
        <f>#REF!</f>
        <v>#REF!</v>
      </c>
      <c r="AC45" s="202"/>
      <c r="AD45" s="152" t="e">
        <f>#REF!</f>
        <v>#REF!</v>
      </c>
      <c r="AE45" s="202"/>
      <c r="AF45" s="153" t="e">
        <f>#REF!</f>
        <v>#REF!</v>
      </c>
      <c r="AG45" s="202"/>
      <c r="AH45" s="152" t="e">
        <f>#REF!</f>
        <v>#REF!</v>
      </c>
      <c r="AI45" s="202"/>
      <c r="AJ45" s="153" t="e">
        <f>#REF!</f>
        <v>#REF!</v>
      </c>
      <c r="AK45" s="202"/>
      <c r="AL45" s="152" t="e">
        <f>#REF!</f>
        <v>#REF!</v>
      </c>
      <c r="AM45" s="202"/>
      <c r="AN45" s="153" t="e">
        <f>#REF!</f>
        <v>#REF!</v>
      </c>
      <c r="AO45" s="202"/>
      <c r="AP45" s="152" t="e">
        <f>#REF!</f>
        <v>#REF!</v>
      </c>
      <c r="AQ45" s="202"/>
      <c r="AR45" s="154" t="e">
        <f>#REF!</f>
        <v>#REF!</v>
      </c>
      <c r="AS45" s="202"/>
      <c r="AT45" s="153" t="e">
        <f>#REF!</f>
        <v>#REF!</v>
      </c>
      <c r="AU45" s="202"/>
      <c r="AV45" s="152" t="e">
        <f>#REF!</f>
        <v>#REF!</v>
      </c>
      <c r="AW45" s="202"/>
      <c r="AX45" s="153" t="e">
        <f>#REF!</f>
        <v>#REF!</v>
      </c>
      <c r="AY45" s="202"/>
      <c r="AZ45" s="152" t="e">
        <f>#REF!</f>
        <v>#REF!</v>
      </c>
      <c r="BA45" s="202"/>
      <c r="BB45" s="154" t="e">
        <f>#REF!</f>
        <v>#REF!</v>
      </c>
      <c r="BC45" s="137"/>
    </row>
    <row r="46" spans="1:55" ht="30" customHeight="1">
      <c r="A46" s="203" t="e">
        <f>#REF!</f>
        <v>#REF!</v>
      </c>
      <c r="B46" s="204" t="e">
        <f xml:space="preserve"> IF(#REF!=0, "",#REF!)</f>
        <v>#REF!</v>
      </c>
      <c r="C46" s="369" t="e">
        <f>#REF!</f>
        <v>#REF!</v>
      </c>
      <c r="D46" s="369"/>
      <c r="E46" s="291" t="e">
        <f>#REF!</f>
        <v>#REF!</v>
      </c>
      <c r="F46" s="148" t="e">
        <f>#REF!</f>
        <v>#REF!</v>
      </c>
      <c r="G46" s="205" t="e">
        <f xml:space="preserve"> IF(#REF!="", "",#REF!)</f>
        <v>#REF!</v>
      </c>
      <c r="H46" s="205" t="e">
        <f xml:space="preserve"> IF(#REF!="", "",#REF!)</f>
        <v>#REF!</v>
      </c>
      <c r="I46" s="205" t="e">
        <f xml:space="preserve"> IF(#REF!="", "",#REF!)</f>
        <v>#REF!</v>
      </c>
      <c r="J46" s="298" t="e">
        <f>#REF!</f>
        <v>#REF!</v>
      </c>
      <c r="K46" s="149" t="e">
        <f>#REF!</f>
        <v>#REF!</v>
      </c>
      <c r="L46" s="149" t="e">
        <f>#REF!</f>
        <v>#REF!</v>
      </c>
      <c r="M46" s="150" t="e">
        <f>#REF!</f>
        <v>#REF!</v>
      </c>
      <c r="N46" s="364"/>
      <c r="O46" s="202"/>
      <c r="P46" s="151" t="e">
        <f>#REF!</f>
        <v>#REF!</v>
      </c>
      <c r="Q46" s="202"/>
      <c r="R46" s="152" t="e">
        <f>#REF!</f>
        <v>#REF!</v>
      </c>
      <c r="S46" s="202"/>
      <c r="T46" s="153" t="e">
        <f>#REF!</f>
        <v>#REF!</v>
      </c>
      <c r="U46" s="202"/>
      <c r="V46" s="153" t="e">
        <f>#REF!</f>
        <v>#REF!</v>
      </c>
      <c r="W46" s="202"/>
      <c r="X46" s="153" t="e">
        <f>#REF!</f>
        <v>#REF!</v>
      </c>
      <c r="Y46" s="202"/>
      <c r="Z46" s="152" t="e">
        <f>#REF!</f>
        <v>#REF!</v>
      </c>
      <c r="AA46" s="202"/>
      <c r="AB46" s="153" t="e">
        <f>#REF!</f>
        <v>#REF!</v>
      </c>
      <c r="AC46" s="202"/>
      <c r="AD46" s="152" t="e">
        <f>#REF!</f>
        <v>#REF!</v>
      </c>
      <c r="AE46" s="202"/>
      <c r="AF46" s="153" t="e">
        <f>#REF!</f>
        <v>#REF!</v>
      </c>
      <c r="AG46" s="202"/>
      <c r="AH46" s="152" t="e">
        <f>#REF!</f>
        <v>#REF!</v>
      </c>
      <c r="AI46" s="202"/>
      <c r="AJ46" s="153" t="e">
        <f>#REF!</f>
        <v>#REF!</v>
      </c>
      <c r="AK46" s="202"/>
      <c r="AL46" s="152" t="e">
        <f>#REF!</f>
        <v>#REF!</v>
      </c>
      <c r="AM46" s="202"/>
      <c r="AN46" s="153" t="e">
        <f>#REF!</f>
        <v>#REF!</v>
      </c>
      <c r="AO46" s="202"/>
      <c r="AP46" s="152" t="e">
        <f>#REF!</f>
        <v>#REF!</v>
      </c>
      <c r="AQ46" s="202"/>
      <c r="AR46" s="154" t="e">
        <f>#REF!</f>
        <v>#REF!</v>
      </c>
      <c r="AS46" s="202"/>
      <c r="AT46" s="153" t="e">
        <f>#REF!</f>
        <v>#REF!</v>
      </c>
      <c r="AU46" s="202"/>
      <c r="AV46" s="152" t="e">
        <f>#REF!</f>
        <v>#REF!</v>
      </c>
      <c r="AW46" s="202"/>
      <c r="AX46" s="153" t="e">
        <f>#REF!</f>
        <v>#REF!</v>
      </c>
      <c r="AY46" s="202"/>
      <c r="AZ46" s="152" t="e">
        <f>#REF!</f>
        <v>#REF!</v>
      </c>
      <c r="BA46" s="202"/>
      <c r="BB46" s="154" t="e">
        <f>#REF!</f>
        <v>#REF!</v>
      </c>
      <c r="BC46" s="137"/>
    </row>
    <row r="47" spans="1:55" ht="30" customHeight="1">
      <c r="A47" s="203" t="e">
        <f>#REF!</f>
        <v>#REF!</v>
      </c>
      <c r="B47" s="204" t="e">
        <f xml:space="preserve"> IF(#REF!=0, "",#REF!)</f>
        <v>#REF!</v>
      </c>
      <c r="C47" s="369" t="e">
        <f>#REF!</f>
        <v>#REF!</v>
      </c>
      <c r="D47" s="369"/>
      <c r="E47" s="291" t="e">
        <f>#REF!</f>
        <v>#REF!</v>
      </c>
      <c r="F47" s="148" t="e">
        <f>#REF!</f>
        <v>#REF!</v>
      </c>
      <c r="G47" s="205" t="e">
        <f xml:space="preserve"> IF(#REF!="", "",#REF!)</f>
        <v>#REF!</v>
      </c>
      <c r="H47" s="205" t="e">
        <f xml:space="preserve"> IF(#REF!="", "",#REF!)</f>
        <v>#REF!</v>
      </c>
      <c r="I47" s="205" t="e">
        <f xml:space="preserve"> IF(#REF!="", "",#REF!)</f>
        <v>#REF!</v>
      </c>
      <c r="J47" s="298" t="e">
        <f>#REF!</f>
        <v>#REF!</v>
      </c>
      <c r="K47" s="149" t="e">
        <f>#REF!</f>
        <v>#REF!</v>
      </c>
      <c r="L47" s="149" t="e">
        <f>#REF!</f>
        <v>#REF!</v>
      </c>
      <c r="M47" s="150" t="e">
        <f>#REF!</f>
        <v>#REF!</v>
      </c>
      <c r="N47" s="364"/>
      <c r="O47" s="202"/>
      <c r="P47" s="151" t="e">
        <f>#REF!</f>
        <v>#REF!</v>
      </c>
      <c r="Q47" s="202"/>
      <c r="R47" s="152" t="e">
        <f>#REF!</f>
        <v>#REF!</v>
      </c>
      <c r="S47" s="202"/>
      <c r="T47" s="153" t="e">
        <f>#REF!</f>
        <v>#REF!</v>
      </c>
      <c r="U47" s="202"/>
      <c r="V47" s="153" t="e">
        <f>#REF!</f>
        <v>#REF!</v>
      </c>
      <c r="W47" s="202"/>
      <c r="X47" s="153" t="e">
        <f>#REF!</f>
        <v>#REF!</v>
      </c>
      <c r="Y47" s="202"/>
      <c r="Z47" s="152" t="e">
        <f>#REF!</f>
        <v>#REF!</v>
      </c>
      <c r="AA47" s="202"/>
      <c r="AB47" s="153" t="e">
        <f>#REF!</f>
        <v>#REF!</v>
      </c>
      <c r="AC47" s="202"/>
      <c r="AD47" s="152" t="e">
        <f>#REF!</f>
        <v>#REF!</v>
      </c>
      <c r="AE47" s="202"/>
      <c r="AF47" s="153" t="e">
        <f>#REF!</f>
        <v>#REF!</v>
      </c>
      <c r="AG47" s="202"/>
      <c r="AH47" s="152" t="e">
        <f>#REF!</f>
        <v>#REF!</v>
      </c>
      <c r="AI47" s="202"/>
      <c r="AJ47" s="153" t="e">
        <f>#REF!</f>
        <v>#REF!</v>
      </c>
      <c r="AK47" s="202"/>
      <c r="AL47" s="152" t="e">
        <f>#REF!</f>
        <v>#REF!</v>
      </c>
      <c r="AM47" s="202"/>
      <c r="AN47" s="153" t="e">
        <f>#REF!</f>
        <v>#REF!</v>
      </c>
      <c r="AO47" s="202"/>
      <c r="AP47" s="152" t="e">
        <f>#REF!</f>
        <v>#REF!</v>
      </c>
      <c r="AQ47" s="202"/>
      <c r="AR47" s="154" t="e">
        <f>#REF!</f>
        <v>#REF!</v>
      </c>
      <c r="AS47" s="202"/>
      <c r="AT47" s="153" t="e">
        <f>#REF!</f>
        <v>#REF!</v>
      </c>
      <c r="AU47" s="202"/>
      <c r="AV47" s="152" t="e">
        <f>#REF!</f>
        <v>#REF!</v>
      </c>
      <c r="AW47" s="202"/>
      <c r="AX47" s="153" t="e">
        <f>#REF!</f>
        <v>#REF!</v>
      </c>
      <c r="AY47" s="202"/>
      <c r="AZ47" s="152" t="e">
        <f>#REF!</f>
        <v>#REF!</v>
      </c>
      <c r="BA47" s="202"/>
      <c r="BB47" s="154" t="e">
        <f>#REF!</f>
        <v>#REF!</v>
      </c>
      <c r="BC47" s="137"/>
    </row>
    <row r="48" spans="1:55" ht="30" customHeight="1">
      <c r="A48" s="203" t="e">
        <f>#REF!</f>
        <v>#REF!</v>
      </c>
      <c r="B48" s="204" t="e">
        <f xml:space="preserve"> IF(#REF!=0, "",#REF!)</f>
        <v>#REF!</v>
      </c>
      <c r="C48" s="369" t="e">
        <f>#REF!</f>
        <v>#REF!</v>
      </c>
      <c r="D48" s="369"/>
      <c r="E48" s="291" t="e">
        <f>#REF!</f>
        <v>#REF!</v>
      </c>
      <c r="F48" s="148" t="e">
        <f>#REF!</f>
        <v>#REF!</v>
      </c>
      <c r="G48" s="205" t="e">
        <f xml:space="preserve"> IF(#REF!="", "",#REF!)</f>
        <v>#REF!</v>
      </c>
      <c r="H48" s="205" t="e">
        <f xml:space="preserve"> IF(#REF!="", "",#REF!)</f>
        <v>#REF!</v>
      </c>
      <c r="I48" s="205" t="e">
        <f xml:space="preserve"> IF(#REF!="", "",#REF!)</f>
        <v>#REF!</v>
      </c>
      <c r="J48" s="298" t="e">
        <f>#REF!</f>
        <v>#REF!</v>
      </c>
      <c r="K48" s="149" t="e">
        <f>#REF!</f>
        <v>#REF!</v>
      </c>
      <c r="L48" s="149" t="e">
        <f>#REF!</f>
        <v>#REF!</v>
      </c>
      <c r="M48" s="150" t="e">
        <f>#REF!</f>
        <v>#REF!</v>
      </c>
      <c r="N48" s="364"/>
      <c r="O48" s="202"/>
      <c r="P48" s="151" t="e">
        <f>#REF!</f>
        <v>#REF!</v>
      </c>
      <c r="Q48" s="202"/>
      <c r="R48" s="152" t="e">
        <f>#REF!</f>
        <v>#REF!</v>
      </c>
      <c r="S48" s="202"/>
      <c r="T48" s="153" t="e">
        <f>#REF!</f>
        <v>#REF!</v>
      </c>
      <c r="U48" s="202"/>
      <c r="V48" s="153" t="e">
        <f>#REF!</f>
        <v>#REF!</v>
      </c>
      <c r="W48" s="202"/>
      <c r="X48" s="153" t="e">
        <f>#REF!</f>
        <v>#REF!</v>
      </c>
      <c r="Y48" s="202"/>
      <c r="Z48" s="152" t="e">
        <f>#REF!</f>
        <v>#REF!</v>
      </c>
      <c r="AA48" s="202"/>
      <c r="AB48" s="153" t="e">
        <f>#REF!</f>
        <v>#REF!</v>
      </c>
      <c r="AC48" s="202"/>
      <c r="AD48" s="152" t="e">
        <f>#REF!</f>
        <v>#REF!</v>
      </c>
      <c r="AE48" s="202"/>
      <c r="AF48" s="153" t="e">
        <f>#REF!</f>
        <v>#REF!</v>
      </c>
      <c r="AG48" s="202"/>
      <c r="AH48" s="152" t="e">
        <f>#REF!</f>
        <v>#REF!</v>
      </c>
      <c r="AI48" s="202"/>
      <c r="AJ48" s="153" t="e">
        <f>#REF!</f>
        <v>#REF!</v>
      </c>
      <c r="AK48" s="202"/>
      <c r="AL48" s="152" t="e">
        <f>#REF!</f>
        <v>#REF!</v>
      </c>
      <c r="AM48" s="202"/>
      <c r="AN48" s="153" t="e">
        <f>#REF!</f>
        <v>#REF!</v>
      </c>
      <c r="AO48" s="202"/>
      <c r="AP48" s="152" t="e">
        <f>#REF!</f>
        <v>#REF!</v>
      </c>
      <c r="AQ48" s="202"/>
      <c r="AR48" s="154" t="e">
        <f>#REF!</f>
        <v>#REF!</v>
      </c>
      <c r="AS48" s="202"/>
      <c r="AT48" s="153" t="e">
        <f>#REF!</f>
        <v>#REF!</v>
      </c>
      <c r="AU48" s="202"/>
      <c r="AV48" s="152" t="e">
        <f>#REF!</f>
        <v>#REF!</v>
      </c>
      <c r="AW48" s="202"/>
      <c r="AX48" s="153" t="e">
        <f>#REF!</f>
        <v>#REF!</v>
      </c>
      <c r="AY48" s="202"/>
      <c r="AZ48" s="152" t="e">
        <f>#REF!</f>
        <v>#REF!</v>
      </c>
      <c r="BA48" s="202"/>
      <c r="BB48" s="154" t="e">
        <f>#REF!</f>
        <v>#REF!</v>
      </c>
      <c r="BC48" s="137"/>
    </row>
    <row r="49" spans="1:55" ht="30" customHeight="1">
      <c r="A49" s="203" t="e">
        <f>#REF!</f>
        <v>#REF!</v>
      </c>
      <c r="B49" s="204" t="e">
        <f xml:space="preserve"> IF(#REF!=0, "",#REF!)</f>
        <v>#REF!</v>
      </c>
      <c r="C49" s="369" t="e">
        <f>#REF!</f>
        <v>#REF!</v>
      </c>
      <c r="D49" s="369"/>
      <c r="E49" s="291" t="e">
        <f>#REF!</f>
        <v>#REF!</v>
      </c>
      <c r="F49" s="148" t="e">
        <f>#REF!</f>
        <v>#REF!</v>
      </c>
      <c r="G49" s="205" t="e">
        <f xml:space="preserve"> IF(#REF!="", "",#REF!)</f>
        <v>#REF!</v>
      </c>
      <c r="H49" s="205" t="e">
        <f xml:space="preserve"> IF(#REF!="", "",#REF!)</f>
        <v>#REF!</v>
      </c>
      <c r="I49" s="205" t="e">
        <f xml:space="preserve"> IF(#REF!="", "",#REF!)</f>
        <v>#REF!</v>
      </c>
      <c r="J49" s="298" t="e">
        <f>#REF!</f>
        <v>#REF!</v>
      </c>
      <c r="K49" s="149" t="e">
        <f>#REF!</f>
        <v>#REF!</v>
      </c>
      <c r="L49" s="149" t="e">
        <f>#REF!</f>
        <v>#REF!</v>
      </c>
      <c r="M49" s="150" t="e">
        <f>#REF!</f>
        <v>#REF!</v>
      </c>
      <c r="N49" s="364"/>
      <c r="O49" s="202"/>
      <c r="P49" s="151" t="e">
        <f>#REF!</f>
        <v>#REF!</v>
      </c>
      <c r="Q49" s="202"/>
      <c r="R49" s="152" t="e">
        <f>#REF!</f>
        <v>#REF!</v>
      </c>
      <c r="S49" s="202"/>
      <c r="T49" s="153" t="e">
        <f>#REF!</f>
        <v>#REF!</v>
      </c>
      <c r="U49" s="202"/>
      <c r="V49" s="153" t="e">
        <f>#REF!</f>
        <v>#REF!</v>
      </c>
      <c r="W49" s="202"/>
      <c r="X49" s="153" t="e">
        <f>#REF!</f>
        <v>#REF!</v>
      </c>
      <c r="Y49" s="202"/>
      <c r="Z49" s="152" t="e">
        <f>#REF!</f>
        <v>#REF!</v>
      </c>
      <c r="AA49" s="202"/>
      <c r="AB49" s="153" t="e">
        <f>#REF!</f>
        <v>#REF!</v>
      </c>
      <c r="AC49" s="202"/>
      <c r="AD49" s="152" t="e">
        <f>#REF!</f>
        <v>#REF!</v>
      </c>
      <c r="AE49" s="202"/>
      <c r="AF49" s="153" t="e">
        <f>#REF!</f>
        <v>#REF!</v>
      </c>
      <c r="AG49" s="202"/>
      <c r="AH49" s="152" t="e">
        <f>#REF!</f>
        <v>#REF!</v>
      </c>
      <c r="AI49" s="202"/>
      <c r="AJ49" s="153" t="e">
        <f>#REF!</f>
        <v>#REF!</v>
      </c>
      <c r="AK49" s="202"/>
      <c r="AL49" s="152" t="e">
        <f>#REF!</f>
        <v>#REF!</v>
      </c>
      <c r="AM49" s="202"/>
      <c r="AN49" s="153" t="e">
        <f>#REF!</f>
        <v>#REF!</v>
      </c>
      <c r="AO49" s="202"/>
      <c r="AP49" s="152" t="e">
        <f>#REF!</f>
        <v>#REF!</v>
      </c>
      <c r="AQ49" s="202"/>
      <c r="AR49" s="154" t="e">
        <f>#REF!</f>
        <v>#REF!</v>
      </c>
      <c r="AS49" s="202"/>
      <c r="AT49" s="153" t="e">
        <f>#REF!</f>
        <v>#REF!</v>
      </c>
      <c r="AU49" s="202"/>
      <c r="AV49" s="152" t="e">
        <f>#REF!</f>
        <v>#REF!</v>
      </c>
      <c r="AW49" s="202"/>
      <c r="AX49" s="153" t="e">
        <f>#REF!</f>
        <v>#REF!</v>
      </c>
      <c r="AY49" s="202"/>
      <c r="AZ49" s="152" t="e">
        <f>#REF!</f>
        <v>#REF!</v>
      </c>
      <c r="BA49" s="202"/>
      <c r="BB49" s="154" t="e">
        <f>#REF!</f>
        <v>#REF!</v>
      </c>
      <c r="BC49" s="137"/>
    </row>
    <row r="50" spans="1:55" ht="30" customHeight="1">
      <c r="A50" s="203" t="e">
        <f>#REF!</f>
        <v>#REF!</v>
      </c>
      <c r="B50" s="204" t="e">
        <f xml:space="preserve"> IF(#REF!=0, "",#REF!)</f>
        <v>#REF!</v>
      </c>
      <c r="C50" s="369" t="e">
        <f>#REF!</f>
        <v>#REF!</v>
      </c>
      <c r="D50" s="369"/>
      <c r="E50" s="291" t="e">
        <f>#REF!</f>
        <v>#REF!</v>
      </c>
      <c r="F50" s="148" t="e">
        <f>#REF!</f>
        <v>#REF!</v>
      </c>
      <c r="G50" s="205" t="e">
        <f xml:space="preserve"> IF(#REF!="", "",#REF!)</f>
        <v>#REF!</v>
      </c>
      <c r="H50" s="205" t="e">
        <f xml:space="preserve"> IF(#REF!="", "",#REF!)</f>
        <v>#REF!</v>
      </c>
      <c r="I50" s="205" t="e">
        <f xml:space="preserve"> IF(#REF!="", "",#REF!)</f>
        <v>#REF!</v>
      </c>
      <c r="J50" s="298" t="e">
        <f>#REF!</f>
        <v>#REF!</v>
      </c>
      <c r="K50" s="149" t="e">
        <f>#REF!</f>
        <v>#REF!</v>
      </c>
      <c r="L50" s="149" t="e">
        <f>#REF!</f>
        <v>#REF!</v>
      </c>
      <c r="M50" s="150" t="e">
        <f>#REF!</f>
        <v>#REF!</v>
      </c>
      <c r="N50" s="364"/>
      <c r="O50" s="202"/>
      <c r="P50" s="151" t="e">
        <f>#REF!</f>
        <v>#REF!</v>
      </c>
      <c r="Q50" s="202"/>
      <c r="R50" s="152" t="e">
        <f>#REF!</f>
        <v>#REF!</v>
      </c>
      <c r="S50" s="202"/>
      <c r="T50" s="153" t="e">
        <f>#REF!</f>
        <v>#REF!</v>
      </c>
      <c r="U50" s="202"/>
      <c r="V50" s="153" t="e">
        <f>#REF!</f>
        <v>#REF!</v>
      </c>
      <c r="W50" s="202"/>
      <c r="X50" s="153" t="e">
        <f>#REF!</f>
        <v>#REF!</v>
      </c>
      <c r="Y50" s="202"/>
      <c r="Z50" s="152" t="e">
        <f>#REF!</f>
        <v>#REF!</v>
      </c>
      <c r="AA50" s="202"/>
      <c r="AB50" s="153" t="e">
        <f>#REF!</f>
        <v>#REF!</v>
      </c>
      <c r="AC50" s="202"/>
      <c r="AD50" s="152" t="e">
        <f>#REF!</f>
        <v>#REF!</v>
      </c>
      <c r="AE50" s="202"/>
      <c r="AF50" s="153" t="e">
        <f>#REF!</f>
        <v>#REF!</v>
      </c>
      <c r="AG50" s="202"/>
      <c r="AH50" s="152" t="e">
        <f>#REF!</f>
        <v>#REF!</v>
      </c>
      <c r="AI50" s="202"/>
      <c r="AJ50" s="153" t="e">
        <f>#REF!</f>
        <v>#REF!</v>
      </c>
      <c r="AK50" s="202"/>
      <c r="AL50" s="152" t="e">
        <f>#REF!</f>
        <v>#REF!</v>
      </c>
      <c r="AM50" s="202"/>
      <c r="AN50" s="153" t="e">
        <f>#REF!</f>
        <v>#REF!</v>
      </c>
      <c r="AO50" s="202"/>
      <c r="AP50" s="152" t="e">
        <f>#REF!</f>
        <v>#REF!</v>
      </c>
      <c r="AQ50" s="202"/>
      <c r="AR50" s="154" t="e">
        <f>#REF!</f>
        <v>#REF!</v>
      </c>
      <c r="AS50" s="202"/>
      <c r="AT50" s="153" t="e">
        <f>#REF!</f>
        <v>#REF!</v>
      </c>
      <c r="AU50" s="202"/>
      <c r="AV50" s="152" t="e">
        <f>#REF!</f>
        <v>#REF!</v>
      </c>
      <c r="AW50" s="202"/>
      <c r="AX50" s="153" t="e">
        <f>#REF!</f>
        <v>#REF!</v>
      </c>
      <c r="AY50" s="202"/>
      <c r="AZ50" s="152" t="e">
        <f>#REF!</f>
        <v>#REF!</v>
      </c>
      <c r="BA50" s="202"/>
      <c r="BB50" s="154" t="e">
        <f>#REF!</f>
        <v>#REF!</v>
      </c>
      <c r="BC50" s="137"/>
    </row>
    <row r="51" spans="1:55" ht="30" customHeight="1">
      <c r="A51" s="203" t="e">
        <f>#REF!</f>
        <v>#REF!</v>
      </c>
      <c r="B51" s="204" t="e">
        <f xml:space="preserve"> IF(#REF!=0, "",#REF!)</f>
        <v>#REF!</v>
      </c>
      <c r="C51" s="369" t="e">
        <f>#REF!</f>
        <v>#REF!</v>
      </c>
      <c r="D51" s="369"/>
      <c r="E51" s="291" t="e">
        <f>#REF!</f>
        <v>#REF!</v>
      </c>
      <c r="F51" s="148" t="e">
        <f>#REF!</f>
        <v>#REF!</v>
      </c>
      <c r="G51" s="205" t="e">
        <f xml:space="preserve"> IF(#REF!="", "",#REF!)</f>
        <v>#REF!</v>
      </c>
      <c r="H51" s="205" t="e">
        <f xml:space="preserve"> IF(#REF!="", "",#REF!)</f>
        <v>#REF!</v>
      </c>
      <c r="I51" s="205" t="e">
        <f xml:space="preserve"> IF(#REF!="", "",#REF!)</f>
        <v>#REF!</v>
      </c>
      <c r="J51" s="298" t="e">
        <f>#REF!</f>
        <v>#REF!</v>
      </c>
      <c r="K51" s="149" t="e">
        <f>#REF!</f>
        <v>#REF!</v>
      </c>
      <c r="L51" s="149" t="e">
        <f>#REF!</f>
        <v>#REF!</v>
      </c>
      <c r="M51" s="150" t="e">
        <f>#REF!</f>
        <v>#REF!</v>
      </c>
      <c r="N51" s="364"/>
      <c r="O51" s="202"/>
      <c r="P51" s="151" t="e">
        <f>#REF!</f>
        <v>#REF!</v>
      </c>
      <c r="Q51" s="202"/>
      <c r="R51" s="152" t="e">
        <f>#REF!</f>
        <v>#REF!</v>
      </c>
      <c r="S51" s="202"/>
      <c r="T51" s="153" t="e">
        <f>#REF!</f>
        <v>#REF!</v>
      </c>
      <c r="U51" s="202"/>
      <c r="V51" s="153" t="e">
        <f>#REF!</f>
        <v>#REF!</v>
      </c>
      <c r="W51" s="202"/>
      <c r="X51" s="153" t="e">
        <f>#REF!</f>
        <v>#REF!</v>
      </c>
      <c r="Y51" s="202"/>
      <c r="Z51" s="152" t="e">
        <f>#REF!</f>
        <v>#REF!</v>
      </c>
      <c r="AA51" s="202"/>
      <c r="AB51" s="153" t="e">
        <f>#REF!</f>
        <v>#REF!</v>
      </c>
      <c r="AC51" s="202"/>
      <c r="AD51" s="152" t="e">
        <f>#REF!</f>
        <v>#REF!</v>
      </c>
      <c r="AE51" s="202"/>
      <c r="AF51" s="153" t="e">
        <f>#REF!</f>
        <v>#REF!</v>
      </c>
      <c r="AG51" s="202"/>
      <c r="AH51" s="152" t="e">
        <f>#REF!</f>
        <v>#REF!</v>
      </c>
      <c r="AI51" s="202"/>
      <c r="AJ51" s="153" t="e">
        <f>#REF!</f>
        <v>#REF!</v>
      </c>
      <c r="AK51" s="202"/>
      <c r="AL51" s="152" t="e">
        <f>#REF!</f>
        <v>#REF!</v>
      </c>
      <c r="AM51" s="202"/>
      <c r="AN51" s="153" t="e">
        <f>#REF!</f>
        <v>#REF!</v>
      </c>
      <c r="AO51" s="202"/>
      <c r="AP51" s="152" t="e">
        <f>#REF!</f>
        <v>#REF!</v>
      </c>
      <c r="AQ51" s="202"/>
      <c r="AR51" s="154" t="e">
        <f>#REF!</f>
        <v>#REF!</v>
      </c>
      <c r="AS51" s="202"/>
      <c r="AT51" s="153" t="e">
        <f>#REF!</f>
        <v>#REF!</v>
      </c>
      <c r="AU51" s="202"/>
      <c r="AV51" s="152" t="e">
        <f>#REF!</f>
        <v>#REF!</v>
      </c>
      <c r="AW51" s="202"/>
      <c r="AX51" s="153" t="e">
        <f>#REF!</f>
        <v>#REF!</v>
      </c>
      <c r="AY51" s="202"/>
      <c r="AZ51" s="152" t="e">
        <f>#REF!</f>
        <v>#REF!</v>
      </c>
      <c r="BA51" s="202"/>
      <c r="BB51" s="154" t="e">
        <f>#REF!</f>
        <v>#REF!</v>
      </c>
      <c r="BC51" s="137"/>
    </row>
    <row r="52" spans="1:55" ht="30" customHeight="1">
      <c r="A52" s="203" t="e">
        <f>#REF!</f>
        <v>#REF!</v>
      </c>
      <c r="B52" s="204" t="e">
        <f xml:space="preserve"> IF(#REF!=0, "",#REF!)</f>
        <v>#REF!</v>
      </c>
      <c r="C52" s="369" t="e">
        <f>#REF!</f>
        <v>#REF!</v>
      </c>
      <c r="D52" s="369"/>
      <c r="E52" s="291" t="e">
        <f>#REF!</f>
        <v>#REF!</v>
      </c>
      <c r="F52" s="148" t="e">
        <f>#REF!</f>
        <v>#REF!</v>
      </c>
      <c r="G52" s="205" t="e">
        <f xml:space="preserve"> IF(#REF!="", "",#REF!)</f>
        <v>#REF!</v>
      </c>
      <c r="H52" s="205" t="e">
        <f xml:space="preserve"> IF(#REF!="", "",#REF!)</f>
        <v>#REF!</v>
      </c>
      <c r="I52" s="205" t="e">
        <f xml:space="preserve"> IF(#REF!="", "",#REF!)</f>
        <v>#REF!</v>
      </c>
      <c r="J52" s="298" t="e">
        <f>#REF!</f>
        <v>#REF!</v>
      </c>
      <c r="K52" s="149" t="e">
        <f>#REF!</f>
        <v>#REF!</v>
      </c>
      <c r="L52" s="149" t="e">
        <f>#REF!</f>
        <v>#REF!</v>
      </c>
      <c r="M52" s="150" t="e">
        <f>#REF!</f>
        <v>#REF!</v>
      </c>
      <c r="N52" s="364"/>
      <c r="O52" s="202"/>
      <c r="P52" s="151" t="e">
        <f>#REF!</f>
        <v>#REF!</v>
      </c>
      <c r="Q52" s="202"/>
      <c r="R52" s="152" t="e">
        <f>#REF!</f>
        <v>#REF!</v>
      </c>
      <c r="S52" s="202"/>
      <c r="T52" s="153" t="e">
        <f>#REF!</f>
        <v>#REF!</v>
      </c>
      <c r="U52" s="202"/>
      <c r="V52" s="153" t="e">
        <f>#REF!</f>
        <v>#REF!</v>
      </c>
      <c r="W52" s="202"/>
      <c r="X52" s="153" t="e">
        <f>#REF!</f>
        <v>#REF!</v>
      </c>
      <c r="Y52" s="202"/>
      <c r="Z52" s="152" t="e">
        <f>#REF!</f>
        <v>#REF!</v>
      </c>
      <c r="AA52" s="202"/>
      <c r="AB52" s="153" t="e">
        <f>#REF!</f>
        <v>#REF!</v>
      </c>
      <c r="AC52" s="202"/>
      <c r="AD52" s="152" t="e">
        <f>#REF!</f>
        <v>#REF!</v>
      </c>
      <c r="AE52" s="202"/>
      <c r="AF52" s="153" t="e">
        <f>#REF!</f>
        <v>#REF!</v>
      </c>
      <c r="AG52" s="202"/>
      <c r="AH52" s="152" t="e">
        <f>#REF!</f>
        <v>#REF!</v>
      </c>
      <c r="AI52" s="202"/>
      <c r="AJ52" s="153" t="e">
        <f>#REF!</f>
        <v>#REF!</v>
      </c>
      <c r="AK52" s="202"/>
      <c r="AL52" s="152" t="e">
        <f>#REF!</f>
        <v>#REF!</v>
      </c>
      <c r="AM52" s="202"/>
      <c r="AN52" s="153" t="e">
        <f>#REF!</f>
        <v>#REF!</v>
      </c>
      <c r="AO52" s="202"/>
      <c r="AP52" s="152" t="e">
        <f>#REF!</f>
        <v>#REF!</v>
      </c>
      <c r="AQ52" s="202"/>
      <c r="AR52" s="154" t="e">
        <f>#REF!</f>
        <v>#REF!</v>
      </c>
      <c r="AS52" s="202"/>
      <c r="AT52" s="153" t="e">
        <f>#REF!</f>
        <v>#REF!</v>
      </c>
      <c r="AU52" s="202"/>
      <c r="AV52" s="152" t="e">
        <f>#REF!</f>
        <v>#REF!</v>
      </c>
      <c r="AW52" s="202"/>
      <c r="AX52" s="153" t="e">
        <f>#REF!</f>
        <v>#REF!</v>
      </c>
      <c r="AY52" s="202"/>
      <c r="AZ52" s="152" t="e">
        <f>#REF!</f>
        <v>#REF!</v>
      </c>
      <c r="BA52" s="202"/>
      <c r="BB52" s="154" t="e">
        <f>#REF!</f>
        <v>#REF!</v>
      </c>
      <c r="BC52" s="137"/>
    </row>
    <row r="53" spans="1:55" ht="30" customHeight="1">
      <c r="A53" s="203" t="e">
        <f>#REF!</f>
        <v>#REF!</v>
      </c>
      <c r="B53" s="204" t="e">
        <f xml:space="preserve"> IF(#REF!=0, "",#REF!)</f>
        <v>#REF!</v>
      </c>
      <c r="C53" s="369" t="e">
        <f>#REF!</f>
        <v>#REF!</v>
      </c>
      <c r="D53" s="369"/>
      <c r="E53" s="291" t="e">
        <f>#REF!</f>
        <v>#REF!</v>
      </c>
      <c r="F53" s="148" t="e">
        <f>#REF!</f>
        <v>#REF!</v>
      </c>
      <c r="G53" s="205" t="e">
        <f xml:space="preserve"> IF(#REF!="", "",#REF!)</f>
        <v>#REF!</v>
      </c>
      <c r="H53" s="205" t="e">
        <f xml:space="preserve"> IF(#REF!="", "",#REF!)</f>
        <v>#REF!</v>
      </c>
      <c r="I53" s="205" t="e">
        <f xml:space="preserve"> IF(#REF!="", "",#REF!)</f>
        <v>#REF!</v>
      </c>
      <c r="J53" s="298" t="e">
        <f>#REF!</f>
        <v>#REF!</v>
      </c>
      <c r="K53" s="149" t="e">
        <f>#REF!</f>
        <v>#REF!</v>
      </c>
      <c r="L53" s="149" t="e">
        <f>#REF!</f>
        <v>#REF!</v>
      </c>
      <c r="M53" s="150" t="e">
        <f>#REF!</f>
        <v>#REF!</v>
      </c>
      <c r="N53" s="364"/>
      <c r="O53" s="202"/>
      <c r="P53" s="151" t="e">
        <f>#REF!</f>
        <v>#REF!</v>
      </c>
      <c r="Q53" s="202"/>
      <c r="R53" s="152" t="e">
        <f>#REF!</f>
        <v>#REF!</v>
      </c>
      <c r="S53" s="202"/>
      <c r="T53" s="153" t="e">
        <f>#REF!</f>
        <v>#REF!</v>
      </c>
      <c r="U53" s="202"/>
      <c r="V53" s="153" t="e">
        <f>#REF!</f>
        <v>#REF!</v>
      </c>
      <c r="W53" s="202"/>
      <c r="X53" s="153" t="e">
        <f>#REF!</f>
        <v>#REF!</v>
      </c>
      <c r="Y53" s="202"/>
      <c r="Z53" s="152" t="e">
        <f>#REF!</f>
        <v>#REF!</v>
      </c>
      <c r="AA53" s="202"/>
      <c r="AB53" s="153" t="e">
        <f>#REF!</f>
        <v>#REF!</v>
      </c>
      <c r="AC53" s="202"/>
      <c r="AD53" s="152" t="e">
        <f>#REF!</f>
        <v>#REF!</v>
      </c>
      <c r="AE53" s="202"/>
      <c r="AF53" s="153" t="e">
        <f>#REF!</f>
        <v>#REF!</v>
      </c>
      <c r="AG53" s="202"/>
      <c r="AH53" s="152" t="e">
        <f>#REF!</f>
        <v>#REF!</v>
      </c>
      <c r="AI53" s="202"/>
      <c r="AJ53" s="153" t="e">
        <f>#REF!</f>
        <v>#REF!</v>
      </c>
      <c r="AK53" s="202"/>
      <c r="AL53" s="152" t="e">
        <f>#REF!</f>
        <v>#REF!</v>
      </c>
      <c r="AM53" s="202"/>
      <c r="AN53" s="153" t="e">
        <f>#REF!</f>
        <v>#REF!</v>
      </c>
      <c r="AO53" s="202"/>
      <c r="AP53" s="152" t="e">
        <f>#REF!</f>
        <v>#REF!</v>
      </c>
      <c r="AQ53" s="202"/>
      <c r="AR53" s="154" t="e">
        <f>#REF!</f>
        <v>#REF!</v>
      </c>
      <c r="AS53" s="202"/>
      <c r="AT53" s="153" t="e">
        <f>#REF!</f>
        <v>#REF!</v>
      </c>
      <c r="AU53" s="202"/>
      <c r="AV53" s="152" t="e">
        <f>#REF!</f>
        <v>#REF!</v>
      </c>
      <c r="AW53" s="202"/>
      <c r="AX53" s="153" t="e">
        <f>#REF!</f>
        <v>#REF!</v>
      </c>
      <c r="AY53" s="202"/>
      <c r="AZ53" s="152" t="e">
        <f>#REF!</f>
        <v>#REF!</v>
      </c>
      <c r="BA53" s="202"/>
      <c r="BB53" s="154" t="e">
        <f>#REF!</f>
        <v>#REF!</v>
      </c>
      <c r="BC53" s="137"/>
    </row>
    <row r="54" spans="1:55" ht="30" customHeight="1">
      <c r="A54" s="203" t="e">
        <f>#REF!</f>
        <v>#REF!</v>
      </c>
      <c r="B54" s="204" t="e">
        <f xml:space="preserve"> IF(#REF!=0, "",#REF!)</f>
        <v>#REF!</v>
      </c>
      <c r="C54" s="369" t="e">
        <f>#REF!</f>
        <v>#REF!</v>
      </c>
      <c r="D54" s="369"/>
      <c r="E54" s="291" t="e">
        <f>#REF!</f>
        <v>#REF!</v>
      </c>
      <c r="F54" s="148" t="e">
        <f>#REF!</f>
        <v>#REF!</v>
      </c>
      <c r="G54" s="205" t="e">
        <f xml:space="preserve"> IF(#REF!="", "",#REF!)</f>
        <v>#REF!</v>
      </c>
      <c r="H54" s="205" t="e">
        <f xml:space="preserve"> IF(#REF!="", "",#REF!)</f>
        <v>#REF!</v>
      </c>
      <c r="I54" s="205" t="e">
        <f xml:space="preserve"> IF(#REF!="", "",#REF!)</f>
        <v>#REF!</v>
      </c>
      <c r="J54" s="298" t="e">
        <f>#REF!</f>
        <v>#REF!</v>
      </c>
      <c r="K54" s="149" t="e">
        <f>#REF!</f>
        <v>#REF!</v>
      </c>
      <c r="L54" s="149" t="e">
        <f>#REF!</f>
        <v>#REF!</v>
      </c>
      <c r="M54" s="150" t="e">
        <f>#REF!</f>
        <v>#REF!</v>
      </c>
      <c r="N54" s="364"/>
      <c r="O54" s="202"/>
      <c r="P54" s="151" t="e">
        <f>#REF!</f>
        <v>#REF!</v>
      </c>
      <c r="Q54" s="202"/>
      <c r="R54" s="152" t="e">
        <f>#REF!</f>
        <v>#REF!</v>
      </c>
      <c r="S54" s="202"/>
      <c r="T54" s="153" t="e">
        <f>#REF!</f>
        <v>#REF!</v>
      </c>
      <c r="U54" s="202"/>
      <c r="V54" s="153" t="e">
        <f>#REF!</f>
        <v>#REF!</v>
      </c>
      <c r="W54" s="202"/>
      <c r="X54" s="153" t="e">
        <f>#REF!</f>
        <v>#REF!</v>
      </c>
      <c r="Y54" s="202"/>
      <c r="Z54" s="152" t="e">
        <f>#REF!</f>
        <v>#REF!</v>
      </c>
      <c r="AA54" s="202"/>
      <c r="AB54" s="153" t="e">
        <f>#REF!</f>
        <v>#REF!</v>
      </c>
      <c r="AC54" s="202"/>
      <c r="AD54" s="152" t="e">
        <f>#REF!</f>
        <v>#REF!</v>
      </c>
      <c r="AE54" s="202"/>
      <c r="AF54" s="153" t="e">
        <f>#REF!</f>
        <v>#REF!</v>
      </c>
      <c r="AG54" s="202"/>
      <c r="AH54" s="152" t="e">
        <f>#REF!</f>
        <v>#REF!</v>
      </c>
      <c r="AI54" s="202"/>
      <c r="AJ54" s="153" t="e">
        <f>#REF!</f>
        <v>#REF!</v>
      </c>
      <c r="AK54" s="202"/>
      <c r="AL54" s="152" t="e">
        <f>#REF!</f>
        <v>#REF!</v>
      </c>
      <c r="AM54" s="202"/>
      <c r="AN54" s="153" t="e">
        <f>#REF!</f>
        <v>#REF!</v>
      </c>
      <c r="AO54" s="202"/>
      <c r="AP54" s="152" t="e">
        <f>#REF!</f>
        <v>#REF!</v>
      </c>
      <c r="AQ54" s="202"/>
      <c r="AR54" s="154" t="e">
        <f>#REF!</f>
        <v>#REF!</v>
      </c>
      <c r="AS54" s="202"/>
      <c r="AT54" s="153" t="e">
        <f>#REF!</f>
        <v>#REF!</v>
      </c>
      <c r="AU54" s="202"/>
      <c r="AV54" s="152" t="e">
        <f>#REF!</f>
        <v>#REF!</v>
      </c>
      <c r="AW54" s="202"/>
      <c r="AX54" s="153" t="e">
        <f>#REF!</f>
        <v>#REF!</v>
      </c>
      <c r="AY54" s="202"/>
      <c r="AZ54" s="152" t="e">
        <f>#REF!</f>
        <v>#REF!</v>
      </c>
      <c r="BA54" s="202"/>
      <c r="BB54" s="154" t="e">
        <f>#REF!</f>
        <v>#REF!</v>
      </c>
      <c r="BC54" s="137"/>
    </row>
    <row r="55" spans="1:55" ht="30" customHeight="1">
      <c r="A55" s="203" t="e">
        <f>#REF!</f>
        <v>#REF!</v>
      </c>
      <c r="B55" s="204" t="e">
        <f xml:space="preserve"> IF(#REF!=0, "",#REF!)</f>
        <v>#REF!</v>
      </c>
      <c r="C55" s="369" t="e">
        <f>#REF!</f>
        <v>#REF!</v>
      </c>
      <c r="D55" s="369"/>
      <c r="E55" s="291" t="e">
        <f>#REF!</f>
        <v>#REF!</v>
      </c>
      <c r="F55" s="148" t="e">
        <f>#REF!</f>
        <v>#REF!</v>
      </c>
      <c r="G55" s="205" t="e">
        <f xml:space="preserve"> IF(#REF!="", "",#REF!)</f>
        <v>#REF!</v>
      </c>
      <c r="H55" s="205" t="e">
        <f xml:space="preserve"> IF(#REF!="", "",#REF!)</f>
        <v>#REF!</v>
      </c>
      <c r="I55" s="205" t="e">
        <f xml:space="preserve"> IF(#REF!="", "",#REF!)</f>
        <v>#REF!</v>
      </c>
      <c r="J55" s="298" t="e">
        <f>#REF!</f>
        <v>#REF!</v>
      </c>
      <c r="K55" s="149" t="e">
        <f>#REF!</f>
        <v>#REF!</v>
      </c>
      <c r="L55" s="149" t="e">
        <f>#REF!</f>
        <v>#REF!</v>
      </c>
      <c r="M55" s="150" t="e">
        <f>#REF!</f>
        <v>#REF!</v>
      </c>
      <c r="N55" s="364"/>
      <c r="O55" s="202"/>
      <c r="P55" s="151" t="e">
        <f>#REF!</f>
        <v>#REF!</v>
      </c>
      <c r="Q55" s="202"/>
      <c r="R55" s="152" t="e">
        <f>#REF!</f>
        <v>#REF!</v>
      </c>
      <c r="S55" s="202"/>
      <c r="T55" s="153" t="e">
        <f>#REF!</f>
        <v>#REF!</v>
      </c>
      <c r="U55" s="202"/>
      <c r="V55" s="153" t="e">
        <f>#REF!</f>
        <v>#REF!</v>
      </c>
      <c r="W55" s="202"/>
      <c r="X55" s="153" t="e">
        <f>#REF!</f>
        <v>#REF!</v>
      </c>
      <c r="Y55" s="202"/>
      <c r="Z55" s="152" t="e">
        <f>#REF!</f>
        <v>#REF!</v>
      </c>
      <c r="AA55" s="202"/>
      <c r="AB55" s="153" t="e">
        <f>#REF!</f>
        <v>#REF!</v>
      </c>
      <c r="AC55" s="202"/>
      <c r="AD55" s="152" t="e">
        <f>#REF!</f>
        <v>#REF!</v>
      </c>
      <c r="AE55" s="202"/>
      <c r="AF55" s="153" t="e">
        <f>#REF!</f>
        <v>#REF!</v>
      </c>
      <c r="AG55" s="202"/>
      <c r="AH55" s="152" t="e">
        <f>#REF!</f>
        <v>#REF!</v>
      </c>
      <c r="AI55" s="202"/>
      <c r="AJ55" s="153" t="e">
        <f>#REF!</f>
        <v>#REF!</v>
      </c>
      <c r="AK55" s="202"/>
      <c r="AL55" s="152" t="e">
        <f>#REF!</f>
        <v>#REF!</v>
      </c>
      <c r="AM55" s="202"/>
      <c r="AN55" s="153" t="e">
        <f>#REF!</f>
        <v>#REF!</v>
      </c>
      <c r="AO55" s="202"/>
      <c r="AP55" s="152" t="e">
        <f>#REF!</f>
        <v>#REF!</v>
      </c>
      <c r="AQ55" s="202"/>
      <c r="AR55" s="154" t="e">
        <f>#REF!</f>
        <v>#REF!</v>
      </c>
      <c r="AS55" s="202"/>
      <c r="AT55" s="153" t="e">
        <f>#REF!</f>
        <v>#REF!</v>
      </c>
      <c r="AU55" s="202"/>
      <c r="AV55" s="152" t="e">
        <f>#REF!</f>
        <v>#REF!</v>
      </c>
      <c r="AW55" s="202"/>
      <c r="AX55" s="153" t="e">
        <f>#REF!</f>
        <v>#REF!</v>
      </c>
      <c r="AY55" s="202"/>
      <c r="AZ55" s="152" t="e">
        <f>#REF!</f>
        <v>#REF!</v>
      </c>
      <c r="BA55" s="202"/>
      <c r="BB55" s="154" t="e">
        <f>#REF!</f>
        <v>#REF!</v>
      </c>
      <c r="BC55" s="137"/>
    </row>
    <row r="56" spans="1:55" ht="30" customHeight="1">
      <c r="A56" s="203" t="e">
        <f>#REF!</f>
        <v>#REF!</v>
      </c>
      <c r="B56" s="204" t="e">
        <f xml:space="preserve"> IF(#REF!=0, "",#REF!)</f>
        <v>#REF!</v>
      </c>
      <c r="C56" s="369" t="e">
        <f>#REF!</f>
        <v>#REF!</v>
      </c>
      <c r="D56" s="369"/>
      <c r="E56" s="291" t="e">
        <f>#REF!</f>
        <v>#REF!</v>
      </c>
      <c r="F56" s="148" t="e">
        <f>#REF!</f>
        <v>#REF!</v>
      </c>
      <c r="G56" s="205" t="e">
        <f xml:space="preserve"> IF(#REF!="", "",#REF!)</f>
        <v>#REF!</v>
      </c>
      <c r="H56" s="205" t="e">
        <f xml:space="preserve"> IF(#REF!="", "",#REF!)</f>
        <v>#REF!</v>
      </c>
      <c r="I56" s="205" t="e">
        <f xml:space="preserve"> IF(#REF!="", "",#REF!)</f>
        <v>#REF!</v>
      </c>
      <c r="J56" s="298" t="e">
        <f>#REF!</f>
        <v>#REF!</v>
      </c>
      <c r="K56" s="149" t="e">
        <f>#REF!</f>
        <v>#REF!</v>
      </c>
      <c r="L56" s="149" t="e">
        <f>#REF!</f>
        <v>#REF!</v>
      </c>
      <c r="M56" s="150" t="e">
        <f>#REF!</f>
        <v>#REF!</v>
      </c>
      <c r="N56" s="364"/>
      <c r="O56" s="202"/>
      <c r="P56" s="151" t="e">
        <f>#REF!</f>
        <v>#REF!</v>
      </c>
      <c r="Q56" s="202"/>
      <c r="R56" s="152" t="e">
        <f>#REF!</f>
        <v>#REF!</v>
      </c>
      <c r="S56" s="202"/>
      <c r="T56" s="153" t="e">
        <f>#REF!</f>
        <v>#REF!</v>
      </c>
      <c r="U56" s="202"/>
      <c r="V56" s="153" t="e">
        <f>#REF!</f>
        <v>#REF!</v>
      </c>
      <c r="W56" s="202"/>
      <c r="X56" s="153" t="e">
        <f>#REF!</f>
        <v>#REF!</v>
      </c>
      <c r="Y56" s="202"/>
      <c r="Z56" s="152" t="e">
        <f>#REF!</f>
        <v>#REF!</v>
      </c>
      <c r="AA56" s="202"/>
      <c r="AB56" s="153" t="e">
        <f>#REF!</f>
        <v>#REF!</v>
      </c>
      <c r="AC56" s="202"/>
      <c r="AD56" s="152" t="e">
        <f>#REF!</f>
        <v>#REF!</v>
      </c>
      <c r="AE56" s="202"/>
      <c r="AF56" s="153" t="e">
        <f>#REF!</f>
        <v>#REF!</v>
      </c>
      <c r="AG56" s="202"/>
      <c r="AH56" s="152" t="e">
        <f>#REF!</f>
        <v>#REF!</v>
      </c>
      <c r="AI56" s="202"/>
      <c r="AJ56" s="153" t="e">
        <f>#REF!</f>
        <v>#REF!</v>
      </c>
      <c r="AK56" s="202"/>
      <c r="AL56" s="152" t="e">
        <f>#REF!</f>
        <v>#REF!</v>
      </c>
      <c r="AM56" s="202"/>
      <c r="AN56" s="153" t="e">
        <f>#REF!</f>
        <v>#REF!</v>
      </c>
      <c r="AO56" s="202"/>
      <c r="AP56" s="152" t="e">
        <f>#REF!</f>
        <v>#REF!</v>
      </c>
      <c r="AQ56" s="202"/>
      <c r="AR56" s="154" t="e">
        <f>#REF!</f>
        <v>#REF!</v>
      </c>
      <c r="AS56" s="202"/>
      <c r="AT56" s="153" t="e">
        <f>#REF!</f>
        <v>#REF!</v>
      </c>
      <c r="AU56" s="202"/>
      <c r="AV56" s="152" t="e">
        <f>#REF!</f>
        <v>#REF!</v>
      </c>
      <c r="AW56" s="202"/>
      <c r="AX56" s="153" t="e">
        <f>#REF!</f>
        <v>#REF!</v>
      </c>
      <c r="AY56" s="202"/>
      <c r="AZ56" s="152" t="e">
        <f>#REF!</f>
        <v>#REF!</v>
      </c>
      <c r="BA56" s="202"/>
      <c r="BB56" s="154" t="e">
        <f>#REF!</f>
        <v>#REF!</v>
      </c>
      <c r="BC56" s="137"/>
    </row>
    <row r="57" spans="1:55" ht="30" customHeight="1">
      <c r="A57" s="203" t="e">
        <f>#REF!</f>
        <v>#REF!</v>
      </c>
      <c r="B57" s="204" t="e">
        <f xml:space="preserve"> IF(#REF!=0, "",#REF!)</f>
        <v>#REF!</v>
      </c>
      <c r="C57" s="369" t="e">
        <f>#REF!</f>
        <v>#REF!</v>
      </c>
      <c r="D57" s="369"/>
      <c r="E57" s="291" t="e">
        <f>#REF!</f>
        <v>#REF!</v>
      </c>
      <c r="F57" s="148" t="e">
        <f>#REF!</f>
        <v>#REF!</v>
      </c>
      <c r="G57" s="205" t="e">
        <f xml:space="preserve"> IF(#REF!="", "",#REF!)</f>
        <v>#REF!</v>
      </c>
      <c r="H57" s="205" t="e">
        <f xml:space="preserve"> IF(#REF!="", "",#REF!)</f>
        <v>#REF!</v>
      </c>
      <c r="I57" s="205" t="e">
        <f xml:space="preserve"> IF(#REF!="", "",#REF!)</f>
        <v>#REF!</v>
      </c>
      <c r="J57" s="298" t="e">
        <f>#REF!</f>
        <v>#REF!</v>
      </c>
      <c r="K57" s="149" t="e">
        <f>#REF!</f>
        <v>#REF!</v>
      </c>
      <c r="L57" s="149" t="e">
        <f>#REF!</f>
        <v>#REF!</v>
      </c>
      <c r="M57" s="150" t="e">
        <f>#REF!</f>
        <v>#REF!</v>
      </c>
      <c r="N57" s="364"/>
      <c r="O57" s="202"/>
      <c r="P57" s="151" t="e">
        <f>#REF!</f>
        <v>#REF!</v>
      </c>
      <c r="Q57" s="202"/>
      <c r="R57" s="152" t="e">
        <f>#REF!</f>
        <v>#REF!</v>
      </c>
      <c r="S57" s="202"/>
      <c r="T57" s="153" t="e">
        <f>#REF!</f>
        <v>#REF!</v>
      </c>
      <c r="U57" s="202"/>
      <c r="V57" s="153" t="e">
        <f>#REF!</f>
        <v>#REF!</v>
      </c>
      <c r="W57" s="202"/>
      <c r="X57" s="153" t="e">
        <f>#REF!</f>
        <v>#REF!</v>
      </c>
      <c r="Y57" s="202"/>
      <c r="Z57" s="152" t="e">
        <f>#REF!</f>
        <v>#REF!</v>
      </c>
      <c r="AA57" s="202"/>
      <c r="AB57" s="153" t="e">
        <f>#REF!</f>
        <v>#REF!</v>
      </c>
      <c r="AC57" s="202"/>
      <c r="AD57" s="152" t="e">
        <f>#REF!</f>
        <v>#REF!</v>
      </c>
      <c r="AE57" s="202"/>
      <c r="AF57" s="153" t="e">
        <f>#REF!</f>
        <v>#REF!</v>
      </c>
      <c r="AG57" s="202"/>
      <c r="AH57" s="152" t="e">
        <f>#REF!</f>
        <v>#REF!</v>
      </c>
      <c r="AI57" s="202"/>
      <c r="AJ57" s="153" t="e">
        <f>#REF!</f>
        <v>#REF!</v>
      </c>
      <c r="AK57" s="202"/>
      <c r="AL57" s="152" t="e">
        <f>#REF!</f>
        <v>#REF!</v>
      </c>
      <c r="AM57" s="202"/>
      <c r="AN57" s="153" t="e">
        <f>#REF!</f>
        <v>#REF!</v>
      </c>
      <c r="AO57" s="202"/>
      <c r="AP57" s="152" t="e">
        <f>#REF!</f>
        <v>#REF!</v>
      </c>
      <c r="AQ57" s="202"/>
      <c r="AR57" s="154" t="e">
        <f>#REF!</f>
        <v>#REF!</v>
      </c>
      <c r="AS57" s="202"/>
      <c r="AT57" s="153" t="e">
        <f>#REF!</f>
        <v>#REF!</v>
      </c>
      <c r="AU57" s="202"/>
      <c r="AV57" s="152" t="e">
        <f>#REF!</f>
        <v>#REF!</v>
      </c>
      <c r="AW57" s="202"/>
      <c r="AX57" s="153" t="e">
        <f>#REF!</f>
        <v>#REF!</v>
      </c>
      <c r="AY57" s="202"/>
      <c r="AZ57" s="152" t="e">
        <f>#REF!</f>
        <v>#REF!</v>
      </c>
      <c r="BA57" s="202"/>
      <c r="BB57" s="154" t="e">
        <f>#REF!</f>
        <v>#REF!</v>
      </c>
      <c r="BC57" s="137"/>
    </row>
    <row r="58" spans="1:55" ht="30" customHeight="1">
      <c r="A58" s="203" t="e">
        <f>#REF!</f>
        <v>#REF!</v>
      </c>
      <c r="B58" s="204" t="e">
        <f xml:space="preserve"> IF(#REF!=0, "",#REF!)</f>
        <v>#REF!</v>
      </c>
      <c r="C58" s="369" t="e">
        <f>#REF!</f>
        <v>#REF!</v>
      </c>
      <c r="D58" s="369"/>
      <c r="E58" s="291" t="e">
        <f>#REF!</f>
        <v>#REF!</v>
      </c>
      <c r="F58" s="148" t="e">
        <f>#REF!</f>
        <v>#REF!</v>
      </c>
      <c r="G58" s="205" t="e">
        <f xml:space="preserve"> IF(#REF!="", "",#REF!)</f>
        <v>#REF!</v>
      </c>
      <c r="H58" s="205" t="e">
        <f xml:space="preserve"> IF(#REF!="", "",#REF!)</f>
        <v>#REF!</v>
      </c>
      <c r="I58" s="205" t="e">
        <f xml:space="preserve"> IF(#REF!="", "",#REF!)</f>
        <v>#REF!</v>
      </c>
      <c r="J58" s="298" t="e">
        <f>#REF!</f>
        <v>#REF!</v>
      </c>
      <c r="K58" s="149" t="e">
        <f>#REF!</f>
        <v>#REF!</v>
      </c>
      <c r="L58" s="149" t="e">
        <f>#REF!</f>
        <v>#REF!</v>
      </c>
      <c r="M58" s="150" t="e">
        <f>#REF!</f>
        <v>#REF!</v>
      </c>
      <c r="N58" s="364"/>
      <c r="O58" s="202"/>
      <c r="P58" s="151" t="e">
        <f>#REF!</f>
        <v>#REF!</v>
      </c>
      <c r="Q58" s="202"/>
      <c r="R58" s="152" t="e">
        <f>#REF!</f>
        <v>#REF!</v>
      </c>
      <c r="S58" s="202"/>
      <c r="T58" s="153" t="e">
        <f>#REF!</f>
        <v>#REF!</v>
      </c>
      <c r="U58" s="202"/>
      <c r="V58" s="153" t="e">
        <f>#REF!</f>
        <v>#REF!</v>
      </c>
      <c r="W58" s="202"/>
      <c r="X58" s="153" t="e">
        <f>#REF!</f>
        <v>#REF!</v>
      </c>
      <c r="Y58" s="202"/>
      <c r="Z58" s="152" t="e">
        <f>#REF!</f>
        <v>#REF!</v>
      </c>
      <c r="AA58" s="202"/>
      <c r="AB58" s="153" t="e">
        <f>#REF!</f>
        <v>#REF!</v>
      </c>
      <c r="AC58" s="202"/>
      <c r="AD58" s="152" t="e">
        <f>#REF!</f>
        <v>#REF!</v>
      </c>
      <c r="AE58" s="202"/>
      <c r="AF58" s="153" t="e">
        <f>#REF!</f>
        <v>#REF!</v>
      </c>
      <c r="AG58" s="202"/>
      <c r="AH58" s="152" t="e">
        <f>#REF!</f>
        <v>#REF!</v>
      </c>
      <c r="AI58" s="202"/>
      <c r="AJ58" s="153" t="e">
        <f>#REF!</f>
        <v>#REF!</v>
      </c>
      <c r="AK58" s="202"/>
      <c r="AL58" s="152" t="e">
        <f>#REF!</f>
        <v>#REF!</v>
      </c>
      <c r="AM58" s="202"/>
      <c r="AN58" s="153" t="e">
        <f>#REF!</f>
        <v>#REF!</v>
      </c>
      <c r="AO58" s="202"/>
      <c r="AP58" s="152" t="e">
        <f>#REF!</f>
        <v>#REF!</v>
      </c>
      <c r="AQ58" s="202"/>
      <c r="AR58" s="154" t="e">
        <f>#REF!</f>
        <v>#REF!</v>
      </c>
      <c r="AS58" s="202"/>
      <c r="AT58" s="153" t="e">
        <f>#REF!</f>
        <v>#REF!</v>
      </c>
      <c r="AU58" s="202"/>
      <c r="AV58" s="152" t="e">
        <f>#REF!</f>
        <v>#REF!</v>
      </c>
      <c r="AW58" s="202"/>
      <c r="AX58" s="153" t="e">
        <f>#REF!</f>
        <v>#REF!</v>
      </c>
      <c r="AY58" s="202"/>
      <c r="AZ58" s="152" t="e">
        <f>#REF!</f>
        <v>#REF!</v>
      </c>
      <c r="BA58" s="202"/>
      <c r="BB58" s="154" t="e">
        <f>#REF!</f>
        <v>#REF!</v>
      </c>
      <c r="BC58" s="137"/>
    </row>
    <row r="59" spans="1:55" ht="30" customHeight="1">
      <c r="A59" s="203" t="e">
        <f>#REF!</f>
        <v>#REF!</v>
      </c>
      <c r="B59" s="204" t="e">
        <f xml:space="preserve"> IF(#REF!=0, "",#REF!)</f>
        <v>#REF!</v>
      </c>
      <c r="C59" s="369" t="e">
        <f>#REF!</f>
        <v>#REF!</v>
      </c>
      <c r="D59" s="369"/>
      <c r="E59" s="291" t="e">
        <f>#REF!</f>
        <v>#REF!</v>
      </c>
      <c r="F59" s="148" t="e">
        <f>#REF!</f>
        <v>#REF!</v>
      </c>
      <c r="G59" s="205" t="e">
        <f xml:space="preserve"> IF(#REF!="", "",#REF!)</f>
        <v>#REF!</v>
      </c>
      <c r="H59" s="205" t="e">
        <f xml:space="preserve"> IF(#REF!="", "",#REF!)</f>
        <v>#REF!</v>
      </c>
      <c r="I59" s="205" t="e">
        <f xml:space="preserve"> IF(#REF!="", "",#REF!)</f>
        <v>#REF!</v>
      </c>
      <c r="J59" s="298" t="e">
        <f>#REF!</f>
        <v>#REF!</v>
      </c>
      <c r="K59" s="149" t="e">
        <f>#REF!</f>
        <v>#REF!</v>
      </c>
      <c r="L59" s="149" t="e">
        <f>#REF!</f>
        <v>#REF!</v>
      </c>
      <c r="M59" s="150" t="e">
        <f>#REF!</f>
        <v>#REF!</v>
      </c>
      <c r="N59" s="364"/>
      <c r="O59" s="202"/>
      <c r="P59" s="151" t="e">
        <f>#REF!</f>
        <v>#REF!</v>
      </c>
      <c r="Q59" s="202"/>
      <c r="R59" s="152" t="e">
        <f>#REF!</f>
        <v>#REF!</v>
      </c>
      <c r="S59" s="202"/>
      <c r="T59" s="153" t="e">
        <f>#REF!</f>
        <v>#REF!</v>
      </c>
      <c r="U59" s="202"/>
      <c r="V59" s="153" t="e">
        <f>#REF!</f>
        <v>#REF!</v>
      </c>
      <c r="W59" s="202"/>
      <c r="X59" s="153" t="e">
        <f>#REF!</f>
        <v>#REF!</v>
      </c>
      <c r="Y59" s="202"/>
      <c r="Z59" s="152" t="e">
        <f>#REF!</f>
        <v>#REF!</v>
      </c>
      <c r="AA59" s="202"/>
      <c r="AB59" s="153" t="e">
        <f>#REF!</f>
        <v>#REF!</v>
      </c>
      <c r="AC59" s="202"/>
      <c r="AD59" s="152" t="e">
        <f>#REF!</f>
        <v>#REF!</v>
      </c>
      <c r="AE59" s="202"/>
      <c r="AF59" s="153" t="e">
        <f>#REF!</f>
        <v>#REF!</v>
      </c>
      <c r="AG59" s="202"/>
      <c r="AH59" s="152" t="e">
        <f>#REF!</f>
        <v>#REF!</v>
      </c>
      <c r="AI59" s="202"/>
      <c r="AJ59" s="153" t="e">
        <f>#REF!</f>
        <v>#REF!</v>
      </c>
      <c r="AK59" s="202"/>
      <c r="AL59" s="152" t="e">
        <f>#REF!</f>
        <v>#REF!</v>
      </c>
      <c r="AM59" s="202"/>
      <c r="AN59" s="153" t="e">
        <f>#REF!</f>
        <v>#REF!</v>
      </c>
      <c r="AO59" s="202"/>
      <c r="AP59" s="152" t="e">
        <f>#REF!</f>
        <v>#REF!</v>
      </c>
      <c r="AQ59" s="202"/>
      <c r="AR59" s="154" t="e">
        <f>#REF!</f>
        <v>#REF!</v>
      </c>
      <c r="AS59" s="202"/>
      <c r="AT59" s="153" t="e">
        <f>#REF!</f>
        <v>#REF!</v>
      </c>
      <c r="AU59" s="202"/>
      <c r="AV59" s="152" t="e">
        <f>#REF!</f>
        <v>#REF!</v>
      </c>
      <c r="AW59" s="202"/>
      <c r="AX59" s="153" t="e">
        <f>#REF!</f>
        <v>#REF!</v>
      </c>
      <c r="AY59" s="202"/>
      <c r="AZ59" s="152" t="e">
        <f>#REF!</f>
        <v>#REF!</v>
      </c>
      <c r="BA59" s="202"/>
      <c r="BB59" s="154" t="e">
        <f>#REF!</f>
        <v>#REF!</v>
      </c>
      <c r="BC59" s="137"/>
    </row>
    <row r="60" spans="1:55" ht="30" customHeight="1">
      <c r="A60" s="203" t="e">
        <f>#REF!</f>
        <v>#REF!</v>
      </c>
      <c r="B60" s="204" t="e">
        <f xml:space="preserve"> IF(#REF!=0, "",#REF!)</f>
        <v>#REF!</v>
      </c>
      <c r="C60" s="369" t="e">
        <f>#REF!</f>
        <v>#REF!</v>
      </c>
      <c r="D60" s="369"/>
      <c r="E60" s="291" t="e">
        <f>#REF!</f>
        <v>#REF!</v>
      </c>
      <c r="F60" s="148" t="e">
        <f>#REF!</f>
        <v>#REF!</v>
      </c>
      <c r="G60" s="205" t="e">
        <f xml:space="preserve"> IF(#REF!="", "",#REF!)</f>
        <v>#REF!</v>
      </c>
      <c r="H60" s="205" t="e">
        <f xml:space="preserve"> IF(#REF!="", "",#REF!)</f>
        <v>#REF!</v>
      </c>
      <c r="I60" s="205" t="e">
        <f xml:space="preserve"> IF(#REF!="", "",#REF!)</f>
        <v>#REF!</v>
      </c>
      <c r="J60" s="298" t="e">
        <f>#REF!</f>
        <v>#REF!</v>
      </c>
      <c r="K60" s="149" t="e">
        <f>#REF!</f>
        <v>#REF!</v>
      </c>
      <c r="L60" s="149" t="e">
        <f>#REF!</f>
        <v>#REF!</v>
      </c>
      <c r="M60" s="150" t="e">
        <f>#REF!</f>
        <v>#REF!</v>
      </c>
      <c r="N60" s="364"/>
      <c r="O60" s="202"/>
      <c r="P60" s="151" t="e">
        <f>#REF!</f>
        <v>#REF!</v>
      </c>
      <c r="Q60" s="202"/>
      <c r="R60" s="152" t="e">
        <f>#REF!</f>
        <v>#REF!</v>
      </c>
      <c r="S60" s="202"/>
      <c r="T60" s="153" t="e">
        <f>#REF!</f>
        <v>#REF!</v>
      </c>
      <c r="U60" s="202"/>
      <c r="V60" s="153" t="e">
        <f>#REF!</f>
        <v>#REF!</v>
      </c>
      <c r="W60" s="202"/>
      <c r="X60" s="153" t="e">
        <f>#REF!</f>
        <v>#REF!</v>
      </c>
      <c r="Y60" s="202"/>
      <c r="Z60" s="152" t="e">
        <f>#REF!</f>
        <v>#REF!</v>
      </c>
      <c r="AA60" s="202"/>
      <c r="AB60" s="153" t="e">
        <f>#REF!</f>
        <v>#REF!</v>
      </c>
      <c r="AC60" s="202"/>
      <c r="AD60" s="152" t="e">
        <f>#REF!</f>
        <v>#REF!</v>
      </c>
      <c r="AE60" s="202"/>
      <c r="AF60" s="153" t="e">
        <f>#REF!</f>
        <v>#REF!</v>
      </c>
      <c r="AG60" s="202"/>
      <c r="AH60" s="152" t="e">
        <f>#REF!</f>
        <v>#REF!</v>
      </c>
      <c r="AI60" s="202"/>
      <c r="AJ60" s="153" t="e">
        <f>#REF!</f>
        <v>#REF!</v>
      </c>
      <c r="AK60" s="202"/>
      <c r="AL60" s="152" t="e">
        <f>#REF!</f>
        <v>#REF!</v>
      </c>
      <c r="AM60" s="202"/>
      <c r="AN60" s="153" t="e">
        <f>#REF!</f>
        <v>#REF!</v>
      </c>
      <c r="AO60" s="202"/>
      <c r="AP60" s="152" t="e">
        <f>#REF!</f>
        <v>#REF!</v>
      </c>
      <c r="AQ60" s="202"/>
      <c r="AR60" s="154" t="e">
        <f>#REF!</f>
        <v>#REF!</v>
      </c>
      <c r="AS60" s="202"/>
      <c r="AT60" s="153" t="e">
        <f>#REF!</f>
        <v>#REF!</v>
      </c>
      <c r="AU60" s="202"/>
      <c r="AV60" s="152" t="e">
        <f>#REF!</f>
        <v>#REF!</v>
      </c>
      <c r="AW60" s="202"/>
      <c r="AX60" s="153" t="e">
        <f>#REF!</f>
        <v>#REF!</v>
      </c>
      <c r="AY60" s="202"/>
      <c r="AZ60" s="152" t="e">
        <f>#REF!</f>
        <v>#REF!</v>
      </c>
      <c r="BA60" s="202"/>
      <c r="BB60" s="154" t="e">
        <f>#REF!</f>
        <v>#REF!</v>
      </c>
      <c r="BC60" s="137"/>
    </row>
    <row r="61" spans="1:55" ht="30" customHeight="1">
      <c r="A61" s="203" t="e">
        <f>#REF!</f>
        <v>#REF!</v>
      </c>
      <c r="B61" s="204" t="e">
        <f xml:space="preserve"> IF(#REF!=0, "",#REF!)</f>
        <v>#REF!</v>
      </c>
      <c r="C61" s="369" t="e">
        <f>#REF!</f>
        <v>#REF!</v>
      </c>
      <c r="D61" s="369"/>
      <c r="E61" s="291" t="e">
        <f>#REF!</f>
        <v>#REF!</v>
      </c>
      <c r="F61" s="148" t="e">
        <f>#REF!</f>
        <v>#REF!</v>
      </c>
      <c r="G61" s="205" t="e">
        <f xml:space="preserve"> IF(#REF!="", "",#REF!)</f>
        <v>#REF!</v>
      </c>
      <c r="H61" s="205" t="e">
        <f xml:space="preserve"> IF(#REF!="", "",#REF!)</f>
        <v>#REF!</v>
      </c>
      <c r="I61" s="205" t="e">
        <f xml:space="preserve"> IF(#REF!="", "",#REF!)</f>
        <v>#REF!</v>
      </c>
      <c r="J61" s="298" t="e">
        <f>#REF!</f>
        <v>#REF!</v>
      </c>
      <c r="K61" s="149" t="e">
        <f>#REF!</f>
        <v>#REF!</v>
      </c>
      <c r="L61" s="149" t="e">
        <f>#REF!</f>
        <v>#REF!</v>
      </c>
      <c r="M61" s="150" t="e">
        <f>#REF!</f>
        <v>#REF!</v>
      </c>
      <c r="N61" s="364"/>
      <c r="O61" s="202"/>
      <c r="P61" s="151" t="e">
        <f>#REF!</f>
        <v>#REF!</v>
      </c>
      <c r="Q61" s="202"/>
      <c r="R61" s="152" t="e">
        <f>#REF!</f>
        <v>#REF!</v>
      </c>
      <c r="S61" s="202"/>
      <c r="T61" s="153" t="e">
        <f>#REF!</f>
        <v>#REF!</v>
      </c>
      <c r="U61" s="202"/>
      <c r="V61" s="153" t="e">
        <f>#REF!</f>
        <v>#REF!</v>
      </c>
      <c r="W61" s="202"/>
      <c r="X61" s="153" t="e">
        <f>#REF!</f>
        <v>#REF!</v>
      </c>
      <c r="Y61" s="202"/>
      <c r="Z61" s="152" t="e">
        <f>#REF!</f>
        <v>#REF!</v>
      </c>
      <c r="AA61" s="202"/>
      <c r="AB61" s="153" t="e">
        <f>#REF!</f>
        <v>#REF!</v>
      </c>
      <c r="AC61" s="202"/>
      <c r="AD61" s="152" t="e">
        <f>#REF!</f>
        <v>#REF!</v>
      </c>
      <c r="AE61" s="202"/>
      <c r="AF61" s="153" t="e">
        <f>#REF!</f>
        <v>#REF!</v>
      </c>
      <c r="AG61" s="202"/>
      <c r="AH61" s="152" t="e">
        <f>#REF!</f>
        <v>#REF!</v>
      </c>
      <c r="AI61" s="202"/>
      <c r="AJ61" s="153" t="e">
        <f>#REF!</f>
        <v>#REF!</v>
      </c>
      <c r="AK61" s="202"/>
      <c r="AL61" s="152" t="e">
        <f>#REF!</f>
        <v>#REF!</v>
      </c>
      <c r="AM61" s="202"/>
      <c r="AN61" s="153" t="e">
        <f>#REF!</f>
        <v>#REF!</v>
      </c>
      <c r="AO61" s="202"/>
      <c r="AP61" s="152" t="e">
        <f>#REF!</f>
        <v>#REF!</v>
      </c>
      <c r="AQ61" s="202"/>
      <c r="AR61" s="154" t="e">
        <f>#REF!</f>
        <v>#REF!</v>
      </c>
      <c r="AS61" s="202"/>
      <c r="AT61" s="153" t="e">
        <f>#REF!</f>
        <v>#REF!</v>
      </c>
      <c r="AU61" s="202"/>
      <c r="AV61" s="152" t="e">
        <f>#REF!</f>
        <v>#REF!</v>
      </c>
      <c r="AW61" s="202"/>
      <c r="AX61" s="153" t="e">
        <f>#REF!</f>
        <v>#REF!</v>
      </c>
      <c r="AY61" s="202"/>
      <c r="AZ61" s="152" t="e">
        <f>#REF!</f>
        <v>#REF!</v>
      </c>
      <c r="BA61" s="202"/>
      <c r="BB61" s="154" t="e">
        <f>#REF!</f>
        <v>#REF!</v>
      </c>
      <c r="BC61" s="137"/>
    </row>
    <row r="62" spans="1:55" ht="30" customHeight="1">
      <c r="A62" s="203" t="e">
        <f>#REF!</f>
        <v>#REF!</v>
      </c>
      <c r="B62" s="204" t="e">
        <f xml:space="preserve"> IF(#REF!=0, "",#REF!)</f>
        <v>#REF!</v>
      </c>
      <c r="C62" s="369" t="e">
        <f>#REF!</f>
        <v>#REF!</v>
      </c>
      <c r="D62" s="369"/>
      <c r="E62" s="291" t="e">
        <f>#REF!</f>
        <v>#REF!</v>
      </c>
      <c r="F62" s="148" t="e">
        <f>#REF!</f>
        <v>#REF!</v>
      </c>
      <c r="G62" s="205" t="e">
        <f xml:space="preserve"> IF(#REF!="", "",#REF!)</f>
        <v>#REF!</v>
      </c>
      <c r="H62" s="205" t="e">
        <f xml:space="preserve"> IF(#REF!="", "",#REF!)</f>
        <v>#REF!</v>
      </c>
      <c r="I62" s="205" t="e">
        <f xml:space="preserve"> IF(#REF!="", "",#REF!)</f>
        <v>#REF!</v>
      </c>
      <c r="J62" s="298" t="e">
        <f>#REF!</f>
        <v>#REF!</v>
      </c>
      <c r="K62" s="149" t="e">
        <f>#REF!</f>
        <v>#REF!</v>
      </c>
      <c r="L62" s="149" t="e">
        <f>#REF!</f>
        <v>#REF!</v>
      </c>
      <c r="M62" s="150" t="e">
        <f>#REF!</f>
        <v>#REF!</v>
      </c>
      <c r="N62" s="364"/>
      <c r="O62" s="202"/>
      <c r="P62" s="151" t="e">
        <f>#REF!</f>
        <v>#REF!</v>
      </c>
      <c r="Q62" s="202"/>
      <c r="R62" s="152" t="e">
        <f>#REF!</f>
        <v>#REF!</v>
      </c>
      <c r="S62" s="202"/>
      <c r="T62" s="153" t="e">
        <f>#REF!</f>
        <v>#REF!</v>
      </c>
      <c r="U62" s="202"/>
      <c r="V62" s="153" t="e">
        <f>#REF!</f>
        <v>#REF!</v>
      </c>
      <c r="W62" s="202"/>
      <c r="X62" s="153" t="e">
        <f>#REF!</f>
        <v>#REF!</v>
      </c>
      <c r="Y62" s="202"/>
      <c r="Z62" s="152" t="e">
        <f>#REF!</f>
        <v>#REF!</v>
      </c>
      <c r="AA62" s="202"/>
      <c r="AB62" s="153" t="e">
        <f>#REF!</f>
        <v>#REF!</v>
      </c>
      <c r="AC62" s="202"/>
      <c r="AD62" s="152" t="e">
        <f>#REF!</f>
        <v>#REF!</v>
      </c>
      <c r="AE62" s="202"/>
      <c r="AF62" s="153" t="e">
        <f>#REF!</f>
        <v>#REF!</v>
      </c>
      <c r="AG62" s="202"/>
      <c r="AH62" s="152" t="e">
        <f>#REF!</f>
        <v>#REF!</v>
      </c>
      <c r="AI62" s="202"/>
      <c r="AJ62" s="153" t="e">
        <f>#REF!</f>
        <v>#REF!</v>
      </c>
      <c r="AK62" s="202"/>
      <c r="AL62" s="152" t="e">
        <f>#REF!</f>
        <v>#REF!</v>
      </c>
      <c r="AM62" s="202"/>
      <c r="AN62" s="153" t="e">
        <f>#REF!</f>
        <v>#REF!</v>
      </c>
      <c r="AO62" s="202"/>
      <c r="AP62" s="152" t="e">
        <f>#REF!</f>
        <v>#REF!</v>
      </c>
      <c r="AQ62" s="202"/>
      <c r="AR62" s="154" t="e">
        <f>#REF!</f>
        <v>#REF!</v>
      </c>
      <c r="AS62" s="202"/>
      <c r="AT62" s="153" t="e">
        <f>#REF!</f>
        <v>#REF!</v>
      </c>
      <c r="AU62" s="202"/>
      <c r="AV62" s="152" t="e">
        <f>#REF!</f>
        <v>#REF!</v>
      </c>
      <c r="AW62" s="202"/>
      <c r="AX62" s="153" t="e">
        <f>#REF!</f>
        <v>#REF!</v>
      </c>
      <c r="AY62" s="202"/>
      <c r="AZ62" s="152" t="e">
        <f>#REF!</f>
        <v>#REF!</v>
      </c>
      <c r="BA62" s="202"/>
      <c r="BB62" s="154" t="e">
        <f>#REF!</f>
        <v>#REF!</v>
      </c>
      <c r="BC62" s="137"/>
    </row>
    <row r="63" spans="1:55" ht="30" customHeight="1">
      <c r="A63" s="203" t="e">
        <f>#REF!</f>
        <v>#REF!</v>
      </c>
      <c r="B63" s="204" t="e">
        <f xml:space="preserve"> IF(#REF!=0, "",#REF!)</f>
        <v>#REF!</v>
      </c>
      <c r="C63" s="369" t="e">
        <f>#REF!</f>
        <v>#REF!</v>
      </c>
      <c r="D63" s="369"/>
      <c r="E63" s="291" t="e">
        <f>#REF!</f>
        <v>#REF!</v>
      </c>
      <c r="F63" s="148" t="e">
        <f>#REF!</f>
        <v>#REF!</v>
      </c>
      <c r="G63" s="205" t="e">
        <f xml:space="preserve"> IF(#REF!="", "",#REF!)</f>
        <v>#REF!</v>
      </c>
      <c r="H63" s="205" t="e">
        <f xml:space="preserve"> IF(#REF!="", "",#REF!)</f>
        <v>#REF!</v>
      </c>
      <c r="I63" s="205" t="e">
        <f xml:space="preserve"> IF(#REF!="", "",#REF!)</f>
        <v>#REF!</v>
      </c>
      <c r="J63" s="298" t="e">
        <f>#REF!</f>
        <v>#REF!</v>
      </c>
      <c r="K63" s="149" t="e">
        <f>#REF!</f>
        <v>#REF!</v>
      </c>
      <c r="L63" s="149" t="e">
        <f>#REF!</f>
        <v>#REF!</v>
      </c>
      <c r="M63" s="150" t="e">
        <f>#REF!</f>
        <v>#REF!</v>
      </c>
      <c r="N63" s="364"/>
      <c r="O63" s="202"/>
      <c r="P63" s="151" t="e">
        <f>#REF!</f>
        <v>#REF!</v>
      </c>
      <c r="Q63" s="202"/>
      <c r="R63" s="152" t="e">
        <f>#REF!</f>
        <v>#REF!</v>
      </c>
      <c r="S63" s="202"/>
      <c r="T63" s="153" t="e">
        <f>#REF!</f>
        <v>#REF!</v>
      </c>
      <c r="U63" s="202"/>
      <c r="V63" s="153" t="e">
        <f>#REF!</f>
        <v>#REF!</v>
      </c>
      <c r="W63" s="202"/>
      <c r="X63" s="153" t="e">
        <f>#REF!</f>
        <v>#REF!</v>
      </c>
      <c r="Y63" s="202"/>
      <c r="Z63" s="152" t="e">
        <f>#REF!</f>
        <v>#REF!</v>
      </c>
      <c r="AA63" s="202"/>
      <c r="AB63" s="153" t="e">
        <f>#REF!</f>
        <v>#REF!</v>
      </c>
      <c r="AC63" s="202"/>
      <c r="AD63" s="152" t="e">
        <f>#REF!</f>
        <v>#REF!</v>
      </c>
      <c r="AE63" s="202"/>
      <c r="AF63" s="153" t="e">
        <f>#REF!</f>
        <v>#REF!</v>
      </c>
      <c r="AG63" s="202"/>
      <c r="AH63" s="152" t="e">
        <f>#REF!</f>
        <v>#REF!</v>
      </c>
      <c r="AI63" s="202"/>
      <c r="AJ63" s="153" t="e">
        <f>#REF!</f>
        <v>#REF!</v>
      </c>
      <c r="AK63" s="202"/>
      <c r="AL63" s="152" t="e">
        <f>#REF!</f>
        <v>#REF!</v>
      </c>
      <c r="AM63" s="202"/>
      <c r="AN63" s="153" t="e">
        <f>#REF!</f>
        <v>#REF!</v>
      </c>
      <c r="AO63" s="202"/>
      <c r="AP63" s="152" t="e">
        <f>#REF!</f>
        <v>#REF!</v>
      </c>
      <c r="AQ63" s="202"/>
      <c r="AR63" s="154" t="e">
        <f>#REF!</f>
        <v>#REF!</v>
      </c>
      <c r="AS63" s="202"/>
      <c r="AT63" s="153" t="e">
        <f>#REF!</f>
        <v>#REF!</v>
      </c>
      <c r="AU63" s="202"/>
      <c r="AV63" s="152" t="e">
        <f>#REF!</f>
        <v>#REF!</v>
      </c>
      <c r="AW63" s="202"/>
      <c r="AX63" s="153" t="e">
        <f>#REF!</f>
        <v>#REF!</v>
      </c>
      <c r="AY63" s="202"/>
      <c r="AZ63" s="152" t="e">
        <f>#REF!</f>
        <v>#REF!</v>
      </c>
      <c r="BA63" s="202"/>
      <c r="BB63" s="154" t="e">
        <f>#REF!</f>
        <v>#REF!</v>
      </c>
      <c r="BC63" s="137"/>
    </row>
    <row r="64" spans="1:55" ht="30" customHeight="1">
      <c r="A64" s="203" t="e">
        <f>#REF!</f>
        <v>#REF!</v>
      </c>
      <c r="B64" s="204" t="e">
        <f xml:space="preserve"> IF(#REF!=0, "",#REF!)</f>
        <v>#REF!</v>
      </c>
      <c r="C64" s="369" t="e">
        <f>#REF!</f>
        <v>#REF!</v>
      </c>
      <c r="D64" s="369"/>
      <c r="E64" s="291" t="e">
        <f>#REF!</f>
        <v>#REF!</v>
      </c>
      <c r="F64" s="148" t="e">
        <f>#REF!</f>
        <v>#REF!</v>
      </c>
      <c r="G64" s="205" t="e">
        <f xml:space="preserve"> IF(#REF!="", "",#REF!)</f>
        <v>#REF!</v>
      </c>
      <c r="H64" s="205" t="e">
        <f xml:space="preserve"> IF(#REF!="", "",#REF!)</f>
        <v>#REF!</v>
      </c>
      <c r="I64" s="205" t="e">
        <f xml:space="preserve"> IF(#REF!="", "",#REF!)</f>
        <v>#REF!</v>
      </c>
      <c r="J64" s="298" t="e">
        <f>#REF!</f>
        <v>#REF!</v>
      </c>
      <c r="K64" s="149" t="e">
        <f>#REF!</f>
        <v>#REF!</v>
      </c>
      <c r="L64" s="149" t="e">
        <f>#REF!</f>
        <v>#REF!</v>
      </c>
      <c r="M64" s="150" t="e">
        <f>#REF!</f>
        <v>#REF!</v>
      </c>
      <c r="N64" s="364"/>
      <c r="O64" s="202"/>
      <c r="P64" s="151" t="e">
        <f>#REF!</f>
        <v>#REF!</v>
      </c>
      <c r="Q64" s="202"/>
      <c r="R64" s="152" t="e">
        <f>#REF!</f>
        <v>#REF!</v>
      </c>
      <c r="S64" s="202"/>
      <c r="T64" s="153" t="e">
        <f>#REF!</f>
        <v>#REF!</v>
      </c>
      <c r="U64" s="202"/>
      <c r="V64" s="153" t="e">
        <f>#REF!</f>
        <v>#REF!</v>
      </c>
      <c r="W64" s="202"/>
      <c r="X64" s="153" t="e">
        <f>#REF!</f>
        <v>#REF!</v>
      </c>
      <c r="Y64" s="202"/>
      <c r="Z64" s="152" t="e">
        <f>#REF!</f>
        <v>#REF!</v>
      </c>
      <c r="AA64" s="202"/>
      <c r="AB64" s="153" t="e">
        <f>#REF!</f>
        <v>#REF!</v>
      </c>
      <c r="AC64" s="202"/>
      <c r="AD64" s="152" t="e">
        <f>#REF!</f>
        <v>#REF!</v>
      </c>
      <c r="AE64" s="202"/>
      <c r="AF64" s="153" t="e">
        <f>#REF!</f>
        <v>#REF!</v>
      </c>
      <c r="AG64" s="202"/>
      <c r="AH64" s="152" t="e">
        <f>#REF!</f>
        <v>#REF!</v>
      </c>
      <c r="AI64" s="202"/>
      <c r="AJ64" s="153" t="e">
        <f>#REF!</f>
        <v>#REF!</v>
      </c>
      <c r="AK64" s="202"/>
      <c r="AL64" s="152" t="e">
        <f>#REF!</f>
        <v>#REF!</v>
      </c>
      <c r="AM64" s="202"/>
      <c r="AN64" s="153" t="e">
        <f>#REF!</f>
        <v>#REF!</v>
      </c>
      <c r="AO64" s="202"/>
      <c r="AP64" s="152" t="e">
        <f>#REF!</f>
        <v>#REF!</v>
      </c>
      <c r="AQ64" s="202"/>
      <c r="AR64" s="154" t="e">
        <f>#REF!</f>
        <v>#REF!</v>
      </c>
      <c r="AS64" s="202"/>
      <c r="AT64" s="153" t="e">
        <f>#REF!</f>
        <v>#REF!</v>
      </c>
      <c r="AU64" s="202"/>
      <c r="AV64" s="152" t="e">
        <f>#REF!</f>
        <v>#REF!</v>
      </c>
      <c r="AW64" s="202"/>
      <c r="AX64" s="153" t="e">
        <f>#REF!</f>
        <v>#REF!</v>
      </c>
      <c r="AY64" s="202"/>
      <c r="AZ64" s="152" t="e">
        <f>#REF!</f>
        <v>#REF!</v>
      </c>
      <c r="BA64" s="202"/>
      <c r="BB64" s="154" t="e">
        <f>#REF!</f>
        <v>#REF!</v>
      </c>
      <c r="BC64" s="137"/>
    </row>
    <row r="65" spans="1:55" ht="30" customHeight="1">
      <c r="A65" s="203" t="e">
        <f>#REF!</f>
        <v>#REF!</v>
      </c>
      <c r="B65" s="204" t="e">
        <f xml:space="preserve"> IF(#REF!=0, "",#REF!)</f>
        <v>#REF!</v>
      </c>
      <c r="C65" s="369" t="e">
        <f>#REF!</f>
        <v>#REF!</v>
      </c>
      <c r="D65" s="369"/>
      <c r="E65" s="291" t="e">
        <f>#REF!</f>
        <v>#REF!</v>
      </c>
      <c r="F65" s="148" t="e">
        <f>#REF!</f>
        <v>#REF!</v>
      </c>
      <c r="G65" s="205" t="e">
        <f xml:space="preserve"> IF(#REF!="", "",#REF!)</f>
        <v>#REF!</v>
      </c>
      <c r="H65" s="205" t="e">
        <f xml:space="preserve"> IF(#REF!="", "",#REF!)</f>
        <v>#REF!</v>
      </c>
      <c r="I65" s="205" t="e">
        <f xml:space="preserve"> IF(#REF!="", "",#REF!)</f>
        <v>#REF!</v>
      </c>
      <c r="J65" s="298" t="e">
        <f>#REF!</f>
        <v>#REF!</v>
      </c>
      <c r="K65" s="149" t="e">
        <f>#REF!</f>
        <v>#REF!</v>
      </c>
      <c r="L65" s="149" t="e">
        <f>#REF!</f>
        <v>#REF!</v>
      </c>
      <c r="M65" s="150" t="e">
        <f>#REF!</f>
        <v>#REF!</v>
      </c>
      <c r="N65" s="364"/>
      <c r="O65" s="202"/>
      <c r="P65" s="151" t="e">
        <f>#REF!</f>
        <v>#REF!</v>
      </c>
      <c r="Q65" s="202"/>
      <c r="R65" s="152" t="e">
        <f>#REF!</f>
        <v>#REF!</v>
      </c>
      <c r="S65" s="202"/>
      <c r="T65" s="153" t="e">
        <f>#REF!</f>
        <v>#REF!</v>
      </c>
      <c r="U65" s="202"/>
      <c r="V65" s="153" t="e">
        <f>#REF!</f>
        <v>#REF!</v>
      </c>
      <c r="W65" s="202"/>
      <c r="X65" s="153" t="e">
        <f>#REF!</f>
        <v>#REF!</v>
      </c>
      <c r="Y65" s="202"/>
      <c r="Z65" s="152" t="e">
        <f>#REF!</f>
        <v>#REF!</v>
      </c>
      <c r="AA65" s="202"/>
      <c r="AB65" s="153" t="e">
        <f>#REF!</f>
        <v>#REF!</v>
      </c>
      <c r="AC65" s="202"/>
      <c r="AD65" s="152" t="e">
        <f>#REF!</f>
        <v>#REF!</v>
      </c>
      <c r="AE65" s="202"/>
      <c r="AF65" s="153" t="e">
        <f>#REF!</f>
        <v>#REF!</v>
      </c>
      <c r="AG65" s="202"/>
      <c r="AH65" s="152" t="e">
        <f>#REF!</f>
        <v>#REF!</v>
      </c>
      <c r="AI65" s="202"/>
      <c r="AJ65" s="153" t="e">
        <f>#REF!</f>
        <v>#REF!</v>
      </c>
      <c r="AK65" s="202"/>
      <c r="AL65" s="152" t="e">
        <f>#REF!</f>
        <v>#REF!</v>
      </c>
      <c r="AM65" s="202"/>
      <c r="AN65" s="153" t="e">
        <f>#REF!</f>
        <v>#REF!</v>
      </c>
      <c r="AO65" s="202"/>
      <c r="AP65" s="152" t="e">
        <f>#REF!</f>
        <v>#REF!</v>
      </c>
      <c r="AQ65" s="202"/>
      <c r="AR65" s="154" t="e">
        <f>#REF!</f>
        <v>#REF!</v>
      </c>
      <c r="AS65" s="202"/>
      <c r="AT65" s="153" t="e">
        <f>#REF!</f>
        <v>#REF!</v>
      </c>
      <c r="AU65" s="202"/>
      <c r="AV65" s="152" t="e">
        <f>#REF!</f>
        <v>#REF!</v>
      </c>
      <c r="AW65" s="202"/>
      <c r="AX65" s="153" t="e">
        <f>#REF!</f>
        <v>#REF!</v>
      </c>
      <c r="AY65" s="202"/>
      <c r="AZ65" s="152" t="e">
        <f>#REF!</f>
        <v>#REF!</v>
      </c>
      <c r="BA65" s="202"/>
      <c r="BB65" s="154" t="e">
        <f>#REF!</f>
        <v>#REF!</v>
      </c>
      <c r="BC65" s="137"/>
    </row>
    <row r="66" spans="1:55" ht="30" customHeight="1">
      <c r="A66" s="203" t="e">
        <f>#REF!</f>
        <v>#REF!</v>
      </c>
      <c r="B66" s="204" t="e">
        <f xml:space="preserve"> IF(#REF!=0, "",#REF!)</f>
        <v>#REF!</v>
      </c>
      <c r="C66" s="369" t="e">
        <f>#REF!</f>
        <v>#REF!</v>
      </c>
      <c r="D66" s="369"/>
      <c r="E66" s="291" t="e">
        <f>#REF!</f>
        <v>#REF!</v>
      </c>
      <c r="F66" s="148" t="e">
        <f>#REF!</f>
        <v>#REF!</v>
      </c>
      <c r="G66" s="205" t="e">
        <f xml:space="preserve"> IF(#REF!="", "",#REF!)</f>
        <v>#REF!</v>
      </c>
      <c r="H66" s="205" t="e">
        <f xml:space="preserve"> IF(#REF!="", "",#REF!)</f>
        <v>#REF!</v>
      </c>
      <c r="I66" s="205" t="e">
        <f xml:space="preserve"> IF(#REF!="", "",#REF!)</f>
        <v>#REF!</v>
      </c>
      <c r="J66" s="298" t="e">
        <f>#REF!</f>
        <v>#REF!</v>
      </c>
      <c r="K66" s="149" t="e">
        <f>#REF!</f>
        <v>#REF!</v>
      </c>
      <c r="L66" s="149" t="e">
        <f>#REF!</f>
        <v>#REF!</v>
      </c>
      <c r="M66" s="150" t="e">
        <f>#REF!</f>
        <v>#REF!</v>
      </c>
      <c r="N66" s="364"/>
      <c r="O66" s="202"/>
      <c r="P66" s="151" t="e">
        <f>#REF!</f>
        <v>#REF!</v>
      </c>
      <c r="Q66" s="202"/>
      <c r="R66" s="152" t="e">
        <f>#REF!</f>
        <v>#REF!</v>
      </c>
      <c r="S66" s="202"/>
      <c r="T66" s="153" t="e">
        <f>#REF!</f>
        <v>#REF!</v>
      </c>
      <c r="U66" s="202"/>
      <c r="V66" s="153" t="e">
        <f>#REF!</f>
        <v>#REF!</v>
      </c>
      <c r="W66" s="202"/>
      <c r="X66" s="153" t="e">
        <f>#REF!</f>
        <v>#REF!</v>
      </c>
      <c r="Y66" s="202"/>
      <c r="Z66" s="152" t="e">
        <f>#REF!</f>
        <v>#REF!</v>
      </c>
      <c r="AA66" s="202"/>
      <c r="AB66" s="153" t="e">
        <f>#REF!</f>
        <v>#REF!</v>
      </c>
      <c r="AC66" s="202"/>
      <c r="AD66" s="152" t="e">
        <f>#REF!</f>
        <v>#REF!</v>
      </c>
      <c r="AE66" s="202"/>
      <c r="AF66" s="153" t="e">
        <f>#REF!</f>
        <v>#REF!</v>
      </c>
      <c r="AG66" s="202"/>
      <c r="AH66" s="152" t="e">
        <f>#REF!</f>
        <v>#REF!</v>
      </c>
      <c r="AI66" s="202"/>
      <c r="AJ66" s="153" t="e">
        <f>#REF!</f>
        <v>#REF!</v>
      </c>
      <c r="AK66" s="202"/>
      <c r="AL66" s="152" t="e">
        <f>#REF!</f>
        <v>#REF!</v>
      </c>
      <c r="AM66" s="202"/>
      <c r="AN66" s="153" t="e">
        <f>#REF!</f>
        <v>#REF!</v>
      </c>
      <c r="AO66" s="202"/>
      <c r="AP66" s="152" t="e">
        <f>#REF!</f>
        <v>#REF!</v>
      </c>
      <c r="AQ66" s="202"/>
      <c r="AR66" s="154" t="e">
        <f>#REF!</f>
        <v>#REF!</v>
      </c>
      <c r="AS66" s="202"/>
      <c r="AT66" s="153" t="e">
        <f>#REF!</f>
        <v>#REF!</v>
      </c>
      <c r="AU66" s="202"/>
      <c r="AV66" s="152" t="e">
        <f>#REF!</f>
        <v>#REF!</v>
      </c>
      <c r="AW66" s="202"/>
      <c r="AX66" s="153" t="e">
        <f>#REF!</f>
        <v>#REF!</v>
      </c>
      <c r="AY66" s="202"/>
      <c r="AZ66" s="152" t="e">
        <f>#REF!</f>
        <v>#REF!</v>
      </c>
      <c r="BA66" s="202"/>
      <c r="BB66" s="154" t="e">
        <f>#REF!</f>
        <v>#REF!</v>
      </c>
      <c r="BC66" s="137"/>
    </row>
    <row r="67" spans="1:55" ht="30" customHeight="1">
      <c r="A67" s="203" t="e">
        <f>#REF!</f>
        <v>#REF!</v>
      </c>
      <c r="B67" s="204" t="e">
        <f xml:space="preserve"> IF(#REF!=0, "",#REF!)</f>
        <v>#REF!</v>
      </c>
      <c r="C67" s="369" t="e">
        <f>#REF!</f>
        <v>#REF!</v>
      </c>
      <c r="D67" s="369"/>
      <c r="E67" s="291" t="e">
        <f>#REF!</f>
        <v>#REF!</v>
      </c>
      <c r="F67" s="148" t="e">
        <f>#REF!</f>
        <v>#REF!</v>
      </c>
      <c r="G67" s="205" t="e">
        <f xml:space="preserve"> IF(#REF!="", "",#REF!)</f>
        <v>#REF!</v>
      </c>
      <c r="H67" s="205" t="e">
        <f xml:space="preserve"> IF(#REF!="", "",#REF!)</f>
        <v>#REF!</v>
      </c>
      <c r="I67" s="205" t="e">
        <f xml:space="preserve"> IF(#REF!="", "",#REF!)</f>
        <v>#REF!</v>
      </c>
      <c r="J67" s="298" t="e">
        <f>#REF!</f>
        <v>#REF!</v>
      </c>
      <c r="K67" s="149" t="e">
        <f>#REF!</f>
        <v>#REF!</v>
      </c>
      <c r="L67" s="149" t="e">
        <f>#REF!</f>
        <v>#REF!</v>
      </c>
      <c r="M67" s="150" t="e">
        <f>#REF!</f>
        <v>#REF!</v>
      </c>
      <c r="N67" s="364"/>
      <c r="O67" s="202"/>
      <c r="P67" s="151" t="e">
        <f>#REF!</f>
        <v>#REF!</v>
      </c>
      <c r="Q67" s="202"/>
      <c r="R67" s="152" t="e">
        <f>#REF!</f>
        <v>#REF!</v>
      </c>
      <c r="S67" s="202"/>
      <c r="T67" s="153" t="e">
        <f>#REF!</f>
        <v>#REF!</v>
      </c>
      <c r="U67" s="202"/>
      <c r="V67" s="153" t="e">
        <f>#REF!</f>
        <v>#REF!</v>
      </c>
      <c r="W67" s="202"/>
      <c r="X67" s="153" t="e">
        <f>#REF!</f>
        <v>#REF!</v>
      </c>
      <c r="Y67" s="202"/>
      <c r="Z67" s="152" t="e">
        <f>#REF!</f>
        <v>#REF!</v>
      </c>
      <c r="AA67" s="202"/>
      <c r="AB67" s="153" t="e">
        <f>#REF!</f>
        <v>#REF!</v>
      </c>
      <c r="AC67" s="202"/>
      <c r="AD67" s="152" t="e">
        <f>#REF!</f>
        <v>#REF!</v>
      </c>
      <c r="AE67" s="202"/>
      <c r="AF67" s="153" t="e">
        <f>#REF!</f>
        <v>#REF!</v>
      </c>
      <c r="AG67" s="202"/>
      <c r="AH67" s="152" t="e">
        <f>#REF!</f>
        <v>#REF!</v>
      </c>
      <c r="AI67" s="202"/>
      <c r="AJ67" s="153" t="e">
        <f>#REF!</f>
        <v>#REF!</v>
      </c>
      <c r="AK67" s="202"/>
      <c r="AL67" s="152" t="e">
        <f>#REF!</f>
        <v>#REF!</v>
      </c>
      <c r="AM67" s="202"/>
      <c r="AN67" s="153" t="e">
        <f>#REF!</f>
        <v>#REF!</v>
      </c>
      <c r="AO67" s="202"/>
      <c r="AP67" s="152" t="e">
        <f>#REF!</f>
        <v>#REF!</v>
      </c>
      <c r="AQ67" s="202"/>
      <c r="AR67" s="154" t="e">
        <f>#REF!</f>
        <v>#REF!</v>
      </c>
      <c r="AS67" s="202"/>
      <c r="AT67" s="153" t="e">
        <f>#REF!</f>
        <v>#REF!</v>
      </c>
      <c r="AU67" s="202"/>
      <c r="AV67" s="152" t="e">
        <f>#REF!</f>
        <v>#REF!</v>
      </c>
      <c r="AW67" s="202"/>
      <c r="AX67" s="153" t="e">
        <f>#REF!</f>
        <v>#REF!</v>
      </c>
      <c r="AY67" s="202"/>
      <c r="AZ67" s="152" t="e">
        <f>#REF!</f>
        <v>#REF!</v>
      </c>
      <c r="BA67" s="202"/>
      <c r="BB67" s="154" t="e">
        <f>#REF!</f>
        <v>#REF!</v>
      </c>
      <c r="BC67" s="137"/>
    </row>
    <row r="68" spans="1:55" ht="30" customHeight="1">
      <c r="A68" s="203" t="e">
        <f>#REF!</f>
        <v>#REF!</v>
      </c>
      <c r="B68" s="204" t="e">
        <f xml:space="preserve"> IF(#REF!=0, "",#REF!)</f>
        <v>#REF!</v>
      </c>
      <c r="C68" s="369" t="e">
        <f>#REF!</f>
        <v>#REF!</v>
      </c>
      <c r="D68" s="369"/>
      <c r="E68" s="291" t="e">
        <f>#REF!</f>
        <v>#REF!</v>
      </c>
      <c r="F68" s="148" t="e">
        <f>#REF!</f>
        <v>#REF!</v>
      </c>
      <c r="G68" s="205" t="e">
        <f xml:space="preserve"> IF(#REF!="", "",#REF!)</f>
        <v>#REF!</v>
      </c>
      <c r="H68" s="205" t="e">
        <f xml:space="preserve"> IF(#REF!="", "",#REF!)</f>
        <v>#REF!</v>
      </c>
      <c r="I68" s="205" t="e">
        <f xml:space="preserve"> IF(#REF!="", "",#REF!)</f>
        <v>#REF!</v>
      </c>
      <c r="J68" s="298" t="e">
        <f>#REF!</f>
        <v>#REF!</v>
      </c>
      <c r="K68" s="149" t="e">
        <f>#REF!</f>
        <v>#REF!</v>
      </c>
      <c r="L68" s="149" t="e">
        <f>#REF!</f>
        <v>#REF!</v>
      </c>
      <c r="M68" s="150" t="e">
        <f>#REF!</f>
        <v>#REF!</v>
      </c>
      <c r="N68" s="364"/>
      <c r="O68" s="202"/>
      <c r="P68" s="151" t="e">
        <f>#REF!</f>
        <v>#REF!</v>
      </c>
      <c r="Q68" s="202"/>
      <c r="R68" s="152" t="e">
        <f>#REF!</f>
        <v>#REF!</v>
      </c>
      <c r="S68" s="202"/>
      <c r="T68" s="153" t="e">
        <f>#REF!</f>
        <v>#REF!</v>
      </c>
      <c r="U68" s="202"/>
      <c r="V68" s="153" t="e">
        <f>#REF!</f>
        <v>#REF!</v>
      </c>
      <c r="W68" s="202"/>
      <c r="X68" s="153" t="e">
        <f>#REF!</f>
        <v>#REF!</v>
      </c>
      <c r="Y68" s="202"/>
      <c r="Z68" s="152" t="e">
        <f>#REF!</f>
        <v>#REF!</v>
      </c>
      <c r="AA68" s="202"/>
      <c r="AB68" s="153" t="e">
        <f>#REF!</f>
        <v>#REF!</v>
      </c>
      <c r="AC68" s="202"/>
      <c r="AD68" s="152" t="e">
        <f>#REF!</f>
        <v>#REF!</v>
      </c>
      <c r="AE68" s="202"/>
      <c r="AF68" s="153" t="e">
        <f>#REF!</f>
        <v>#REF!</v>
      </c>
      <c r="AG68" s="202"/>
      <c r="AH68" s="152" t="e">
        <f>#REF!</f>
        <v>#REF!</v>
      </c>
      <c r="AI68" s="202"/>
      <c r="AJ68" s="153" t="e">
        <f>#REF!</f>
        <v>#REF!</v>
      </c>
      <c r="AK68" s="202"/>
      <c r="AL68" s="152" t="e">
        <f>#REF!</f>
        <v>#REF!</v>
      </c>
      <c r="AM68" s="202"/>
      <c r="AN68" s="153" t="e">
        <f>#REF!</f>
        <v>#REF!</v>
      </c>
      <c r="AO68" s="202"/>
      <c r="AP68" s="152" t="e">
        <f>#REF!</f>
        <v>#REF!</v>
      </c>
      <c r="AQ68" s="202"/>
      <c r="AR68" s="154" t="e">
        <f>#REF!</f>
        <v>#REF!</v>
      </c>
      <c r="AS68" s="202"/>
      <c r="AT68" s="153" t="e">
        <f>#REF!</f>
        <v>#REF!</v>
      </c>
      <c r="AU68" s="202"/>
      <c r="AV68" s="152" t="e">
        <f>#REF!</f>
        <v>#REF!</v>
      </c>
      <c r="AW68" s="202"/>
      <c r="AX68" s="153" t="e">
        <f>#REF!</f>
        <v>#REF!</v>
      </c>
      <c r="AY68" s="202"/>
      <c r="AZ68" s="152" t="e">
        <f>#REF!</f>
        <v>#REF!</v>
      </c>
      <c r="BA68" s="202"/>
      <c r="BB68" s="154" t="e">
        <f>#REF!</f>
        <v>#REF!</v>
      </c>
      <c r="BC68" s="137"/>
    </row>
    <row r="69" spans="1:55" ht="30" customHeight="1">
      <c r="A69" s="203" t="e">
        <f>#REF!</f>
        <v>#REF!</v>
      </c>
      <c r="B69" s="204" t="e">
        <f xml:space="preserve"> IF(#REF!=0, "",#REF!)</f>
        <v>#REF!</v>
      </c>
      <c r="C69" s="369" t="e">
        <f>#REF!</f>
        <v>#REF!</v>
      </c>
      <c r="D69" s="369"/>
      <c r="E69" s="291" t="e">
        <f>#REF!</f>
        <v>#REF!</v>
      </c>
      <c r="F69" s="148" t="e">
        <f>#REF!</f>
        <v>#REF!</v>
      </c>
      <c r="G69" s="205" t="e">
        <f xml:space="preserve"> IF(#REF!="", "",#REF!)</f>
        <v>#REF!</v>
      </c>
      <c r="H69" s="205" t="e">
        <f xml:space="preserve"> IF(#REF!="", "",#REF!)</f>
        <v>#REF!</v>
      </c>
      <c r="I69" s="205" t="e">
        <f xml:space="preserve"> IF(#REF!="", "",#REF!)</f>
        <v>#REF!</v>
      </c>
      <c r="J69" s="298" t="e">
        <f>#REF!</f>
        <v>#REF!</v>
      </c>
      <c r="K69" s="149" t="e">
        <f>#REF!</f>
        <v>#REF!</v>
      </c>
      <c r="L69" s="149" t="e">
        <f>#REF!</f>
        <v>#REF!</v>
      </c>
      <c r="M69" s="150" t="e">
        <f>#REF!</f>
        <v>#REF!</v>
      </c>
      <c r="N69" s="364"/>
      <c r="O69" s="202"/>
      <c r="P69" s="151" t="e">
        <f>#REF!</f>
        <v>#REF!</v>
      </c>
      <c r="Q69" s="202"/>
      <c r="R69" s="152" t="e">
        <f>#REF!</f>
        <v>#REF!</v>
      </c>
      <c r="S69" s="202"/>
      <c r="T69" s="153" t="e">
        <f>#REF!</f>
        <v>#REF!</v>
      </c>
      <c r="U69" s="202"/>
      <c r="V69" s="153" t="e">
        <f>#REF!</f>
        <v>#REF!</v>
      </c>
      <c r="W69" s="202"/>
      <c r="X69" s="153" t="e">
        <f>#REF!</f>
        <v>#REF!</v>
      </c>
      <c r="Y69" s="202"/>
      <c r="Z69" s="152" t="e">
        <f>#REF!</f>
        <v>#REF!</v>
      </c>
      <c r="AA69" s="202"/>
      <c r="AB69" s="153" t="e">
        <f>#REF!</f>
        <v>#REF!</v>
      </c>
      <c r="AC69" s="202"/>
      <c r="AD69" s="152" t="e">
        <f>#REF!</f>
        <v>#REF!</v>
      </c>
      <c r="AE69" s="202"/>
      <c r="AF69" s="153" t="e">
        <f>#REF!</f>
        <v>#REF!</v>
      </c>
      <c r="AG69" s="202"/>
      <c r="AH69" s="152" t="e">
        <f>#REF!</f>
        <v>#REF!</v>
      </c>
      <c r="AI69" s="202"/>
      <c r="AJ69" s="153" t="e">
        <f>#REF!</f>
        <v>#REF!</v>
      </c>
      <c r="AK69" s="202"/>
      <c r="AL69" s="152" t="e">
        <f>#REF!</f>
        <v>#REF!</v>
      </c>
      <c r="AM69" s="202"/>
      <c r="AN69" s="153" t="e">
        <f>#REF!</f>
        <v>#REF!</v>
      </c>
      <c r="AO69" s="202"/>
      <c r="AP69" s="152" t="e">
        <f>#REF!</f>
        <v>#REF!</v>
      </c>
      <c r="AQ69" s="202"/>
      <c r="AR69" s="154" t="e">
        <f>#REF!</f>
        <v>#REF!</v>
      </c>
      <c r="AS69" s="202"/>
      <c r="AT69" s="153" t="e">
        <f>#REF!</f>
        <v>#REF!</v>
      </c>
      <c r="AU69" s="202"/>
      <c r="AV69" s="152" t="e">
        <f>#REF!</f>
        <v>#REF!</v>
      </c>
      <c r="AW69" s="202"/>
      <c r="AX69" s="153" t="e">
        <f>#REF!</f>
        <v>#REF!</v>
      </c>
      <c r="AY69" s="202"/>
      <c r="AZ69" s="152" t="e">
        <f>#REF!</f>
        <v>#REF!</v>
      </c>
      <c r="BA69" s="202"/>
      <c r="BB69" s="154" t="e">
        <f>#REF!</f>
        <v>#REF!</v>
      </c>
      <c r="BC69" s="137"/>
    </row>
    <row r="70" spans="1:55" ht="30" customHeight="1">
      <c r="A70" s="203" t="e">
        <f>#REF!</f>
        <v>#REF!</v>
      </c>
      <c r="B70" s="204" t="e">
        <f xml:space="preserve"> IF(#REF!=0, "",#REF!)</f>
        <v>#REF!</v>
      </c>
      <c r="C70" s="369" t="e">
        <f>#REF!</f>
        <v>#REF!</v>
      </c>
      <c r="D70" s="369"/>
      <c r="E70" s="291" t="e">
        <f>#REF!</f>
        <v>#REF!</v>
      </c>
      <c r="F70" s="148" t="e">
        <f>#REF!</f>
        <v>#REF!</v>
      </c>
      <c r="G70" s="205" t="e">
        <f xml:space="preserve"> IF(#REF!="", "",#REF!)</f>
        <v>#REF!</v>
      </c>
      <c r="H70" s="205" t="e">
        <f xml:space="preserve"> IF(#REF!="", "",#REF!)</f>
        <v>#REF!</v>
      </c>
      <c r="I70" s="205" t="e">
        <f xml:space="preserve"> IF(#REF!="", "",#REF!)</f>
        <v>#REF!</v>
      </c>
      <c r="J70" s="298" t="e">
        <f>#REF!</f>
        <v>#REF!</v>
      </c>
      <c r="K70" s="149" t="e">
        <f>#REF!</f>
        <v>#REF!</v>
      </c>
      <c r="L70" s="149" t="e">
        <f>#REF!</f>
        <v>#REF!</v>
      </c>
      <c r="M70" s="150" t="e">
        <f>#REF!</f>
        <v>#REF!</v>
      </c>
      <c r="N70" s="364"/>
      <c r="O70" s="202"/>
      <c r="P70" s="151" t="e">
        <f>#REF!</f>
        <v>#REF!</v>
      </c>
      <c r="Q70" s="202"/>
      <c r="R70" s="152" t="e">
        <f>#REF!</f>
        <v>#REF!</v>
      </c>
      <c r="S70" s="202"/>
      <c r="T70" s="153" t="e">
        <f>#REF!</f>
        <v>#REF!</v>
      </c>
      <c r="U70" s="202"/>
      <c r="V70" s="153" t="e">
        <f>#REF!</f>
        <v>#REF!</v>
      </c>
      <c r="W70" s="202"/>
      <c r="X70" s="153" t="e">
        <f>#REF!</f>
        <v>#REF!</v>
      </c>
      <c r="Y70" s="202"/>
      <c r="Z70" s="152" t="e">
        <f>#REF!</f>
        <v>#REF!</v>
      </c>
      <c r="AA70" s="202"/>
      <c r="AB70" s="153" t="e">
        <f>#REF!</f>
        <v>#REF!</v>
      </c>
      <c r="AC70" s="202"/>
      <c r="AD70" s="152" t="e">
        <f>#REF!</f>
        <v>#REF!</v>
      </c>
      <c r="AE70" s="202"/>
      <c r="AF70" s="153" t="e">
        <f>#REF!</f>
        <v>#REF!</v>
      </c>
      <c r="AG70" s="202"/>
      <c r="AH70" s="152" t="e">
        <f>#REF!</f>
        <v>#REF!</v>
      </c>
      <c r="AI70" s="202"/>
      <c r="AJ70" s="153" t="e">
        <f>#REF!</f>
        <v>#REF!</v>
      </c>
      <c r="AK70" s="202"/>
      <c r="AL70" s="152" t="e">
        <f>#REF!</f>
        <v>#REF!</v>
      </c>
      <c r="AM70" s="202"/>
      <c r="AN70" s="153" t="e">
        <f>#REF!</f>
        <v>#REF!</v>
      </c>
      <c r="AO70" s="202"/>
      <c r="AP70" s="152" t="e">
        <f>#REF!</f>
        <v>#REF!</v>
      </c>
      <c r="AQ70" s="202"/>
      <c r="AR70" s="154" t="e">
        <f>#REF!</f>
        <v>#REF!</v>
      </c>
      <c r="AS70" s="202"/>
      <c r="AT70" s="153" t="e">
        <f>#REF!</f>
        <v>#REF!</v>
      </c>
      <c r="AU70" s="202"/>
      <c r="AV70" s="152" t="e">
        <f>#REF!</f>
        <v>#REF!</v>
      </c>
      <c r="AW70" s="202"/>
      <c r="AX70" s="153" t="e">
        <f>#REF!</f>
        <v>#REF!</v>
      </c>
      <c r="AY70" s="202"/>
      <c r="AZ70" s="152" t="e">
        <f>#REF!</f>
        <v>#REF!</v>
      </c>
      <c r="BA70" s="202"/>
      <c r="BB70" s="154" t="e">
        <f>#REF!</f>
        <v>#REF!</v>
      </c>
      <c r="BC70" s="137"/>
    </row>
    <row r="71" spans="1:55" ht="30" customHeight="1">
      <c r="A71" s="203" t="e">
        <f>#REF!</f>
        <v>#REF!</v>
      </c>
      <c r="B71" s="204" t="e">
        <f xml:space="preserve"> IF(#REF!=0, "",#REF!)</f>
        <v>#REF!</v>
      </c>
      <c r="C71" s="369" t="e">
        <f>#REF!</f>
        <v>#REF!</v>
      </c>
      <c r="D71" s="369"/>
      <c r="E71" s="291" t="e">
        <f>#REF!</f>
        <v>#REF!</v>
      </c>
      <c r="F71" s="148" t="e">
        <f>#REF!</f>
        <v>#REF!</v>
      </c>
      <c r="G71" s="205" t="e">
        <f xml:space="preserve"> IF(#REF!="", "",#REF!)</f>
        <v>#REF!</v>
      </c>
      <c r="H71" s="205" t="e">
        <f xml:space="preserve"> IF(#REF!="", "",#REF!)</f>
        <v>#REF!</v>
      </c>
      <c r="I71" s="205" t="e">
        <f xml:space="preserve"> IF(#REF!="", "",#REF!)</f>
        <v>#REF!</v>
      </c>
      <c r="J71" s="298" t="e">
        <f>#REF!</f>
        <v>#REF!</v>
      </c>
      <c r="K71" s="149" t="e">
        <f>#REF!</f>
        <v>#REF!</v>
      </c>
      <c r="L71" s="149" t="e">
        <f>#REF!</f>
        <v>#REF!</v>
      </c>
      <c r="M71" s="150" t="e">
        <f>#REF!</f>
        <v>#REF!</v>
      </c>
      <c r="N71" s="364"/>
      <c r="O71" s="202"/>
      <c r="P71" s="151" t="e">
        <f>#REF!</f>
        <v>#REF!</v>
      </c>
      <c r="Q71" s="202"/>
      <c r="R71" s="152" t="e">
        <f>#REF!</f>
        <v>#REF!</v>
      </c>
      <c r="S71" s="202"/>
      <c r="T71" s="153" t="e">
        <f>#REF!</f>
        <v>#REF!</v>
      </c>
      <c r="U71" s="202"/>
      <c r="V71" s="153" t="e">
        <f>#REF!</f>
        <v>#REF!</v>
      </c>
      <c r="W71" s="202"/>
      <c r="X71" s="153" t="e">
        <f>#REF!</f>
        <v>#REF!</v>
      </c>
      <c r="Y71" s="202"/>
      <c r="Z71" s="152" t="e">
        <f>#REF!</f>
        <v>#REF!</v>
      </c>
      <c r="AA71" s="202"/>
      <c r="AB71" s="153" t="e">
        <f>#REF!</f>
        <v>#REF!</v>
      </c>
      <c r="AC71" s="202"/>
      <c r="AD71" s="152" t="e">
        <f>#REF!</f>
        <v>#REF!</v>
      </c>
      <c r="AE71" s="202"/>
      <c r="AF71" s="153" t="e">
        <f>#REF!</f>
        <v>#REF!</v>
      </c>
      <c r="AG71" s="202"/>
      <c r="AH71" s="152" t="e">
        <f>#REF!</f>
        <v>#REF!</v>
      </c>
      <c r="AI71" s="202"/>
      <c r="AJ71" s="153" t="e">
        <f>#REF!</f>
        <v>#REF!</v>
      </c>
      <c r="AK71" s="202"/>
      <c r="AL71" s="152" t="e">
        <f>#REF!</f>
        <v>#REF!</v>
      </c>
      <c r="AM71" s="202"/>
      <c r="AN71" s="153" t="e">
        <f>#REF!</f>
        <v>#REF!</v>
      </c>
      <c r="AO71" s="202"/>
      <c r="AP71" s="152" t="e">
        <f>#REF!</f>
        <v>#REF!</v>
      </c>
      <c r="AQ71" s="202"/>
      <c r="AR71" s="154" t="e">
        <f>#REF!</f>
        <v>#REF!</v>
      </c>
      <c r="AS71" s="202"/>
      <c r="AT71" s="153" t="e">
        <f>#REF!</f>
        <v>#REF!</v>
      </c>
      <c r="AU71" s="202"/>
      <c r="AV71" s="152" t="e">
        <f>#REF!</f>
        <v>#REF!</v>
      </c>
      <c r="AW71" s="202"/>
      <c r="AX71" s="153" t="e">
        <f>#REF!</f>
        <v>#REF!</v>
      </c>
      <c r="AY71" s="202"/>
      <c r="AZ71" s="152" t="e">
        <f>#REF!</f>
        <v>#REF!</v>
      </c>
      <c r="BA71" s="202"/>
      <c r="BB71" s="154" t="e">
        <f>#REF!</f>
        <v>#REF!</v>
      </c>
      <c r="BC71" s="137"/>
    </row>
    <row r="72" spans="1:55" ht="30" customHeight="1">
      <c r="A72" s="203" t="e">
        <f>#REF!</f>
        <v>#REF!</v>
      </c>
      <c r="B72" s="204" t="e">
        <f xml:space="preserve"> IF(#REF!=0, "",#REF!)</f>
        <v>#REF!</v>
      </c>
      <c r="C72" s="369" t="e">
        <f>#REF!</f>
        <v>#REF!</v>
      </c>
      <c r="D72" s="369"/>
      <c r="E72" s="291" t="e">
        <f>#REF!</f>
        <v>#REF!</v>
      </c>
      <c r="F72" s="148" t="e">
        <f>#REF!</f>
        <v>#REF!</v>
      </c>
      <c r="G72" s="205" t="e">
        <f xml:space="preserve"> IF(#REF!="", "",#REF!)</f>
        <v>#REF!</v>
      </c>
      <c r="H72" s="205" t="e">
        <f xml:space="preserve"> IF(#REF!="", "",#REF!)</f>
        <v>#REF!</v>
      </c>
      <c r="I72" s="205" t="e">
        <f xml:space="preserve"> IF(#REF!="", "",#REF!)</f>
        <v>#REF!</v>
      </c>
      <c r="J72" s="298" t="e">
        <f>#REF!</f>
        <v>#REF!</v>
      </c>
      <c r="K72" s="149" t="e">
        <f>#REF!</f>
        <v>#REF!</v>
      </c>
      <c r="L72" s="149" t="e">
        <f>#REF!</f>
        <v>#REF!</v>
      </c>
      <c r="M72" s="150" t="e">
        <f>#REF!</f>
        <v>#REF!</v>
      </c>
      <c r="N72" s="364"/>
      <c r="O72" s="202"/>
      <c r="P72" s="151" t="e">
        <f>#REF!</f>
        <v>#REF!</v>
      </c>
      <c r="Q72" s="202"/>
      <c r="R72" s="152" t="e">
        <f>#REF!</f>
        <v>#REF!</v>
      </c>
      <c r="S72" s="202"/>
      <c r="T72" s="153" t="e">
        <f>#REF!</f>
        <v>#REF!</v>
      </c>
      <c r="U72" s="202"/>
      <c r="V72" s="153" t="e">
        <f>#REF!</f>
        <v>#REF!</v>
      </c>
      <c r="W72" s="202"/>
      <c r="X72" s="153" t="e">
        <f>#REF!</f>
        <v>#REF!</v>
      </c>
      <c r="Y72" s="202"/>
      <c r="Z72" s="152" t="e">
        <f>#REF!</f>
        <v>#REF!</v>
      </c>
      <c r="AA72" s="202"/>
      <c r="AB72" s="153" t="e">
        <f>#REF!</f>
        <v>#REF!</v>
      </c>
      <c r="AC72" s="202"/>
      <c r="AD72" s="152" t="e">
        <f>#REF!</f>
        <v>#REF!</v>
      </c>
      <c r="AE72" s="202"/>
      <c r="AF72" s="153" t="e">
        <f>#REF!</f>
        <v>#REF!</v>
      </c>
      <c r="AG72" s="202"/>
      <c r="AH72" s="152" t="e">
        <f>#REF!</f>
        <v>#REF!</v>
      </c>
      <c r="AI72" s="202"/>
      <c r="AJ72" s="153" t="e">
        <f>#REF!</f>
        <v>#REF!</v>
      </c>
      <c r="AK72" s="202"/>
      <c r="AL72" s="152" t="e">
        <f>#REF!</f>
        <v>#REF!</v>
      </c>
      <c r="AM72" s="202"/>
      <c r="AN72" s="153" t="e">
        <f>#REF!</f>
        <v>#REF!</v>
      </c>
      <c r="AO72" s="202"/>
      <c r="AP72" s="152" t="e">
        <f>#REF!</f>
        <v>#REF!</v>
      </c>
      <c r="AQ72" s="202"/>
      <c r="AR72" s="154" t="e">
        <f>#REF!</f>
        <v>#REF!</v>
      </c>
      <c r="AS72" s="202"/>
      <c r="AT72" s="153" t="e">
        <f>#REF!</f>
        <v>#REF!</v>
      </c>
      <c r="AU72" s="202"/>
      <c r="AV72" s="152" t="e">
        <f>#REF!</f>
        <v>#REF!</v>
      </c>
      <c r="AW72" s="202"/>
      <c r="AX72" s="153" t="e">
        <f>#REF!</f>
        <v>#REF!</v>
      </c>
      <c r="AY72" s="202"/>
      <c r="AZ72" s="152" t="e">
        <f>#REF!</f>
        <v>#REF!</v>
      </c>
      <c r="BA72" s="202"/>
      <c r="BB72" s="154" t="e">
        <f>#REF!</f>
        <v>#REF!</v>
      </c>
      <c r="BC72" s="137"/>
    </row>
    <row r="73" spans="1:55" ht="30" customHeight="1">
      <c r="A73" s="203" t="e">
        <f>#REF!</f>
        <v>#REF!</v>
      </c>
      <c r="B73" s="204" t="e">
        <f xml:space="preserve"> IF(#REF!=0, "",#REF!)</f>
        <v>#REF!</v>
      </c>
      <c r="C73" s="369" t="e">
        <f>#REF!</f>
        <v>#REF!</v>
      </c>
      <c r="D73" s="369"/>
      <c r="E73" s="291" t="e">
        <f>#REF!</f>
        <v>#REF!</v>
      </c>
      <c r="F73" s="148" t="e">
        <f>#REF!</f>
        <v>#REF!</v>
      </c>
      <c r="G73" s="205" t="e">
        <f xml:space="preserve"> IF(#REF!="", "",#REF!)</f>
        <v>#REF!</v>
      </c>
      <c r="H73" s="205" t="e">
        <f xml:space="preserve"> IF(#REF!="", "",#REF!)</f>
        <v>#REF!</v>
      </c>
      <c r="I73" s="205" t="e">
        <f xml:space="preserve"> IF(#REF!="", "",#REF!)</f>
        <v>#REF!</v>
      </c>
      <c r="J73" s="298" t="e">
        <f>#REF!</f>
        <v>#REF!</v>
      </c>
      <c r="K73" s="149" t="e">
        <f>#REF!</f>
        <v>#REF!</v>
      </c>
      <c r="L73" s="149" t="e">
        <f>#REF!</f>
        <v>#REF!</v>
      </c>
      <c r="M73" s="150" t="e">
        <f>#REF!</f>
        <v>#REF!</v>
      </c>
      <c r="N73" s="364"/>
      <c r="O73" s="202"/>
      <c r="P73" s="151" t="e">
        <f>#REF!</f>
        <v>#REF!</v>
      </c>
      <c r="Q73" s="202"/>
      <c r="R73" s="152" t="e">
        <f>#REF!</f>
        <v>#REF!</v>
      </c>
      <c r="S73" s="202"/>
      <c r="T73" s="153" t="e">
        <f>#REF!</f>
        <v>#REF!</v>
      </c>
      <c r="U73" s="202"/>
      <c r="V73" s="153" t="e">
        <f>#REF!</f>
        <v>#REF!</v>
      </c>
      <c r="W73" s="202"/>
      <c r="X73" s="153" t="e">
        <f>#REF!</f>
        <v>#REF!</v>
      </c>
      <c r="Y73" s="202"/>
      <c r="Z73" s="152" t="e">
        <f>#REF!</f>
        <v>#REF!</v>
      </c>
      <c r="AA73" s="202"/>
      <c r="AB73" s="153" t="e">
        <f>#REF!</f>
        <v>#REF!</v>
      </c>
      <c r="AC73" s="202"/>
      <c r="AD73" s="152" t="e">
        <f>#REF!</f>
        <v>#REF!</v>
      </c>
      <c r="AE73" s="202"/>
      <c r="AF73" s="153" t="e">
        <f>#REF!</f>
        <v>#REF!</v>
      </c>
      <c r="AG73" s="202"/>
      <c r="AH73" s="152" t="e">
        <f>#REF!</f>
        <v>#REF!</v>
      </c>
      <c r="AI73" s="202"/>
      <c r="AJ73" s="153" t="e">
        <f>#REF!</f>
        <v>#REF!</v>
      </c>
      <c r="AK73" s="202"/>
      <c r="AL73" s="152" t="e">
        <f>#REF!</f>
        <v>#REF!</v>
      </c>
      <c r="AM73" s="202"/>
      <c r="AN73" s="153" t="e">
        <f>#REF!</f>
        <v>#REF!</v>
      </c>
      <c r="AO73" s="202"/>
      <c r="AP73" s="152" t="e">
        <f>#REF!</f>
        <v>#REF!</v>
      </c>
      <c r="AQ73" s="202"/>
      <c r="AR73" s="154" t="e">
        <f>#REF!</f>
        <v>#REF!</v>
      </c>
      <c r="AS73" s="202"/>
      <c r="AT73" s="153" t="e">
        <f>#REF!</f>
        <v>#REF!</v>
      </c>
      <c r="AU73" s="202"/>
      <c r="AV73" s="152" t="e">
        <f>#REF!</f>
        <v>#REF!</v>
      </c>
      <c r="AW73" s="202"/>
      <c r="AX73" s="153" t="e">
        <f>#REF!</f>
        <v>#REF!</v>
      </c>
      <c r="AY73" s="202"/>
      <c r="AZ73" s="152" t="e">
        <f>#REF!</f>
        <v>#REF!</v>
      </c>
      <c r="BA73" s="202"/>
      <c r="BB73" s="154" t="e">
        <f>#REF!</f>
        <v>#REF!</v>
      </c>
      <c r="BC73" s="137"/>
    </row>
    <row r="74" spans="1:55" ht="30" customHeight="1">
      <c r="A74" s="203" t="e">
        <f>#REF!</f>
        <v>#REF!</v>
      </c>
      <c r="B74" s="204" t="e">
        <f xml:space="preserve"> IF(#REF!=0, "",#REF!)</f>
        <v>#REF!</v>
      </c>
      <c r="C74" s="369" t="e">
        <f>#REF!</f>
        <v>#REF!</v>
      </c>
      <c r="D74" s="369"/>
      <c r="E74" s="291" t="e">
        <f>#REF!</f>
        <v>#REF!</v>
      </c>
      <c r="F74" s="148" t="e">
        <f>#REF!</f>
        <v>#REF!</v>
      </c>
      <c r="G74" s="205" t="e">
        <f xml:space="preserve"> IF(#REF!="", "",#REF!)</f>
        <v>#REF!</v>
      </c>
      <c r="H74" s="205" t="e">
        <f xml:space="preserve"> IF(#REF!="", "",#REF!)</f>
        <v>#REF!</v>
      </c>
      <c r="I74" s="205" t="e">
        <f xml:space="preserve"> IF(#REF!="", "",#REF!)</f>
        <v>#REF!</v>
      </c>
      <c r="J74" s="298" t="e">
        <f>#REF!</f>
        <v>#REF!</v>
      </c>
      <c r="K74" s="149" t="e">
        <f>#REF!</f>
        <v>#REF!</v>
      </c>
      <c r="L74" s="149" t="e">
        <f>#REF!</f>
        <v>#REF!</v>
      </c>
      <c r="M74" s="150" t="e">
        <f>#REF!</f>
        <v>#REF!</v>
      </c>
      <c r="N74" s="364"/>
      <c r="O74" s="202"/>
      <c r="P74" s="151" t="e">
        <f>#REF!</f>
        <v>#REF!</v>
      </c>
      <c r="Q74" s="202"/>
      <c r="R74" s="152" t="e">
        <f>#REF!</f>
        <v>#REF!</v>
      </c>
      <c r="S74" s="202"/>
      <c r="T74" s="153" t="e">
        <f>#REF!</f>
        <v>#REF!</v>
      </c>
      <c r="U74" s="202"/>
      <c r="V74" s="153" t="e">
        <f>#REF!</f>
        <v>#REF!</v>
      </c>
      <c r="W74" s="202"/>
      <c r="X74" s="153" t="e">
        <f>#REF!</f>
        <v>#REF!</v>
      </c>
      <c r="Y74" s="202"/>
      <c r="Z74" s="152" t="e">
        <f>#REF!</f>
        <v>#REF!</v>
      </c>
      <c r="AA74" s="202"/>
      <c r="AB74" s="153" t="e">
        <f>#REF!</f>
        <v>#REF!</v>
      </c>
      <c r="AC74" s="202"/>
      <c r="AD74" s="152" t="e">
        <f>#REF!</f>
        <v>#REF!</v>
      </c>
      <c r="AE74" s="202"/>
      <c r="AF74" s="153" t="e">
        <f>#REF!</f>
        <v>#REF!</v>
      </c>
      <c r="AG74" s="202"/>
      <c r="AH74" s="152" t="e">
        <f>#REF!</f>
        <v>#REF!</v>
      </c>
      <c r="AI74" s="202"/>
      <c r="AJ74" s="153" t="e">
        <f>#REF!</f>
        <v>#REF!</v>
      </c>
      <c r="AK74" s="202"/>
      <c r="AL74" s="152" t="e">
        <f>#REF!</f>
        <v>#REF!</v>
      </c>
      <c r="AM74" s="202"/>
      <c r="AN74" s="153" t="e">
        <f>#REF!</f>
        <v>#REF!</v>
      </c>
      <c r="AO74" s="202"/>
      <c r="AP74" s="152" t="e">
        <f>#REF!</f>
        <v>#REF!</v>
      </c>
      <c r="AQ74" s="202"/>
      <c r="AR74" s="154" t="e">
        <f>#REF!</f>
        <v>#REF!</v>
      </c>
      <c r="AS74" s="202"/>
      <c r="AT74" s="153" t="e">
        <f>#REF!</f>
        <v>#REF!</v>
      </c>
      <c r="AU74" s="202"/>
      <c r="AV74" s="152" t="e">
        <f>#REF!</f>
        <v>#REF!</v>
      </c>
      <c r="AW74" s="202"/>
      <c r="AX74" s="153" t="e">
        <f>#REF!</f>
        <v>#REF!</v>
      </c>
      <c r="AY74" s="202"/>
      <c r="AZ74" s="152" t="e">
        <f>#REF!</f>
        <v>#REF!</v>
      </c>
      <c r="BA74" s="202"/>
      <c r="BB74" s="154" t="e">
        <f>#REF!</f>
        <v>#REF!</v>
      </c>
      <c r="BC74" s="137"/>
    </row>
    <row r="75" spans="1:55" ht="30" customHeight="1">
      <c r="A75" s="203" t="e">
        <f>#REF!</f>
        <v>#REF!</v>
      </c>
      <c r="B75" s="204" t="e">
        <f xml:space="preserve"> IF(#REF!=0, "",#REF!)</f>
        <v>#REF!</v>
      </c>
      <c r="C75" s="369" t="e">
        <f>#REF!</f>
        <v>#REF!</v>
      </c>
      <c r="D75" s="369"/>
      <c r="E75" s="291" t="e">
        <f>#REF!</f>
        <v>#REF!</v>
      </c>
      <c r="F75" s="148" t="e">
        <f>#REF!</f>
        <v>#REF!</v>
      </c>
      <c r="G75" s="205" t="e">
        <f xml:space="preserve"> IF(#REF!="", "",#REF!)</f>
        <v>#REF!</v>
      </c>
      <c r="H75" s="205" t="e">
        <f xml:space="preserve"> IF(#REF!="", "",#REF!)</f>
        <v>#REF!</v>
      </c>
      <c r="I75" s="205" t="e">
        <f xml:space="preserve"> IF(#REF!="", "",#REF!)</f>
        <v>#REF!</v>
      </c>
      <c r="J75" s="298" t="e">
        <f>#REF!</f>
        <v>#REF!</v>
      </c>
      <c r="K75" s="149" t="e">
        <f>#REF!</f>
        <v>#REF!</v>
      </c>
      <c r="L75" s="149" t="e">
        <f>#REF!</f>
        <v>#REF!</v>
      </c>
      <c r="M75" s="150" t="e">
        <f>#REF!</f>
        <v>#REF!</v>
      </c>
      <c r="N75" s="364"/>
      <c r="O75" s="202"/>
      <c r="P75" s="151" t="e">
        <f>#REF!</f>
        <v>#REF!</v>
      </c>
      <c r="Q75" s="202"/>
      <c r="R75" s="152" t="e">
        <f>#REF!</f>
        <v>#REF!</v>
      </c>
      <c r="S75" s="202"/>
      <c r="T75" s="153" t="e">
        <f>#REF!</f>
        <v>#REF!</v>
      </c>
      <c r="U75" s="202"/>
      <c r="V75" s="153" t="e">
        <f>#REF!</f>
        <v>#REF!</v>
      </c>
      <c r="W75" s="202"/>
      <c r="X75" s="153" t="e">
        <f>#REF!</f>
        <v>#REF!</v>
      </c>
      <c r="Y75" s="202"/>
      <c r="Z75" s="152" t="e">
        <f>#REF!</f>
        <v>#REF!</v>
      </c>
      <c r="AA75" s="202"/>
      <c r="AB75" s="153" t="e">
        <f>#REF!</f>
        <v>#REF!</v>
      </c>
      <c r="AC75" s="202"/>
      <c r="AD75" s="152" t="e">
        <f>#REF!</f>
        <v>#REF!</v>
      </c>
      <c r="AE75" s="202"/>
      <c r="AF75" s="153" t="e">
        <f>#REF!</f>
        <v>#REF!</v>
      </c>
      <c r="AG75" s="202"/>
      <c r="AH75" s="152" t="e">
        <f>#REF!</f>
        <v>#REF!</v>
      </c>
      <c r="AI75" s="202"/>
      <c r="AJ75" s="153" t="e">
        <f>#REF!</f>
        <v>#REF!</v>
      </c>
      <c r="AK75" s="202"/>
      <c r="AL75" s="152" t="e">
        <f>#REF!</f>
        <v>#REF!</v>
      </c>
      <c r="AM75" s="202"/>
      <c r="AN75" s="153" t="e">
        <f>#REF!</f>
        <v>#REF!</v>
      </c>
      <c r="AO75" s="202"/>
      <c r="AP75" s="152" t="e">
        <f>#REF!</f>
        <v>#REF!</v>
      </c>
      <c r="AQ75" s="202"/>
      <c r="AR75" s="154" t="e">
        <f>#REF!</f>
        <v>#REF!</v>
      </c>
      <c r="AS75" s="202"/>
      <c r="AT75" s="153" t="e">
        <f>#REF!</f>
        <v>#REF!</v>
      </c>
      <c r="AU75" s="202"/>
      <c r="AV75" s="152" t="e">
        <f>#REF!</f>
        <v>#REF!</v>
      </c>
      <c r="AW75" s="202"/>
      <c r="AX75" s="153" t="e">
        <f>#REF!</f>
        <v>#REF!</v>
      </c>
      <c r="AY75" s="202"/>
      <c r="AZ75" s="152" t="e">
        <f>#REF!</f>
        <v>#REF!</v>
      </c>
      <c r="BA75" s="202"/>
      <c r="BB75" s="154" t="e">
        <f>#REF!</f>
        <v>#REF!</v>
      </c>
      <c r="BC75" s="137"/>
    </row>
    <row r="76" spans="1:55" ht="30" customHeight="1">
      <c r="A76" s="203" t="e">
        <f>#REF!</f>
        <v>#REF!</v>
      </c>
      <c r="B76" s="204" t="e">
        <f xml:space="preserve"> IF(#REF!=0, "",#REF!)</f>
        <v>#REF!</v>
      </c>
      <c r="C76" s="369" t="e">
        <f>#REF!</f>
        <v>#REF!</v>
      </c>
      <c r="D76" s="369"/>
      <c r="E76" s="291" t="e">
        <f>#REF!</f>
        <v>#REF!</v>
      </c>
      <c r="F76" s="148" t="e">
        <f>#REF!</f>
        <v>#REF!</v>
      </c>
      <c r="G76" s="205" t="e">
        <f xml:space="preserve"> IF(#REF!="", "",#REF!)</f>
        <v>#REF!</v>
      </c>
      <c r="H76" s="205" t="e">
        <f xml:space="preserve"> IF(#REF!="", "",#REF!)</f>
        <v>#REF!</v>
      </c>
      <c r="I76" s="205" t="e">
        <f xml:space="preserve"> IF(#REF!="", "",#REF!)</f>
        <v>#REF!</v>
      </c>
      <c r="J76" s="298" t="e">
        <f>#REF!</f>
        <v>#REF!</v>
      </c>
      <c r="K76" s="149" t="e">
        <f>#REF!</f>
        <v>#REF!</v>
      </c>
      <c r="L76" s="149" t="e">
        <f>#REF!</f>
        <v>#REF!</v>
      </c>
      <c r="M76" s="150" t="e">
        <f>#REF!</f>
        <v>#REF!</v>
      </c>
      <c r="N76" s="364"/>
      <c r="O76" s="202"/>
      <c r="P76" s="151" t="e">
        <f>#REF!</f>
        <v>#REF!</v>
      </c>
      <c r="Q76" s="202"/>
      <c r="R76" s="152" t="e">
        <f>#REF!</f>
        <v>#REF!</v>
      </c>
      <c r="S76" s="202"/>
      <c r="T76" s="153" t="e">
        <f>#REF!</f>
        <v>#REF!</v>
      </c>
      <c r="U76" s="202"/>
      <c r="V76" s="153" t="e">
        <f>#REF!</f>
        <v>#REF!</v>
      </c>
      <c r="W76" s="202"/>
      <c r="X76" s="153" t="e">
        <f>#REF!</f>
        <v>#REF!</v>
      </c>
      <c r="Y76" s="202"/>
      <c r="Z76" s="152" t="e">
        <f>#REF!</f>
        <v>#REF!</v>
      </c>
      <c r="AA76" s="202"/>
      <c r="AB76" s="153" t="e">
        <f>#REF!</f>
        <v>#REF!</v>
      </c>
      <c r="AC76" s="202"/>
      <c r="AD76" s="152" t="e">
        <f>#REF!</f>
        <v>#REF!</v>
      </c>
      <c r="AE76" s="202"/>
      <c r="AF76" s="153" t="e">
        <f>#REF!</f>
        <v>#REF!</v>
      </c>
      <c r="AG76" s="202"/>
      <c r="AH76" s="152" t="e">
        <f>#REF!</f>
        <v>#REF!</v>
      </c>
      <c r="AI76" s="202"/>
      <c r="AJ76" s="153" t="e">
        <f>#REF!</f>
        <v>#REF!</v>
      </c>
      <c r="AK76" s="202"/>
      <c r="AL76" s="152" t="e">
        <f>#REF!</f>
        <v>#REF!</v>
      </c>
      <c r="AM76" s="202"/>
      <c r="AN76" s="153" t="e">
        <f>#REF!</f>
        <v>#REF!</v>
      </c>
      <c r="AO76" s="202"/>
      <c r="AP76" s="152" t="e">
        <f>#REF!</f>
        <v>#REF!</v>
      </c>
      <c r="AQ76" s="202"/>
      <c r="AR76" s="154" t="e">
        <f>#REF!</f>
        <v>#REF!</v>
      </c>
      <c r="AS76" s="202"/>
      <c r="AT76" s="153" t="e">
        <f>#REF!</f>
        <v>#REF!</v>
      </c>
      <c r="AU76" s="202"/>
      <c r="AV76" s="152" t="e">
        <f>#REF!</f>
        <v>#REF!</v>
      </c>
      <c r="AW76" s="202"/>
      <c r="AX76" s="153" t="e">
        <f>#REF!</f>
        <v>#REF!</v>
      </c>
      <c r="AY76" s="202"/>
      <c r="AZ76" s="152" t="e">
        <f>#REF!</f>
        <v>#REF!</v>
      </c>
      <c r="BA76" s="202"/>
      <c r="BB76" s="154" t="e">
        <f>#REF!</f>
        <v>#REF!</v>
      </c>
      <c r="BC76" s="137"/>
    </row>
    <row r="77" spans="1:55" ht="30" customHeight="1">
      <c r="A77" s="203" t="e">
        <f>#REF!</f>
        <v>#REF!</v>
      </c>
      <c r="B77" s="204" t="e">
        <f xml:space="preserve"> IF(#REF!=0, "",#REF!)</f>
        <v>#REF!</v>
      </c>
      <c r="C77" s="369" t="e">
        <f>#REF!</f>
        <v>#REF!</v>
      </c>
      <c r="D77" s="369"/>
      <c r="E77" s="291" t="e">
        <f>#REF!</f>
        <v>#REF!</v>
      </c>
      <c r="F77" s="148" t="e">
        <f>#REF!</f>
        <v>#REF!</v>
      </c>
      <c r="G77" s="205" t="e">
        <f xml:space="preserve"> IF(#REF!="", "",#REF!)</f>
        <v>#REF!</v>
      </c>
      <c r="H77" s="205" t="e">
        <f xml:space="preserve"> IF(#REF!="", "",#REF!)</f>
        <v>#REF!</v>
      </c>
      <c r="I77" s="205" t="e">
        <f xml:space="preserve"> IF(#REF!="", "",#REF!)</f>
        <v>#REF!</v>
      </c>
      <c r="J77" s="298" t="e">
        <f>#REF!</f>
        <v>#REF!</v>
      </c>
      <c r="K77" s="149" t="e">
        <f>#REF!</f>
        <v>#REF!</v>
      </c>
      <c r="L77" s="149" t="e">
        <f>#REF!</f>
        <v>#REF!</v>
      </c>
      <c r="M77" s="150" t="e">
        <f>#REF!</f>
        <v>#REF!</v>
      </c>
      <c r="N77" s="364"/>
      <c r="O77" s="202"/>
      <c r="P77" s="151" t="e">
        <f>#REF!</f>
        <v>#REF!</v>
      </c>
      <c r="Q77" s="202"/>
      <c r="R77" s="152" t="e">
        <f>#REF!</f>
        <v>#REF!</v>
      </c>
      <c r="S77" s="202"/>
      <c r="T77" s="153" t="e">
        <f>#REF!</f>
        <v>#REF!</v>
      </c>
      <c r="U77" s="202"/>
      <c r="V77" s="153" t="e">
        <f>#REF!</f>
        <v>#REF!</v>
      </c>
      <c r="W77" s="202"/>
      <c r="X77" s="153" t="e">
        <f>#REF!</f>
        <v>#REF!</v>
      </c>
      <c r="Y77" s="202"/>
      <c r="Z77" s="152" t="e">
        <f>#REF!</f>
        <v>#REF!</v>
      </c>
      <c r="AA77" s="202"/>
      <c r="AB77" s="153" t="e">
        <f>#REF!</f>
        <v>#REF!</v>
      </c>
      <c r="AC77" s="202"/>
      <c r="AD77" s="152" t="e">
        <f>#REF!</f>
        <v>#REF!</v>
      </c>
      <c r="AE77" s="202"/>
      <c r="AF77" s="153" t="e">
        <f>#REF!</f>
        <v>#REF!</v>
      </c>
      <c r="AG77" s="202"/>
      <c r="AH77" s="152" t="e">
        <f>#REF!</f>
        <v>#REF!</v>
      </c>
      <c r="AI77" s="202"/>
      <c r="AJ77" s="153" t="e">
        <f>#REF!</f>
        <v>#REF!</v>
      </c>
      <c r="AK77" s="202"/>
      <c r="AL77" s="152" t="e">
        <f>#REF!</f>
        <v>#REF!</v>
      </c>
      <c r="AM77" s="202"/>
      <c r="AN77" s="153" t="e">
        <f>#REF!</f>
        <v>#REF!</v>
      </c>
      <c r="AO77" s="202"/>
      <c r="AP77" s="152" t="e">
        <f>#REF!</f>
        <v>#REF!</v>
      </c>
      <c r="AQ77" s="202"/>
      <c r="AR77" s="154" t="e">
        <f>#REF!</f>
        <v>#REF!</v>
      </c>
      <c r="AS77" s="202"/>
      <c r="AT77" s="153" t="e">
        <f>#REF!</f>
        <v>#REF!</v>
      </c>
      <c r="AU77" s="202"/>
      <c r="AV77" s="152" t="e">
        <f>#REF!</f>
        <v>#REF!</v>
      </c>
      <c r="AW77" s="202"/>
      <c r="AX77" s="153" t="e">
        <f>#REF!</f>
        <v>#REF!</v>
      </c>
      <c r="AY77" s="202"/>
      <c r="AZ77" s="152" t="e">
        <f>#REF!</f>
        <v>#REF!</v>
      </c>
      <c r="BA77" s="202"/>
      <c r="BB77" s="154" t="e">
        <f>#REF!</f>
        <v>#REF!</v>
      </c>
      <c r="BC77" s="137"/>
    </row>
    <row r="78" spans="1:55" ht="30" customHeight="1">
      <c r="A78" s="203" t="e">
        <f>#REF!</f>
        <v>#REF!</v>
      </c>
      <c r="B78" s="204" t="e">
        <f xml:space="preserve"> IF(#REF!=0, "",#REF!)</f>
        <v>#REF!</v>
      </c>
      <c r="C78" s="369" t="e">
        <f>#REF!</f>
        <v>#REF!</v>
      </c>
      <c r="D78" s="369"/>
      <c r="E78" s="291" t="e">
        <f>#REF!</f>
        <v>#REF!</v>
      </c>
      <c r="F78" s="148" t="e">
        <f>#REF!</f>
        <v>#REF!</v>
      </c>
      <c r="G78" s="205" t="e">
        <f xml:space="preserve"> IF(#REF!="", "",#REF!)</f>
        <v>#REF!</v>
      </c>
      <c r="H78" s="205" t="e">
        <f xml:space="preserve"> IF(#REF!="", "",#REF!)</f>
        <v>#REF!</v>
      </c>
      <c r="I78" s="205" t="e">
        <f xml:space="preserve"> IF(#REF!="", "",#REF!)</f>
        <v>#REF!</v>
      </c>
      <c r="J78" s="298" t="e">
        <f>#REF!</f>
        <v>#REF!</v>
      </c>
      <c r="K78" s="149" t="e">
        <f>#REF!</f>
        <v>#REF!</v>
      </c>
      <c r="L78" s="149" t="e">
        <f>#REF!</f>
        <v>#REF!</v>
      </c>
      <c r="M78" s="150" t="e">
        <f>#REF!</f>
        <v>#REF!</v>
      </c>
      <c r="N78" s="364"/>
      <c r="O78" s="202"/>
      <c r="P78" s="151" t="e">
        <f>#REF!</f>
        <v>#REF!</v>
      </c>
      <c r="Q78" s="202"/>
      <c r="R78" s="152" t="e">
        <f>#REF!</f>
        <v>#REF!</v>
      </c>
      <c r="S78" s="202"/>
      <c r="T78" s="153" t="e">
        <f>#REF!</f>
        <v>#REF!</v>
      </c>
      <c r="U78" s="202"/>
      <c r="V78" s="153" t="e">
        <f>#REF!</f>
        <v>#REF!</v>
      </c>
      <c r="W78" s="202"/>
      <c r="X78" s="153" t="e">
        <f>#REF!</f>
        <v>#REF!</v>
      </c>
      <c r="Y78" s="202"/>
      <c r="Z78" s="152" t="e">
        <f>#REF!</f>
        <v>#REF!</v>
      </c>
      <c r="AA78" s="202"/>
      <c r="AB78" s="153" t="e">
        <f>#REF!</f>
        <v>#REF!</v>
      </c>
      <c r="AC78" s="202"/>
      <c r="AD78" s="152" t="e">
        <f>#REF!</f>
        <v>#REF!</v>
      </c>
      <c r="AE78" s="202"/>
      <c r="AF78" s="153" t="e">
        <f>#REF!</f>
        <v>#REF!</v>
      </c>
      <c r="AG78" s="202"/>
      <c r="AH78" s="152" t="e">
        <f>#REF!</f>
        <v>#REF!</v>
      </c>
      <c r="AI78" s="202"/>
      <c r="AJ78" s="153" t="e">
        <f>#REF!</f>
        <v>#REF!</v>
      </c>
      <c r="AK78" s="202"/>
      <c r="AL78" s="152" t="e">
        <f>#REF!</f>
        <v>#REF!</v>
      </c>
      <c r="AM78" s="202"/>
      <c r="AN78" s="153" t="e">
        <f>#REF!</f>
        <v>#REF!</v>
      </c>
      <c r="AO78" s="202"/>
      <c r="AP78" s="152" t="e">
        <f>#REF!</f>
        <v>#REF!</v>
      </c>
      <c r="AQ78" s="202"/>
      <c r="AR78" s="154" t="e">
        <f>#REF!</f>
        <v>#REF!</v>
      </c>
      <c r="AS78" s="202"/>
      <c r="AT78" s="153" t="e">
        <f>#REF!</f>
        <v>#REF!</v>
      </c>
      <c r="AU78" s="202"/>
      <c r="AV78" s="152" t="e">
        <f>#REF!</f>
        <v>#REF!</v>
      </c>
      <c r="AW78" s="202"/>
      <c r="AX78" s="153" t="e">
        <f>#REF!</f>
        <v>#REF!</v>
      </c>
      <c r="AY78" s="202"/>
      <c r="AZ78" s="152" t="e">
        <f>#REF!</f>
        <v>#REF!</v>
      </c>
      <c r="BA78" s="202"/>
      <c r="BB78" s="154" t="e">
        <f>#REF!</f>
        <v>#REF!</v>
      </c>
      <c r="BC78" s="137"/>
    </row>
    <row r="79" spans="1:55" ht="30" customHeight="1">
      <c r="A79" s="203" t="e">
        <f>#REF!</f>
        <v>#REF!</v>
      </c>
      <c r="B79" s="204" t="e">
        <f xml:space="preserve"> IF(#REF!=0, "",#REF!)</f>
        <v>#REF!</v>
      </c>
      <c r="C79" s="369" t="e">
        <f>#REF!</f>
        <v>#REF!</v>
      </c>
      <c r="D79" s="369"/>
      <c r="E79" s="291" t="e">
        <f>#REF!</f>
        <v>#REF!</v>
      </c>
      <c r="F79" s="148" t="e">
        <f>#REF!</f>
        <v>#REF!</v>
      </c>
      <c r="G79" s="205" t="e">
        <f xml:space="preserve"> IF(#REF!="", "",#REF!)</f>
        <v>#REF!</v>
      </c>
      <c r="H79" s="205" t="e">
        <f xml:space="preserve"> IF(#REF!="", "",#REF!)</f>
        <v>#REF!</v>
      </c>
      <c r="I79" s="205" t="e">
        <f xml:space="preserve"> IF(#REF!="", "",#REF!)</f>
        <v>#REF!</v>
      </c>
      <c r="J79" s="298" t="e">
        <f>#REF!</f>
        <v>#REF!</v>
      </c>
      <c r="K79" s="149" t="e">
        <f>#REF!</f>
        <v>#REF!</v>
      </c>
      <c r="L79" s="149" t="e">
        <f>#REF!</f>
        <v>#REF!</v>
      </c>
      <c r="M79" s="150" t="e">
        <f>#REF!</f>
        <v>#REF!</v>
      </c>
      <c r="N79" s="364"/>
      <c r="O79" s="202"/>
      <c r="P79" s="151" t="e">
        <f>#REF!</f>
        <v>#REF!</v>
      </c>
      <c r="Q79" s="202"/>
      <c r="R79" s="152" t="e">
        <f>#REF!</f>
        <v>#REF!</v>
      </c>
      <c r="S79" s="202"/>
      <c r="T79" s="153" t="e">
        <f>#REF!</f>
        <v>#REF!</v>
      </c>
      <c r="U79" s="202"/>
      <c r="V79" s="153" t="e">
        <f>#REF!</f>
        <v>#REF!</v>
      </c>
      <c r="W79" s="202"/>
      <c r="X79" s="153" t="e">
        <f>#REF!</f>
        <v>#REF!</v>
      </c>
      <c r="Y79" s="202"/>
      <c r="Z79" s="152" t="e">
        <f>#REF!</f>
        <v>#REF!</v>
      </c>
      <c r="AA79" s="202"/>
      <c r="AB79" s="153" t="e">
        <f>#REF!</f>
        <v>#REF!</v>
      </c>
      <c r="AC79" s="202"/>
      <c r="AD79" s="152" t="e">
        <f>#REF!</f>
        <v>#REF!</v>
      </c>
      <c r="AE79" s="202"/>
      <c r="AF79" s="153" t="e">
        <f>#REF!</f>
        <v>#REF!</v>
      </c>
      <c r="AG79" s="202"/>
      <c r="AH79" s="152" t="e">
        <f>#REF!</f>
        <v>#REF!</v>
      </c>
      <c r="AI79" s="202"/>
      <c r="AJ79" s="153" t="e">
        <f>#REF!</f>
        <v>#REF!</v>
      </c>
      <c r="AK79" s="202"/>
      <c r="AL79" s="152" t="e">
        <f>#REF!</f>
        <v>#REF!</v>
      </c>
      <c r="AM79" s="202"/>
      <c r="AN79" s="153" t="e">
        <f>#REF!</f>
        <v>#REF!</v>
      </c>
      <c r="AO79" s="202"/>
      <c r="AP79" s="152" t="e">
        <f>#REF!</f>
        <v>#REF!</v>
      </c>
      <c r="AQ79" s="202"/>
      <c r="AR79" s="154" t="e">
        <f>#REF!</f>
        <v>#REF!</v>
      </c>
      <c r="AS79" s="202"/>
      <c r="AT79" s="153" t="e">
        <f>#REF!</f>
        <v>#REF!</v>
      </c>
      <c r="AU79" s="202"/>
      <c r="AV79" s="152" t="e">
        <f>#REF!</f>
        <v>#REF!</v>
      </c>
      <c r="AW79" s="202"/>
      <c r="AX79" s="153" t="e">
        <f>#REF!</f>
        <v>#REF!</v>
      </c>
      <c r="AY79" s="202"/>
      <c r="AZ79" s="152" t="e">
        <f>#REF!</f>
        <v>#REF!</v>
      </c>
      <c r="BA79" s="202"/>
      <c r="BB79" s="154" t="e">
        <f>#REF!</f>
        <v>#REF!</v>
      </c>
      <c r="BC79" s="137"/>
    </row>
    <row r="80" spans="1:55" ht="30" customHeight="1">
      <c r="A80" s="203" t="e">
        <f>#REF!</f>
        <v>#REF!</v>
      </c>
      <c r="B80" s="204" t="e">
        <f xml:space="preserve"> IF(#REF!=0, "",#REF!)</f>
        <v>#REF!</v>
      </c>
      <c r="C80" s="369" t="e">
        <f>#REF!</f>
        <v>#REF!</v>
      </c>
      <c r="D80" s="369"/>
      <c r="E80" s="291" t="e">
        <f>#REF!</f>
        <v>#REF!</v>
      </c>
      <c r="F80" s="148" t="e">
        <f>#REF!</f>
        <v>#REF!</v>
      </c>
      <c r="G80" s="205" t="e">
        <f xml:space="preserve"> IF(#REF!="", "",#REF!)</f>
        <v>#REF!</v>
      </c>
      <c r="H80" s="205" t="e">
        <f xml:space="preserve"> IF(#REF!="", "",#REF!)</f>
        <v>#REF!</v>
      </c>
      <c r="I80" s="205" t="e">
        <f xml:space="preserve"> IF(#REF!="", "",#REF!)</f>
        <v>#REF!</v>
      </c>
      <c r="J80" s="298" t="e">
        <f>#REF!</f>
        <v>#REF!</v>
      </c>
      <c r="K80" s="149" t="e">
        <f>#REF!</f>
        <v>#REF!</v>
      </c>
      <c r="L80" s="149" t="e">
        <f>#REF!</f>
        <v>#REF!</v>
      </c>
      <c r="M80" s="150" t="e">
        <f>#REF!</f>
        <v>#REF!</v>
      </c>
      <c r="N80" s="364"/>
      <c r="O80" s="202"/>
      <c r="P80" s="151" t="e">
        <f>#REF!</f>
        <v>#REF!</v>
      </c>
      <c r="Q80" s="202"/>
      <c r="R80" s="152" t="e">
        <f>#REF!</f>
        <v>#REF!</v>
      </c>
      <c r="S80" s="202"/>
      <c r="T80" s="153" t="e">
        <f>#REF!</f>
        <v>#REF!</v>
      </c>
      <c r="U80" s="202"/>
      <c r="V80" s="153" t="e">
        <f>#REF!</f>
        <v>#REF!</v>
      </c>
      <c r="W80" s="202"/>
      <c r="X80" s="153" t="e">
        <f>#REF!</f>
        <v>#REF!</v>
      </c>
      <c r="Y80" s="202"/>
      <c r="Z80" s="152" t="e">
        <f>#REF!</f>
        <v>#REF!</v>
      </c>
      <c r="AA80" s="202"/>
      <c r="AB80" s="153" t="e">
        <f>#REF!</f>
        <v>#REF!</v>
      </c>
      <c r="AC80" s="202"/>
      <c r="AD80" s="152" t="e">
        <f>#REF!</f>
        <v>#REF!</v>
      </c>
      <c r="AE80" s="202"/>
      <c r="AF80" s="153" t="e">
        <f>#REF!</f>
        <v>#REF!</v>
      </c>
      <c r="AG80" s="202"/>
      <c r="AH80" s="152" t="e">
        <f>#REF!</f>
        <v>#REF!</v>
      </c>
      <c r="AI80" s="202"/>
      <c r="AJ80" s="153" t="e">
        <f>#REF!</f>
        <v>#REF!</v>
      </c>
      <c r="AK80" s="202"/>
      <c r="AL80" s="152" t="e">
        <f>#REF!</f>
        <v>#REF!</v>
      </c>
      <c r="AM80" s="202"/>
      <c r="AN80" s="153" t="e">
        <f>#REF!</f>
        <v>#REF!</v>
      </c>
      <c r="AO80" s="202"/>
      <c r="AP80" s="152" t="e">
        <f>#REF!</f>
        <v>#REF!</v>
      </c>
      <c r="AQ80" s="202"/>
      <c r="AR80" s="154" t="e">
        <f>#REF!</f>
        <v>#REF!</v>
      </c>
      <c r="AS80" s="202"/>
      <c r="AT80" s="153" t="e">
        <f>#REF!</f>
        <v>#REF!</v>
      </c>
      <c r="AU80" s="202"/>
      <c r="AV80" s="152" t="e">
        <f>#REF!</f>
        <v>#REF!</v>
      </c>
      <c r="AW80" s="202"/>
      <c r="AX80" s="153" t="e">
        <f>#REF!</f>
        <v>#REF!</v>
      </c>
      <c r="AY80" s="202"/>
      <c r="AZ80" s="152" t="e">
        <f>#REF!</f>
        <v>#REF!</v>
      </c>
      <c r="BA80" s="202"/>
      <c r="BB80" s="154" t="e">
        <f>#REF!</f>
        <v>#REF!</v>
      </c>
      <c r="BC80" s="137"/>
    </row>
    <row r="81" spans="1:55" ht="30" customHeight="1">
      <c r="A81" s="203" t="e">
        <f>#REF!</f>
        <v>#REF!</v>
      </c>
      <c r="B81" s="204" t="e">
        <f xml:space="preserve"> IF(#REF!=0, "",#REF!)</f>
        <v>#REF!</v>
      </c>
      <c r="C81" s="369" t="e">
        <f>#REF!</f>
        <v>#REF!</v>
      </c>
      <c r="D81" s="369"/>
      <c r="E81" s="291" t="e">
        <f>#REF!</f>
        <v>#REF!</v>
      </c>
      <c r="F81" s="148" t="e">
        <f>#REF!</f>
        <v>#REF!</v>
      </c>
      <c r="G81" s="205" t="e">
        <f xml:space="preserve"> IF(#REF!="", "",#REF!)</f>
        <v>#REF!</v>
      </c>
      <c r="H81" s="205" t="e">
        <f xml:space="preserve"> IF(#REF!="", "",#REF!)</f>
        <v>#REF!</v>
      </c>
      <c r="I81" s="205" t="e">
        <f xml:space="preserve"> IF(#REF!="", "",#REF!)</f>
        <v>#REF!</v>
      </c>
      <c r="J81" s="298" t="e">
        <f>#REF!</f>
        <v>#REF!</v>
      </c>
      <c r="K81" s="149" t="e">
        <f>#REF!</f>
        <v>#REF!</v>
      </c>
      <c r="L81" s="149" t="e">
        <f>#REF!</f>
        <v>#REF!</v>
      </c>
      <c r="M81" s="150" t="e">
        <f>#REF!</f>
        <v>#REF!</v>
      </c>
      <c r="N81" s="364"/>
      <c r="O81" s="202"/>
      <c r="P81" s="151" t="e">
        <f>#REF!</f>
        <v>#REF!</v>
      </c>
      <c r="Q81" s="202"/>
      <c r="R81" s="152" t="e">
        <f>#REF!</f>
        <v>#REF!</v>
      </c>
      <c r="S81" s="202"/>
      <c r="T81" s="153" t="e">
        <f>#REF!</f>
        <v>#REF!</v>
      </c>
      <c r="U81" s="202"/>
      <c r="V81" s="153" t="e">
        <f>#REF!</f>
        <v>#REF!</v>
      </c>
      <c r="W81" s="202"/>
      <c r="X81" s="153" t="e">
        <f>#REF!</f>
        <v>#REF!</v>
      </c>
      <c r="Y81" s="202"/>
      <c r="Z81" s="152" t="e">
        <f>#REF!</f>
        <v>#REF!</v>
      </c>
      <c r="AA81" s="202"/>
      <c r="AB81" s="153" t="e">
        <f>#REF!</f>
        <v>#REF!</v>
      </c>
      <c r="AC81" s="202"/>
      <c r="AD81" s="152" t="e">
        <f>#REF!</f>
        <v>#REF!</v>
      </c>
      <c r="AE81" s="202"/>
      <c r="AF81" s="153" t="e">
        <f>#REF!</f>
        <v>#REF!</v>
      </c>
      <c r="AG81" s="202"/>
      <c r="AH81" s="152" t="e">
        <f>#REF!</f>
        <v>#REF!</v>
      </c>
      <c r="AI81" s="202"/>
      <c r="AJ81" s="153" t="e">
        <f>#REF!</f>
        <v>#REF!</v>
      </c>
      <c r="AK81" s="202"/>
      <c r="AL81" s="152" t="e">
        <f>#REF!</f>
        <v>#REF!</v>
      </c>
      <c r="AM81" s="202"/>
      <c r="AN81" s="153" t="e">
        <f>#REF!</f>
        <v>#REF!</v>
      </c>
      <c r="AO81" s="202"/>
      <c r="AP81" s="152" t="e">
        <f>#REF!</f>
        <v>#REF!</v>
      </c>
      <c r="AQ81" s="202"/>
      <c r="AR81" s="154" t="e">
        <f>#REF!</f>
        <v>#REF!</v>
      </c>
      <c r="AS81" s="202"/>
      <c r="AT81" s="153" t="e">
        <f>#REF!</f>
        <v>#REF!</v>
      </c>
      <c r="AU81" s="202"/>
      <c r="AV81" s="152" t="e">
        <f>#REF!</f>
        <v>#REF!</v>
      </c>
      <c r="AW81" s="202"/>
      <c r="AX81" s="153" t="e">
        <f>#REF!</f>
        <v>#REF!</v>
      </c>
      <c r="AY81" s="202"/>
      <c r="AZ81" s="152" t="e">
        <f>#REF!</f>
        <v>#REF!</v>
      </c>
      <c r="BA81" s="202"/>
      <c r="BB81" s="154" t="e">
        <f>#REF!</f>
        <v>#REF!</v>
      </c>
      <c r="BC81" s="137"/>
    </row>
    <row r="82" spans="1:55" ht="30" customHeight="1">
      <c r="A82" s="203" t="e">
        <f>#REF!</f>
        <v>#REF!</v>
      </c>
      <c r="B82" s="204" t="e">
        <f xml:space="preserve"> IF(#REF!=0, "",#REF!)</f>
        <v>#REF!</v>
      </c>
      <c r="C82" s="369" t="e">
        <f>#REF!</f>
        <v>#REF!</v>
      </c>
      <c r="D82" s="369"/>
      <c r="E82" s="291" t="e">
        <f>#REF!</f>
        <v>#REF!</v>
      </c>
      <c r="F82" s="148" t="e">
        <f>#REF!</f>
        <v>#REF!</v>
      </c>
      <c r="G82" s="205" t="e">
        <f xml:space="preserve"> IF(#REF!="", "",#REF!)</f>
        <v>#REF!</v>
      </c>
      <c r="H82" s="205" t="e">
        <f xml:space="preserve"> IF(#REF!="", "",#REF!)</f>
        <v>#REF!</v>
      </c>
      <c r="I82" s="205" t="e">
        <f xml:space="preserve"> IF(#REF!="", "",#REF!)</f>
        <v>#REF!</v>
      </c>
      <c r="J82" s="298" t="e">
        <f>#REF!</f>
        <v>#REF!</v>
      </c>
      <c r="K82" s="149" t="e">
        <f>#REF!</f>
        <v>#REF!</v>
      </c>
      <c r="L82" s="149" t="e">
        <f>#REF!</f>
        <v>#REF!</v>
      </c>
      <c r="M82" s="150" t="e">
        <f>#REF!</f>
        <v>#REF!</v>
      </c>
      <c r="N82" s="364"/>
      <c r="O82" s="202"/>
      <c r="P82" s="151" t="e">
        <f>#REF!</f>
        <v>#REF!</v>
      </c>
      <c r="Q82" s="202"/>
      <c r="R82" s="152" t="e">
        <f>#REF!</f>
        <v>#REF!</v>
      </c>
      <c r="S82" s="202"/>
      <c r="T82" s="153" t="e">
        <f>#REF!</f>
        <v>#REF!</v>
      </c>
      <c r="U82" s="202"/>
      <c r="V82" s="153" t="e">
        <f>#REF!</f>
        <v>#REF!</v>
      </c>
      <c r="W82" s="202"/>
      <c r="X82" s="153" t="e">
        <f>#REF!</f>
        <v>#REF!</v>
      </c>
      <c r="Y82" s="202"/>
      <c r="Z82" s="152" t="e">
        <f>#REF!</f>
        <v>#REF!</v>
      </c>
      <c r="AA82" s="202"/>
      <c r="AB82" s="153" t="e">
        <f>#REF!</f>
        <v>#REF!</v>
      </c>
      <c r="AC82" s="202"/>
      <c r="AD82" s="152" t="e">
        <f>#REF!</f>
        <v>#REF!</v>
      </c>
      <c r="AE82" s="202"/>
      <c r="AF82" s="153" t="e">
        <f>#REF!</f>
        <v>#REF!</v>
      </c>
      <c r="AG82" s="202"/>
      <c r="AH82" s="152" t="e">
        <f>#REF!</f>
        <v>#REF!</v>
      </c>
      <c r="AI82" s="202"/>
      <c r="AJ82" s="153" t="e">
        <f>#REF!</f>
        <v>#REF!</v>
      </c>
      <c r="AK82" s="202"/>
      <c r="AL82" s="152" t="e">
        <f>#REF!</f>
        <v>#REF!</v>
      </c>
      <c r="AM82" s="202"/>
      <c r="AN82" s="153" t="e">
        <f>#REF!</f>
        <v>#REF!</v>
      </c>
      <c r="AO82" s="202"/>
      <c r="AP82" s="152" t="e">
        <f>#REF!</f>
        <v>#REF!</v>
      </c>
      <c r="AQ82" s="202"/>
      <c r="AR82" s="154" t="e">
        <f>#REF!</f>
        <v>#REF!</v>
      </c>
      <c r="AS82" s="202"/>
      <c r="AT82" s="153" t="e">
        <f>#REF!</f>
        <v>#REF!</v>
      </c>
      <c r="AU82" s="202"/>
      <c r="AV82" s="152" t="e">
        <f>#REF!</f>
        <v>#REF!</v>
      </c>
      <c r="AW82" s="202"/>
      <c r="AX82" s="153" t="e">
        <f>#REF!</f>
        <v>#REF!</v>
      </c>
      <c r="AY82" s="202"/>
      <c r="AZ82" s="152" t="e">
        <f>#REF!</f>
        <v>#REF!</v>
      </c>
      <c r="BA82" s="202"/>
      <c r="BB82" s="154" t="e">
        <f>#REF!</f>
        <v>#REF!</v>
      </c>
      <c r="BC82" s="137"/>
    </row>
    <row r="83" spans="1:55" ht="30" customHeight="1">
      <c r="A83" s="203" t="e">
        <f>#REF!</f>
        <v>#REF!</v>
      </c>
      <c r="B83" s="204" t="e">
        <f xml:space="preserve"> IF(#REF!=0, "",#REF!)</f>
        <v>#REF!</v>
      </c>
      <c r="C83" s="369" t="e">
        <f>#REF!</f>
        <v>#REF!</v>
      </c>
      <c r="D83" s="369"/>
      <c r="E83" s="291" t="e">
        <f>#REF!</f>
        <v>#REF!</v>
      </c>
      <c r="F83" s="148" t="e">
        <f>#REF!</f>
        <v>#REF!</v>
      </c>
      <c r="G83" s="205" t="e">
        <f xml:space="preserve"> IF(#REF!="", "",#REF!)</f>
        <v>#REF!</v>
      </c>
      <c r="H83" s="205" t="e">
        <f xml:space="preserve"> IF(#REF!="", "",#REF!)</f>
        <v>#REF!</v>
      </c>
      <c r="I83" s="205" t="e">
        <f xml:space="preserve"> IF(#REF!="", "",#REF!)</f>
        <v>#REF!</v>
      </c>
      <c r="J83" s="298" t="e">
        <f>#REF!</f>
        <v>#REF!</v>
      </c>
      <c r="K83" s="149" t="e">
        <f>#REF!</f>
        <v>#REF!</v>
      </c>
      <c r="L83" s="149" t="e">
        <f>#REF!</f>
        <v>#REF!</v>
      </c>
      <c r="M83" s="150" t="e">
        <f>#REF!</f>
        <v>#REF!</v>
      </c>
      <c r="N83" s="364"/>
      <c r="O83" s="202"/>
      <c r="P83" s="151" t="e">
        <f>#REF!</f>
        <v>#REF!</v>
      </c>
      <c r="Q83" s="202"/>
      <c r="R83" s="152" t="e">
        <f>#REF!</f>
        <v>#REF!</v>
      </c>
      <c r="S83" s="202"/>
      <c r="T83" s="153" t="e">
        <f>#REF!</f>
        <v>#REF!</v>
      </c>
      <c r="U83" s="202"/>
      <c r="V83" s="153" t="e">
        <f>#REF!</f>
        <v>#REF!</v>
      </c>
      <c r="W83" s="202"/>
      <c r="X83" s="153" t="e">
        <f>#REF!</f>
        <v>#REF!</v>
      </c>
      <c r="Y83" s="202"/>
      <c r="Z83" s="152" t="e">
        <f>#REF!</f>
        <v>#REF!</v>
      </c>
      <c r="AA83" s="202"/>
      <c r="AB83" s="153" t="e">
        <f>#REF!</f>
        <v>#REF!</v>
      </c>
      <c r="AC83" s="202"/>
      <c r="AD83" s="152" t="e">
        <f>#REF!</f>
        <v>#REF!</v>
      </c>
      <c r="AE83" s="202"/>
      <c r="AF83" s="153" t="e">
        <f>#REF!</f>
        <v>#REF!</v>
      </c>
      <c r="AG83" s="202"/>
      <c r="AH83" s="152" t="e">
        <f>#REF!</f>
        <v>#REF!</v>
      </c>
      <c r="AI83" s="202"/>
      <c r="AJ83" s="153" t="e">
        <f>#REF!</f>
        <v>#REF!</v>
      </c>
      <c r="AK83" s="202"/>
      <c r="AL83" s="152" t="e">
        <f>#REF!</f>
        <v>#REF!</v>
      </c>
      <c r="AM83" s="202"/>
      <c r="AN83" s="153" t="e">
        <f>#REF!</f>
        <v>#REF!</v>
      </c>
      <c r="AO83" s="202"/>
      <c r="AP83" s="152" t="e">
        <f>#REF!</f>
        <v>#REF!</v>
      </c>
      <c r="AQ83" s="202"/>
      <c r="AR83" s="154" t="e">
        <f>#REF!</f>
        <v>#REF!</v>
      </c>
      <c r="AS83" s="202"/>
      <c r="AT83" s="153" t="e">
        <f>#REF!</f>
        <v>#REF!</v>
      </c>
      <c r="AU83" s="202"/>
      <c r="AV83" s="152" t="e">
        <f>#REF!</f>
        <v>#REF!</v>
      </c>
      <c r="AW83" s="202"/>
      <c r="AX83" s="153" t="e">
        <f>#REF!</f>
        <v>#REF!</v>
      </c>
      <c r="AY83" s="202"/>
      <c r="AZ83" s="152" t="e">
        <f>#REF!</f>
        <v>#REF!</v>
      </c>
      <c r="BA83" s="202"/>
      <c r="BB83" s="154" t="e">
        <f>#REF!</f>
        <v>#REF!</v>
      </c>
      <c r="BC83" s="137"/>
    </row>
    <row r="84" spans="1:55" ht="30" customHeight="1">
      <c r="A84" s="203" t="e">
        <f>#REF!</f>
        <v>#REF!</v>
      </c>
      <c r="B84" s="204" t="e">
        <f xml:space="preserve"> IF(#REF!=0, "",#REF!)</f>
        <v>#REF!</v>
      </c>
      <c r="C84" s="369" t="e">
        <f>#REF!</f>
        <v>#REF!</v>
      </c>
      <c r="D84" s="369"/>
      <c r="E84" s="291" t="e">
        <f>#REF!</f>
        <v>#REF!</v>
      </c>
      <c r="F84" s="148" t="e">
        <f>#REF!</f>
        <v>#REF!</v>
      </c>
      <c r="G84" s="205" t="e">
        <f xml:space="preserve"> IF(#REF!="", "",#REF!)</f>
        <v>#REF!</v>
      </c>
      <c r="H84" s="205" t="e">
        <f xml:space="preserve"> IF(#REF!="", "",#REF!)</f>
        <v>#REF!</v>
      </c>
      <c r="I84" s="205" t="e">
        <f xml:space="preserve"> IF(#REF!="", "",#REF!)</f>
        <v>#REF!</v>
      </c>
      <c r="J84" s="298" t="e">
        <f>#REF!</f>
        <v>#REF!</v>
      </c>
      <c r="K84" s="149" t="e">
        <f>#REF!</f>
        <v>#REF!</v>
      </c>
      <c r="L84" s="149" t="e">
        <f>#REF!</f>
        <v>#REF!</v>
      </c>
      <c r="M84" s="150" t="e">
        <f>#REF!</f>
        <v>#REF!</v>
      </c>
      <c r="N84" s="364"/>
      <c r="O84" s="202"/>
      <c r="P84" s="151" t="e">
        <f>#REF!</f>
        <v>#REF!</v>
      </c>
      <c r="Q84" s="202"/>
      <c r="R84" s="152" t="e">
        <f>#REF!</f>
        <v>#REF!</v>
      </c>
      <c r="S84" s="202"/>
      <c r="T84" s="153" t="e">
        <f>#REF!</f>
        <v>#REF!</v>
      </c>
      <c r="U84" s="202"/>
      <c r="V84" s="153" t="e">
        <f>#REF!</f>
        <v>#REF!</v>
      </c>
      <c r="W84" s="202"/>
      <c r="X84" s="153" t="e">
        <f>#REF!</f>
        <v>#REF!</v>
      </c>
      <c r="Y84" s="202"/>
      <c r="Z84" s="152" t="e">
        <f>#REF!</f>
        <v>#REF!</v>
      </c>
      <c r="AA84" s="202"/>
      <c r="AB84" s="153" t="e">
        <f>#REF!</f>
        <v>#REF!</v>
      </c>
      <c r="AC84" s="202"/>
      <c r="AD84" s="152" t="e">
        <f>#REF!</f>
        <v>#REF!</v>
      </c>
      <c r="AE84" s="202"/>
      <c r="AF84" s="153" t="e">
        <f>#REF!</f>
        <v>#REF!</v>
      </c>
      <c r="AG84" s="202"/>
      <c r="AH84" s="152" t="e">
        <f>#REF!</f>
        <v>#REF!</v>
      </c>
      <c r="AI84" s="202"/>
      <c r="AJ84" s="153" t="e">
        <f>#REF!</f>
        <v>#REF!</v>
      </c>
      <c r="AK84" s="202"/>
      <c r="AL84" s="152" t="e">
        <f>#REF!</f>
        <v>#REF!</v>
      </c>
      <c r="AM84" s="202"/>
      <c r="AN84" s="153" t="e">
        <f>#REF!</f>
        <v>#REF!</v>
      </c>
      <c r="AO84" s="202"/>
      <c r="AP84" s="152" t="e">
        <f>#REF!</f>
        <v>#REF!</v>
      </c>
      <c r="AQ84" s="202"/>
      <c r="AR84" s="154" t="e">
        <f>#REF!</f>
        <v>#REF!</v>
      </c>
      <c r="AS84" s="202"/>
      <c r="AT84" s="153" t="e">
        <f>#REF!</f>
        <v>#REF!</v>
      </c>
      <c r="AU84" s="202"/>
      <c r="AV84" s="152" t="e">
        <f>#REF!</f>
        <v>#REF!</v>
      </c>
      <c r="AW84" s="202"/>
      <c r="AX84" s="153" t="e">
        <f>#REF!</f>
        <v>#REF!</v>
      </c>
      <c r="AY84" s="202"/>
      <c r="AZ84" s="152" t="e">
        <f>#REF!</f>
        <v>#REF!</v>
      </c>
      <c r="BA84" s="202"/>
      <c r="BB84" s="154" t="e">
        <f>#REF!</f>
        <v>#REF!</v>
      </c>
      <c r="BC84" s="137"/>
    </row>
    <row r="85" spans="1:55" ht="30" customHeight="1">
      <c r="A85" s="203" t="e">
        <f>#REF!</f>
        <v>#REF!</v>
      </c>
      <c r="B85" s="204" t="e">
        <f xml:space="preserve"> IF(#REF!=0, "",#REF!)</f>
        <v>#REF!</v>
      </c>
      <c r="C85" s="369" t="e">
        <f>#REF!</f>
        <v>#REF!</v>
      </c>
      <c r="D85" s="369"/>
      <c r="E85" s="291" t="e">
        <f>#REF!</f>
        <v>#REF!</v>
      </c>
      <c r="F85" s="148" t="e">
        <f>#REF!</f>
        <v>#REF!</v>
      </c>
      <c r="G85" s="205" t="e">
        <f xml:space="preserve"> IF(#REF!="", "",#REF!)</f>
        <v>#REF!</v>
      </c>
      <c r="H85" s="205" t="e">
        <f xml:space="preserve"> IF(#REF!="", "",#REF!)</f>
        <v>#REF!</v>
      </c>
      <c r="I85" s="205" t="e">
        <f xml:space="preserve"> IF(#REF!="", "",#REF!)</f>
        <v>#REF!</v>
      </c>
      <c r="J85" s="298" t="e">
        <f>#REF!</f>
        <v>#REF!</v>
      </c>
      <c r="K85" s="149" t="e">
        <f>#REF!</f>
        <v>#REF!</v>
      </c>
      <c r="L85" s="149" t="e">
        <f>#REF!</f>
        <v>#REF!</v>
      </c>
      <c r="M85" s="150" t="e">
        <f>#REF!</f>
        <v>#REF!</v>
      </c>
      <c r="N85" s="364"/>
      <c r="O85" s="202"/>
      <c r="P85" s="151" t="e">
        <f>#REF!</f>
        <v>#REF!</v>
      </c>
      <c r="Q85" s="202"/>
      <c r="R85" s="152" t="e">
        <f>#REF!</f>
        <v>#REF!</v>
      </c>
      <c r="S85" s="202"/>
      <c r="T85" s="153" t="e">
        <f>#REF!</f>
        <v>#REF!</v>
      </c>
      <c r="U85" s="202"/>
      <c r="V85" s="153" t="e">
        <f>#REF!</f>
        <v>#REF!</v>
      </c>
      <c r="W85" s="202"/>
      <c r="X85" s="153" t="e">
        <f>#REF!</f>
        <v>#REF!</v>
      </c>
      <c r="Y85" s="202"/>
      <c r="Z85" s="152" t="e">
        <f>#REF!</f>
        <v>#REF!</v>
      </c>
      <c r="AA85" s="202"/>
      <c r="AB85" s="153" t="e">
        <f>#REF!</f>
        <v>#REF!</v>
      </c>
      <c r="AC85" s="202"/>
      <c r="AD85" s="152" t="e">
        <f>#REF!</f>
        <v>#REF!</v>
      </c>
      <c r="AE85" s="202"/>
      <c r="AF85" s="153" t="e">
        <f>#REF!</f>
        <v>#REF!</v>
      </c>
      <c r="AG85" s="202"/>
      <c r="AH85" s="152" t="e">
        <f>#REF!</f>
        <v>#REF!</v>
      </c>
      <c r="AI85" s="202"/>
      <c r="AJ85" s="153" t="e">
        <f>#REF!</f>
        <v>#REF!</v>
      </c>
      <c r="AK85" s="202"/>
      <c r="AL85" s="152" t="e">
        <f>#REF!</f>
        <v>#REF!</v>
      </c>
      <c r="AM85" s="202"/>
      <c r="AN85" s="153" t="e">
        <f>#REF!</f>
        <v>#REF!</v>
      </c>
      <c r="AO85" s="202"/>
      <c r="AP85" s="152" t="e">
        <f>#REF!</f>
        <v>#REF!</v>
      </c>
      <c r="AQ85" s="202"/>
      <c r="AR85" s="154" t="e">
        <f>#REF!</f>
        <v>#REF!</v>
      </c>
      <c r="AS85" s="202"/>
      <c r="AT85" s="153" t="e">
        <f>#REF!</f>
        <v>#REF!</v>
      </c>
      <c r="AU85" s="202"/>
      <c r="AV85" s="152" t="e">
        <f>#REF!</f>
        <v>#REF!</v>
      </c>
      <c r="AW85" s="202"/>
      <c r="AX85" s="153" t="e">
        <f>#REF!</f>
        <v>#REF!</v>
      </c>
      <c r="AY85" s="202"/>
      <c r="AZ85" s="152" t="e">
        <f>#REF!</f>
        <v>#REF!</v>
      </c>
      <c r="BA85" s="202"/>
      <c r="BB85" s="154" t="e">
        <f>#REF!</f>
        <v>#REF!</v>
      </c>
      <c r="BC85" s="137"/>
    </row>
    <row r="86" spans="1:55" ht="30" customHeight="1">
      <c r="A86" s="203" t="e">
        <f>#REF!</f>
        <v>#REF!</v>
      </c>
      <c r="B86" s="204" t="e">
        <f xml:space="preserve"> IF(#REF!=0, "",#REF!)</f>
        <v>#REF!</v>
      </c>
      <c r="C86" s="369" t="e">
        <f>#REF!</f>
        <v>#REF!</v>
      </c>
      <c r="D86" s="369"/>
      <c r="E86" s="291" t="e">
        <f>#REF!</f>
        <v>#REF!</v>
      </c>
      <c r="F86" s="148" t="e">
        <f>#REF!</f>
        <v>#REF!</v>
      </c>
      <c r="G86" s="205" t="e">
        <f xml:space="preserve"> IF(#REF!="", "",#REF!)</f>
        <v>#REF!</v>
      </c>
      <c r="H86" s="205" t="e">
        <f xml:space="preserve"> IF(#REF!="", "",#REF!)</f>
        <v>#REF!</v>
      </c>
      <c r="I86" s="205" t="e">
        <f xml:space="preserve"> IF(#REF!="", "",#REF!)</f>
        <v>#REF!</v>
      </c>
      <c r="J86" s="298" t="e">
        <f>#REF!</f>
        <v>#REF!</v>
      </c>
      <c r="K86" s="149" t="e">
        <f>#REF!</f>
        <v>#REF!</v>
      </c>
      <c r="L86" s="149" t="e">
        <f>#REF!</f>
        <v>#REF!</v>
      </c>
      <c r="M86" s="150" t="e">
        <f>#REF!</f>
        <v>#REF!</v>
      </c>
      <c r="N86" s="364"/>
      <c r="O86" s="202"/>
      <c r="P86" s="151" t="e">
        <f>#REF!</f>
        <v>#REF!</v>
      </c>
      <c r="Q86" s="202"/>
      <c r="R86" s="152" t="e">
        <f>#REF!</f>
        <v>#REF!</v>
      </c>
      <c r="S86" s="202"/>
      <c r="T86" s="153" t="e">
        <f>#REF!</f>
        <v>#REF!</v>
      </c>
      <c r="U86" s="202"/>
      <c r="V86" s="153" t="e">
        <f>#REF!</f>
        <v>#REF!</v>
      </c>
      <c r="W86" s="202"/>
      <c r="X86" s="153" t="e">
        <f>#REF!</f>
        <v>#REF!</v>
      </c>
      <c r="Y86" s="202"/>
      <c r="Z86" s="152" t="e">
        <f>#REF!</f>
        <v>#REF!</v>
      </c>
      <c r="AA86" s="202"/>
      <c r="AB86" s="153" t="e">
        <f>#REF!</f>
        <v>#REF!</v>
      </c>
      <c r="AC86" s="202"/>
      <c r="AD86" s="152" t="e">
        <f>#REF!</f>
        <v>#REF!</v>
      </c>
      <c r="AE86" s="202"/>
      <c r="AF86" s="153" t="e">
        <f>#REF!</f>
        <v>#REF!</v>
      </c>
      <c r="AG86" s="202"/>
      <c r="AH86" s="152" t="e">
        <f>#REF!</f>
        <v>#REF!</v>
      </c>
      <c r="AI86" s="202"/>
      <c r="AJ86" s="153" t="e">
        <f>#REF!</f>
        <v>#REF!</v>
      </c>
      <c r="AK86" s="202"/>
      <c r="AL86" s="152" t="e">
        <f>#REF!</f>
        <v>#REF!</v>
      </c>
      <c r="AM86" s="202"/>
      <c r="AN86" s="153" t="e">
        <f>#REF!</f>
        <v>#REF!</v>
      </c>
      <c r="AO86" s="202"/>
      <c r="AP86" s="152" t="e">
        <f>#REF!</f>
        <v>#REF!</v>
      </c>
      <c r="AQ86" s="202"/>
      <c r="AR86" s="154" t="e">
        <f>#REF!</f>
        <v>#REF!</v>
      </c>
      <c r="AS86" s="202"/>
      <c r="AT86" s="153" t="e">
        <f>#REF!</f>
        <v>#REF!</v>
      </c>
      <c r="AU86" s="202"/>
      <c r="AV86" s="152" t="e">
        <f>#REF!</f>
        <v>#REF!</v>
      </c>
      <c r="AW86" s="202"/>
      <c r="AX86" s="153" t="e">
        <f>#REF!</f>
        <v>#REF!</v>
      </c>
      <c r="AY86" s="202"/>
      <c r="AZ86" s="152" t="e">
        <f>#REF!</f>
        <v>#REF!</v>
      </c>
      <c r="BA86" s="202"/>
      <c r="BB86" s="154" t="e">
        <f>#REF!</f>
        <v>#REF!</v>
      </c>
      <c r="BC86" s="137"/>
    </row>
    <row r="87" spans="1:55" ht="30" customHeight="1">
      <c r="A87" s="203" t="e">
        <f>#REF!</f>
        <v>#REF!</v>
      </c>
      <c r="B87" s="204" t="e">
        <f xml:space="preserve"> IF(#REF!=0, "",#REF!)</f>
        <v>#REF!</v>
      </c>
      <c r="C87" s="369" t="e">
        <f>#REF!</f>
        <v>#REF!</v>
      </c>
      <c r="D87" s="369"/>
      <c r="E87" s="291" t="e">
        <f>#REF!</f>
        <v>#REF!</v>
      </c>
      <c r="F87" s="148" t="e">
        <f>#REF!</f>
        <v>#REF!</v>
      </c>
      <c r="G87" s="205" t="e">
        <f xml:space="preserve"> IF(#REF!="", "",#REF!)</f>
        <v>#REF!</v>
      </c>
      <c r="H87" s="205" t="e">
        <f xml:space="preserve"> IF(#REF!="", "",#REF!)</f>
        <v>#REF!</v>
      </c>
      <c r="I87" s="205" t="e">
        <f xml:space="preserve"> IF(#REF!="", "",#REF!)</f>
        <v>#REF!</v>
      </c>
      <c r="J87" s="298" t="e">
        <f>#REF!</f>
        <v>#REF!</v>
      </c>
      <c r="K87" s="149" t="e">
        <f>#REF!</f>
        <v>#REF!</v>
      </c>
      <c r="L87" s="149" t="e">
        <f>#REF!</f>
        <v>#REF!</v>
      </c>
      <c r="M87" s="150" t="e">
        <f>#REF!</f>
        <v>#REF!</v>
      </c>
      <c r="N87" s="364"/>
      <c r="O87" s="202"/>
      <c r="P87" s="151" t="e">
        <f>#REF!</f>
        <v>#REF!</v>
      </c>
      <c r="Q87" s="202"/>
      <c r="R87" s="152" t="e">
        <f>#REF!</f>
        <v>#REF!</v>
      </c>
      <c r="S87" s="202"/>
      <c r="T87" s="153" t="e">
        <f>#REF!</f>
        <v>#REF!</v>
      </c>
      <c r="U87" s="202"/>
      <c r="V87" s="153" t="e">
        <f>#REF!</f>
        <v>#REF!</v>
      </c>
      <c r="W87" s="202"/>
      <c r="X87" s="153" t="e">
        <f>#REF!</f>
        <v>#REF!</v>
      </c>
      <c r="Y87" s="202"/>
      <c r="Z87" s="152" t="e">
        <f>#REF!</f>
        <v>#REF!</v>
      </c>
      <c r="AA87" s="202"/>
      <c r="AB87" s="153" t="e">
        <f>#REF!</f>
        <v>#REF!</v>
      </c>
      <c r="AC87" s="202"/>
      <c r="AD87" s="152" t="e">
        <f>#REF!</f>
        <v>#REF!</v>
      </c>
      <c r="AE87" s="202"/>
      <c r="AF87" s="153" t="e">
        <f>#REF!</f>
        <v>#REF!</v>
      </c>
      <c r="AG87" s="202"/>
      <c r="AH87" s="152" t="e">
        <f>#REF!</f>
        <v>#REF!</v>
      </c>
      <c r="AI87" s="202"/>
      <c r="AJ87" s="153" t="e">
        <f>#REF!</f>
        <v>#REF!</v>
      </c>
      <c r="AK87" s="202"/>
      <c r="AL87" s="152" t="e">
        <f>#REF!</f>
        <v>#REF!</v>
      </c>
      <c r="AM87" s="202"/>
      <c r="AN87" s="153" t="e">
        <f>#REF!</f>
        <v>#REF!</v>
      </c>
      <c r="AO87" s="202"/>
      <c r="AP87" s="152" t="e">
        <f>#REF!</f>
        <v>#REF!</v>
      </c>
      <c r="AQ87" s="202"/>
      <c r="AR87" s="154" t="e">
        <f>#REF!</f>
        <v>#REF!</v>
      </c>
      <c r="AS87" s="202"/>
      <c r="AT87" s="153" t="e">
        <f>#REF!</f>
        <v>#REF!</v>
      </c>
      <c r="AU87" s="202"/>
      <c r="AV87" s="152" t="e">
        <f>#REF!</f>
        <v>#REF!</v>
      </c>
      <c r="AW87" s="202"/>
      <c r="AX87" s="153" t="e">
        <f>#REF!</f>
        <v>#REF!</v>
      </c>
      <c r="AY87" s="202"/>
      <c r="AZ87" s="152" t="e">
        <f>#REF!</f>
        <v>#REF!</v>
      </c>
      <c r="BA87" s="202"/>
      <c r="BB87" s="154" t="e">
        <f>#REF!</f>
        <v>#REF!</v>
      </c>
      <c r="BC87" s="137"/>
    </row>
    <row r="88" spans="1:55" ht="30" customHeight="1">
      <c r="A88" s="203" t="e">
        <f>#REF!</f>
        <v>#REF!</v>
      </c>
      <c r="B88" s="204" t="e">
        <f xml:space="preserve"> IF(#REF!=0, "",#REF!)</f>
        <v>#REF!</v>
      </c>
      <c r="C88" s="369" t="e">
        <f>#REF!</f>
        <v>#REF!</v>
      </c>
      <c r="D88" s="369"/>
      <c r="E88" s="291" t="e">
        <f>#REF!</f>
        <v>#REF!</v>
      </c>
      <c r="F88" s="148" t="e">
        <f>#REF!</f>
        <v>#REF!</v>
      </c>
      <c r="G88" s="205" t="e">
        <f xml:space="preserve"> IF(#REF!="", "",#REF!)</f>
        <v>#REF!</v>
      </c>
      <c r="H88" s="205" t="e">
        <f xml:space="preserve"> IF(#REF!="", "",#REF!)</f>
        <v>#REF!</v>
      </c>
      <c r="I88" s="205" t="e">
        <f xml:space="preserve"> IF(#REF!="", "",#REF!)</f>
        <v>#REF!</v>
      </c>
      <c r="J88" s="298" t="e">
        <f>#REF!</f>
        <v>#REF!</v>
      </c>
      <c r="K88" s="149" t="e">
        <f>#REF!</f>
        <v>#REF!</v>
      </c>
      <c r="L88" s="149" t="e">
        <f>#REF!</f>
        <v>#REF!</v>
      </c>
      <c r="M88" s="150" t="e">
        <f>#REF!</f>
        <v>#REF!</v>
      </c>
      <c r="N88" s="364"/>
      <c r="O88" s="202"/>
      <c r="P88" s="151" t="e">
        <f>#REF!</f>
        <v>#REF!</v>
      </c>
      <c r="Q88" s="202"/>
      <c r="R88" s="152" t="e">
        <f>#REF!</f>
        <v>#REF!</v>
      </c>
      <c r="S88" s="202"/>
      <c r="T88" s="153" t="e">
        <f>#REF!</f>
        <v>#REF!</v>
      </c>
      <c r="U88" s="202"/>
      <c r="V88" s="153" t="e">
        <f>#REF!</f>
        <v>#REF!</v>
      </c>
      <c r="W88" s="202"/>
      <c r="X88" s="153" t="e">
        <f>#REF!</f>
        <v>#REF!</v>
      </c>
      <c r="Y88" s="202"/>
      <c r="Z88" s="152" t="e">
        <f>#REF!</f>
        <v>#REF!</v>
      </c>
      <c r="AA88" s="202"/>
      <c r="AB88" s="153" t="e">
        <f>#REF!</f>
        <v>#REF!</v>
      </c>
      <c r="AC88" s="202"/>
      <c r="AD88" s="152" t="e">
        <f>#REF!</f>
        <v>#REF!</v>
      </c>
      <c r="AE88" s="202"/>
      <c r="AF88" s="153" t="e">
        <f>#REF!</f>
        <v>#REF!</v>
      </c>
      <c r="AG88" s="202"/>
      <c r="AH88" s="152" t="e">
        <f>#REF!</f>
        <v>#REF!</v>
      </c>
      <c r="AI88" s="202"/>
      <c r="AJ88" s="153" t="e">
        <f>#REF!</f>
        <v>#REF!</v>
      </c>
      <c r="AK88" s="202"/>
      <c r="AL88" s="152" t="e">
        <f>#REF!</f>
        <v>#REF!</v>
      </c>
      <c r="AM88" s="202"/>
      <c r="AN88" s="153" t="e">
        <f>#REF!</f>
        <v>#REF!</v>
      </c>
      <c r="AO88" s="202"/>
      <c r="AP88" s="152" t="e">
        <f>#REF!</f>
        <v>#REF!</v>
      </c>
      <c r="AQ88" s="202"/>
      <c r="AR88" s="154" t="e">
        <f>#REF!</f>
        <v>#REF!</v>
      </c>
      <c r="AS88" s="202"/>
      <c r="AT88" s="153" t="e">
        <f>#REF!</f>
        <v>#REF!</v>
      </c>
      <c r="AU88" s="202"/>
      <c r="AV88" s="152" t="e">
        <f>#REF!</f>
        <v>#REF!</v>
      </c>
      <c r="AW88" s="202"/>
      <c r="AX88" s="153" t="e">
        <f>#REF!</f>
        <v>#REF!</v>
      </c>
      <c r="AY88" s="202"/>
      <c r="AZ88" s="152" t="e">
        <f>#REF!</f>
        <v>#REF!</v>
      </c>
      <c r="BA88" s="202"/>
      <c r="BB88" s="154" t="e">
        <f>#REF!</f>
        <v>#REF!</v>
      </c>
      <c r="BC88" s="137"/>
    </row>
    <row r="89" spans="1:55" ht="30" customHeight="1">
      <c r="A89" s="203" t="e">
        <f>#REF!</f>
        <v>#REF!</v>
      </c>
      <c r="B89" s="204" t="e">
        <f xml:space="preserve"> IF(#REF!=0, "",#REF!)</f>
        <v>#REF!</v>
      </c>
      <c r="C89" s="369" t="e">
        <f>#REF!</f>
        <v>#REF!</v>
      </c>
      <c r="D89" s="369"/>
      <c r="E89" s="291" t="e">
        <f>#REF!</f>
        <v>#REF!</v>
      </c>
      <c r="F89" s="148" t="e">
        <f>#REF!</f>
        <v>#REF!</v>
      </c>
      <c r="G89" s="205" t="e">
        <f xml:space="preserve"> IF(#REF!="", "",#REF!)</f>
        <v>#REF!</v>
      </c>
      <c r="H89" s="205" t="e">
        <f xml:space="preserve"> IF(#REF!="", "",#REF!)</f>
        <v>#REF!</v>
      </c>
      <c r="I89" s="205" t="e">
        <f xml:space="preserve"> IF(#REF!="", "",#REF!)</f>
        <v>#REF!</v>
      </c>
      <c r="J89" s="298" t="e">
        <f>#REF!</f>
        <v>#REF!</v>
      </c>
      <c r="K89" s="149" t="e">
        <f>#REF!</f>
        <v>#REF!</v>
      </c>
      <c r="L89" s="149" t="e">
        <f>#REF!</f>
        <v>#REF!</v>
      </c>
      <c r="M89" s="150" t="e">
        <f>#REF!</f>
        <v>#REF!</v>
      </c>
      <c r="N89" s="364"/>
      <c r="O89" s="202"/>
      <c r="P89" s="151" t="e">
        <f>#REF!</f>
        <v>#REF!</v>
      </c>
      <c r="Q89" s="202"/>
      <c r="R89" s="152" t="e">
        <f>#REF!</f>
        <v>#REF!</v>
      </c>
      <c r="S89" s="202"/>
      <c r="T89" s="153" t="e">
        <f>#REF!</f>
        <v>#REF!</v>
      </c>
      <c r="U89" s="202"/>
      <c r="V89" s="153" t="e">
        <f>#REF!</f>
        <v>#REF!</v>
      </c>
      <c r="W89" s="202"/>
      <c r="X89" s="153" t="e">
        <f>#REF!</f>
        <v>#REF!</v>
      </c>
      <c r="Y89" s="202"/>
      <c r="Z89" s="152" t="e">
        <f>#REF!</f>
        <v>#REF!</v>
      </c>
      <c r="AA89" s="202"/>
      <c r="AB89" s="153" t="e">
        <f>#REF!</f>
        <v>#REF!</v>
      </c>
      <c r="AC89" s="202"/>
      <c r="AD89" s="152" t="e">
        <f>#REF!</f>
        <v>#REF!</v>
      </c>
      <c r="AE89" s="202"/>
      <c r="AF89" s="153" t="e">
        <f>#REF!</f>
        <v>#REF!</v>
      </c>
      <c r="AG89" s="202"/>
      <c r="AH89" s="152" t="e">
        <f>#REF!</f>
        <v>#REF!</v>
      </c>
      <c r="AI89" s="202"/>
      <c r="AJ89" s="153" t="e">
        <f>#REF!</f>
        <v>#REF!</v>
      </c>
      <c r="AK89" s="202"/>
      <c r="AL89" s="152" t="e">
        <f>#REF!</f>
        <v>#REF!</v>
      </c>
      <c r="AM89" s="202"/>
      <c r="AN89" s="153" t="e">
        <f>#REF!</f>
        <v>#REF!</v>
      </c>
      <c r="AO89" s="202"/>
      <c r="AP89" s="152" t="e">
        <f>#REF!</f>
        <v>#REF!</v>
      </c>
      <c r="AQ89" s="202"/>
      <c r="AR89" s="154" t="e">
        <f>#REF!</f>
        <v>#REF!</v>
      </c>
      <c r="AS89" s="202"/>
      <c r="AT89" s="153" t="e">
        <f>#REF!</f>
        <v>#REF!</v>
      </c>
      <c r="AU89" s="202"/>
      <c r="AV89" s="152" t="e">
        <f>#REF!</f>
        <v>#REF!</v>
      </c>
      <c r="AW89" s="202"/>
      <c r="AX89" s="153" t="e">
        <f>#REF!</f>
        <v>#REF!</v>
      </c>
      <c r="AY89" s="202"/>
      <c r="AZ89" s="152" t="e">
        <f>#REF!</f>
        <v>#REF!</v>
      </c>
      <c r="BA89" s="202"/>
      <c r="BB89" s="154" t="e">
        <f>#REF!</f>
        <v>#REF!</v>
      </c>
      <c r="BC89" s="137"/>
    </row>
    <row r="90" spans="1:55" ht="30" customHeight="1">
      <c r="A90" s="203" t="e">
        <f>#REF!</f>
        <v>#REF!</v>
      </c>
      <c r="B90" s="204" t="e">
        <f xml:space="preserve"> IF(#REF!=0, "",#REF!)</f>
        <v>#REF!</v>
      </c>
      <c r="C90" s="369" t="e">
        <f>#REF!</f>
        <v>#REF!</v>
      </c>
      <c r="D90" s="369"/>
      <c r="E90" s="291" t="e">
        <f>#REF!</f>
        <v>#REF!</v>
      </c>
      <c r="F90" s="148" t="e">
        <f>#REF!</f>
        <v>#REF!</v>
      </c>
      <c r="G90" s="205" t="e">
        <f xml:space="preserve"> IF(#REF!="", "",#REF!)</f>
        <v>#REF!</v>
      </c>
      <c r="H90" s="205" t="e">
        <f xml:space="preserve"> IF(#REF!="", "",#REF!)</f>
        <v>#REF!</v>
      </c>
      <c r="I90" s="205" t="e">
        <f xml:space="preserve"> IF(#REF!="", "",#REF!)</f>
        <v>#REF!</v>
      </c>
      <c r="J90" s="298" t="e">
        <f>#REF!</f>
        <v>#REF!</v>
      </c>
      <c r="K90" s="149" t="e">
        <f>#REF!</f>
        <v>#REF!</v>
      </c>
      <c r="L90" s="149" t="e">
        <f>#REF!</f>
        <v>#REF!</v>
      </c>
      <c r="M90" s="150" t="e">
        <f>#REF!</f>
        <v>#REF!</v>
      </c>
      <c r="N90" s="364"/>
      <c r="O90" s="202"/>
      <c r="P90" s="151" t="e">
        <f>#REF!</f>
        <v>#REF!</v>
      </c>
      <c r="Q90" s="202"/>
      <c r="R90" s="152" t="e">
        <f>#REF!</f>
        <v>#REF!</v>
      </c>
      <c r="S90" s="202"/>
      <c r="T90" s="153" t="e">
        <f>#REF!</f>
        <v>#REF!</v>
      </c>
      <c r="U90" s="202"/>
      <c r="V90" s="153" t="e">
        <f>#REF!</f>
        <v>#REF!</v>
      </c>
      <c r="W90" s="202"/>
      <c r="X90" s="153" t="e">
        <f>#REF!</f>
        <v>#REF!</v>
      </c>
      <c r="Y90" s="202"/>
      <c r="Z90" s="152" t="e">
        <f>#REF!</f>
        <v>#REF!</v>
      </c>
      <c r="AA90" s="202"/>
      <c r="AB90" s="153" t="e">
        <f>#REF!</f>
        <v>#REF!</v>
      </c>
      <c r="AC90" s="202"/>
      <c r="AD90" s="152" t="e">
        <f>#REF!</f>
        <v>#REF!</v>
      </c>
      <c r="AE90" s="202"/>
      <c r="AF90" s="153" t="e">
        <f>#REF!</f>
        <v>#REF!</v>
      </c>
      <c r="AG90" s="202"/>
      <c r="AH90" s="152" t="e">
        <f>#REF!</f>
        <v>#REF!</v>
      </c>
      <c r="AI90" s="202"/>
      <c r="AJ90" s="153" t="e">
        <f>#REF!</f>
        <v>#REF!</v>
      </c>
      <c r="AK90" s="202"/>
      <c r="AL90" s="152" t="e">
        <f>#REF!</f>
        <v>#REF!</v>
      </c>
      <c r="AM90" s="202"/>
      <c r="AN90" s="153" t="e">
        <f>#REF!</f>
        <v>#REF!</v>
      </c>
      <c r="AO90" s="202"/>
      <c r="AP90" s="152" t="e">
        <f>#REF!</f>
        <v>#REF!</v>
      </c>
      <c r="AQ90" s="202"/>
      <c r="AR90" s="154" t="e">
        <f>#REF!</f>
        <v>#REF!</v>
      </c>
      <c r="AS90" s="202"/>
      <c r="AT90" s="153" t="e">
        <f>#REF!</f>
        <v>#REF!</v>
      </c>
      <c r="AU90" s="202"/>
      <c r="AV90" s="152" t="e">
        <f>#REF!</f>
        <v>#REF!</v>
      </c>
      <c r="AW90" s="202"/>
      <c r="AX90" s="153" t="e">
        <f>#REF!</f>
        <v>#REF!</v>
      </c>
      <c r="AY90" s="202"/>
      <c r="AZ90" s="152" t="e">
        <f>#REF!</f>
        <v>#REF!</v>
      </c>
      <c r="BA90" s="202"/>
      <c r="BB90" s="154" t="e">
        <f>#REF!</f>
        <v>#REF!</v>
      </c>
      <c r="BC90" s="137"/>
    </row>
    <row r="91" spans="1:55" ht="30" customHeight="1">
      <c r="A91" s="203" t="e">
        <f>#REF!</f>
        <v>#REF!</v>
      </c>
      <c r="B91" s="204" t="e">
        <f xml:space="preserve"> IF(#REF!=0, "",#REF!)</f>
        <v>#REF!</v>
      </c>
      <c r="C91" s="369" t="e">
        <f>#REF!</f>
        <v>#REF!</v>
      </c>
      <c r="D91" s="369"/>
      <c r="E91" s="291" t="e">
        <f>#REF!</f>
        <v>#REF!</v>
      </c>
      <c r="F91" s="148" t="e">
        <f>#REF!</f>
        <v>#REF!</v>
      </c>
      <c r="G91" s="205" t="e">
        <f xml:space="preserve"> IF(#REF!="", "",#REF!)</f>
        <v>#REF!</v>
      </c>
      <c r="H91" s="205" t="e">
        <f xml:space="preserve"> IF(#REF!="", "",#REF!)</f>
        <v>#REF!</v>
      </c>
      <c r="I91" s="205" t="e">
        <f xml:space="preserve"> IF(#REF!="", "",#REF!)</f>
        <v>#REF!</v>
      </c>
      <c r="J91" s="298" t="e">
        <f>#REF!</f>
        <v>#REF!</v>
      </c>
      <c r="K91" s="149" t="e">
        <f>#REF!</f>
        <v>#REF!</v>
      </c>
      <c r="L91" s="149" t="e">
        <f>#REF!</f>
        <v>#REF!</v>
      </c>
      <c r="M91" s="150" t="e">
        <f>#REF!</f>
        <v>#REF!</v>
      </c>
      <c r="N91" s="364"/>
      <c r="O91" s="202"/>
      <c r="P91" s="151" t="e">
        <f>#REF!</f>
        <v>#REF!</v>
      </c>
      <c r="Q91" s="202"/>
      <c r="R91" s="152" t="e">
        <f>#REF!</f>
        <v>#REF!</v>
      </c>
      <c r="S91" s="202"/>
      <c r="T91" s="153" t="e">
        <f>#REF!</f>
        <v>#REF!</v>
      </c>
      <c r="U91" s="202"/>
      <c r="V91" s="153" t="e">
        <f>#REF!</f>
        <v>#REF!</v>
      </c>
      <c r="W91" s="202"/>
      <c r="X91" s="153" t="e">
        <f>#REF!</f>
        <v>#REF!</v>
      </c>
      <c r="Y91" s="202"/>
      <c r="Z91" s="152" t="e">
        <f>#REF!</f>
        <v>#REF!</v>
      </c>
      <c r="AA91" s="202"/>
      <c r="AB91" s="153" t="e">
        <f>#REF!</f>
        <v>#REF!</v>
      </c>
      <c r="AC91" s="202"/>
      <c r="AD91" s="152" t="e">
        <f>#REF!</f>
        <v>#REF!</v>
      </c>
      <c r="AE91" s="202"/>
      <c r="AF91" s="153" t="e">
        <f>#REF!</f>
        <v>#REF!</v>
      </c>
      <c r="AG91" s="202"/>
      <c r="AH91" s="152" t="e">
        <f>#REF!</f>
        <v>#REF!</v>
      </c>
      <c r="AI91" s="202"/>
      <c r="AJ91" s="153" t="e">
        <f>#REF!</f>
        <v>#REF!</v>
      </c>
      <c r="AK91" s="202"/>
      <c r="AL91" s="152" t="e">
        <f>#REF!</f>
        <v>#REF!</v>
      </c>
      <c r="AM91" s="202"/>
      <c r="AN91" s="153" t="e">
        <f>#REF!</f>
        <v>#REF!</v>
      </c>
      <c r="AO91" s="202"/>
      <c r="AP91" s="152" t="e">
        <f>#REF!</f>
        <v>#REF!</v>
      </c>
      <c r="AQ91" s="202"/>
      <c r="AR91" s="154" t="e">
        <f>#REF!</f>
        <v>#REF!</v>
      </c>
      <c r="AS91" s="202"/>
      <c r="AT91" s="153" t="e">
        <f>#REF!</f>
        <v>#REF!</v>
      </c>
      <c r="AU91" s="202"/>
      <c r="AV91" s="152" t="e">
        <f>#REF!</f>
        <v>#REF!</v>
      </c>
      <c r="AW91" s="202"/>
      <c r="AX91" s="153" t="e">
        <f>#REF!</f>
        <v>#REF!</v>
      </c>
      <c r="AY91" s="202"/>
      <c r="AZ91" s="152" t="e">
        <f>#REF!</f>
        <v>#REF!</v>
      </c>
      <c r="BA91" s="202"/>
      <c r="BB91" s="154" t="e">
        <f>#REF!</f>
        <v>#REF!</v>
      </c>
      <c r="BC91" s="137"/>
    </row>
    <row r="92" spans="1:55" ht="30" customHeight="1">
      <c r="A92" s="203" t="e">
        <f>#REF!</f>
        <v>#REF!</v>
      </c>
      <c r="B92" s="204" t="e">
        <f xml:space="preserve"> IF(#REF!=0, "",#REF!)</f>
        <v>#REF!</v>
      </c>
      <c r="C92" s="369" t="e">
        <f>#REF!</f>
        <v>#REF!</v>
      </c>
      <c r="D92" s="369"/>
      <c r="E92" s="291" t="e">
        <f>#REF!</f>
        <v>#REF!</v>
      </c>
      <c r="F92" s="148" t="e">
        <f>#REF!</f>
        <v>#REF!</v>
      </c>
      <c r="G92" s="205" t="e">
        <f xml:space="preserve"> IF(#REF!="", "",#REF!)</f>
        <v>#REF!</v>
      </c>
      <c r="H92" s="205" t="e">
        <f xml:space="preserve"> IF(#REF!="", "",#REF!)</f>
        <v>#REF!</v>
      </c>
      <c r="I92" s="205" t="e">
        <f xml:space="preserve"> IF(#REF!="", "",#REF!)</f>
        <v>#REF!</v>
      </c>
      <c r="J92" s="298" t="e">
        <f>#REF!</f>
        <v>#REF!</v>
      </c>
      <c r="K92" s="149" t="e">
        <f>#REF!</f>
        <v>#REF!</v>
      </c>
      <c r="L92" s="149" t="e">
        <f>#REF!</f>
        <v>#REF!</v>
      </c>
      <c r="M92" s="150" t="e">
        <f>#REF!</f>
        <v>#REF!</v>
      </c>
      <c r="N92" s="364"/>
      <c r="O92" s="202"/>
      <c r="P92" s="151" t="e">
        <f>#REF!</f>
        <v>#REF!</v>
      </c>
      <c r="Q92" s="202"/>
      <c r="R92" s="152" t="e">
        <f>#REF!</f>
        <v>#REF!</v>
      </c>
      <c r="S92" s="202"/>
      <c r="T92" s="153" t="e">
        <f>#REF!</f>
        <v>#REF!</v>
      </c>
      <c r="U92" s="202"/>
      <c r="V92" s="153" t="e">
        <f>#REF!</f>
        <v>#REF!</v>
      </c>
      <c r="W92" s="202"/>
      <c r="X92" s="153" t="e">
        <f>#REF!</f>
        <v>#REF!</v>
      </c>
      <c r="Y92" s="202"/>
      <c r="Z92" s="152" t="e">
        <f>#REF!</f>
        <v>#REF!</v>
      </c>
      <c r="AA92" s="202"/>
      <c r="AB92" s="153" t="e">
        <f>#REF!</f>
        <v>#REF!</v>
      </c>
      <c r="AC92" s="202"/>
      <c r="AD92" s="152" t="e">
        <f>#REF!</f>
        <v>#REF!</v>
      </c>
      <c r="AE92" s="202"/>
      <c r="AF92" s="153" t="e">
        <f>#REF!</f>
        <v>#REF!</v>
      </c>
      <c r="AG92" s="202"/>
      <c r="AH92" s="152" t="e">
        <f>#REF!</f>
        <v>#REF!</v>
      </c>
      <c r="AI92" s="202"/>
      <c r="AJ92" s="153" t="e">
        <f>#REF!</f>
        <v>#REF!</v>
      </c>
      <c r="AK92" s="202"/>
      <c r="AL92" s="152" t="e">
        <f>#REF!</f>
        <v>#REF!</v>
      </c>
      <c r="AM92" s="202"/>
      <c r="AN92" s="153" t="e">
        <f>#REF!</f>
        <v>#REF!</v>
      </c>
      <c r="AO92" s="202"/>
      <c r="AP92" s="152" t="e">
        <f>#REF!</f>
        <v>#REF!</v>
      </c>
      <c r="AQ92" s="202"/>
      <c r="AR92" s="154" t="e">
        <f>#REF!</f>
        <v>#REF!</v>
      </c>
      <c r="AS92" s="202"/>
      <c r="AT92" s="153" t="e">
        <f>#REF!</f>
        <v>#REF!</v>
      </c>
      <c r="AU92" s="202"/>
      <c r="AV92" s="152" t="e">
        <f>#REF!</f>
        <v>#REF!</v>
      </c>
      <c r="AW92" s="202"/>
      <c r="AX92" s="153" t="e">
        <f>#REF!</f>
        <v>#REF!</v>
      </c>
      <c r="AY92" s="202"/>
      <c r="AZ92" s="152" t="e">
        <f>#REF!</f>
        <v>#REF!</v>
      </c>
      <c r="BA92" s="202"/>
      <c r="BB92" s="154" t="e">
        <f>#REF!</f>
        <v>#REF!</v>
      </c>
      <c r="BC92" s="137"/>
    </row>
    <row r="93" spans="1:55" ht="30" customHeight="1">
      <c r="A93" s="203" t="e">
        <f>#REF!</f>
        <v>#REF!</v>
      </c>
      <c r="B93" s="204" t="e">
        <f xml:space="preserve"> IF(#REF!=0, "",#REF!)</f>
        <v>#REF!</v>
      </c>
      <c r="C93" s="369" t="e">
        <f>#REF!</f>
        <v>#REF!</v>
      </c>
      <c r="D93" s="369"/>
      <c r="E93" s="291" t="e">
        <f>#REF!</f>
        <v>#REF!</v>
      </c>
      <c r="F93" s="148" t="e">
        <f>#REF!</f>
        <v>#REF!</v>
      </c>
      <c r="G93" s="205" t="e">
        <f xml:space="preserve"> IF(#REF!="", "",#REF!)</f>
        <v>#REF!</v>
      </c>
      <c r="H93" s="205" t="e">
        <f xml:space="preserve"> IF(#REF!="", "",#REF!)</f>
        <v>#REF!</v>
      </c>
      <c r="I93" s="205" t="e">
        <f xml:space="preserve"> IF(#REF!="", "",#REF!)</f>
        <v>#REF!</v>
      </c>
      <c r="J93" s="298" t="e">
        <f>#REF!</f>
        <v>#REF!</v>
      </c>
      <c r="K93" s="149" t="e">
        <f>#REF!</f>
        <v>#REF!</v>
      </c>
      <c r="L93" s="149" t="e">
        <f>#REF!</f>
        <v>#REF!</v>
      </c>
      <c r="M93" s="150" t="e">
        <f>#REF!</f>
        <v>#REF!</v>
      </c>
      <c r="N93" s="364"/>
      <c r="O93" s="202"/>
      <c r="P93" s="151" t="e">
        <f>#REF!</f>
        <v>#REF!</v>
      </c>
      <c r="Q93" s="202"/>
      <c r="R93" s="152" t="e">
        <f>#REF!</f>
        <v>#REF!</v>
      </c>
      <c r="S93" s="202"/>
      <c r="T93" s="153" t="e">
        <f>#REF!</f>
        <v>#REF!</v>
      </c>
      <c r="U93" s="202"/>
      <c r="V93" s="153" t="e">
        <f>#REF!</f>
        <v>#REF!</v>
      </c>
      <c r="W93" s="202"/>
      <c r="X93" s="153" t="e">
        <f>#REF!</f>
        <v>#REF!</v>
      </c>
      <c r="Y93" s="202"/>
      <c r="Z93" s="152" t="e">
        <f>#REF!</f>
        <v>#REF!</v>
      </c>
      <c r="AA93" s="202"/>
      <c r="AB93" s="153" t="e">
        <f>#REF!</f>
        <v>#REF!</v>
      </c>
      <c r="AC93" s="202"/>
      <c r="AD93" s="152" t="e">
        <f>#REF!</f>
        <v>#REF!</v>
      </c>
      <c r="AE93" s="202"/>
      <c r="AF93" s="153" t="e">
        <f>#REF!</f>
        <v>#REF!</v>
      </c>
      <c r="AG93" s="202"/>
      <c r="AH93" s="152" t="e">
        <f>#REF!</f>
        <v>#REF!</v>
      </c>
      <c r="AI93" s="202"/>
      <c r="AJ93" s="153" t="e">
        <f>#REF!</f>
        <v>#REF!</v>
      </c>
      <c r="AK93" s="202"/>
      <c r="AL93" s="152" t="e">
        <f>#REF!</f>
        <v>#REF!</v>
      </c>
      <c r="AM93" s="202"/>
      <c r="AN93" s="153" t="e">
        <f>#REF!</f>
        <v>#REF!</v>
      </c>
      <c r="AO93" s="202"/>
      <c r="AP93" s="152" t="e">
        <f>#REF!</f>
        <v>#REF!</v>
      </c>
      <c r="AQ93" s="202"/>
      <c r="AR93" s="154" t="e">
        <f>#REF!</f>
        <v>#REF!</v>
      </c>
      <c r="AS93" s="202"/>
      <c r="AT93" s="153" t="e">
        <f>#REF!</f>
        <v>#REF!</v>
      </c>
      <c r="AU93" s="202"/>
      <c r="AV93" s="152" t="e">
        <f>#REF!</f>
        <v>#REF!</v>
      </c>
      <c r="AW93" s="202"/>
      <c r="AX93" s="153" t="e">
        <f>#REF!</f>
        <v>#REF!</v>
      </c>
      <c r="AY93" s="202"/>
      <c r="AZ93" s="152" t="e">
        <f>#REF!</f>
        <v>#REF!</v>
      </c>
      <c r="BA93" s="202"/>
      <c r="BB93" s="154" t="e">
        <f>#REF!</f>
        <v>#REF!</v>
      </c>
      <c r="BC93" s="137"/>
    </row>
    <row r="94" spans="1:55" ht="30" customHeight="1">
      <c r="A94" s="203" t="e">
        <f>#REF!</f>
        <v>#REF!</v>
      </c>
      <c r="B94" s="204" t="e">
        <f xml:space="preserve"> IF(#REF!=0, "",#REF!)</f>
        <v>#REF!</v>
      </c>
      <c r="C94" s="369" t="e">
        <f>#REF!</f>
        <v>#REF!</v>
      </c>
      <c r="D94" s="369"/>
      <c r="E94" s="291" t="e">
        <f>#REF!</f>
        <v>#REF!</v>
      </c>
      <c r="F94" s="148" t="e">
        <f>#REF!</f>
        <v>#REF!</v>
      </c>
      <c r="G94" s="205" t="e">
        <f xml:space="preserve"> IF(#REF!="", "",#REF!)</f>
        <v>#REF!</v>
      </c>
      <c r="H94" s="205" t="e">
        <f xml:space="preserve"> IF(#REF!="", "",#REF!)</f>
        <v>#REF!</v>
      </c>
      <c r="I94" s="205" t="e">
        <f xml:space="preserve"> IF(#REF!="", "",#REF!)</f>
        <v>#REF!</v>
      </c>
      <c r="J94" s="298" t="e">
        <f>#REF!</f>
        <v>#REF!</v>
      </c>
      <c r="K94" s="149" t="e">
        <f>#REF!</f>
        <v>#REF!</v>
      </c>
      <c r="L94" s="149" t="e">
        <f>#REF!</f>
        <v>#REF!</v>
      </c>
      <c r="M94" s="150" t="e">
        <f>#REF!</f>
        <v>#REF!</v>
      </c>
      <c r="N94" s="364"/>
      <c r="O94" s="202"/>
      <c r="P94" s="151" t="e">
        <f>#REF!</f>
        <v>#REF!</v>
      </c>
      <c r="Q94" s="202"/>
      <c r="R94" s="152" t="e">
        <f>#REF!</f>
        <v>#REF!</v>
      </c>
      <c r="S94" s="202"/>
      <c r="T94" s="153" t="e">
        <f>#REF!</f>
        <v>#REF!</v>
      </c>
      <c r="U94" s="202"/>
      <c r="V94" s="153" t="e">
        <f>#REF!</f>
        <v>#REF!</v>
      </c>
      <c r="W94" s="202"/>
      <c r="X94" s="153" t="e">
        <f>#REF!</f>
        <v>#REF!</v>
      </c>
      <c r="Y94" s="202"/>
      <c r="Z94" s="152" t="e">
        <f>#REF!</f>
        <v>#REF!</v>
      </c>
      <c r="AA94" s="202"/>
      <c r="AB94" s="153" t="e">
        <f>#REF!</f>
        <v>#REF!</v>
      </c>
      <c r="AC94" s="202"/>
      <c r="AD94" s="152" t="e">
        <f>#REF!</f>
        <v>#REF!</v>
      </c>
      <c r="AE94" s="202"/>
      <c r="AF94" s="153" t="e">
        <f>#REF!</f>
        <v>#REF!</v>
      </c>
      <c r="AG94" s="202"/>
      <c r="AH94" s="152" t="e">
        <f>#REF!</f>
        <v>#REF!</v>
      </c>
      <c r="AI94" s="202"/>
      <c r="AJ94" s="153" t="e">
        <f>#REF!</f>
        <v>#REF!</v>
      </c>
      <c r="AK94" s="202"/>
      <c r="AL94" s="152" t="e">
        <f>#REF!</f>
        <v>#REF!</v>
      </c>
      <c r="AM94" s="202"/>
      <c r="AN94" s="153" t="e">
        <f>#REF!</f>
        <v>#REF!</v>
      </c>
      <c r="AO94" s="202"/>
      <c r="AP94" s="152" t="e">
        <f>#REF!</f>
        <v>#REF!</v>
      </c>
      <c r="AQ94" s="202"/>
      <c r="AR94" s="154" t="e">
        <f>#REF!</f>
        <v>#REF!</v>
      </c>
      <c r="AS94" s="202"/>
      <c r="AT94" s="153" t="e">
        <f>#REF!</f>
        <v>#REF!</v>
      </c>
      <c r="AU94" s="202"/>
      <c r="AV94" s="152" t="e">
        <f>#REF!</f>
        <v>#REF!</v>
      </c>
      <c r="AW94" s="202"/>
      <c r="AX94" s="153" t="e">
        <f>#REF!</f>
        <v>#REF!</v>
      </c>
      <c r="AY94" s="202"/>
      <c r="AZ94" s="152" t="e">
        <f>#REF!</f>
        <v>#REF!</v>
      </c>
      <c r="BA94" s="202"/>
      <c r="BB94" s="154" t="e">
        <f>#REF!</f>
        <v>#REF!</v>
      </c>
      <c r="BC94" s="137"/>
    </row>
    <row r="95" spans="1:55" ht="30" customHeight="1">
      <c r="A95" s="203" t="e">
        <f>#REF!</f>
        <v>#REF!</v>
      </c>
      <c r="B95" s="204" t="e">
        <f xml:space="preserve"> IF(#REF!=0, "",#REF!)</f>
        <v>#REF!</v>
      </c>
      <c r="C95" s="369" t="e">
        <f>#REF!</f>
        <v>#REF!</v>
      </c>
      <c r="D95" s="369"/>
      <c r="E95" s="291" t="e">
        <f>#REF!</f>
        <v>#REF!</v>
      </c>
      <c r="F95" s="148" t="e">
        <f>#REF!</f>
        <v>#REF!</v>
      </c>
      <c r="G95" s="205" t="e">
        <f xml:space="preserve"> IF(#REF!="", "",#REF!)</f>
        <v>#REF!</v>
      </c>
      <c r="H95" s="205" t="e">
        <f xml:space="preserve"> IF(#REF!="", "",#REF!)</f>
        <v>#REF!</v>
      </c>
      <c r="I95" s="205" t="e">
        <f xml:space="preserve"> IF(#REF!="", "",#REF!)</f>
        <v>#REF!</v>
      </c>
      <c r="J95" s="298" t="e">
        <f>#REF!</f>
        <v>#REF!</v>
      </c>
      <c r="K95" s="149" t="e">
        <f>#REF!</f>
        <v>#REF!</v>
      </c>
      <c r="L95" s="149" t="e">
        <f>#REF!</f>
        <v>#REF!</v>
      </c>
      <c r="M95" s="150" t="e">
        <f>#REF!</f>
        <v>#REF!</v>
      </c>
      <c r="N95" s="364"/>
      <c r="O95" s="202"/>
      <c r="P95" s="151" t="e">
        <f>#REF!</f>
        <v>#REF!</v>
      </c>
      <c r="Q95" s="202"/>
      <c r="R95" s="152" t="e">
        <f>#REF!</f>
        <v>#REF!</v>
      </c>
      <c r="S95" s="202"/>
      <c r="T95" s="153" t="e">
        <f>#REF!</f>
        <v>#REF!</v>
      </c>
      <c r="U95" s="202"/>
      <c r="V95" s="153" t="e">
        <f>#REF!</f>
        <v>#REF!</v>
      </c>
      <c r="W95" s="202"/>
      <c r="X95" s="153" t="e">
        <f>#REF!</f>
        <v>#REF!</v>
      </c>
      <c r="Y95" s="202"/>
      <c r="Z95" s="152" t="e">
        <f>#REF!</f>
        <v>#REF!</v>
      </c>
      <c r="AA95" s="202"/>
      <c r="AB95" s="153" t="e">
        <f>#REF!</f>
        <v>#REF!</v>
      </c>
      <c r="AC95" s="202"/>
      <c r="AD95" s="152" t="e">
        <f>#REF!</f>
        <v>#REF!</v>
      </c>
      <c r="AE95" s="202"/>
      <c r="AF95" s="153" t="e">
        <f>#REF!</f>
        <v>#REF!</v>
      </c>
      <c r="AG95" s="202"/>
      <c r="AH95" s="152" t="e">
        <f>#REF!</f>
        <v>#REF!</v>
      </c>
      <c r="AI95" s="202"/>
      <c r="AJ95" s="153" t="e">
        <f>#REF!</f>
        <v>#REF!</v>
      </c>
      <c r="AK95" s="202"/>
      <c r="AL95" s="152" t="e">
        <f>#REF!</f>
        <v>#REF!</v>
      </c>
      <c r="AM95" s="202"/>
      <c r="AN95" s="153" t="e">
        <f>#REF!</f>
        <v>#REF!</v>
      </c>
      <c r="AO95" s="202"/>
      <c r="AP95" s="152" t="e">
        <f>#REF!</f>
        <v>#REF!</v>
      </c>
      <c r="AQ95" s="202"/>
      <c r="AR95" s="154" t="e">
        <f>#REF!</f>
        <v>#REF!</v>
      </c>
      <c r="AS95" s="202"/>
      <c r="AT95" s="153" t="e">
        <f>#REF!</f>
        <v>#REF!</v>
      </c>
      <c r="AU95" s="202"/>
      <c r="AV95" s="152" t="e">
        <f>#REF!</f>
        <v>#REF!</v>
      </c>
      <c r="AW95" s="202"/>
      <c r="AX95" s="153" t="e">
        <f>#REF!</f>
        <v>#REF!</v>
      </c>
      <c r="AY95" s="202"/>
      <c r="AZ95" s="152" t="e">
        <f>#REF!</f>
        <v>#REF!</v>
      </c>
      <c r="BA95" s="202"/>
      <c r="BB95" s="154" t="e">
        <f>#REF!</f>
        <v>#REF!</v>
      </c>
      <c r="BC95" s="137"/>
    </row>
    <row r="96" spans="1:55" ht="30" customHeight="1">
      <c r="A96" s="203" t="e">
        <f>#REF!</f>
        <v>#REF!</v>
      </c>
      <c r="B96" s="204" t="e">
        <f xml:space="preserve"> IF(#REF!=0, "",#REF!)</f>
        <v>#REF!</v>
      </c>
      <c r="C96" s="369" t="e">
        <f>#REF!</f>
        <v>#REF!</v>
      </c>
      <c r="D96" s="369"/>
      <c r="E96" s="291" t="e">
        <f>#REF!</f>
        <v>#REF!</v>
      </c>
      <c r="F96" s="148" t="e">
        <f>#REF!</f>
        <v>#REF!</v>
      </c>
      <c r="G96" s="205" t="e">
        <f xml:space="preserve"> IF(#REF!="", "",#REF!)</f>
        <v>#REF!</v>
      </c>
      <c r="H96" s="205" t="e">
        <f xml:space="preserve"> IF(#REF!="", "",#REF!)</f>
        <v>#REF!</v>
      </c>
      <c r="I96" s="205" t="e">
        <f xml:space="preserve"> IF(#REF!="", "",#REF!)</f>
        <v>#REF!</v>
      </c>
      <c r="J96" s="298" t="e">
        <f>#REF!</f>
        <v>#REF!</v>
      </c>
      <c r="K96" s="149" t="e">
        <f>#REF!</f>
        <v>#REF!</v>
      </c>
      <c r="L96" s="149" t="e">
        <f>#REF!</f>
        <v>#REF!</v>
      </c>
      <c r="M96" s="150" t="e">
        <f>#REF!</f>
        <v>#REF!</v>
      </c>
      <c r="N96" s="364"/>
      <c r="O96" s="202"/>
      <c r="P96" s="151" t="e">
        <f>#REF!</f>
        <v>#REF!</v>
      </c>
      <c r="Q96" s="202"/>
      <c r="R96" s="152" t="e">
        <f>#REF!</f>
        <v>#REF!</v>
      </c>
      <c r="S96" s="202"/>
      <c r="T96" s="153" t="e">
        <f>#REF!</f>
        <v>#REF!</v>
      </c>
      <c r="U96" s="202"/>
      <c r="V96" s="153" t="e">
        <f>#REF!</f>
        <v>#REF!</v>
      </c>
      <c r="W96" s="202"/>
      <c r="X96" s="153" t="e">
        <f>#REF!</f>
        <v>#REF!</v>
      </c>
      <c r="Y96" s="202"/>
      <c r="Z96" s="152" t="e">
        <f>#REF!</f>
        <v>#REF!</v>
      </c>
      <c r="AA96" s="202"/>
      <c r="AB96" s="153" t="e">
        <f>#REF!</f>
        <v>#REF!</v>
      </c>
      <c r="AC96" s="202"/>
      <c r="AD96" s="152" t="e">
        <f>#REF!</f>
        <v>#REF!</v>
      </c>
      <c r="AE96" s="202"/>
      <c r="AF96" s="153" t="e">
        <f>#REF!</f>
        <v>#REF!</v>
      </c>
      <c r="AG96" s="202"/>
      <c r="AH96" s="152" t="e">
        <f>#REF!</f>
        <v>#REF!</v>
      </c>
      <c r="AI96" s="202"/>
      <c r="AJ96" s="153" t="e">
        <f>#REF!</f>
        <v>#REF!</v>
      </c>
      <c r="AK96" s="202"/>
      <c r="AL96" s="152" t="e">
        <f>#REF!</f>
        <v>#REF!</v>
      </c>
      <c r="AM96" s="202"/>
      <c r="AN96" s="153" t="e">
        <f>#REF!</f>
        <v>#REF!</v>
      </c>
      <c r="AO96" s="202"/>
      <c r="AP96" s="152" t="e">
        <f>#REF!</f>
        <v>#REF!</v>
      </c>
      <c r="AQ96" s="202"/>
      <c r="AR96" s="154" t="e">
        <f>#REF!</f>
        <v>#REF!</v>
      </c>
      <c r="AS96" s="202"/>
      <c r="AT96" s="153" t="e">
        <f>#REF!</f>
        <v>#REF!</v>
      </c>
      <c r="AU96" s="202"/>
      <c r="AV96" s="152" t="e">
        <f>#REF!</f>
        <v>#REF!</v>
      </c>
      <c r="AW96" s="202"/>
      <c r="AX96" s="153" t="e">
        <f>#REF!</f>
        <v>#REF!</v>
      </c>
      <c r="AY96" s="202"/>
      <c r="AZ96" s="152" t="e">
        <f>#REF!</f>
        <v>#REF!</v>
      </c>
      <c r="BA96" s="202"/>
      <c r="BB96" s="154" t="e">
        <f>#REF!</f>
        <v>#REF!</v>
      </c>
      <c r="BC96" s="137"/>
    </row>
    <row r="97" spans="1:55" ht="30" customHeight="1">
      <c r="A97" s="203" t="e">
        <f>#REF!</f>
        <v>#REF!</v>
      </c>
      <c r="B97" s="204" t="e">
        <f xml:space="preserve"> IF(#REF!=0, "",#REF!)</f>
        <v>#REF!</v>
      </c>
      <c r="C97" s="369" t="e">
        <f>#REF!</f>
        <v>#REF!</v>
      </c>
      <c r="D97" s="369"/>
      <c r="E97" s="291" t="e">
        <f>#REF!</f>
        <v>#REF!</v>
      </c>
      <c r="F97" s="148" t="e">
        <f>#REF!</f>
        <v>#REF!</v>
      </c>
      <c r="G97" s="205" t="e">
        <f xml:space="preserve"> IF(#REF!="", "",#REF!)</f>
        <v>#REF!</v>
      </c>
      <c r="H97" s="205" t="e">
        <f xml:space="preserve"> IF(#REF!="", "",#REF!)</f>
        <v>#REF!</v>
      </c>
      <c r="I97" s="205" t="e">
        <f xml:space="preserve"> IF(#REF!="", "",#REF!)</f>
        <v>#REF!</v>
      </c>
      <c r="J97" s="298" t="e">
        <f>#REF!</f>
        <v>#REF!</v>
      </c>
      <c r="K97" s="149" t="e">
        <f>#REF!</f>
        <v>#REF!</v>
      </c>
      <c r="L97" s="149" t="e">
        <f>#REF!</f>
        <v>#REF!</v>
      </c>
      <c r="M97" s="150" t="e">
        <f>#REF!</f>
        <v>#REF!</v>
      </c>
      <c r="N97" s="364"/>
      <c r="O97" s="202"/>
      <c r="P97" s="151" t="e">
        <f>#REF!</f>
        <v>#REF!</v>
      </c>
      <c r="Q97" s="202"/>
      <c r="R97" s="152" t="e">
        <f>#REF!</f>
        <v>#REF!</v>
      </c>
      <c r="S97" s="202"/>
      <c r="T97" s="153" t="e">
        <f>#REF!</f>
        <v>#REF!</v>
      </c>
      <c r="U97" s="202"/>
      <c r="V97" s="153" t="e">
        <f>#REF!</f>
        <v>#REF!</v>
      </c>
      <c r="W97" s="202"/>
      <c r="X97" s="153" t="e">
        <f>#REF!</f>
        <v>#REF!</v>
      </c>
      <c r="Y97" s="202"/>
      <c r="Z97" s="152" t="e">
        <f>#REF!</f>
        <v>#REF!</v>
      </c>
      <c r="AA97" s="202"/>
      <c r="AB97" s="153" t="e">
        <f>#REF!</f>
        <v>#REF!</v>
      </c>
      <c r="AC97" s="202"/>
      <c r="AD97" s="152" t="e">
        <f>#REF!</f>
        <v>#REF!</v>
      </c>
      <c r="AE97" s="202"/>
      <c r="AF97" s="153" t="e">
        <f>#REF!</f>
        <v>#REF!</v>
      </c>
      <c r="AG97" s="202"/>
      <c r="AH97" s="152" t="e">
        <f>#REF!</f>
        <v>#REF!</v>
      </c>
      <c r="AI97" s="202"/>
      <c r="AJ97" s="153" t="e">
        <f>#REF!</f>
        <v>#REF!</v>
      </c>
      <c r="AK97" s="202"/>
      <c r="AL97" s="152" t="e">
        <f>#REF!</f>
        <v>#REF!</v>
      </c>
      <c r="AM97" s="202"/>
      <c r="AN97" s="153" t="e">
        <f>#REF!</f>
        <v>#REF!</v>
      </c>
      <c r="AO97" s="202"/>
      <c r="AP97" s="152" t="e">
        <f>#REF!</f>
        <v>#REF!</v>
      </c>
      <c r="AQ97" s="202"/>
      <c r="AR97" s="154" t="e">
        <f>#REF!</f>
        <v>#REF!</v>
      </c>
      <c r="AS97" s="202"/>
      <c r="AT97" s="153" t="e">
        <f>#REF!</f>
        <v>#REF!</v>
      </c>
      <c r="AU97" s="202"/>
      <c r="AV97" s="152" t="e">
        <f>#REF!</f>
        <v>#REF!</v>
      </c>
      <c r="AW97" s="202"/>
      <c r="AX97" s="153" t="e">
        <f>#REF!</f>
        <v>#REF!</v>
      </c>
      <c r="AY97" s="202"/>
      <c r="AZ97" s="152" t="e">
        <f>#REF!</f>
        <v>#REF!</v>
      </c>
      <c r="BA97" s="202"/>
      <c r="BB97" s="154" t="e">
        <f>#REF!</f>
        <v>#REF!</v>
      </c>
      <c r="BC97" s="137"/>
    </row>
    <row r="98" spans="1:55" ht="30" customHeight="1">
      <c r="A98" s="203" t="e">
        <f>#REF!</f>
        <v>#REF!</v>
      </c>
      <c r="B98" s="204" t="e">
        <f xml:space="preserve"> IF(#REF!=0, "",#REF!)</f>
        <v>#REF!</v>
      </c>
      <c r="C98" s="369" t="e">
        <f>#REF!</f>
        <v>#REF!</v>
      </c>
      <c r="D98" s="369"/>
      <c r="E98" s="291" t="e">
        <f>#REF!</f>
        <v>#REF!</v>
      </c>
      <c r="F98" s="148" t="e">
        <f>#REF!</f>
        <v>#REF!</v>
      </c>
      <c r="G98" s="205" t="e">
        <f xml:space="preserve"> IF(#REF!="", "",#REF!)</f>
        <v>#REF!</v>
      </c>
      <c r="H98" s="205" t="e">
        <f xml:space="preserve"> IF(#REF!="", "",#REF!)</f>
        <v>#REF!</v>
      </c>
      <c r="I98" s="205" t="e">
        <f xml:space="preserve"> IF(#REF!="", "",#REF!)</f>
        <v>#REF!</v>
      </c>
      <c r="J98" s="298" t="e">
        <f>#REF!</f>
        <v>#REF!</v>
      </c>
      <c r="K98" s="149" t="e">
        <f>#REF!</f>
        <v>#REF!</v>
      </c>
      <c r="L98" s="149" t="e">
        <f>#REF!</f>
        <v>#REF!</v>
      </c>
      <c r="M98" s="150" t="e">
        <f>#REF!</f>
        <v>#REF!</v>
      </c>
      <c r="N98" s="364"/>
      <c r="O98" s="202"/>
      <c r="P98" s="151" t="e">
        <f>#REF!</f>
        <v>#REF!</v>
      </c>
      <c r="Q98" s="202"/>
      <c r="R98" s="152" t="e">
        <f>#REF!</f>
        <v>#REF!</v>
      </c>
      <c r="S98" s="202"/>
      <c r="T98" s="153" t="e">
        <f>#REF!</f>
        <v>#REF!</v>
      </c>
      <c r="U98" s="202"/>
      <c r="V98" s="153" t="e">
        <f>#REF!</f>
        <v>#REF!</v>
      </c>
      <c r="W98" s="202"/>
      <c r="X98" s="153" t="e">
        <f>#REF!</f>
        <v>#REF!</v>
      </c>
      <c r="Y98" s="202"/>
      <c r="Z98" s="152" t="e">
        <f>#REF!</f>
        <v>#REF!</v>
      </c>
      <c r="AA98" s="202"/>
      <c r="AB98" s="153" t="e">
        <f>#REF!</f>
        <v>#REF!</v>
      </c>
      <c r="AC98" s="202"/>
      <c r="AD98" s="152" t="e">
        <f>#REF!</f>
        <v>#REF!</v>
      </c>
      <c r="AE98" s="202"/>
      <c r="AF98" s="153" t="e">
        <f>#REF!</f>
        <v>#REF!</v>
      </c>
      <c r="AG98" s="202"/>
      <c r="AH98" s="152" t="e">
        <f>#REF!</f>
        <v>#REF!</v>
      </c>
      <c r="AI98" s="202"/>
      <c r="AJ98" s="153" t="e">
        <f>#REF!</f>
        <v>#REF!</v>
      </c>
      <c r="AK98" s="202"/>
      <c r="AL98" s="152" t="e">
        <f>#REF!</f>
        <v>#REF!</v>
      </c>
      <c r="AM98" s="202"/>
      <c r="AN98" s="153" t="e">
        <f>#REF!</f>
        <v>#REF!</v>
      </c>
      <c r="AO98" s="202"/>
      <c r="AP98" s="152" t="e">
        <f>#REF!</f>
        <v>#REF!</v>
      </c>
      <c r="AQ98" s="202"/>
      <c r="AR98" s="154" t="e">
        <f>#REF!</f>
        <v>#REF!</v>
      </c>
      <c r="AS98" s="202"/>
      <c r="AT98" s="153" t="e">
        <f>#REF!</f>
        <v>#REF!</v>
      </c>
      <c r="AU98" s="202"/>
      <c r="AV98" s="152" t="e">
        <f>#REF!</f>
        <v>#REF!</v>
      </c>
      <c r="AW98" s="202"/>
      <c r="AX98" s="153" t="e">
        <f>#REF!</f>
        <v>#REF!</v>
      </c>
      <c r="AY98" s="202"/>
      <c r="AZ98" s="152" t="e">
        <f>#REF!</f>
        <v>#REF!</v>
      </c>
      <c r="BA98" s="202"/>
      <c r="BB98" s="154" t="e">
        <f>#REF!</f>
        <v>#REF!</v>
      </c>
      <c r="BC98" s="137"/>
    </row>
    <row r="99" spans="1:55" ht="30" customHeight="1">
      <c r="A99" s="203" t="e">
        <f>#REF!</f>
        <v>#REF!</v>
      </c>
      <c r="B99" s="204" t="e">
        <f xml:space="preserve"> IF(#REF!=0, "",#REF!)</f>
        <v>#REF!</v>
      </c>
      <c r="C99" s="369" t="e">
        <f>#REF!</f>
        <v>#REF!</v>
      </c>
      <c r="D99" s="369"/>
      <c r="E99" s="291" t="e">
        <f>#REF!</f>
        <v>#REF!</v>
      </c>
      <c r="F99" s="148" t="e">
        <f>#REF!</f>
        <v>#REF!</v>
      </c>
      <c r="G99" s="205" t="e">
        <f xml:space="preserve"> IF(#REF!="", "",#REF!)</f>
        <v>#REF!</v>
      </c>
      <c r="H99" s="205" t="e">
        <f xml:space="preserve"> IF(#REF!="", "",#REF!)</f>
        <v>#REF!</v>
      </c>
      <c r="I99" s="205" t="e">
        <f xml:space="preserve"> IF(#REF!="", "",#REF!)</f>
        <v>#REF!</v>
      </c>
      <c r="J99" s="298" t="e">
        <f>#REF!</f>
        <v>#REF!</v>
      </c>
      <c r="K99" s="149" t="e">
        <f>#REF!</f>
        <v>#REF!</v>
      </c>
      <c r="L99" s="149" t="e">
        <f>#REF!</f>
        <v>#REF!</v>
      </c>
      <c r="M99" s="150" t="e">
        <f>#REF!</f>
        <v>#REF!</v>
      </c>
      <c r="N99" s="364"/>
      <c r="O99" s="202"/>
      <c r="P99" s="151" t="e">
        <f>#REF!</f>
        <v>#REF!</v>
      </c>
      <c r="Q99" s="202"/>
      <c r="R99" s="152" t="e">
        <f>#REF!</f>
        <v>#REF!</v>
      </c>
      <c r="S99" s="202"/>
      <c r="T99" s="153" t="e">
        <f>#REF!</f>
        <v>#REF!</v>
      </c>
      <c r="U99" s="202"/>
      <c r="V99" s="153" t="e">
        <f>#REF!</f>
        <v>#REF!</v>
      </c>
      <c r="W99" s="202"/>
      <c r="X99" s="153" t="e">
        <f>#REF!</f>
        <v>#REF!</v>
      </c>
      <c r="Y99" s="202"/>
      <c r="Z99" s="152" t="e">
        <f>#REF!</f>
        <v>#REF!</v>
      </c>
      <c r="AA99" s="202"/>
      <c r="AB99" s="153" t="e">
        <f>#REF!</f>
        <v>#REF!</v>
      </c>
      <c r="AC99" s="202"/>
      <c r="AD99" s="152" t="e">
        <f>#REF!</f>
        <v>#REF!</v>
      </c>
      <c r="AE99" s="202"/>
      <c r="AF99" s="153" t="e">
        <f>#REF!</f>
        <v>#REF!</v>
      </c>
      <c r="AG99" s="202"/>
      <c r="AH99" s="152" t="e">
        <f>#REF!</f>
        <v>#REF!</v>
      </c>
      <c r="AI99" s="202"/>
      <c r="AJ99" s="153" t="e">
        <f>#REF!</f>
        <v>#REF!</v>
      </c>
      <c r="AK99" s="202"/>
      <c r="AL99" s="152" t="e">
        <f>#REF!</f>
        <v>#REF!</v>
      </c>
      <c r="AM99" s="202"/>
      <c r="AN99" s="153" t="e">
        <f>#REF!</f>
        <v>#REF!</v>
      </c>
      <c r="AO99" s="202"/>
      <c r="AP99" s="152" t="e">
        <f>#REF!</f>
        <v>#REF!</v>
      </c>
      <c r="AQ99" s="202"/>
      <c r="AR99" s="154" t="e">
        <f>#REF!</f>
        <v>#REF!</v>
      </c>
      <c r="AS99" s="202"/>
      <c r="AT99" s="153" t="e">
        <f>#REF!</f>
        <v>#REF!</v>
      </c>
      <c r="AU99" s="202"/>
      <c r="AV99" s="152" t="e">
        <f>#REF!</f>
        <v>#REF!</v>
      </c>
      <c r="AW99" s="202"/>
      <c r="AX99" s="153" t="e">
        <f>#REF!</f>
        <v>#REF!</v>
      </c>
      <c r="AY99" s="202"/>
      <c r="AZ99" s="152" t="e">
        <f>#REF!</f>
        <v>#REF!</v>
      </c>
      <c r="BA99" s="202"/>
      <c r="BB99" s="154" t="e">
        <f>#REF!</f>
        <v>#REF!</v>
      </c>
      <c r="BC99" s="137"/>
    </row>
    <row r="100" spans="1:55" ht="30" customHeight="1">
      <c r="A100" s="203" t="e">
        <f>#REF!</f>
        <v>#REF!</v>
      </c>
      <c r="B100" s="204" t="e">
        <f xml:space="preserve"> IF(#REF!=0, "",#REF!)</f>
        <v>#REF!</v>
      </c>
      <c r="C100" s="369" t="e">
        <f>#REF!</f>
        <v>#REF!</v>
      </c>
      <c r="D100" s="369"/>
      <c r="E100" s="291" t="e">
        <f>#REF!</f>
        <v>#REF!</v>
      </c>
      <c r="F100" s="148" t="e">
        <f>#REF!</f>
        <v>#REF!</v>
      </c>
      <c r="G100" s="205" t="e">
        <f xml:space="preserve"> IF(#REF!="", "",#REF!)</f>
        <v>#REF!</v>
      </c>
      <c r="H100" s="205" t="e">
        <f xml:space="preserve"> IF(#REF!="", "",#REF!)</f>
        <v>#REF!</v>
      </c>
      <c r="I100" s="205" t="e">
        <f xml:space="preserve"> IF(#REF!="", "",#REF!)</f>
        <v>#REF!</v>
      </c>
      <c r="J100" s="298" t="e">
        <f>#REF!</f>
        <v>#REF!</v>
      </c>
      <c r="K100" s="149" t="e">
        <f>#REF!</f>
        <v>#REF!</v>
      </c>
      <c r="L100" s="149" t="e">
        <f>#REF!</f>
        <v>#REF!</v>
      </c>
      <c r="M100" s="150" t="e">
        <f>#REF!</f>
        <v>#REF!</v>
      </c>
      <c r="N100" s="364"/>
      <c r="O100" s="202"/>
      <c r="P100" s="151" t="e">
        <f>#REF!</f>
        <v>#REF!</v>
      </c>
      <c r="Q100" s="202"/>
      <c r="R100" s="152" t="e">
        <f>#REF!</f>
        <v>#REF!</v>
      </c>
      <c r="S100" s="202"/>
      <c r="T100" s="153" t="e">
        <f>#REF!</f>
        <v>#REF!</v>
      </c>
      <c r="U100" s="202"/>
      <c r="V100" s="153" t="e">
        <f>#REF!</f>
        <v>#REF!</v>
      </c>
      <c r="W100" s="202"/>
      <c r="X100" s="153" t="e">
        <f>#REF!</f>
        <v>#REF!</v>
      </c>
      <c r="Y100" s="202"/>
      <c r="Z100" s="152" t="e">
        <f>#REF!</f>
        <v>#REF!</v>
      </c>
      <c r="AA100" s="202"/>
      <c r="AB100" s="153" t="e">
        <f>#REF!</f>
        <v>#REF!</v>
      </c>
      <c r="AC100" s="202"/>
      <c r="AD100" s="152" t="e">
        <f>#REF!</f>
        <v>#REF!</v>
      </c>
      <c r="AE100" s="202"/>
      <c r="AF100" s="153" t="e">
        <f>#REF!</f>
        <v>#REF!</v>
      </c>
      <c r="AG100" s="202"/>
      <c r="AH100" s="152" t="e">
        <f>#REF!</f>
        <v>#REF!</v>
      </c>
      <c r="AI100" s="202"/>
      <c r="AJ100" s="153" t="e">
        <f>#REF!</f>
        <v>#REF!</v>
      </c>
      <c r="AK100" s="202"/>
      <c r="AL100" s="152" t="e">
        <f>#REF!</f>
        <v>#REF!</v>
      </c>
      <c r="AM100" s="202"/>
      <c r="AN100" s="153" t="e">
        <f>#REF!</f>
        <v>#REF!</v>
      </c>
      <c r="AO100" s="202"/>
      <c r="AP100" s="152" t="e">
        <f>#REF!</f>
        <v>#REF!</v>
      </c>
      <c r="AQ100" s="202"/>
      <c r="AR100" s="154" t="e">
        <f>#REF!</f>
        <v>#REF!</v>
      </c>
      <c r="AS100" s="202"/>
      <c r="AT100" s="153" t="e">
        <f>#REF!</f>
        <v>#REF!</v>
      </c>
      <c r="AU100" s="202"/>
      <c r="AV100" s="152" t="e">
        <f>#REF!</f>
        <v>#REF!</v>
      </c>
      <c r="AW100" s="202"/>
      <c r="AX100" s="153" t="e">
        <f>#REF!</f>
        <v>#REF!</v>
      </c>
      <c r="AY100" s="202"/>
      <c r="AZ100" s="152" t="e">
        <f>#REF!</f>
        <v>#REF!</v>
      </c>
      <c r="BA100" s="202"/>
      <c r="BB100" s="154" t="e">
        <f>#REF!</f>
        <v>#REF!</v>
      </c>
      <c r="BC100" s="137"/>
    </row>
    <row r="101" spans="1:55" ht="30" customHeight="1">
      <c r="A101" s="203" t="e">
        <f>#REF!</f>
        <v>#REF!</v>
      </c>
      <c r="B101" s="204" t="e">
        <f xml:space="preserve"> IF(#REF!=0, "",#REF!)</f>
        <v>#REF!</v>
      </c>
      <c r="C101" s="369" t="e">
        <f>#REF!</f>
        <v>#REF!</v>
      </c>
      <c r="D101" s="369"/>
      <c r="E101" s="291" t="e">
        <f>#REF!</f>
        <v>#REF!</v>
      </c>
      <c r="F101" s="148" t="e">
        <f>#REF!</f>
        <v>#REF!</v>
      </c>
      <c r="G101" s="205" t="e">
        <f xml:space="preserve"> IF(#REF!="", "",#REF!)</f>
        <v>#REF!</v>
      </c>
      <c r="H101" s="205" t="e">
        <f xml:space="preserve"> IF(#REF!="", "",#REF!)</f>
        <v>#REF!</v>
      </c>
      <c r="I101" s="205" t="e">
        <f xml:space="preserve"> IF(#REF!="", "",#REF!)</f>
        <v>#REF!</v>
      </c>
      <c r="J101" s="298" t="e">
        <f>#REF!</f>
        <v>#REF!</v>
      </c>
      <c r="K101" s="149" t="e">
        <f>#REF!</f>
        <v>#REF!</v>
      </c>
      <c r="L101" s="149" t="e">
        <f>#REF!</f>
        <v>#REF!</v>
      </c>
      <c r="M101" s="150" t="e">
        <f>#REF!</f>
        <v>#REF!</v>
      </c>
      <c r="N101" s="364"/>
      <c r="O101" s="202"/>
      <c r="P101" s="151" t="e">
        <f>#REF!</f>
        <v>#REF!</v>
      </c>
      <c r="Q101" s="202"/>
      <c r="R101" s="152" t="e">
        <f>#REF!</f>
        <v>#REF!</v>
      </c>
      <c r="S101" s="202"/>
      <c r="T101" s="153" t="e">
        <f>#REF!</f>
        <v>#REF!</v>
      </c>
      <c r="U101" s="202"/>
      <c r="V101" s="153" t="e">
        <f>#REF!</f>
        <v>#REF!</v>
      </c>
      <c r="W101" s="202"/>
      <c r="X101" s="153" t="e">
        <f>#REF!</f>
        <v>#REF!</v>
      </c>
      <c r="Y101" s="202"/>
      <c r="Z101" s="152" t="e">
        <f>#REF!</f>
        <v>#REF!</v>
      </c>
      <c r="AA101" s="202"/>
      <c r="AB101" s="153" t="e">
        <f>#REF!</f>
        <v>#REF!</v>
      </c>
      <c r="AC101" s="202"/>
      <c r="AD101" s="152" t="e">
        <f>#REF!</f>
        <v>#REF!</v>
      </c>
      <c r="AE101" s="202"/>
      <c r="AF101" s="153" t="e">
        <f>#REF!</f>
        <v>#REF!</v>
      </c>
      <c r="AG101" s="202"/>
      <c r="AH101" s="152" t="e">
        <f>#REF!</f>
        <v>#REF!</v>
      </c>
      <c r="AI101" s="202"/>
      <c r="AJ101" s="153" t="e">
        <f>#REF!</f>
        <v>#REF!</v>
      </c>
      <c r="AK101" s="202"/>
      <c r="AL101" s="152" t="e">
        <f>#REF!</f>
        <v>#REF!</v>
      </c>
      <c r="AM101" s="202"/>
      <c r="AN101" s="153" t="e">
        <f>#REF!</f>
        <v>#REF!</v>
      </c>
      <c r="AO101" s="202"/>
      <c r="AP101" s="152" t="e">
        <f>#REF!</f>
        <v>#REF!</v>
      </c>
      <c r="AQ101" s="202"/>
      <c r="AR101" s="154" t="e">
        <f>#REF!</f>
        <v>#REF!</v>
      </c>
      <c r="AS101" s="202"/>
      <c r="AT101" s="153" t="e">
        <f>#REF!</f>
        <v>#REF!</v>
      </c>
      <c r="AU101" s="202"/>
      <c r="AV101" s="152" t="e">
        <f>#REF!</f>
        <v>#REF!</v>
      </c>
      <c r="AW101" s="202"/>
      <c r="AX101" s="153" t="e">
        <f>#REF!</f>
        <v>#REF!</v>
      </c>
      <c r="AY101" s="202"/>
      <c r="AZ101" s="152" t="e">
        <f>#REF!</f>
        <v>#REF!</v>
      </c>
      <c r="BA101" s="202"/>
      <c r="BB101" s="154" t="e">
        <f>#REF!</f>
        <v>#REF!</v>
      </c>
      <c r="BC101" s="137"/>
    </row>
    <row r="102" spans="1:55" ht="30" customHeight="1">
      <c r="A102" s="203" t="e">
        <f>#REF!</f>
        <v>#REF!</v>
      </c>
      <c r="B102" s="204" t="e">
        <f xml:space="preserve"> IF(#REF!=0, "",#REF!)</f>
        <v>#REF!</v>
      </c>
      <c r="C102" s="369" t="e">
        <f>#REF!</f>
        <v>#REF!</v>
      </c>
      <c r="D102" s="369"/>
      <c r="E102" s="291" t="e">
        <f>#REF!</f>
        <v>#REF!</v>
      </c>
      <c r="F102" s="148" t="e">
        <f>#REF!</f>
        <v>#REF!</v>
      </c>
      <c r="G102" s="205" t="e">
        <f xml:space="preserve"> IF(#REF!="", "",#REF!)</f>
        <v>#REF!</v>
      </c>
      <c r="H102" s="205" t="e">
        <f xml:space="preserve"> IF(#REF!="", "",#REF!)</f>
        <v>#REF!</v>
      </c>
      <c r="I102" s="205" t="e">
        <f xml:space="preserve"> IF(#REF!="", "",#REF!)</f>
        <v>#REF!</v>
      </c>
      <c r="J102" s="298" t="e">
        <f>#REF!</f>
        <v>#REF!</v>
      </c>
      <c r="K102" s="149" t="e">
        <f>#REF!</f>
        <v>#REF!</v>
      </c>
      <c r="L102" s="149" t="e">
        <f>#REF!</f>
        <v>#REF!</v>
      </c>
      <c r="M102" s="150" t="e">
        <f>#REF!</f>
        <v>#REF!</v>
      </c>
      <c r="N102" s="364"/>
      <c r="O102" s="202"/>
      <c r="P102" s="151" t="e">
        <f>#REF!</f>
        <v>#REF!</v>
      </c>
      <c r="Q102" s="202"/>
      <c r="R102" s="152" t="e">
        <f>#REF!</f>
        <v>#REF!</v>
      </c>
      <c r="S102" s="202"/>
      <c r="T102" s="153" t="e">
        <f>#REF!</f>
        <v>#REF!</v>
      </c>
      <c r="U102" s="202"/>
      <c r="V102" s="153" t="e">
        <f>#REF!</f>
        <v>#REF!</v>
      </c>
      <c r="W102" s="202"/>
      <c r="X102" s="153" t="e">
        <f>#REF!</f>
        <v>#REF!</v>
      </c>
      <c r="Y102" s="202"/>
      <c r="Z102" s="152" t="e">
        <f>#REF!</f>
        <v>#REF!</v>
      </c>
      <c r="AA102" s="202"/>
      <c r="AB102" s="153" t="e">
        <f>#REF!</f>
        <v>#REF!</v>
      </c>
      <c r="AC102" s="202"/>
      <c r="AD102" s="152" t="e">
        <f>#REF!</f>
        <v>#REF!</v>
      </c>
      <c r="AE102" s="202"/>
      <c r="AF102" s="153" t="e">
        <f>#REF!</f>
        <v>#REF!</v>
      </c>
      <c r="AG102" s="202"/>
      <c r="AH102" s="152" t="e">
        <f>#REF!</f>
        <v>#REF!</v>
      </c>
      <c r="AI102" s="202"/>
      <c r="AJ102" s="153" t="e">
        <f>#REF!</f>
        <v>#REF!</v>
      </c>
      <c r="AK102" s="202"/>
      <c r="AL102" s="152" t="e">
        <f>#REF!</f>
        <v>#REF!</v>
      </c>
      <c r="AM102" s="202"/>
      <c r="AN102" s="153" t="e">
        <f>#REF!</f>
        <v>#REF!</v>
      </c>
      <c r="AO102" s="202"/>
      <c r="AP102" s="152" t="e">
        <f>#REF!</f>
        <v>#REF!</v>
      </c>
      <c r="AQ102" s="202"/>
      <c r="AR102" s="154" t="e">
        <f>#REF!</f>
        <v>#REF!</v>
      </c>
      <c r="AS102" s="202"/>
      <c r="AT102" s="153" t="e">
        <f>#REF!</f>
        <v>#REF!</v>
      </c>
      <c r="AU102" s="202"/>
      <c r="AV102" s="152" t="e">
        <f>#REF!</f>
        <v>#REF!</v>
      </c>
      <c r="AW102" s="202"/>
      <c r="AX102" s="153" t="e">
        <f>#REF!</f>
        <v>#REF!</v>
      </c>
      <c r="AY102" s="202"/>
      <c r="AZ102" s="152" t="e">
        <f>#REF!</f>
        <v>#REF!</v>
      </c>
      <c r="BA102" s="202"/>
      <c r="BB102" s="154" t="e">
        <f>#REF!</f>
        <v>#REF!</v>
      </c>
      <c r="BC102" s="137"/>
    </row>
    <row r="103" spans="1:55" ht="30" customHeight="1">
      <c r="A103" s="203" t="e">
        <f>#REF!</f>
        <v>#REF!</v>
      </c>
      <c r="B103" s="204" t="e">
        <f xml:space="preserve"> IF(#REF!=0, "",#REF!)</f>
        <v>#REF!</v>
      </c>
      <c r="C103" s="369" t="e">
        <f>#REF!</f>
        <v>#REF!</v>
      </c>
      <c r="D103" s="369"/>
      <c r="E103" s="291" t="e">
        <f>#REF!</f>
        <v>#REF!</v>
      </c>
      <c r="F103" s="148" t="e">
        <f>#REF!</f>
        <v>#REF!</v>
      </c>
      <c r="G103" s="205" t="e">
        <f xml:space="preserve"> IF(#REF!="", "",#REF!)</f>
        <v>#REF!</v>
      </c>
      <c r="H103" s="205" t="e">
        <f xml:space="preserve"> IF(#REF!="", "",#REF!)</f>
        <v>#REF!</v>
      </c>
      <c r="I103" s="205" t="e">
        <f xml:space="preserve"> IF(#REF!="", "",#REF!)</f>
        <v>#REF!</v>
      </c>
      <c r="J103" s="298" t="e">
        <f>#REF!</f>
        <v>#REF!</v>
      </c>
      <c r="K103" s="149" t="e">
        <f>#REF!</f>
        <v>#REF!</v>
      </c>
      <c r="L103" s="149" t="e">
        <f>#REF!</f>
        <v>#REF!</v>
      </c>
      <c r="M103" s="150" t="e">
        <f>#REF!</f>
        <v>#REF!</v>
      </c>
      <c r="N103" s="364"/>
      <c r="O103" s="202"/>
      <c r="P103" s="151" t="e">
        <f>#REF!</f>
        <v>#REF!</v>
      </c>
      <c r="Q103" s="202"/>
      <c r="R103" s="152" t="e">
        <f>#REF!</f>
        <v>#REF!</v>
      </c>
      <c r="S103" s="202"/>
      <c r="T103" s="153" t="e">
        <f>#REF!</f>
        <v>#REF!</v>
      </c>
      <c r="U103" s="202"/>
      <c r="V103" s="153" t="e">
        <f>#REF!</f>
        <v>#REF!</v>
      </c>
      <c r="W103" s="202"/>
      <c r="X103" s="153" t="e">
        <f>#REF!</f>
        <v>#REF!</v>
      </c>
      <c r="Y103" s="202"/>
      <c r="Z103" s="152" t="e">
        <f>#REF!</f>
        <v>#REF!</v>
      </c>
      <c r="AA103" s="202"/>
      <c r="AB103" s="153" t="e">
        <f>#REF!</f>
        <v>#REF!</v>
      </c>
      <c r="AC103" s="202"/>
      <c r="AD103" s="152" t="e">
        <f>#REF!</f>
        <v>#REF!</v>
      </c>
      <c r="AE103" s="202"/>
      <c r="AF103" s="153" t="e">
        <f>#REF!</f>
        <v>#REF!</v>
      </c>
      <c r="AG103" s="202"/>
      <c r="AH103" s="152" t="e">
        <f>#REF!</f>
        <v>#REF!</v>
      </c>
      <c r="AI103" s="202"/>
      <c r="AJ103" s="153" t="e">
        <f>#REF!</f>
        <v>#REF!</v>
      </c>
      <c r="AK103" s="202"/>
      <c r="AL103" s="152" t="e">
        <f>#REF!</f>
        <v>#REF!</v>
      </c>
      <c r="AM103" s="202"/>
      <c r="AN103" s="153" t="e">
        <f>#REF!</f>
        <v>#REF!</v>
      </c>
      <c r="AO103" s="202"/>
      <c r="AP103" s="152" t="e">
        <f>#REF!</f>
        <v>#REF!</v>
      </c>
      <c r="AQ103" s="202"/>
      <c r="AR103" s="154" t="e">
        <f>#REF!</f>
        <v>#REF!</v>
      </c>
      <c r="AS103" s="202"/>
      <c r="AT103" s="153" t="e">
        <f>#REF!</f>
        <v>#REF!</v>
      </c>
      <c r="AU103" s="202"/>
      <c r="AV103" s="152" t="e">
        <f>#REF!</f>
        <v>#REF!</v>
      </c>
      <c r="AW103" s="202"/>
      <c r="AX103" s="153" t="e">
        <f>#REF!</f>
        <v>#REF!</v>
      </c>
      <c r="AY103" s="202"/>
      <c r="AZ103" s="152" t="e">
        <f>#REF!</f>
        <v>#REF!</v>
      </c>
      <c r="BA103" s="202"/>
      <c r="BB103" s="154" t="e">
        <f>#REF!</f>
        <v>#REF!</v>
      </c>
      <c r="BC103" s="137"/>
    </row>
    <row r="104" spans="1:55" ht="30" customHeight="1">
      <c r="A104" s="203" t="e">
        <f>#REF!</f>
        <v>#REF!</v>
      </c>
      <c r="B104" s="204" t="e">
        <f xml:space="preserve"> IF(#REF!=0, "",#REF!)</f>
        <v>#REF!</v>
      </c>
      <c r="C104" s="369" t="e">
        <f>#REF!</f>
        <v>#REF!</v>
      </c>
      <c r="D104" s="369"/>
      <c r="E104" s="291" t="e">
        <f>#REF!</f>
        <v>#REF!</v>
      </c>
      <c r="F104" s="148" t="e">
        <f>#REF!</f>
        <v>#REF!</v>
      </c>
      <c r="G104" s="205" t="e">
        <f xml:space="preserve"> IF(#REF!="", "",#REF!)</f>
        <v>#REF!</v>
      </c>
      <c r="H104" s="205" t="e">
        <f xml:space="preserve"> IF(#REF!="", "",#REF!)</f>
        <v>#REF!</v>
      </c>
      <c r="I104" s="205" t="e">
        <f xml:space="preserve"> IF(#REF!="", "",#REF!)</f>
        <v>#REF!</v>
      </c>
      <c r="J104" s="298" t="e">
        <f>#REF!</f>
        <v>#REF!</v>
      </c>
      <c r="K104" s="149" t="e">
        <f>#REF!</f>
        <v>#REF!</v>
      </c>
      <c r="L104" s="149" t="e">
        <f>#REF!</f>
        <v>#REF!</v>
      </c>
      <c r="M104" s="150" t="e">
        <f>#REF!</f>
        <v>#REF!</v>
      </c>
      <c r="N104" s="364"/>
      <c r="O104" s="202"/>
      <c r="P104" s="151" t="e">
        <f>#REF!</f>
        <v>#REF!</v>
      </c>
      <c r="Q104" s="202"/>
      <c r="R104" s="152" t="e">
        <f>#REF!</f>
        <v>#REF!</v>
      </c>
      <c r="S104" s="202"/>
      <c r="T104" s="153" t="e">
        <f>#REF!</f>
        <v>#REF!</v>
      </c>
      <c r="U104" s="202"/>
      <c r="V104" s="153" t="e">
        <f>#REF!</f>
        <v>#REF!</v>
      </c>
      <c r="W104" s="202"/>
      <c r="X104" s="153" t="e">
        <f>#REF!</f>
        <v>#REF!</v>
      </c>
      <c r="Y104" s="202"/>
      <c r="Z104" s="152" t="e">
        <f>#REF!</f>
        <v>#REF!</v>
      </c>
      <c r="AA104" s="202"/>
      <c r="AB104" s="153" t="e">
        <f>#REF!</f>
        <v>#REF!</v>
      </c>
      <c r="AC104" s="202"/>
      <c r="AD104" s="152" t="e">
        <f>#REF!</f>
        <v>#REF!</v>
      </c>
      <c r="AE104" s="202"/>
      <c r="AF104" s="153" t="e">
        <f>#REF!</f>
        <v>#REF!</v>
      </c>
      <c r="AG104" s="202"/>
      <c r="AH104" s="152" t="e">
        <f>#REF!</f>
        <v>#REF!</v>
      </c>
      <c r="AI104" s="202"/>
      <c r="AJ104" s="153" t="e">
        <f>#REF!</f>
        <v>#REF!</v>
      </c>
      <c r="AK104" s="202"/>
      <c r="AL104" s="152" t="e">
        <f>#REF!</f>
        <v>#REF!</v>
      </c>
      <c r="AM104" s="202"/>
      <c r="AN104" s="153" t="e">
        <f>#REF!</f>
        <v>#REF!</v>
      </c>
      <c r="AO104" s="202"/>
      <c r="AP104" s="152" t="e">
        <f>#REF!</f>
        <v>#REF!</v>
      </c>
      <c r="AQ104" s="202"/>
      <c r="AR104" s="154" t="e">
        <f>#REF!</f>
        <v>#REF!</v>
      </c>
      <c r="AS104" s="202"/>
      <c r="AT104" s="153" t="e">
        <f>#REF!</f>
        <v>#REF!</v>
      </c>
      <c r="AU104" s="202"/>
      <c r="AV104" s="152" t="e">
        <f>#REF!</f>
        <v>#REF!</v>
      </c>
      <c r="AW104" s="202"/>
      <c r="AX104" s="153" t="e">
        <f>#REF!</f>
        <v>#REF!</v>
      </c>
      <c r="AY104" s="202"/>
      <c r="AZ104" s="152" t="e">
        <f>#REF!</f>
        <v>#REF!</v>
      </c>
      <c r="BA104" s="202"/>
      <c r="BB104" s="154" t="e">
        <f>#REF!</f>
        <v>#REF!</v>
      </c>
      <c r="BC104" s="137"/>
    </row>
    <row r="105" spans="1:55" ht="30" customHeight="1">
      <c r="A105" s="203" t="e">
        <f>#REF!</f>
        <v>#REF!</v>
      </c>
      <c r="B105" s="204" t="e">
        <f xml:space="preserve"> IF(#REF!=0, "",#REF!)</f>
        <v>#REF!</v>
      </c>
      <c r="C105" s="369" t="e">
        <f>#REF!</f>
        <v>#REF!</v>
      </c>
      <c r="D105" s="369"/>
      <c r="E105" s="291" t="e">
        <f>#REF!</f>
        <v>#REF!</v>
      </c>
      <c r="F105" s="148" t="e">
        <f>#REF!</f>
        <v>#REF!</v>
      </c>
      <c r="G105" s="205" t="e">
        <f xml:space="preserve"> IF(#REF!="", "",#REF!)</f>
        <v>#REF!</v>
      </c>
      <c r="H105" s="205" t="e">
        <f xml:space="preserve"> IF(#REF!="", "",#REF!)</f>
        <v>#REF!</v>
      </c>
      <c r="I105" s="205" t="e">
        <f xml:space="preserve"> IF(#REF!="", "",#REF!)</f>
        <v>#REF!</v>
      </c>
      <c r="J105" s="298" t="e">
        <f>#REF!</f>
        <v>#REF!</v>
      </c>
      <c r="K105" s="149" t="e">
        <f>#REF!</f>
        <v>#REF!</v>
      </c>
      <c r="L105" s="149" t="e">
        <f>#REF!</f>
        <v>#REF!</v>
      </c>
      <c r="M105" s="150" t="e">
        <f>#REF!</f>
        <v>#REF!</v>
      </c>
      <c r="N105" s="364"/>
      <c r="O105" s="202"/>
      <c r="P105" s="151" t="e">
        <f>#REF!</f>
        <v>#REF!</v>
      </c>
      <c r="Q105" s="202"/>
      <c r="R105" s="152" t="e">
        <f>#REF!</f>
        <v>#REF!</v>
      </c>
      <c r="S105" s="202"/>
      <c r="T105" s="153" t="e">
        <f>#REF!</f>
        <v>#REF!</v>
      </c>
      <c r="U105" s="202"/>
      <c r="V105" s="153" t="e">
        <f>#REF!</f>
        <v>#REF!</v>
      </c>
      <c r="W105" s="202"/>
      <c r="X105" s="153" t="e">
        <f>#REF!</f>
        <v>#REF!</v>
      </c>
      <c r="Y105" s="202"/>
      <c r="Z105" s="152" t="e">
        <f>#REF!</f>
        <v>#REF!</v>
      </c>
      <c r="AA105" s="202"/>
      <c r="AB105" s="153" t="e">
        <f>#REF!</f>
        <v>#REF!</v>
      </c>
      <c r="AC105" s="202"/>
      <c r="AD105" s="152" t="e">
        <f>#REF!</f>
        <v>#REF!</v>
      </c>
      <c r="AE105" s="202"/>
      <c r="AF105" s="153" t="e">
        <f>#REF!</f>
        <v>#REF!</v>
      </c>
      <c r="AG105" s="202"/>
      <c r="AH105" s="152" t="e">
        <f>#REF!</f>
        <v>#REF!</v>
      </c>
      <c r="AI105" s="202"/>
      <c r="AJ105" s="153" t="e">
        <f>#REF!</f>
        <v>#REF!</v>
      </c>
      <c r="AK105" s="202"/>
      <c r="AL105" s="152" t="e">
        <f>#REF!</f>
        <v>#REF!</v>
      </c>
      <c r="AM105" s="202"/>
      <c r="AN105" s="153" t="e">
        <f>#REF!</f>
        <v>#REF!</v>
      </c>
      <c r="AO105" s="202"/>
      <c r="AP105" s="152" t="e">
        <f>#REF!</f>
        <v>#REF!</v>
      </c>
      <c r="AQ105" s="202"/>
      <c r="AR105" s="154" t="e">
        <f>#REF!</f>
        <v>#REF!</v>
      </c>
      <c r="AS105" s="202"/>
      <c r="AT105" s="153" t="e">
        <f>#REF!</f>
        <v>#REF!</v>
      </c>
      <c r="AU105" s="202"/>
      <c r="AV105" s="152" t="e">
        <f>#REF!</f>
        <v>#REF!</v>
      </c>
      <c r="AW105" s="202"/>
      <c r="AX105" s="153" t="e">
        <f>#REF!</f>
        <v>#REF!</v>
      </c>
      <c r="AY105" s="202"/>
      <c r="AZ105" s="152" t="e">
        <f>#REF!</f>
        <v>#REF!</v>
      </c>
      <c r="BA105" s="202"/>
      <c r="BB105" s="154" t="e">
        <f>#REF!</f>
        <v>#REF!</v>
      </c>
      <c r="BC105" s="137"/>
    </row>
    <row r="106" spans="1:55" ht="30" customHeight="1">
      <c r="A106" s="203" t="e">
        <f>#REF!</f>
        <v>#REF!</v>
      </c>
      <c r="B106" s="204" t="e">
        <f xml:space="preserve"> IF(#REF!=0, "",#REF!)</f>
        <v>#REF!</v>
      </c>
      <c r="C106" s="369" t="e">
        <f>#REF!</f>
        <v>#REF!</v>
      </c>
      <c r="D106" s="369"/>
      <c r="E106" s="291" t="e">
        <f>#REF!</f>
        <v>#REF!</v>
      </c>
      <c r="F106" s="148" t="e">
        <f>#REF!</f>
        <v>#REF!</v>
      </c>
      <c r="G106" s="205" t="e">
        <f xml:space="preserve"> IF(#REF!="", "",#REF!)</f>
        <v>#REF!</v>
      </c>
      <c r="H106" s="205" t="e">
        <f xml:space="preserve"> IF(#REF!="", "",#REF!)</f>
        <v>#REF!</v>
      </c>
      <c r="I106" s="205" t="e">
        <f xml:space="preserve"> IF(#REF!="", "",#REF!)</f>
        <v>#REF!</v>
      </c>
      <c r="J106" s="298" t="e">
        <f>#REF!</f>
        <v>#REF!</v>
      </c>
      <c r="K106" s="149" t="e">
        <f>#REF!</f>
        <v>#REF!</v>
      </c>
      <c r="L106" s="149" t="e">
        <f>#REF!</f>
        <v>#REF!</v>
      </c>
      <c r="M106" s="150" t="e">
        <f>#REF!</f>
        <v>#REF!</v>
      </c>
      <c r="N106" s="364"/>
      <c r="O106" s="202"/>
      <c r="P106" s="151" t="e">
        <f>#REF!</f>
        <v>#REF!</v>
      </c>
      <c r="Q106" s="202"/>
      <c r="R106" s="152" t="e">
        <f>#REF!</f>
        <v>#REF!</v>
      </c>
      <c r="S106" s="202"/>
      <c r="T106" s="153" t="e">
        <f>#REF!</f>
        <v>#REF!</v>
      </c>
      <c r="U106" s="202"/>
      <c r="V106" s="153" t="e">
        <f>#REF!</f>
        <v>#REF!</v>
      </c>
      <c r="W106" s="202"/>
      <c r="X106" s="153" t="e">
        <f>#REF!</f>
        <v>#REF!</v>
      </c>
      <c r="Y106" s="202"/>
      <c r="Z106" s="152" t="e">
        <f>#REF!</f>
        <v>#REF!</v>
      </c>
      <c r="AA106" s="202"/>
      <c r="AB106" s="153" t="e">
        <f>#REF!</f>
        <v>#REF!</v>
      </c>
      <c r="AC106" s="202"/>
      <c r="AD106" s="152" t="e">
        <f>#REF!</f>
        <v>#REF!</v>
      </c>
      <c r="AE106" s="202"/>
      <c r="AF106" s="153" t="e">
        <f>#REF!</f>
        <v>#REF!</v>
      </c>
      <c r="AG106" s="202"/>
      <c r="AH106" s="152" t="e">
        <f>#REF!</f>
        <v>#REF!</v>
      </c>
      <c r="AI106" s="202"/>
      <c r="AJ106" s="153" t="e">
        <f>#REF!</f>
        <v>#REF!</v>
      </c>
      <c r="AK106" s="202"/>
      <c r="AL106" s="152" t="e">
        <f>#REF!</f>
        <v>#REF!</v>
      </c>
      <c r="AM106" s="202"/>
      <c r="AN106" s="153" t="e">
        <f>#REF!</f>
        <v>#REF!</v>
      </c>
      <c r="AO106" s="202"/>
      <c r="AP106" s="152" t="e">
        <f>#REF!</f>
        <v>#REF!</v>
      </c>
      <c r="AQ106" s="202"/>
      <c r="AR106" s="154" t="e">
        <f>#REF!</f>
        <v>#REF!</v>
      </c>
      <c r="AS106" s="202"/>
      <c r="AT106" s="153" t="e">
        <f>#REF!</f>
        <v>#REF!</v>
      </c>
      <c r="AU106" s="202"/>
      <c r="AV106" s="152" t="e">
        <f>#REF!</f>
        <v>#REF!</v>
      </c>
      <c r="AW106" s="202"/>
      <c r="AX106" s="153" t="e">
        <f>#REF!</f>
        <v>#REF!</v>
      </c>
      <c r="AY106" s="202"/>
      <c r="AZ106" s="152" t="e">
        <f>#REF!</f>
        <v>#REF!</v>
      </c>
      <c r="BA106" s="202"/>
      <c r="BB106" s="154" t="e">
        <f>#REF!</f>
        <v>#REF!</v>
      </c>
      <c r="BC106" s="137"/>
    </row>
    <row r="107" spans="1:55" ht="30" customHeight="1">
      <c r="A107" s="203" t="e">
        <f>#REF!</f>
        <v>#REF!</v>
      </c>
      <c r="B107" s="204" t="e">
        <f xml:space="preserve"> IF(#REF!=0, "",#REF!)</f>
        <v>#REF!</v>
      </c>
      <c r="C107" s="369" t="e">
        <f>#REF!</f>
        <v>#REF!</v>
      </c>
      <c r="D107" s="369"/>
      <c r="E107" s="291" t="e">
        <f>#REF!</f>
        <v>#REF!</v>
      </c>
      <c r="F107" s="148" t="e">
        <f>#REF!</f>
        <v>#REF!</v>
      </c>
      <c r="G107" s="205" t="e">
        <f xml:space="preserve"> IF(#REF!="", "",#REF!)</f>
        <v>#REF!</v>
      </c>
      <c r="H107" s="205" t="e">
        <f xml:space="preserve"> IF(#REF!="", "",#REF!)</f>
        <v>#REF!</v>
      </c>
      <c r="I107" s="205" t="e">
        <f xml:space="preserve"> IF(#REF!="", "",#REF!)</f>
        <v>#REF!</v>
      </c>
      <c r="J107" s="298" t="e">
        <f>#REF!</f>
        <v>#REF!</v>
      </c>
      <c r="K107" s="149" t="e">
        <f>#REF!</f>
        <v>#REF!</v>
      </c>
      <c r="L107" s="149" t="e">
        <f>#REF!</f>
        <v>#REF!</v>
      </c>
      <c r="M107" s="150" t="e">
        <f>#REF!</f>
        <v>#REF!</v>
      </c>
      <c r="N107" s="364"/>
      <c r="O107" s="202"/>
      <c r="P107" s="151" t="e">
        <f>#REF!</f>
        <v>#REF!</v>
      </c>
      <c r="Q107" s="202"/>
      <c r="R107" s="152" t="e">
        <f>#REF!</f>
        <v>#REF!</v>
      </c>
      <c r="S107" s="202"/>
      <c r="T107" s="153" t="e">
        <f>#REF!</f>
        <v>#REF!</v>
      </c>
      <c r="U107" s="202"/>
      <c r="V107" s="153" t="e">
        <f>#REF!</f>
        <v>#REF!</v>
      </c>
      <c r="W107" s="202"/>
      <c r="X107" s="153" t="e">
        <f>#REF!</f>
        <v>#REF!</v>
      </c>
      <c r="Y107" s="202"/>
      <c r="Z107" s="152" t="e">
        <f>#REF!</f>
        <v>#REF!</v>
      </c>
      <c r="AA107" s="202"/>
      <c r="AB107" s="153" t="e">
        <f>#REF!</f>
        <v>#REF!</v>
      </c>
      <c r="AC107" s="202"/>
      <c r="AD107" s="152" t="e">
        <f>#REF!</f>
        <v>#REF!</v>
      </c>
      <c r="AE107" s="202"/>
      <c r="AF107" s="153" t="e">
        <f>#REF!</f>
        <v>#REF!</v>
      </c>
      <c r="AG107" s="202"/>
      <c r="AH107" s="152" t="e">
        <f>#REF!</f>
        <v>#REF!</v>
      </c>
      <c r="AI107" s="202"/>
      <c r="AJ107" s="153" t="e">
        <f>#REF!</f>
        <v>#REF!</v>
      </c>
      <c r="AK107" s="202"/>
      <c r="AL107" s="152" t="e">
        <f>#REF!</f>
        <v>#REF!</v>
      </c>
      <c r="AM107" s="202"/>
      <c r="AN107" s="153" t="e">
        <f>#REF!</f>
        <v>#REF!</v>
      </c>
      <c r="AO107" s="202"/>
      <c r="AP107" s="152" t="e">
        <f>#REF!</f>
        <v>#REF!</v>
      </c>
      <c r="AQ107" s="202"/>
      <c r="AR107" s="154" t="e">
        <f>#REF!</f>
        <v>#REF!</v>
      </c>
      <c r="AS107" s="202"/>
      <c r="AT107" s="153" t="e">
        <f>#REF!</f>
        <v>#REF!</v>
      </c>
      <c r="AU107" s="202"/>
      <c r="AV107" s="152" t="e">
        <f>#REF!</f>
        <v>#REF!</v>
      </c>
      <c r="AW107" s="202"/>
      <c r="AX107" s="153" t="e">
        <f>#REF!</f>
        <v>#REF!</v>
      </c>
      <c r="AY107" s="202"/>
      <c r="AZ107" s="152" t="e">
        <f>#REF!</f>
        <v>#REF!</v>
      </c>
      <c r="BA107" s="202"/>
      <c r="BB107" s="154" t="e">
        <f>#REF!</f>
        <v>#REF!</v>
      </c>
      <c r="BC107" s="137"/>
    </row>
    <row r="108" spans="1:55" ht="30" customHeight="1">
      <c r="A108" s="203" t="e">
        <f>#REF!</f>
        <v>#REF!</v>
      </c>
      <c r="B108" s="204" t="e">
        <f xml:space="preserve"> IF(#REF!=0, "",#REF!)</f>
        <v>#REF!</v>
      </c>
      <c r="C108" s="369" t="e">
        <f>#REF!</f>
        <v>#REF!</v>
      </c>
      <c r="D108" s="369"/>
      <c r="E108" s="291" t="e">
        <f>#REF!</f>
        <v>#REF!</v>
      </c>
      <c r="F108" s="148" t="e">
        <f>#REF!</f>
        <v>#REF!</v>
      </c>
      <c r="G108" s="205" t="e">
        <f xml:space="preserve"> IF(#REF!="", "",#REF!)</f>
        <v>#REF!</v>
      </c>
      <c r="H108" s="205" t="e">
        <f xml:space="preserve"> IF(#REF!="", "",#REF!)</f>
        <v>#REF!</v>
      </c>
      <c r="I108" s="205" t="e">
        <f xml:space="preserve"> IF(#REF!="", "",#REF!)</f>
        <v>#REF!</v>
      </c>
      <c r="J108" s="298" t="e">
        <f>#REF!</f>
        <v>#REF!</v>
      </c>
      <c r="K108" s="149" t="e">
        <f>#REF!</f>
        <v>#REF!</v>
      </c>
      <c r="L108" s="149" t="e">
        <f>#REF!</f>
        <v>#REF!</v>
      </c>
      <c r="M108" s="150" t="e">
        <f>#REF!</f>
        <v>#REF!</v>
      </c>
      <c r="N108" s="364"/>
      <c r="O108" s="202"/>
      <c r="P108" s="151" t="e">
        <f>#REF!</f>
        <v>#REF!</v>
      </c>
      <c r="Q108" s="202"/>
      <c r="R108" s="152" t="e">
        <f>#REF!</f>
        <v>#REF!</v>
      </c>
      <c r="S108" s="202"/>
      <c r="T108" s="153" t="e">
        <f>#REF!</f>
        <v>#REF!</v>
      </c>
      <c r="U108" s="202"/>
      <c r="V108" s="153" t="e">
        <f>#REF!</f>
        <v>#REF!</v>
      </c>
      <c r="W108" s="202"/>
      <c r="X108" s="153" t="e">
        <f>#REF!</f>
        <v>#REF!</v>
      </c>
      <c r="Y108" s="202"/>
      <c r="Z108" s="152" t="e">
        <f>#REF!</f>
        <v>#REF!</v>
      </c>
      <c r="AA108" s="202"/>
      <c r="AB108" s="153" t="e">
        <f>#REF!</f>
        <v>#REF!</v>
      </c>
      <c r="AC108" s="202"/>
      <c r="AD108" s="152" t="e">
        <f>#REF!</f>
        <v>#REF!</v>
      </c>
      <c r="AE108" s="202"/>
      <c r="AF108" s="153" t="e">
        <f>#REF!</f>
        <v>#REF!</v>
      </c>
      <c r="AG108" s="202"/>
      <c r="AH108" s="152" t="e">
        <f>#REF!</f>
        <v>#REF!</v>
      </c>
      <c r="AI108" s="202"/>
      <c r="AJ108" s="153" t="e">
        <f>#REF!</f>
        <v>#REF!</v>
      </c>
      <c r="AK108" s="202"/>
      <c r="AL108" s="152" t="e">
        <f>#REF!</f>
        <v>#REF!</v>
      </c>
      <c r="AM108" s="202"/>
      <c r="AN108" s="153" t="e">
        <f>#REF!</f>
        <v>#REF!</v>
      </c>
      <c r="AO108" s="202"/>
      <c r="AP108" s="152" t="e">
        <f>#REF!</f>
        <v>#REF!</v>
      </c>
      <c r="AQ108" s="202"/>
      <c r="AR108" s="154" t="e">
        <f>#REF!</f>
        <v>#REF!</v>
      </c>
      <c r="AS108" s="202"/>
      <c r="AT108" s="153" t="e">
        <f>#REF!</f>
        <v>#REF!</v>
      </c>
      <c r="AU108" s="202"/>
      <c r="AV108" s="152" t="e">
        <f>#REF!</f>
        <v>#REF!</v>
      </c>
      <c r="AW108" s="202"/>
      <c r="AX108" s="153" t="e">
        <f>#REF!</f>
        <v>#REF!</v>
      </c>
      <c r="AY108" s="202"/>
      <c r="AZ108" s="152" t="e">
        <f>#REF!</f>
        <v>#REF!</v>
      </c>
      <c r="BA108" s="202"/>
      <c r="BB108" s="154" t="e">
        <f>#REF!</f>
        <v>#REF!</v>
      </c>
      <c r="BC108" s="137"/>
    </row>
    <row r="109" spans="1:55" ht="30" customHeight="1">
      <c r="A109" s="203" t="e">
        <f>#REF!</f>
        <v>#REF!</v>
      </c>
      <c r="B109" s="204" t="e">
        <f xml:space="preserve"> IF(#REF!=0, "",#REF!)</f>
        <v>#REF!</v>
      </c>
      <c r="C109" s="369" t="e">
        <f>#REF!</f>
        <v>#REF!</v>
      </c>
      <c r="D109" s="369"/>
      <c r="E109" s="291" t="e">
        <f>#REF!</f>
        <v>#REF!</v>
      </c>
      <c r="F109" s="148" t="e">
        <f>#REF!</f>
        <v>#REF!</v>
      </c>
      <c r="G109" s="205" t="e">
        <f xml:space="preserve"> IF(#REF!="", "",#REF!)</f>
        <v>#REF!</v>
      </c>
      <c r="H109" s="205" t="e">
        <f xml:space="preserve"> IF(#REF!="", "",#REF!)</f>
        <v>#REF!</v>
      </c>
      <c r="I109" s="205" t="e">
        <f xml:space="preserve"> IF(#REF!="", "",#REF!)</f>
        <v>#REF!</v>
      </c>
      <c r="J109" s="298" t="e">
        <f>#REF!</f>
        <v>#REF!</v>
      </c>
      <c r="K109" s="149" t="e">
        <f>#REF!</f>
        <v>#REF!</v>
      </c>
      <c r="L109" s="149" t="e">
        <f>#REF!</f>
        <v>#REF!</v>
      </c>
      <c r="M109" s="150" t="e">
        <f>#REF!</f>
        <v>#REF!</v>
      </c>
      <c r="N109" s="364"/>
      <c r="O109" s="202"/>
      <c r="P109" s="151" t="e">
        <f>#REF!</f>
        <v>#REF!</v>
      </c>
      <c r="Q109" s="202"/>
      <c r="R109" s="152" t="e">
        <f>#REF!</f>
        <v>#REF!</v>
      </c>
      <c r="S109" s="202"/>
      <c r="T109" s="153" t="e">
        <f>#REF!</f>
        <v>#REF!</v>
      </c>
      <c r="U109" s="202"/>
      <c r="V109" s="153" t="e">
        <f>#REF!</f>
        <v>#REF!</v>
      </c>
      <c r="W109" s="202"/>
      <c r="X109" s="153" t="e">
        <f>#REF!</f>
        <v>#REF!</v>
      </c>
      <c r="Y109" s="202"/>
      <c r="Z109" s="152" t="e">
        <f>#REF!</f>
        <v>#REF!</v>
      </c>
      <c r="AA109" s="202"/>
      <c r="AB109" s="153" t="e">
        <f>#REF!</f>
        <v>#REF!</v>
      </c>
      <c r="AC109" s="202"/>
      <c r="AD109" s="152" t="e">
        <f>#REF!</f>
        <v>#REF!</v>
      </c>
      <c r="AE109" s="202"/>
      <c r="AF109" s="153" t="e">
        <f>#REF!</f>
        <v>#REF!</v>
      </c>
      <c r="AG109" s="202"/>
      <c r="AH109" s="152" t="e">
        <f>#REF!</f>
        <v>#REF!</v>
      </c>
      <c r="AI109" s="202"/>
      <c r="AJ109" s="153" t="e">
        <f>#REF!</f>
        <v>#REF!</v>
      </c>
      <c r="AK109" s="202"/>
      <c r="AL109" s="152" t="e">
        <f>#REF!</f>
        <v>#REF!</v>
      </c>
      <c r="AM109" s="202"/>
      <c r="AN109" s="153" t="e">
        <f>#REF!</f>
        <v>#REF!</v>
      </c>
      <c r="AO109" s="202"/>
      <c r="AP109" s="152" t="e">
        <f>#REF!</f>
        <v>#REF!</v>
      </c>
      <c r="AQ109" s="202"/>
      <c r="AR109" s="154" t="e">
        <f>#REF!</f>
        <v>#REF!</v>
      </c>
      <c r="AS109" s="202"/>
      <c r="AT109" s="153" t="e">
        <f>#REF!</f>
        <v>#REF!</v>
      </c>
      <c r="AU109" s="202"/>
      <c r="AV109" s="152" t="e">
        <f>#REF!</f>
        <v>#REF!</v>
      </c>
      <c r="AW109" s="202"/>
      <c r="AX109" s="153" t="e">
        <f>#REF!</f>
        <v>#REF!</v>
      </c>
      <c r="AY109" s="202"/>
      <c r="AZ109" s="152" t="e">
        <f>#REF!</f>
        <v>#REF!</v>
      </c>
      <c r="BA109" s="202"/>
      <c r="BB109" s="154" t="e">
        <f>#REF!</f>
        <v>#REF!</v>
      </c>
      <c r="BC109" s="137"/>
    </row>
    <row r="110" spans="1:55" ht="30" customHeight="1">
      <c r="A110" s="203" t="e">
        <f>#REF!</f>
        <v>#REF!</v>
      </c>
      <c r="B110" s="204" t="e">
        <f xml:space="preserve"> IF(#REF!=0, "",#REF!)</f>
        <v>#REF!</v>
      </c>
      <c r="C110" s="369" t="e">
        <f>#REF!</f>
        <v>#REF!</v>
      </c>
      <c r="D110" s="369"/>
      <c r="E110" s="291" t="e">
        <f>#REF!</f>
        <v>#REF!</v>
      </c>
      <c r="F110" s="148" t="e">
        <f>#REF!</f>
        <v>#REF!</v>
      </c>
      <c r="G110" s="205" t="e">
        <f xml:space="preserve"> IF(#REF!="", "",#REF!)</f>
        <v>#REF!</v>
      </c>
      <c r="H110" s="205" t="e">
        <f xml:space="preserve"> IF(#REF!="", "",#REF!)</f>
        <v>#REF!</v>
      </c>
      <c r="I110" s="205" t="e">
        <f xml:space="preserve"> IF(#REF!="", "",#REF!)</f>
        <v>#REF!</v>
      </c>
      <c r="J110" s="298" t="e">
        <f>#REF!</f>
        <v>#REF!</v>
      </c>
      <c r="K110" s="149" t="e">
        <f>#REF!</f>
        <v>#REF!</v>
      </c>
      <c r="L110" s="149" t="e">
        <f>#REF!</f>
        <v>#REF!</v>
      </c>
      <c r="M110" s="150" t="e">
        <f>#REF!</f>
        <v>#REF!</v>
      </c>
      <c r="N110" s="364"/>
      <c r="O110" s="202"/>
      <c r="P110" s="151" t="e">
        <f>#REF!</f>
        <v>#REF!</v>
      </c>
      <c r="Q110" s="202"/>
      <c r="R110" s="152" t="e">
        <f>#REF!</f>
        <v>#REF!</v>
      </c>
      <c r="S110" s="202"/>
      <c r="T110" s="153" t="e">
        <f>#REF!</f>
        <v>#REF!</v>
      </c>
      <c r="U110" s="202"/>
      <c r="V110" s="153" t="e">
        <f>#REF!</f>
        <v>#REF!</v>
      </c>
      <c r="W110" s="202"/>
      <c r="X110" s="153" t="e">
        <f>#REF!</f>
        <v>#REF!</v>
      </c>
      <c r="Y110" s="202"/>
      <c r="Z110" s="152" t="e">
        <f>#REF!</f>
        <v>#REF!</v>
      </c>
      <c r="AA110" s="202"/>
      <c r="AB110" s="153" t="e">
        <f>#REF!</f>
        <v>#REF!</v>
      </c>
      <c r="AC110" s="202"/>
      <c r="AD110" s="152" t="e">
        <f>#REF!</f>
        <v>#REF!</v>
      </c>
      <c r="AE110" s="202"/>
      <c r="AF110" s="153" t="e">
        <f>#REF!</f>
        <v>#REF!</v>
      </c>
      <c r="AG110" s="202"/>
      <c r="AH110" s="152" t="e">
        <f>#REF!</f>
        <v>#REF!</v>
      </c>
      <c r="AI110" s="202"/>
      <c r="AJ110" s="153" t="e">
        <f>#REF!</f>
        <v>#REF!</v>
      </c>
      <c r="AK110" s="202"/>
      <c r="AL110" s="152" t="e">
        <f>#REF!</f>
        <v>#REF!</v>
      </c>
      <c r="AM110" s="202"/>
      <c r="AN110" s="153" t="e">
        <f>#REF!</f>
        <v>#REF!</v>
      </c>
      <c r="AO110" s="202"/>
      <c r="AP110" s="152" t="e">
        <f>#REF!</f>
        <v>#REF!</v>
      </c>
      <c r="AQ110" s="202"/>
      <c r="AR110" s="154" t="e">
        <f>#REF!</f>
        <v>#REF!</v>
      </c>
      <c r="AS110" s="202"/>
      <c r="AT110" s="153" t="e">
        <f>#REF!</f>
        <v>#REF!</v>
      </c>
      <c r="AU110" s="202"/>
      <c r="AV110" s="152" t="e">
        <f>#REF!</f>
        <v>#REF!</v>
      </c>
      <c r="AW110" s="202"/>
      <c r="AX110" s="153" t="e">
        <f>#REF!</f>
        <v>#REF!</v>
      </c>
      <c r="AY110" s="202"/>
      <c r="AZ110" s="152" t="e">
        <f>#REF!</f>
        <v>#REF!</v>
      </c>
      <c r="BA110" s="202"/>
      <c r="BB110" s="154" t="e">
        <f>#REF!</f>
        <v>#REF!</v>
      </c>
      <c r="BC110" s="137"/>
    </row>
    <row r="111" spans="1:55" ht="30" customHeight="1">
      <c r="A111" s="203" t="e">
        <f>#REF!</f>
        <v>#REF!</v>
      </c>
      <c r="B111" s="204" t="e">
        <f xml:space="preserve"> IF(#REF!=0, "",#REF!)</f>
        <v>#REF!</v>
      </c>
      <c r="C111" s="369" t="e">
        <f>#REF!</f>
        <v>#REF!</v>
      </c>
      <c r="D111" s="369"/>
      <c r="E111" s="291" t="e">
        <f>#REF!</f>
        <v>#REF!</v>
      </c>
      <c r="F111" s="148" t="e">
        <f>#REF!</f>
        <v>#REF!</v>
      </c>
      <c r="G111" s="205" t="e">
        <f xml:space="preserve"> IF(#REF!="", "",#REF!)</f>
        <v>#REF!</v>
      </c>
      <c r="H111" s="205" t="e">
        <f xml:space="preserve"> IF(#REF!="", "",#REF!)</f>
        <v>#REF!</v>
      </c>
      <c r="I111" s="205" t="e">
        <f xml:space="preserve"> IF(#REF!="", "",#REF!)</f>
        <v>#REF!</v>
      </c>
      <c r="J111" s="298" t="e">
        <f>#REF!</f>
        <v>#REF!</v>
      </c>
      <c r="K111" s="149" t="e">
        <f>#REF!</f>
        <v>#REF!</v>
      </c>
      <c r="L111" s="149" t="e">
        <f>#REF!</f>
        <v>#REF!</v>
      </c>
      <c r="M111" s="150" t="e">
        <f>#REF!</f>
        <v>#REF!</v>
      </c>
      <c r="N111" s="364"/>
      <c r="O111" s="202"/>
      <c r="P111" s="151" t="e">
        <f>#REF!</f>
        <v>#REF!</v>
      </c>
      <c r="Q111" s="202"/>
      <c r="R111" s="152" t="e">
        <f>#REF!</f>
        <v>#REF!</v>
      </c>
      <c r="S111" s="202"/>
      <c r="T111" s="153" t="e">
        <f>#REF!</f>
        <v>#REF!</v>
      </c>
      <c r="U111" s="202"/>
      <c r="V111" s="153" t="e">
        <f>#REF!</f>
        <v>#REF!</v>
      </c>
      <c r="W111" s="202"/>
      <c r="X111" s="153" t="e">
        <f>#REF!</f>
        <v>#REF!</v>
      </c>
      <c r="Y111" s="202"/>
      <c r="Z111" s="152" t="e">
        <f>#REF!</f>
        <v>#REF!</v>
      </c>
      <c r="AA111" s="202"/>
      <c r="AB111" s="153" t="e">
        <f>#REF!</f>
        <v>#REF!</v>
      </c>
      <c r="AC111" s="202"/>
      <c r="AD111" s="152" t="e">
        <f>#REF!</f>
        <v>#REF!</v>
      </c>
      <c r="AE111" s="202"/>
      <c r="AF111" s="153" t="e">
        <f>#REF!</f>
        <v>#REF!</v>
      </c>
      <c r="AG111" s="202"/>
      <c r="AH111" s="152" t="e">
        <f>#REF!</f>
        <v>#REF!</v>
      </c>
      <c r="AI111" s="202"/>
      <c r="AJ111" s="153" t="e">
        <f>#REF!</f>
        <v>#REF!</v>
      </c>
      <c r="AK111" s="202"/>
      <c r="AL111" s="152" t="e">
        <f>#REF!</f>
        <v>#REF!</v>
      </c>
      <c r="AM111" s="202"/>
      <c r="AN111" s="153" t="e">
        <f>#REF!</f>
        <v>#REF!</v>
      </c>
      <c r="AO111" s="202"/>
      <c r="AP111" s="152" t="e">
        <f>#REF!</f>
        <v>#REF!</v>
      </c>
      <c r="AQ111" s="202"/>
      <c r="AR111" s="154" t="e">
        <f>#REF!</f>
        <v>#REF!</v>
      </c>
      <c r="AS111" s="202"/>
      <c r="AT111" s="153" t="e">
        <f>#REF!</f>
        <v>#REF!</v>
      </c>
      <c r="AU111" s="202"/>
      <c r="AV111" s="152" t="e">
        <f>#REF!</f>
        <v>#REF!</v>
      </c>
      <c r="AW111" s="202"/>
      <c r="AX111" s="153" t="e">
        <f>#REF!</f>
        <v>#REF!</v>
      </c>
      <c r="AY111" s="202"/>
      <c r="AZ111" s="152" t="e">
        <f>#REF!</f>
        <v>#REF!</v>
      </c>
      <c r="BA111" s="202"/>
      <c r="BB111" s="154" t="e">
        <f>#REF!</f>
        <v>#REF!</v>
      </c>
      <c r="BC111" s="137"/>
    </row>
    <row r="112" spans="1:55" ht="30" customHeight="1">
      <c r="A112" s="203" t="e">
        <f>#REF!</f>
        <v>#REF!</v>
      </c>
      <c r="B112" s="204" t="e">
        <f xml:space="preserve"> IF(#REF!=0, "",#REF!)</f>
        <v>#REF!</v>
      </c>
      <c r="C112" s="369" t="e">
        <f>#REF!</f>
        <v>#REF!</v>
      </c>
      <c r="D112" s="369"/>
      <c r="E112" s="291" t="e">
        <f>#REF!</f>
        <v>#REF!</v>
      </c>
      <c r="F112" s="148" t="e">
        <f>#REF!</f>
        <v>#REF!</v>
      </c>
      <c r="G112" s="205" t="e">
        <f xml:space="preserve"> IF(#REF!="", "",#REF!)</f>
        <v>#REF!</v>
      </c>
      <c r="H112" s="205" t="e">
        <f xml:space="preserve"> IF(#REF!="", "",#REF!)</f>
        <v>#REF!</v>
      </c>
      <c r="I112" s="205" t="e">
        <f xml:space="preserve"> IF(#REF!="", "",#REF!)</f>
        <v>#REF!</v>
      </c>
      <c r="J112" s="298" t="e">
        <f>#REF!</f>
        <v>#REF!</v>
      </c>
      <c r="K112" s="149" t="e">
        <f>#REF!</f>
        <v>#REF!</v>
      </c>
      <c r="L112" s="149" t="e">
        <f>#REF!</f>
        <v>#REF!</v>
      </c>
      <c r="M112" s="150" t="e">
        <f>#REF!</f>
        <v>#REF!</v>
      </c>
      <c r="N112" s="364"/>
      <c r="O112" s="202"/>
      <c r="P112" s="151" t="e">
        <f>#REF!</f>
        <v>#REF!</v>
      </c>
      <c r="Q112" s="202"/>
      <c r="R112" s="152" t="e">
        <f>#REF!</f>
        <v>#REF!</v>
      </c>
      <c r="S112" s="202"/>
      <c r="T112" s="153" t="e">
        <f>#REF!</f>
        <v>#REF!</v>
      </c>
      <c r="U112" s="202"/>
      <c r="V112" s="153" t="e">
        <f>#REF!</f>
        <v>#REF!</v>
      </c>
      <c r="W112" s="202"/>
      <c r="X112" s="153" t="e">
        <f>#REF!</f>
        <v>#REF!</v>
      </c>
      <c r="Y112" s="202"/>
      <c r="Z112" s="152" t="e">
        <f>#REF!</f>
        <v>#REF!</v>
      </c>
      <c r="AA112" s="202"/>
      <c r="AB112" s="153" t="e">
        <f>#REF!</f>
        <v>#REF!</v>
      </c>
      <c r="AC112" s="202"/>
      <c r="AD112" s="152" t="e">
        <f>#REF!</f>
        <v>#REF!</v>
      </c>
      <c r="AE112" s="202"/>
      <c r="AF112" s="153" t="e">
        <f>#REF!</f>
        <v>#REF!</v>
      </c>
      <c r="AG112" s="202"/>
      <c r="AH112" s="152" t="e">
        <f>#REF!</f>
        <v>#REF!</v>
      </c>
      <c r="AI112" s="202"/>
      <c r="AJ112" s="153" t="e">
        <f>#REF!</f>
        <v>#REF!</v>
      </c>
      <c r="AK112" s="202"/>
      <c r="AL112" s="152" t="e">
        <f>#REF!</f>
        <v>#REF!</v>
      </c>
      <c r="AM112" s="202"/>
      <c r="AN112" s="153" t="e">
        <f>#REF!</f>
        <v>#REF!</v>
      </c>
      <c r="AO112" s="202"/>
      <c r="AP112" s="152" t="e">
        <f>#REF!</f>
        <v>#REF!</v>
      </c>
      <c r="AQ112" s="202"/>
      <c r="AR112" s="154" t="e">
        <f>#REF!</f>
        <v>#REF!</v>
      </c>
      <c r="AS112" s="202"/>
      <c r="AT112" s="153" t="e">
        <f>#REF!</f>
        <v>#REF!</v>
      </c>
      <c r="AU112" s="202"/>
      <c r="AV112" s="152" t="e">
        <f>#REF!</f>
        <v>#REF!</v>
      </c>
      <c r="AW112" s="202"/>
      <c r="AX112" s="153" t="e">
        <f>#REF!</f>
        <v>#REF!</v>
      </c>
      <c r="AY112" s="202"/>
      <c r="AZ112" s="152" t="e">
        <f>#REF!</f>
        <v>#REF!</v>
      </c>
      <c r="BA112" s="202"/>
      <c r="BB112" s="154" t="e">
        <f>#REF!</f>
        <v>#REF!</v>
      </c>
      <c r="BC112" s="137"/>
    </row>
    <row r="113" spans="1:55" ht="30" customHeight="1">
      <c r="A113" s="203" t="e">
        <f>#REF!</f>
        <v>#REF!</v>
      </c>
      <c r="B113" s="204" t="e">
        <f xml:space="preserve"> IF(#REF!=0, "",#REF!)</f>
        <v>#REF!</v>
      </c>
      <c r="C113" s="369" t="e">
        <f>#REF!</f>
        <v>#REF!</v>
      </c>
      <c r="D113" s="369"/>
      <c r="E113" s="291" t="e">
        <f>#REF!</f>
        <v>#REF!</v>
      </c>
      <c r="F113" s="148" t="e">
        <f>#REF!</f>
        <v>#REF!</v>
      </c>
      <c r="G113" s="205" t="e">
        <f xml:space="preserve"> IF(#REF!="", "",#REF!)</f>
        <v>#REF!</v>
      </c>
      <c r="H113" s="205" t="e">
        <f xml:space="preserve"> IF(#REF!="", "",#REF!)</f>
        <v>#REF!</v>
      </c>
      <c r="I113" s="205" t="e">
        <f xml:space="preserve"> IF(#REF!="", "",#REF!)</f>
        <v>#REF!</v>
      </c>
      <c r="J113" s="298" t="e">
        <f>#REF!</f>
        <v>#REF!</v>
      </c>
      <c r="K113" s="149" t="e">
        <f>#REF!</f>
        <v>#REF!</v>
      </c>
      <c r="L113" s="149" t="e">
        <f>#REF!</f>
        <v>#REF!</v>
      </c>
      <c r="M113" s="150" t="e">
        <f>#REF!</f>
        <v>#REF!</v>
      </c>
      <c r="N113" s="364"/>
      <c r="O113" s="202"/>
      <c r="P113" s="151" t="e">
        <f>#REF!</f>
        <v>#REF!</v>
      </c>
      <c r="Q113" s="202"/>
      <c r="R113" s="152" t="e">
        <f>#REF!</f>
        <v>#REF!</v>
      </c>
      <c r="S113" s="202"/>
      <c r="T113" s="153" t="e">
        <f>#REF!</f>
        <v>#REF!</v>
      </c>
      <c r="U113" s="202"/>
      <c r="V113" s="153" t="e">
        <f>#REF!</f>
        <v>#REF!</v>
      </c>
      <c r="W113" s="202"/>
      <c r="X113" s="153" t="e">
        <f>#REF!</f>
        <v>#REF!</v>
      </c>
      <c r="Y113" s="202"/>
      <c r="Z113" s="152" t="e">
        <f>#REF!</f>
        <v>#REF!</v>
      </c>
      <c r="AA113" s="202"/>
      <c r="AB113" s="153" t="e">
        <f>#REF!</f>
        <v>#REF!</v>
      </c>
      <c r="AC113" s="202"/>
      <c r="AD113" s="152" t="e">
        <f>#REF!</f>
        <v>#REF!</v>
      </c>
      <c r="AE113" s="202"/>
      <c r="AF113" s="153" t="e">
        <f>#REF!</f>
        <v>#REF!</v>
      </c>
      <c r="AG113" s="202"/>
      <c r="AH113" s="152" t="e">
        <f>#REF!</f>
        <v>#REF!</v>
      </c>
      <c r="AI113" s="202"/>
      <c r="AJ113" s="153" t="e">
        <f>#REF!</f>
        <v>#REF!</v>
      </c>
      <c r="AK113" s="202"/>
      <c r="AL113" s="152" t="e">
        <f>#REF!</f>
        <v>#REF!</v>
      </c>
      <c r="AM113" s="202"/>
      <c r="AN113" s="153" t="e">
        <f>#REF!</f>
        <v>#REF!</v>
      </c>
      <c r="AO113" s="202"/>
      <c r="AP113" s="152" t="e">
        <f>#REF!</f>
        <v>#REF!</v>
      </c>
      <c r="AQ113" s="202"/>
      <c r="AR113" s="154" t="e">
        <f>#REF!</f>
        <v>#REF!</v>
      </c>
      <c r="AS113" s="202"/>
      <c r="AT113" s="153" t="e">
        <f>#REF!</f>
        <v>#REF!</v>
      </c>
      <c r="AU113" s="202"/>
      <c r="AV113" s="152" t="e">
        <f>#REF!</f>
        <v>#REF!</v>
      </c>
      <c r="AW113" s="202"/>
      <c r="AX113" s="153" t="e">
        <f>#REF!</f>
        <v>#REF!</v>
      </c>
      <c r="AY113" s="202"/>
      <c r="AZ113" s="152" t="e">
        <f>#REF!</f>
        <v>#REF!</v>
      </c>
      <c r="BA113" s="202"/>
      <c r="BB113" s="154" t="e">
        <f>#REF!</f>
        <v>#REF!</v>
      </c>
      <c r="BC113" s="137"/>
    </row>
    <row r="114" spans="1:55" ht="30" customHeight="1">
      <c r="A114" s="203" t="e">
        <f>#REF!</f>
        <v>#REF!</v>
      </c>
      <c r="B114" s="204" t="e">
        <f xml:space="preserve"> IF(#REF!=0, "",#REF!)</f>
        <v>#REF!</v>
      </c>
      <c r="C114" s="369" t="e">
        <f>#REF!</f>
        <v>#REF!</v>
      </c>
      <c r="D114" s="369"/>
      <c r="E114" s="291" t="e">
        <f>#REF!</f>
        <v>#REF!</v>
      </c>
      <c r="F114" s="148" t="e">
        <f>#REF!</f>
        <v>#REF!</v>
      </c>
      <c r="G114" s="205" t="e">
        <f xml:space="preserve"> IF(#REF!="", "",#REF!)</f>
        <v>#REF!</v>
      </c>
      <c r="H114" s="205" t="e">
        <f xml:space="preserve"> IF(#REF!="", "",#REF!)</f>
        <v>#REF!</v>
      </c>
      <c r="I114" s="205" t="e">
        <f xml:space="preserve"> IF(#REF!="", "",#REF!)</f>
        <v>#REF!</v>
      </c>
      <c r="J114" s="298" t="e">
        <f>#REF!</f>
        <v>#REF!</v>
      </c>
      <c r="K114" s="149" t="e">
        <f>#REF!</f>
        <v>#REF!</v>
      </c>
      <c r="L114" s="149" t="e">
        <f>#REF!</f>
        <v>#REF!</v>
      </c>
      <c r="M114" s="150" t="e">
        <f>#REF!</f>
        <v>#REF!</v>
      </c>
      <c r="N114" s="364"/>
      <c r="O114" s="202"/>
      <c r="P114" s="151" t="e">
        <f>#REF!</f>
        <v>#REF!</v>
      </c>
      <c r="Q114" s="202"/>
      <c r="R114" s="152" t="e">
        <f>#REF!</f>
        <v>#REF!</v>
      </c>
      <c r="S114" s="202"/>
      <c r="T114" s="153" t="e">
        <f>#REF!</f>
        <v>#REF!</v>
      </c>
      <c r="U114" s="202"/>
      <c r="V114" s="153" t="e">
        <f>#REF!</f>
        <v>#REF!</v>
      </c>
      <c r="W114" s="202"/>
      <c r="X114" s="153" t="e">
        <f>#REF!</f>
        <v>#REF!</v>
      </c>
      <c r="Y114" s="202"/>
      <c r="Z114" s="152" t="e">
        <f>#REF!</f>
        <v>#REF!</v>
      </c>
      <c r="AA114" s="202"/>
      <c r="AB114" s="153" t="e">
        <f>#REF!</f>
        <v>#REF!</v>
      </c>
      <c r="AC114" s="202"/>
      <c r="AD114" s="152" t="e">
        <f>#REF!</f>
        <v>#REF!</v>
      </c>
      <c r="AE114" s="202"/>
      <c r="AF114" s="153" t="e">
        <f>#REF!</f>
        <v>#REF!</v>
      </c>
      <c r="AG114" s="202"/>
      <c r="AH114" s="152" t="e">
        <f>#REF!</f>
        <v>#REF!</v>
      </c>
      <c r="AI114" s="202"/>
      <c r="AJ114" s="153" t="e">
        <f>#REF!</f>
        <v>#REF!</v>
      </c>
      <c r="AK114" s="202"/>
      <c r="AL114" s="152" t="e">
        <f>#REF!</f>
        <v>#REF!</v>
      </c>
      <c r="AM114" s="202"/>
      <c r="AN114" s="153" t="e">
        <f>#REF!</f>
        <v>#REF!</v>
      </c>
      <c r="AO114" s="202"/>
      <c r="AP114" s="152" t="e">
        <f>#REF!</f>
        <v>#REF!</v>
      </c>
      <c r="AQ114" s="202"/>
      <c r="AR114" s="154" t="e">
        <f>#REF!</f>
        <v>#REF!</v>
      </c>
      <c r="AS114" s="202"/>
      <c r="AT114" s="153" t="e">
        <f>#REF!</f>
        <v>#REF!</v>
      </c>
      <c r="AU114" s="202"/>
      <c r="AV114" s="152" t="e">
        <f>#REF!</f>
        <v>#REF!</v>
      </c>
      <c r="AW114" s="202"/>
      <c r="AX114" s="153" t="e">
        <f>#REF!</f>
        <v>#REF!</v>
      </c>
      <c r="AY114" s="202"/>
      <c r="AZ114" s="152" t="e">
        <f>#REF!</f>
        <v>#REF!</v>
      </c>
      <c r="BA114" s="202"/>
      <c r="BB114" s="154" t="e">
        <f>#REF!</f>
        <v>#REF!</v>
      </c>
      <c r="BC114" s="137"/>
    </row>
    <row r="115" spans="1:55" ht="30" customHeight="1">
      <c r="A115" s="203" t="e">
        <f>#REF!</f>
        <v>#REF!</v>
      </c>
      <c r="B115" s="204" t="e">
        <f xml:space="preserve"> IF(#REF!=0, "",#REF!)</f>
        <v>#REF!</v>
      </c>
      <c r="C115" s="369" t="e">
        <f>#REF!</f>
        <v>#REF!</v>
      </c>
      <c r="D115" s="369"/>
      <c r="E115" s="291" t="e">
        <f>#REF!</f>
        <v>#REF!</v>
      </c>
      <c r="F115" s="148" t="e">
        <f>#REF!</f>
        <v>#REF!</v>
      </c>
      <c r="G115" s="205" t="e">
        <f xml:space="preserve"> IF(#REF!="", "",#REF!)</f>
        <v>#REF!</v>
      </c>
      <c r="H115" s="205" t="e">
        <f xml:space="preserve"> IF(#REF!="", "",#REF!)</f>
        <v>#REF!</v>
      </c>
      <c r="I115" s="205" t="e">
        <f xml:space="preserve"> IF(#REF!="", "",#REF!)</f>
        <v>#REF!</v>
      </c>
      <c r="J115" s="298" t="e">
        <f>#REF!</f>
        <v>#REF!</v>
      </c>
      <c r="K115" s="149" t="e">
        <f>#REF!</f>
        <v>#REF!</v>
      </c>
      <c r="L115" s="149" t="e">
        <f>#REF!</f>
        <v>#REF!</v>
      </c>
      <c r="M115" s="150" t="e">
        <f>#REF!</f>
        <v>#REF!</v>
      </c>
      <c r="N115" s="364"/>
      <c r="O115" s="202"/>
      <c r="P115" s="151" t="e">
        <f>#REF!</f>
        <v>#REF!</v>
      </c>
      <c r="Q115" s="202"/>
      <c r="R115" s="152" t="e">
        <f>#REF!</f>
        <v>#REF!</v>
      </c>
      <c r="S115" s="202"/>
      <c r="T115" s="153" t="e">
        <f>#REF!</f>
        <v>#REF!</v>
      </c>
      <c r="U115" s="202"/>
      <c r="V115" s="153" t="e">
        <f>#REF!</f>
        <v>#REF!</v>
      </c>
      <c r="W115" s="202"/>
      <c r="X115" s="153" t="e">
        <f>#REF!</f>
        <v>#REF!</v>
      </c>
      <c r="Y115" s="202"/>
      <c r="Z115" s="152" t="e">
        <f>#REF!</f>
        <v>#REF!</v>
      </c>
      <c r="AA115" s="202"/>
      <c r="AB115" s="153" t="e">
        <f>#REF!</f>
        <v>#REF!</v>
      </c>
      <c r="AC115" s="202"/>
      <c r="AD115" s="152" t="e">
        <f>#REF!</f>
        <v>#REF!</v>
      </c>
      <c r="AE115" s="202"/>
      <c r="AF115" s="153" t="e">
        <f>#REF!</f>
        <v>#REF!</v>
      </c>
      <c r="AG115" s="202"/>
      <c r="AH115" s="152" t="e">
        <f>#REF!</f>
        <v>#REF!</v>
      </c>
      <c r="AI115" s="202"/>
      <c r="AJ115" s="153" t="e">
        <f>#REF!</f>
        <v>#REF!</v>
      </c>
      <c r="AK115" s="202"/>
      <c r="AL115" s="152" t="e">
        <f>#REF!</f>
        <v>#REF!</v>
      </c>
      <c r="AM115" s="202"/>
      <c r="AN115" s="153" t="e">
        <f>#REF!</f>
        <v>#REF!</v>
      </c>
      <c r="AO115" s="202"/>
      <c r="AP115" s="152" t="e">
        <f>#REF!</f>
        <v>#REF!</v>
      </c>
      <c r="AQ115" s="202"/>
      <c r="AR115" s="154" t="e">
        <f>#REF!</f>
        <v>#REF!</v>
      </c>
      <c r="AS115" s="202"/>
      <c r="AT115" s="153" t="e">
        <f>#REF!</f>
        <v>#REF!</v>
      </c>
      <c r="AU115" s="202"/>
      <c r="AV115" s="152" t="e">
        <f>#REF!</f>
        <v>#REF!</v>
      </c>
      <c r="AW115" s="202"/>
      <c r="AX115" s="153" t="e">
        <f>#REF!</f>
        <v>#REF!</v>
      </c>
      <c r="AY115" s="202"/>
      <c r="AZ115" s="152" t="e">
        <f>#REF!</f>
        <v>#REF!</v>
      </c>
      <c r="BA115" s="202"/>
      <c r="BB115" s="154" t="e">
        <f>#REF!</f>
        <v>#REF!</v>
      </c>
      <c r="BC115" s="137"/>
    </row>
    <row r="116" spans="1:55" ht="30" customHeight="1">
      <c r="A116" s="203" t="e">
        <f>#REF!</f>
        <v>#REF!</v>
      </c>
      <c r="B116" s="204" t="e">
        <f xml:space="preserve"> IF(#REF!=0, "",#REF!)</f>
        <v>#REF!</v>
      </c>
      <c r="C116" s="369" t="e">
        <f>#REF!</f>
        <v>#REF!</v>
      </c>
      <c r="D116" s="369"/>
      <c r="E116" s="291" t="e">
        <f>#REF!</f>
        <v>#REF!</v>
      </c>
      <c r="F116" s="148" t="e">
        <f>#REF!</f>
        <v>#REF!</v>
      </c>
      <c r="G116" s="205" t="e">
        <f xml:space="preserve"> IF(#REF!="", "",#REF!)</f>
        <v>#REF!</v>
      </c>
      <c r="H116" s="205" t="e">
        <f xml:space="preserve"> IF(#REF!="", "",#REF!)</f>
        <v>#REF!</v>
      </c>
      <c r="I116" s="205" t="e">
        <f xml:space="preserve"> IF(#REF!="", "",#REF!)</f>
        <v>#REF!</v>
      </c>
      <c r="J116" s="298" t="e">
        <f>#REF!</f>
        <v>#REF!</v>
      </c>
      <c r="K116" s="149" t="e">
        <f>#REF!</f>
        <v>#REF!</v>
      </c>
      <c r="L116" s="149" t="e">
        <f>#REF!</f>
        <v>#REF!</v>
      </c>
      <c r="M116" s="150" t="e">
        <f>#REF!</f>
        <v>#REF!</v>
      </c>
      <c r="N116" s="364"/>
      <c r="O116" s="202"/>
      <c r="P116" s="151" t="e">
        <f>#REF!</f>
        <v>#REF!</v>
      </c>
      <c r="Q116" s="202"/>
      <c r="R116" s="152" t="e">
        <f>#REF!</f>
        <v>#REF!</v>
      </c>
      <c r="S116" s="202"/>
      <c r="T116" s="153" t="e">
        <f>#REF!</f>
        <v>#REF!</v>
      </c>
      <c r="U116" s="202"/>
      <c r="V116" s="153" t="e">
        <f>#REF!</f>
        <v>#REF!</v>
      </c>
      <c r="W116" s="202"/>
      <c r="X116" s="153" t="e">
        <f>#REF!</f>
        <v>#REF!</v>
      </c>
      <c r="Y116" s="202"/>
      <c r="Z116" s="152" t="e">
        <f>#REF!</f>
        <v>#REF!</v>
      </c>
      <c r="AA116" s="202"/>
      <c r="AB116" s="153" t="e">
        <f>#REF!</f>
        <v>#REF!</v>
      </c>
      <c r="AC116" s="202"/>
      <c r="AD116" s="152" t="e">
        <f>#REF!</f>
        <v>#REF!</v>
      </c>
      <c r="AE116" s="202"/>
      <c r="AF116" s="153" t="e">
        <f>#REF!</f>
        <v>#REF!</v>
      </c>
      <c r="AG116" s="202"/>
      <c r="AH116" s="152" t="e">
        <f>#REF!</f>
        <v>#REF!</v>
      </c>
      <c r="AI116" s="202"/>
      <c r="AJ116" s="153" t="e">
        <f>#REF!</f>
        <v>#REF!</v>
      </c>
      <c r="AK116" s="202"/>
      <c r="AL116" s="152" t="e">
        <f>#REF!</f>
        <v>#REF!</v>
      </c>
      <c r="AM116" s="202"/>
      <c r="AN116" s="153" t="e">
        <f>#REF!</f>
        <v>#REF!</v>
      </c>
      <c r="AO116" s="202"/>
      <c r="AP116" s="152" t="e">
        <f>#REF!</f>
        <v>#REF!</v>
      </c>
      <c r="AQ116" s="202"/>
      <c r="AR116" s="154" t="e">
        <f>#REF!</f>
        <v>#REF!</v>
      </c>
      <c r="AS116" s="202"/>
      <c r="AT116" s="153" t="e">
        <f>#REF!</f>
        <v>#REF!</v>
      </c>
      <c r="AU116" s="202"/>
      <c r="AV116" s="152" t="e">
        <f>#REF!</f>
        <v>#REF!</v>
      </c>
      <c r="AW116" s="202"/>
      <c r="AX116" s="153" t="e">
        <f>#REF!</f>
        <v>#REF!</v>
      </c>
      <c r="AY116" s="202"/>
      <c r="AZ116" s="152" t="e">
        <f>#REF!</f>
        <v>#REF!</v>
      </c>
      <c r="BA116" s="202"/>
      <c r="BB116" s="154" t="e">
        <f>#REF!</f>
        <v>#REF!</v>
      </c>
      <c r="BC116" s="137"/>
    </row>
    <row r="117" spans="1:55" ht="30" customHeight="1">
      <c r="A117" s="203" t="e">
        <f>#REF!</f>
        <v>#REF!</v>
      </c>
      <c r="B117" s="204" t="e">
        <f xml:space="preserve"> IF(#REF!=0, "",#REF!)</f>
        <v>#REF!</v>
      </c>
      <c r="C117" s="369" t="e">
        <f>#REF!</f>
        <v>#REF!</v>
      </c>
      <c r="D117" s="369"/>
      <c r="E117" s="291" t="e">
        <f>#REF!</f>
        <v>#REF!</v>
      </c>
      <c r="F117" s="148" t="e">
        <f>#REF!</f>
        <v>#REF!</v>
      </c>
      <c r="G117" s="205" t="e">
        <f xml:space="preserve"> IF(#REF!="", "",#REF!)</f>
        <v>#REF!</v>
      </c>
      <c r="H117" s="205" t="e">
        <f xml:space="preserve"> IF(#REF!="", "",#REF!)</f>
        <v>#REF!</v>
      </c>
      <c r="I117" s="205" t="e">
        <f xml:space="preserve"> IF(#REF!="", "",#REF!)</f>
        <v>#REF!</v>
      </c>
      <c r="J117" s="298" t="e">
        <f>#REF!</f>
        <v>#REF!</v>
      </c>
      <c r="K117" s="149" t="e">
        <f>#REF!</f>
        <v>#REF!</v>
      </c>
      <c r="L117" s="149" t="e">
        <f>#REF!</f>
        <v>#REF!</v>
      </c>
      <c r="M117" s="150" t="e">
        <f>#REF!</f>
        <v>#REF!</v>
      </c>
      <c r="N117" s="364"/>
      <c r="O117" s="202"/>
      <c r="P117" s="151" t="e">
        <f>#REF!</f>
        <v>#REF!</v>
      </c>
      <c r="Q117" s="202"/>
      <c r="R117" s="152" t="e">
        <f>#REF!</f>
        <v>#REF!</v>
      </c>
      <c r="S117" s="202"/>
      <c r="T117" s="153" t="e">
        <f>#REF!</f>
        <v>#REF!</v>
      </c>
      <c r="U117" s="202"/>
      <c r="V117" s="153" t="e">
        <f>#REF!</f>
        <v>#REF!</v>
      </c>
      <c r="W117" s="202"/>
      <c r="X117" s="153" t="e">
        <f>#REF!</f>
        <v>#REF!</v>
      </c>
      <c r="Y117" s="202"/>
      <c r="Z117" s="152" t="e">
        <f>#REF!</f>
        <v>#REF!</v>
      </c>
      <c r="AA117" s="202"/>
      <c r="AB117" s="153" t="e">
        <f>#REF!</f>
        <v>#REF!</v>
      </c>
      <c r="AC117" s="202"/>
      <c r="AD117" s="152" t="e">
        <f>#REF!</f>
        <v>#REF!</v>
      </c>
      <c r="AE117" s="202"/>
      <c r="AF117" s="153" t="e">
        <f>#REF!</f>
        <v>#REF!</v>
      </c>
      <c r="AG117" s="202"/>
      <c r="AH117" s="152" t="e">
        <f>#REF!</f>
        <v>#REF!</v>
      </c>
      <c r="AI117" s="202"/>
      <c r="AJ117" s="153" t="e">
        <f>#REF!</f>
        <v>#REF!</v>
      </c>
      <c r="AK117" s="202"/>
      <c r="AL117" s="152" t="e">
        <f>#REF!</f>
        <v>#REF!</v>
      </c>
      <c r="AM117" s="202"/>
      <c r="AN117" s="153" t="e">
        <f>#REF!</f>
        <v>#REF!</v>
      </c>
      <c r="AO117" s="202"/>
      <c r="AP117" s="152" t="e">
        <f>#REF!</f>
        <v>#REF!</v>
      </c>
      <c r="AQ117" s="202"/>
      <c r="AR117" s="154" t="e">
        <f>#REF!</f>
        <v>#REF!</v>
      </c>
      <c r="AS117" s="202"/>
      <c r="AT117" s="153" t="e">
        <f>#REF!</f>
        <v>#REF!</v>
      </c>
      <c r="AU117" s="202"/>
      <c r="AV117" s="152" t="e">
        <f>#REF!</f>
        <v>#REF!</v>
      </c>
      <c r="AW117" s="202"/>
      <c r="AX117" s="153" t="e">
        <f>#REF!</f>
        <v>#REF!</v>
      </c>
      <c r="AY117" s="202"/>
      <c r="AZ117" s="152" t="e">
        <f>#REF!</f>
        <v>#REF!</v>
      </c>
      <c r="BA117" s="202"/>
      <c r="BB117" s="154" t="e">
        <f>#REF!</f>
        <v>#REF!</v>
      </c>
      <c r="BC117" s="137"/>
    </row>
    <row r="118" spans="1:55" ht="30" customHeight="1">
      <c r="A118" s="203" t="e">
        <f>#REF!</f>
        <v>#REF!</v>
      </c>
      <c r="B118" s="204" t="e">
        <f xml:space="preserve"> IF(#REF!=0, "",#REF!)</f>
        <v>#REF!</v>
      </c>
      <c r="C118" s="369" t="e">
        <f>#REF!</f>
        <v>#REF!</v>
      </c>
      <c r="D118" s="369"/>
      <c r="E118" s="291" t="e">
        <f>#REF!</f>
        <v>#REF!</v>
      </c>
      <c r="F118" s="148" t="e">
        <f>#REF!</f>
        <v>#REF!</v>
      </c>
      <c r="G118" s="205" t="e">
        <f xml:space="preserve"> IF(#REF!="", "",#REF!)</f>
        <v>#REF!</v>
      </c>
      <c r="H118" s="205" t="e">
        <f xml:space="preserve"> IF(#REF!="", "",#REF!)</f>
        <v>#REF!</v>
      </c>
      <c r="I118" s="205" t="e">
        <f xml:space="preserve"> IF(#REF!="", "",#REF!)</f>
        <v>#REF!</v>
      </c>
      <c r="J118" s="298" t="e">
        <f>#REF!</f>
        <v>#REF!</v>
      </c>
      <c r="K118" s="149" t="e">
        <f>#REF!</f>
        <v>#REF!</v>
      </c>
      <c r="L118" s="149" t="e">
        <f>#REF!</f>
        <v>#REF!</v>
      </c>
      <c r="M118" s="150" t="e">
        <f>#REF!</f>
        <v>#REF!</v>
      </c>
      <c r="N118" s="364"/>
      <c r="O118" s="202"/>
      <c r="P118" s="151" t="e">
        <f>#REF!</f>
        <v>#REF!</v>
      </c>
      <c r="Q118" s="202"/>
      <c r="R118" s="152" t="e">
        <f>#REF!</f>
        <v>#REF!</v>
      </c>
      <c r="S118" s="202"/>
      <c r="T118" s="153" t="e">
        <f>#REF!</f>
        <v>#REF!</v>
      </c>
      <c r="U118" s="202"/>
      <c r="V118" s="153" t="e">
        <f>#REF!</f>
        <v>#REF!</v>
      </c>
      <c r="W118" s="202"/>
      <c r="X118" s="153" t="e">
        <f>#REF!</f>
        <v>#REF!</v>
      </c>
      <c r="Y118" s="202"/>
      <c r="Z118" s="152" t="e">
        <f>#REF!</f>
        <v>#REF!</v>
      </c>
      <c r="AA118" s="202"/>
      <c r="AB118" s="153" t="e">
        <f>#REF!</f>
        <v>#REF!</v>
      </c>
      <c r="AC118" s="202"/>
      <c r="AD118" s="152" t="e">
        <f>#REF!</f>
        <v>#REF!</v>
      </c>
      <c r="AE118" s="202"/>
      <c r="AF118" s="153" t="e">
        <f>#REF!</f>
        <v>#REF!</v>
      </c>
      <c r="AG118" s="202"/>
      <c r="AH118" s="152" t="e">
        <f>#REF!</f>
        <v>#REF!</v>
      </c>
      <c r="AI118" s="202"/>
      <c r="AJ118" s="153" t="e">
        <f>#REF!</f>
        <v>#REF!</v>
      </c>
      <c r="AK118" s="202"/>
      <c r="AL118" s="152" t="e">
        <f>#REF!</f>
        <v>#REF!</v>
      </c>
      <c r="AM118" s="202"/>
      <c r="AN118" s="153" t="e">
        <f>#REF!</f>
        <v>#REF!</v>
      </c>
      <c r="AO118" s="202"/>
      <c r="AP118" s="152" t="e">
        <f>#REF!</f>
        <v>#REF!</v>
      </c>
      <c r="AQ118" s="202"/>
      <c r="AR118" s="154" t="e">
        <f>#REF!</f>
        <v>#REF!</v>
      </c>
      <c r="AS118" s="202"/>
      <c r="AT118" s="153" t="e">
        <f>#REF!</f>
        <v>#REF!</v>
      </c>
      <c r="AU118" s="202"/>
      <c r="AV118" s="152" t="e">
        <f>#REF!</f>
        <v>#REF!</v>
      </c>
      <c r="AW118" s="202"/>
      <c r="AX118" s="153" t="e">
        <f>#REF!</f>
        <v>#REF!</v>
      </c>
      <c r="AY118" s="202"/>
      <c r="AZ118" s="152" t="e">
        <f>#REF!</f>
        <v>#REF!</v>
      </c>
      <c r="BA118" s="202"/>
      <c r="BB118" s="154" t="e">
        <f>#REF!</f>
        <v>#REF!</v>
      </c>
      <c r="BC118" s="137"/>
    </row>
    <row r="119" spans="1:55" ht="30" customHeight="1">
      <c r="A119" s="203" t="e">
        <f>#REF!</f>
        <v>#REF!</v>
      </c>
      <c r="B119" s="204" t="e">
        <f xml:space="preserve"> IF(#REF!=0, "",#REF!)</f>
        <v>#REF!</v>
      </c>
      <c r="C119" s="369" t="e">
        <f>#REF!</f>
        <v>#REF!</v>
      </c>
      <c r="D119" s="369"/>
      <c r="E119" s="291" t="e">
        <f>#REF!</f>
        <v>#REF!</v>
      </c>
      <c r="F119" s="148" t="e">
        <f>#REF!</f>
        <v>#REF!</v>
      </c>
      <c r="G119" s="205" t="e">
        <f xml:space="preserve"> IF(#REF!="", "",#REF!)</f>
        <v>#REF!</v>
      </c>
      <c r="H119" s="205" t="e">
        <f xml:space="preserve"> IF(#REF!="", "",#REF!)</f>
        <v>#REF!</v>
      </c>
      <c r="I119" s="205" t="e">
        <f xml:space="preserve"> IF(#REF!="", "",#REF!)</f>
        <v>#REF!</v>
      </c>
      <c r="J119" s="298" t="e">
        <f>#REF!</f>
        <v>#REF!</v>
      </c>
      <c r="K119" s="149" t="e">
        <f>#REF!</f>
        <v>#REF!</v>
      </c>
      <c r="L119" s="149" t="e">
        <f>#REF!</f>
        <v>#REF!</v>
      </c>
      <c r="M119" s="150" t="e">
        <f>#REF!</f>
        <v>#REF!</v>
      </c>
      <c r="N119" s="364"/>
      <c r="O119" s="202"/>
      <c r="P119" s="151" t="e">
        <f>#REF!</f>
        <v>#REF!</v>
      </c>
      <c r="Q119" s="202"/>
      <c r="R119" s="152" t="e">
        <f>#REF!</f>
        <v>#REF!</v>
      </c>
      <c r="S119" s="202"/>
      <c r="T119" s="153" t="e">
        <f>#REF!</f>
        <v>#REF!</v>
      </c>
      <c r="U119" s="202"/>
      <c r="V119" s="153" t="e">
        <f>#REF!</f>
        <v>#REF!</v>
      </c>
      <c r="W119" s="202"/>
      <c r="X119" s="153" t="e">
        <f>#REF!</f>
        <v>#REF!</v>
      </c>
      <c r="Y119" s="202"/>
      <c r="Z119" s="152" t="e">
        <f>#REF!</f>
        <v>#REF!</v>
      </c>
      <c r="AA119" s="202"/>
      <c r="AB119" s="153" t="e">
        <f>#REF!</f>
        <v>#REF!</v>
      </c>
      <c r="AC119" s="202"/>
      <c r="AD119" s="152" t="e">
        <f>#REF!</f>
        <v>#REF!</v>
      </c>
      <c r="AE119" s="202"/>
      <c r="AF119" s="153" t="e">
        <f>#REF!</f>
        <v>#REF!</v>
      </c>
      <c r="AG119" s="202"/>
      <c r="AH119" s="152" t="e">
        <f>#REF!</f>
        <v>#REF!</v>
      </c>
      <c r="AI119" s="202"/>
      <c r="AJ119" s="153" t="e">
        <f>#REF!</f>
        <v>#REF!</v>
      </c>
      <c r="AK119" s="202"/>
      <c r="AL119" s="152" t="e">
        <f>#REF!</f>
        <v>#REF!</v>
      </c>
      <c r="AM119" s="202"/>
      <c r="AN119" s="153" t="e">
        <f>#REF!</f>
        <v>#REF!</v>
      </c>
      <c r="AO119" s="202"/>
      <c r="AP119" s="152" t="e">
        <f>#REF!</f>
        <v>#REF!</v>
      </c>
      <c r="AQ119" s="202"/>
      <c r="AR119" s="154" t="e">
        <f>#REF!</f>
        <v>#REF!</v>
      </c>
      <c r="AS119" s="202"/>
      <c r="AT119" s="153" t="e">
        <f>#REF!</f>
        <v>#REF!</v>
      </c>
      <c r="AU119" s="202"/>
      <c r="AV119" s="152" t="e">
        <f>#REF!</f>
        <v>#REF!</v>
      </c>
      <c r="AW119" s="202"/>
      <c r="AX119" s="153" t="e">
        <f>#REF!</f>
        <v>#REF!</v>
      </c>
      <c r="AY119" s="202"/>
      <c r="AZ119" s="152" t="e">
        <f>#REF!</f>
        <v>#REF!</v>
      </c>
      <c r="BA119" s="202"/>
      <c r="BB119" s="154" t="e">
        <f>#REF!</f>
        <v>#REF!</v>
      </c>
      <c r="BC119" s="137"/>
    </row>
    <row r="120" spans="1:55" ht="30" customHeight="1">
      <c r="A120" s="203" t="e">
        <f>#REF!</f>
        <v>#REF!</v>
      </c>
      <c r="B120" s="204" t="e">
        <f xml:space="preserve"> IF(#REF!=0, "",#REF!)</f>
        <v>#REF!</v>
      </c>
      <c r="C120" s="369" t="e">
        <f>#REF!</f>
        <v>#REF!</v>
      </c>
      <c r="D120" s="369"/>
      <c r="E120" s="291" t="e">
        <f>#REF!</f>
        <v>#REF!</v>
      </c>
      <c r="F120" s="148" t="e">
        <f>#REF!</f>
        <v>#REF!</v>
      </c>
      <c r="G120" s="205" t="e">
        <f xml:space="preserve"> IF(#REF!="", "",#REF!)</f>
        <v>#REF!</v>
      </c>
      <c r="H120" s="205" t="e">
        <f xml:space="preserve"> IF(#REF!="", "",#REF!)</f>
        <v>#REF!</v>
      </c>
      <c r="I120" s="205" t="e">
        <f xml:space="preserve"> IF(#REF!="", "",#REF!)</f>
        <v>#REF!</v>
      </c>
      <c r="J120" s="298" t="e">
        <f>#REF!</f>
        <v>#REF!</v>
      </c>
      <c r="K120" s="149" t="e">
        <f>#REF!</f>
        <v>#REF!</v>
      </c>
      <c r="L120" s="149" t="e">
        <f>#REF!</f>
        <v>#REF!</v>
      </c>
      <c r="M120" s="150" t="e">
        <f>#REF!</f>
        <v>#REF!</v>
      </c>
      <c r="N120" s="364"/>
      <c r="O120" s="202"/>
      <c r="P120" s="151" t="e">
        <f>#REF!</f>
        <v>#REF!</v>
      </c>
      <c r="Q120" s="202"/>
      <c r="R120" s="152" t="e">
        <f>#REF!</f>
        <v>#REF!</v>
      </c>
      <c r="S120" s="202"/>
      <c r="T120" s="153" t="e">
        <f>#REF!</f>
        <v>#REF!</v>
      </c>
      <c r="U120" s="202"/>
      <c r="V120" s="153" t="e">
        <f>#REF!</f>
        <v>#REF!</v>
      </c>
      <c r="W120" s="202"/>
      <c r="X120" s="153" t="e">
        <f>#REF!</f>
        <v>#REF!</v>
      </c>
      <c r="Y120" s="202"/>
      <c r="Z120" s="152" t="e">
        <f>#REF!</f>
        <v>#REF!</v>
      </c>
      <c r="AA120" s="202"/>
      <c r="AB120" s="153" t="e">
        <f>#REF!</f>
        <v>#REF!</v>
      </c>
      <c r="AC120" s="202"/>
      <c r="AD120" s="152" t="e">
        <f>#REF!</f>
        <v>#REF!</v>
      </c>
      <c r="AE120" s="202"/>
      <c r="AF120" s="153" t="e">
        <f>#REF!</f>
        <v>#REF!</v>
      </c>
      <c r="AG120" s="202"/>
      <c r="AH120" s="152" t="e">
        <f>#REF!</f>
        <v>#REF!</v>
      </c>
      <c r="AI120" s="202"/>
      <c r="AJ120" s="153" t="e">
        <f>#REF!</f>
        <v>#REF!</v>
      </c>
      <c r="AK120" s="202"/>
      <c r="AL120" s="152" t="e">
        <f>#REF!</f>
        <v>#REF!</v>
      </c>
      <c r="AM120" s="202"/>
      <c r="AN120" s="153" t="e">
        <f>#REF!</f>
        <v>#REF!</v>
      </c>
      <c r="AO120" s="202"/>
      <c r="AP120" s="152" t="e">
        <f>#REF!</f>
        <v>#REF!</v>
      </c>
      <c r="AQ120" s="202"/>
      <c r="AR120" s="154" t="e">
        <f>#REF!</f>
        <v>#REF!</v>
      </c>
      <c r="AS120" s="202"/>
      <c r="AT120" s="153" t="e">
        <f>#REF!</f>
        <v>#REF!</v>
      </c>
      <c r="AU120" s="202"/>
      <c r="AV120" s="152" t="e">
        <f>#REF!</f>
        <v>#REF!</v>
      </c>
      <c r="AW120" s="202"/>
      <c r="AX120" s="153" t="e">
        <f>#REF!</f>
        <v>#REF!</v>
      </c>
      <c r="AY120" s="202"/>
      <c r="AZ120" s="152" t="e">
        <f>#REF!</f>
        <v>#REF!</v>
      </c>
      <c r="BA120" s="202"/>
      <c r="BB120" s="154" t="e">
        <f>#REF!</f>
        <v>#REF!</v>
      </c>
      <c r="BC120" s="137"/>
    </row>
    <row r="121" spans="1:55" ht="30" customHeight="1">
      <c r="A121" s="203" t="e">
        <f>#REF!</f>
        <v>#REF!</v>
      </c>
      <c r="B121" s="204" t="e">
        <f xml:space="preserve"> IF(#REF!=0, "",#REF!)</f>
        <v>#REF!</v>
      </c>
      <c r="C121" s="369" t="e">
        <f>#REF!</f>
        <v>#REF!</v>
      </c>
      <c r="D121" s="369"/>
      <c r="E121" s="291" t="e">
        <f>#REF!</f>
        <v>#REF!</v>
      </c>
      <c r="F121" s="148" t="e">
        <f>#REF!</f>
        <v>#REF!</v>
      </c>
      <c r="G121" s="205" t="e">
        <f xml:space="preserve"> IF(#REF!="", "",#REF!)</f>
        <v>#REF!</v>
      </c>
      <c r="H121" s="205" t="e">
        <f xml:space="preserve"> IF(#REF!="", "",#REF!)</f>
        <v>#REF!</v>
      </c>
      <c r="I121" s="205" t="e">
        <f xml:space="preserve"> IF(#REF!="", "",#REF!)</f>
        <v>#REF!</v>
      </c>
      <c r="J121" s="298" t="e">
        <f>#REF!</f>
        <v>#REF!</v>
      </c>
      <c r="K121" s="149" t="e">
        <f>#REF!</f>
        <v>#REF!</v>
      </c>
      <c r="L121" s="149" t="e">
        <f>#REF!</f>
        <v>#REF!</v>
      </c>
      <c r="M121" s="150" t="e">
        <f>#REF!</f>
        <v>#REF!</v>
      </c>
      <c r="N121" s="364"/>
      <c r="O121" s="202"/>
      <c r="P121" s="151" t="e">
        <f>#REF!</f>
        <v>#REF!</v>
      </c>
      <c r="Q121" s="202"/>
      <c r="R121" s="152" t="e">
        <f>#REF!</f>
        <v>#REF!</v>
      </c>
      <c r="S121" s="202"/>
      <c r="T121" s="153" t="e">
        <f>#REF!</f>
        <v>#REF!</v>
      </c>
      <c r="U121" s="202"/>
      <c r="V121" s="153" t="e">
        <f>#REF!</f>
        <v>#REF!</v>
      </c>
      <c r="W121" s="202"/>
      <c r="X121" s="153" t="e">
        <f>#REF!</f>
        <v>#REF!</v>
      </c>
      <c r="Y121" s="202"/>
      <c r="Z121" s="152" t="e">
        <f>#REF!</f>
        <v>#REF!</v>
      </c>
      <c r="AA121" s="202"/>
      <c r="AB121" s="153" t="e">
        <f>#REF!</f>
        <v>#REF!</v>
      </c>
      <c r="AC121" s="202"/>
      <c r="AD121" s="152" t="e">
        <f>#REF!</f>
        <v>#REF!</v>
      </c>
      <c r="AE121" s="202"/>
      <c r="AF121" s="153" t="e">
        <f>#REF!</f>
        <v>#REF!</v>
      </c>
      <c r="AG121" s="202"/>
      <c r="AH121" s="152" t="e">
        <f>#REF!</f>
        <v>#REF!</v>
      </c>
      <c r="AI121" s="202"/>
      <c r="AJ121" s="153" t="e">
        <f>#REF!</f>
        <v>#REF!</v>
      </c>
      <c r="AK121" s="202"/>
      <c r="AL121" s="152" t="e">
        <f>#REF!</f>
        <v>#REF!</v>
      </c>
      <c r="AM121" s="202"/>
      <c r="AN121" s="153" t="e">
        <f>#REF!</f>
        <v>#REF!</v>
      </c>
      <c r="AO121" s="202"/>
      <c r="AP121" s="152" t="e">
        <f>#REF!</f>
        <v>#REF!</v>
      </c>
      <c r="AQ121" s="202"/>
      <c r="AR121" s="154" t="e">
        <f>#REF!</f>
        <v>#REF!</v>
      </c>
      <c r="AS121" s="202"/>
      <c r="AT121" s="153" t="e">
        <f>#REF!</f>
        <v>#REF!</v>
      </c>
      <c r="AU121" s="202"/>
      <c r="AV121" s="152" t="e">
        <f>#REF!</f>
        <v>#REF!</v>
      </c>
      <c r="AW121" s="202"/>
      <c r="AX121" s="153" t="e">
        <f>#REF!</f>
        <v>#REF!</v>
      </c>
      <c r="AY121" s="202"/>
      <c r="AZ121" s="152" t="e">
        <f>#REF!</f>
        <v>#REF!</v>
      </c>
      <c r="BA121" s="202"/>
      <c r="BB121" s="154" t="e">
        <f>#REF!</f>
        <v>#REF!</v>
      </c>
      <c r="BC121" s="137"/>
    </row>
    <row r="122" spans="1:55" ht="30" customHeight="1">
      <c r="A122" s="203" t="e">
        <f>#REF!</f>
        <v>#REF!</v>
      </c>
      <c r="B122" s="204" t="e">
        <f xml:space="preserve"> IF(#REF!=0, "",#REF!)</f>
        <v>#REF!</v>
      </c>
      <c r="C122" s="369" t="e">
        <f>#REF!</f>
        <v>#REF!</v>
      </c>
      <c r="D122" s="369"/>
      <c r="E122" s="291" t="e">
        <f>#REF!</f>
        <v>#REF!</v>
      </c>
      <c r="F122" s="148" t="e">
        <f>#REF!</f>
        <v>#REF!</v>
      </c>
      <c r="G122" s="205" t="e">
        <f xml:space="preserve"> IF(#REF!="", "",#REF!)</f>
        <v>#REF!</v>
      </c>
      <c r="H122" s="205" t="e">
        <f xml:space="preserve"> IF(#REF!="", "",#REF!)</f>
        <v>#REF!</v>
      </c>
      <c r="I122" s="205" t="e">
        <f xml:space="preserve"> IF(#REF!="", "",#REF!)</f>
        <v>#REF!</v>
      </c>
      <c r="J122" s="298" t="e">
        <f>#REF!</f>
        <v>#REF!</v>
      </c>
      <c r="K122" s="149" t="e">
        <f>#REF!</f>
        <v>#REF!</v>
      </c>
      <c r="L122" s="149" t="e">
        <f>#REF!</f>
        <v>#REF!</v>
      </c>
      <c r="M122" s="150" t="e">
        <f>#REF!</f>
        <v>#REF!</v>
      </c>
      <c r="N122" s="364"/>
      <c r="O122" s="202"/>
      <c r="P122" s="151" t="e">
        <f>#REF!</f>
        <v>#REF!</v>
      </c>
      <c r="Q122" s="202"/>
      <c r="R122" s="152" t="e">
        <f>#REF!</f>
        <v>#REF!</v>
      </c>
      <c r="S122" s="202"/>
      <c r="T122" s="153" t="e">
        <f>#REF!</f>
        <v>#REF!</v>
      </c>
      <c r="U122" s="202"/>
      <c r="V122" s="153" t="e">
        <f>#REF!</f>
        <v>#REF!</v>
      </c>
      <c r="W122" s="202"/>
      <c r="X122" s="153" t="e">
        <f>#REF!</f>
        <v>#REF!</v>
      </c>
      <c r="Y122" s="202"/>
      <c r="Z122" s="152" t="e">
        <f>#REF!</f>
        <v>#REF!</v>
      </c>
      <c r="AA122" s="202"/>
      <c r="AB122" s="153" t="e">
        <f>#REF!</f>
        <v>#REF!</v>
      </c>
      <c r="AC122" s="202"/>
      <c r="AD122" s="152" t="e">
        <f>#REF!</f>
        <v>#REF!</v>
      </c>
      <c r="AE122" s="202"/>
      <c r="AF122" s="153" t="e">
        <f>#REF!</f>
        <v>#REF!</v>
      </c>
      <c r="AG122" s="202"/>
      <c r="AH122" s="152" t="e">
        <f>#REF!</f>
        <v>#REF!</v>
      </c>
      <c r="AI122" s="202"/>
      <c r="AJ122" s="153" t="e">
        <f>#REF!</f>
        <v>#REF!</v>
      </c>
      <c r="AK122" s="202"/>
      <c r="AL122" s="152" t="e">
        <f>#REF!</f>
        <v>#REF!</v>
      </c>
      <c r="AM122" s="202"/>
      <c r="AN122" s="153" t="e">
        <f>#REF!</f>
        <v>#REF!</v>
      </c>
      <c r="AO122" s="202"/>
      <c r="AP122" s="152" t="e">
        <f>#REF!</f>
        <v>#REF!</v>
      </c>
      <c r="AQ122" s="202"/>
      <c r="AR122" s="154" t="e">
        <f>#REF!</f>
        <v>#REF!</v>
      </c>
      <c r="AS122" s="202"/>
      <c r="AT122" s="153" t="e">
        <f>#REF!</f>
        <v>#REF!</v>
      </c>
      <c r="AU122" s="202"/>
      <c r="AV122" s="152" t="e">
        <f>#REF!</f>
        <v>#REF!</v>
      </c>
      <c r="AW122" s="202"/>
      <c r="AX122" s="153" t="e">
        <f>#REF!</f>
        <v>#REF!</v>
      </c>
      <c r="AY122" s="202"/>
      <c r="AZ122" s="152" t="e">
        <f>#REF!</f>
        <v>#REF!</v>
      </c>
      <c r="BA122" s="202"/>
      <c r="BB122" s="154" t="e">
        <f>#REF!</f>
        <v>#REF!</v>
      </c>
      <c r="BC122" s="137"/>
    </row>
    <row r="123" spans="1:55" ht="30" customHeight="1">
      <c r="A123" s="203" t="e">
        <f>#REF!</f>
        <v>#REF!</v>
      </c>
      <c r="B123" s="204" t="e">
        <f xml:space="preserve"> IF(#REF!=0, "",#REF!)</f>
        <v>#REF!</v>
      </c>
      <c r="C123" s="369" t="e">
        <f>#REF!</f>
        <v>#REF!</v>
      </c>
      <c r="D123" s="369"/>
      <c r="E123" s="291" t="e">
        <f>#REF!</f>
        <v>#REF!</v>
      </c>
      <c r="F123" s="148" t="e">
        <f>#REF!</f>
        <v>#REF!</v>
      </c>
      <c r="G123" s="205" t="e">
        <f xml:space="preserve"> IF(#REF!="", "",#REF!)</f>
        <v>#REF!</v>
      </c>
      <c r="H123" s="205" t="e">
        <f xml:space="preserve"> IF(#REF!="", "",#REF!)</f>
        <v>#REF!</v>
      </c>
      <c r="I123" s="205" t="e">
        <f xml:space="preserve"> IF(#REF!="", "",#REF!)</f>
        <v>#REF!</v>
      </c>
      <c r="J123" s="298" t="e">
        <f>#REF!</f>
        <v>#REF!</v>
      </c>
      <c r="K123" s="149" t="e">
        <f>#REF!</f>
        <v>#REF!</v>
      </c>
      <c r="L123" s="149" t="e">
        <f>#REF!</f>
        <v>#REF!</v>
      </c>
      <c r="M123" s="150" t="e">
        <f>#REF!</f>
        <v>#REF!</v>
      </c>
      <c r="N123" s="364"/>
      <c r="O123" s="202"/>
      <c r="P123" s="151" t="e">
        <f>#REF!</f>
        <v>#REF!</v>
      </c>
      <c r="Q123" s="202"/>
      <c r="R123" s="152" t="e">
        <f>#REF!</f>
        <v>#REF!</v>
      </c>
      <c r="S123" s="202"/>
      <c r="T123" s="153" t="e">
        <f>#REF!</f>
        <v>#REF!</v>
      </c>
      <c r="U123" s="202"/>
      <c r="V123" s="153" t="e">
        <f>#REF!</f>
        <v>#REF!</v>
      </c>
      <c r="W123" s="202"/>
      <c r="X123" s="153" t="e">
        <f>#REF!</f>
        <v>#REF!</v>
      </c>
      <c r="Y123" s="202"/>
      <c r="Z123" s="152" t="e">
        <f>#REF!</f>
        <v>#REF!</v>
      </c>
      <c r="AA123" s="202"/>
      <c r="AB123" s="153" t="e">
        <f>#REF!</f>
        <v>#REF!</v>
      </c>
      <c r="AC123" s="202"/>
      <c r="AD123" s="152" t="e">
        <f>#REF!</f>
        <v>#REF!</v>
      </c>
      <c r="AE123" s="202"/>
      <c r="AF123" s="153" t="e">
        <f>#REF!</f>
        <v>#REF!</v>
      </c>
      <c r="AG123" s="202"/>
      <c r="AH123" s="152" t="e">
        <f>#REF!</f>
        <v>#REF!</v>
      </c>
      <c r="AI123" s="202"/>
      <c r="AJ123" s="153" t="e">
        <f>#REF!</f>
        <v>#REF!</v>
      </c>
      <c r="AK123" s="202"/>
      <c r="AL123" s="152" t="e">
        <f>#REF!</f>
        <v>#REF!</v>
      </c>
      <c r="AM123" s="202"/>
      <c r="AN123" s="153" t="e">
        <f>#REF!</f>
        <v>#REF!</v>
      </c>
      <c r="AO123" s="202"/>
      <c r="AP123" s="152" t="e">
        <f>#REF!</f>
        <v>#REF!</v>
      </c>
      <c r="AQ123" s="202"/>
      <c r="AR123" s="154" t="e">
        <f>#REF!</f>
        <v>#REF!</v>
      </c>
      <c r="AS123" s="202"/>
      <c r="AT123" s="153" t="e">
        <f>#REF!</f>
        <v>#REF!</v>
      </c>
      <c r="AU123" s="202"/>
      <c r="AV123" s="152" t="e">
        <f>#REF!</f>
        <v>#REF!</v>
      </c>
      <c r="AW123" s="202"/>
      <c r="AX123" s="153" t="e">
        <f>#REF!</f>
        <v>#REF!</v>
      </c>
      <c r="AY123" s="202"/>
      <c r="AZ123" s="152" t="e">
        <f>#REF!</f>
        <v>#REF!</v>
      </c>
      <c r="BA123" s="202"/>
      <c r="BB123" s="154" t="e">
        <f>#REF!</f>
        <v>#REF!</v>
      </c>
      <c r="BC123" s="137"/>
    </row>
    <row r="124" spans="1:55" ht="30" customHeight="1">
      <c r="A124" s="203" t="e">
        <f>#REF!</f>
        <v>#REF!</v>
      </c>
      <c r="B124" s="204" t="e">
        <f xml:space="preserve"> IF(#REF!=0, "",#REF!)</f>
        <v>#REF!</v>
      </c>
      <c r="C124" s="369" t="e">
        <f>#REF!</f>
        <v>#REF!</v>
      </c>
      <c r="D124" s="369"/>
      <c r="E124" s="291" t="e">
        <f>#REF!</f>
        <v>#REF!</v>
      </c>
      <c r="F124" s="148" t="e">
        <f>#REF!</f>
        <v>#REF!</v>
      </c>
      <c r="G124" s="205" t="e">
        <f xml:space="preserve"> IF(#REF!="", "",#REF!)</f>
        <v>#REF!</v>
      </c>
      <c r="H124" s="205" t="e">
        <f xml:space="preserve"> IF(#REF!="", "",#REF!)</f>
        <v>#REF!</v>
      </c>
      <c r="I124" s="205" t="e">
        <f xml:space="preserve"> IF(#REF!="", "",#REF!)</f>
        <v>#REF!</v>
      </c>
      <c r="J124" s="298" t="e">
        <f>#REF!</f>
        <v>#REF!</v>
      </c>
      <c r="K124" s="149" t="e">
        <f>#REF!</f>
        <v>#REF!</v>
      </c>
      <c r="L124" s="149" t="e">
        <f>#REF!</f>
        <v>#REF!</v>
      </c>
      <c r="M124" s="150" t="e">
        <f>#REF!</f>
        <v>#REF!</v>
      </c>
      <c r="N124" s="364"/>
      <c r="O124" s="202"/>
      <c r="P124" s="151" t="e">
        <f>#REF!</f>
        <v>#REF!</v>
      </c>
      <c r="Q124" s="202"/>
      <c r="R124" s="152" t="e">
        <f>#REF!</f>
        <v>#REF!</v>
      </c>
      <c r="S124" s="202"/>
      <c r="T124" s="153" t="e">
        <f>#REF!</f>
        <v>#REF!</v>
      </c>
      <c r="U124" s="202"/>
      <c r="V124" s="153" t="e">
        <f>#REF!</f>
        <v>#REF!</v>
      </c>
      <c r="W124" s="202"/>
      <c r="X124" s="153" t="e">
        <f>#REF!</f>
        <v>#REF!</v>
      </c>
      <c r="Y124" s="202"/>
      <c r="Z124" s="152" t="e">
        <f>#REF!</f>
        <v>#REF!</v>
      </c>
      <c r="AA124" s="202"/>
      <c r="AB124" s="153" t="e">
        <f>#REF!</f>
        <v>#REF!</v>
      </c>
      <c r="AC124" s="202"/>
      <c r="AD124" s="152" t="e">
        <f>#REF!</f>
        <v>#REF!</v>
      </c>
      <c r="AE124" s="202"/>
      <c r="AF124" s="153" t="e">
        <f>#REF!</f>
        <v>#REF!</v>
      </c>
      <c r="AG124" s="202"/>
      <c r="AH124" s="152" t="e">
        <f>#REF!</f>
        <v>#REF!</v>
      </c>
      <c r="AI124" s="202"/>
      <c r="AJ124" s="153" t="e">
        <f>#REF!</f>
        <v>#REF!</v>
      </c>
      <c r="AK124" s="202"/>
      <c r="AL124" s="152" t="e">
        <f>#REF!</f>
        <v>#REF!</v>
      </c>
      <c r="AM124" s="202"/>
      <c r="AN124" s="153" t="e">
        <f>#REF!</f>
        <v>#REF!</v>
      </c>
      <c r="AO124" s="202"/>
      <c r="AP124" s="152" t="e">
        <f>#REF!</f>
        <v>#REF!</v>
      </c>
      <c r="AQ124" s="202"/>
      <c r="AR124" s="154" t="e">
        <f>#REF!</f>
        <v>#REF!</v>
      </c>
      <c r="AS124" s="202"/>
      <c r="AT124" s="153" t="e">
        <f>#REF!</f>
        <v>#REF!</v>
      </c>
      <c r="AU124" s="202"/>
      <c r="AV124" s="152" t="e">
        <f>#REF!</f>
        <v>#REF!</v>
      </c>
      <c r="AW124" s="202"/>
      <c r="AX124" s="153" t="e">
        <f>#REF!</f>
        <v>#REF!</v>
      </c>
      <c r="AY124" s="202"/>
      <c r="AZ124" s="152" t="e">
        <f>#REF!</f>
        <v>#REF!</v>
      </c>
      <c r="BA124" s="202"/>
      <c r="BB124" s="154" t="e">
        <f>#REF!</f>
        <v>#REF!</v>
      </c>
      <c r="BC124" s="137"/>
    </row>
    <row r="125" spans="1:55" ht="30" customHeight="1">
      <c r="A125" s="203" t="e">
        <f>#REF!</f>
        <v>#REF!</v>
      </c>
      <c r="B125" s="204" t="e">
        <f xml:space="preserve"> IF(#REF!=0, "",#REF!)</f>
        <v>#REF!</v>
      </c>
      <c r="C125" s="369" t="e">
        <f>#REF!</f>
        <v>#REF!</v>
      </c>
      <c r="D125" s="369"/>
      <c r="E125" s="291" t="e">
        <f>#REF!</f>
        <v>#REF!</v>
      </c>
      <c r="F125" s="148" t="e">
        <f>#REF!</f>
        <v>#REF!</v>
      </c>
      <c r="G125" s="205" t="e">
        <f xml:space="preserve"> IF(#REF!="", "",#REF!)</f>
        <v>#REF!</v>
      </c>
      <c r="H125" s="205" t="e">
        <f xml:space="preserve"> IF(#REF!="", "",#REF!)</f>
        <v>#REF!</v>
      </c>
      <c r="I125" s="205" t="e">
        <f xml:space="preserve"> IF(#REF!="", "",#REF!)</f>
        <v>#REF!</v>
      </c>
      <c r="J125" s="298" t="e">
        <f>#REF!</f>
        <v>#REF!</v>
      </c>
      <c r="K125" s="149" t="e">
        <f>#REF!</f>
        <v>#REF!</v>
      </c>
      <c r="L125" s="149" t="e">
        <f>#REF!</f>
        <v>#REF!</v>
      </c>
      <c r="M125" s="150" t="e">
        <f>#REF!</f>
        <v>#REF!</v>
      </c>
      <c r="N125" s="364"/>
      <c r="O125" s="202"/>
      <c r="P125" s="151" t="e">
        <f>#REF!</f>
        <v>#REF!</v>
      </c>
      <c r="Q125" s="202"/>
      <c r="R125" s="152" t="e">
        <f>#REF!</f>
        <v>#REF!</v>
      </c>
      <c r="S125" s="202"/>
      <c r="T125" s="153" t="e">
        <f>#REF!</f>
        <v>#REF!</v>
      </c>
      <c r="U125" s="202"/>
      <c r="V125" s="153" t="e">
        <f>#REF!</f>
        <v>#REF!</v>
      </c>
      <c r="W125" s="202"/>
      <c r="X125" s="153" t="e">
        <f>#REF!</f>
        <v>#REF!</v>
      </c>
      <c r="Y125" s="202"/>
      <c r="Z125" s="152" t="e">
        <f>#REF!</f>
        <v>#REF!</v>
      </c>
      <c r="AA125" s="202"/>
      <c r="AB125" s="153" t="e">
        <f>#REF!</f>
        <v>#REF!</v>
      </c>
      <c r="AC125" s="202"/>
      <c r="AD125" s="152" t="e">
        <f>#REF!</f>
        <v>#REF!</v>
      </c>
      <c r="AE125" s="202"/>
      <c r="AF125" s="153" t="e">
        <f>#REF!</f>
        <v>#REF!</v>
      </c>
      <c r="AG125" s="202"/>
      <c r="AH125" s="152" t="e">
        <f>#REF!</f>
        <v>#REF!</v>
      </c>
      <c r="AI125" s="202"/>
      <c r="AJ125" s="153" t="e">
        <f>#REF!</f>
        <v>#REF!</v>
      </c>
      <c r="AK125" s="202"/>
      <c r="AL125" s="152" t="e">
        <f>#REF!</f>
        <v>#REF!</v>
      </c>
      <c r="AM125" s="202"/>
      <c r="AN125" s="153" t="e">
        <f>#REF!</f>
        <v>#REF!</v>
      </c>
      <c r="AO125" s="202"/>
      <c r="AP125" s="152" t="e">
        <f>#REF!</f>
        <v>#REF!</v>
      </c>
      <c r="AQ125" s="202"/>
      <c r="AR125" s="154" t="e">
        <f>#REF!</f>
        <v>#REF!</v>
      </c>
      <c r="AS125" s="202"/>
      <c r="AT125" s="153" t="e">
        <f>#REF!</f>
        <v>#REF!</v>
      </c>
      <c r="AU125" s="202"/>
      <c r="AV125" s="152" t="e">
        <f>#REF!</f>
        <v>#REF!</v>
      </c>
      <c r="AW125" s="202"/>
      <c r="AX125" s="153" t="e">
        <f>#REF!</f>
        <v>#REF!</v>
      </c>
      <c r="AY125" s="202"/>
      <c r="AZ125" s="152" t="e">
        <f>#REF!</f>
        <v>#REF!</v>
      </c>
      <c r="BA125" s="202"/>
      <c r="BB125" s="154" t="e">
        <f>#REF!</f>
        <v>#REF!</v>
      </c>
      <c r="BC125" s="137"/>
    </row>
    <row r="126" spans="1:55" ht="30" customHeight="1">
      <c r="A126" s="203" t="e">
        <f>#REF!</f>
        <v>#REF!</v>
      </c>
      <c r="B126" s="204" t="e">
        <f xml:space="preserve"> IF(#REF!=0, "",#REF!)</f>
        <v>#REF!</v>
      </c>
      <c r="C126" s="369" t="e">
        <f>#REF!</f>
        <v>#REF!</v>
      </c>
      <c r="D126" s="369"/>
      <c r="E126" s="291" t="e">
        <f>#REF!</f>
        <v>#REF!</v>
      </c>
      <c r="F126" s="148" t="e">
        <f>#REF!</f>
        <v>#REF!</v>
      </c>
      <c r="G126" s="205" t="e">
        <f xml:space="preserve"> IF(#REF!="", "",#REF!)</f>
        <v>#REF!</v>
      </c>
      <c r="H126" s="205" t="e">
        <f xml:space="preserve"> IF(#REF!="", "",#REF!)</f>
        <v>#REF!</v>
      </c>
      <c r="I126" s="205" t="e">
        <f xml:space="preserve"> IF(#REF!="", "",#REF!)</f>
        <v>#REF!</v>
      </c>
      <c r="J126" s="298" t="e">
        <f>#REF!</f>
        <v>#REF!</v>
      </c>
      <c r="K126" s="149" t="e">
        <f>#REF!</f>
        <v>#REF!</v>
      </c>
      <c r="L126" s="149" t="e">
        <f>#REF!</f>
        <v>#REF!</v>
      </c>
      <c r="M126" s="150" t="e">
        <f>#REF!</f>
        <v>#REF!</v>
      </c>
      <c r="N126" s="364"/>
      <c r="O126" s="202"/>
      <c r="P126" s="151" t="e">
        <f>#REF!</f>
        <v>#REF!</v>
      </c>
      <c r="Q126" s="202"/>
      <c r="R126" s="152" t="e">
        <f>#REF!</f>
        <v>#REF!</v>
      </c>
      <c r="S126" s="202"/>
      <c r="T126" s="153" t="e">
        <f>#REF!</f>
        <v>#REF!</v>
      </c>
      <c r="U126" s="202"/>
      <c r="V126" s="153" t="e">
        <f>#REF!</f>
        <v>#REF!</v>
      </c>
      <c r="W126" s="202"/>
      <c r="X126" s="153" t="e">
        <f>#REF!</f>
        <v>#REF!</v>
      </c>
      <c r="Y126" s="202"/>
      <c r="Z126" s="152" t="e">
        <f>#REF!</f>
        <v>#REF!</v>
      </c>
      <c r="AA126" s="202"/>
      <c r="AB126" s="153" t="e">
        <f>#REF!</f>
        <v>#REF!</v>
      </c>
      <c r="AC126" s="202"/>
      <c r="AD126" s="152" t="e">
        <f>#REF!</f>
        <v>#REF!</v>
      </c>
      <c r="AE126" s="202"/>
      <c r="AF126" s="153" t="e">
        <f>#REF!</f>
        <v>#REF!</v>
      </c>
      <c r="AG126" s="202"/>
      <c r="AH126" s="152" t="e">
        <f>#REF!</f>
        <v>#REF!</v>
      </c>
      <c r="AI126" s="202"/>
      <c r="AJ126" s="153" t="e">
        <f>#REF!</f>
        <v>#REF!</v>
      </c>
      <c r="AK126" s="202"/>
      <c r="AL126" s="152" t="e">
        <f>#REF!</f>
        <v>#REF!</v>
      </c>
      <c r="AM126" s="202"/>
      <c r="AN126" s="153" t="e">
        <f>#REF!</f>
        <v>#REF!</v>
      </c>
      <c r="AO126" s="202"/>
      <c r="AP126" s="152" t="e">
        <f>#REF!</f>
        <v>#REF!</v>
      </c>
      <c r="AQ126" s="202"/>
      <c r="AR126" s="154" t="e">
        <f>#REF!</f>
        <v>#REF!</v>
      </c>
      <c r="AS126" s="202"/>
      <c r="AT126" s="153" t="e">
        <f>#REF!</f>
        <v>#REF!</v>
      </c>
      <c r="AU126" s="202"/>
      <c r="AV126" s="152" t="e">
        <f>#REF!</f>
        <v>#REF!</v>
      </c>
      <c r="AW126" s="202"/>
      <c r="AX126" s="153" t="e">
        <f>#REF!</f>
        <v>#REF!</v>
      </c>
      <c r="AY126" s="202"/>
      <c r="AZ126" s="152" t="e">
        <f>#REF!</f>
        <v>#REF!</v>
      </c>
      <c r="BA126" s="202"/>
      <c r="BB126" s="154" t="e">
        <f>#REF!</f>
        <v>#REF!</v>
      </c>
      <c r="BC126" s="137"/>
    </row>
    <row r="127" spans="1:55" ht="30" customHeight="1">
      <c r="A127" s="203" t="e">
        <f>#REF!</f>
        <v>#REF!</v>
      </c>
      <c r="B127" s="204" t="e">
        <f xml:space="preserve"> IF(#REF!=0, "",#REF!)</f>
        <v>#REF!</v>
      </c>
      <c r="C127" s="369" t="e">
        <f>#REF!</f>
        <v>#REF!</v>
      </c>
      <c r="D127" s="369"/>
      <c r="E127" s="291" t="e">
        <f>#REF!</f>
        <v>#REF!</v>
      </c>
      <c r="F127" s="148" t="e">
        <f>#REF!</f>
        <v>#REF!</v>
      </c>
      <c r="G127" s="205" t="e">
        <f xml:space="preserve"> IF(#REF!="", "",#REF!)</f>
        <v>#REF!</v>
      </c>
      <c r="H127" s="205" t="e">
        <f xml:space="preserve"> IF(#REF!="", "",#REF!)</f>
        <v>#REF!</v>
      </c>
      <c r="I127" s="205" t="e">
        <f xml:space="preserve"> IF(#REF!="", "",#REF!)</f>
        <v>#REF!</v>
      </c>
      <c r="J127" s="298" t="e">
        <f>#REF!</f>
        <v>#REF!</v>
      </c>
      <c r="K127" s="149" t="e">
        <f>#REF!</f>
        <v>#REF!</v>
      </c>
      <c r="L127" s="149" t="e">
        <f>#REF!</f>
        <v>#REF!</v>
      </c>
      <c r="M127" s="150" t="e">
        <f>#REF!</f>
        <v>#REF!</v>
      </c>
      <c r="N127" s="364"/>
      <c r="O127" s="202"/>
      <c r="P127" s="151" t="e">
        <f>#REF!</f>
        <v>#REF!</v>
      </c>
      <c r="Q127" s="202"/>
      <c r="R127" s="152" t="e">
        <f>#REF!</f>
        <v>#REF!</v>
      </c>
      <c r="S127" s="202"/>
      <c r="T127" s="153" t="e">
        <f>#REF!</f>
        <v>#REF!</v>
      </c>
      <c r="U127" s="202"/>
      <c r="V127" s="153" t="e">
        <f>#REF!</f>
        <v>#REF!</v>
      </c>
      <c r="W127" s="202"/>
      <c r="X127" s="153" t="e">
        <f>#REF!</f>
        <v>#REF!</v>
      </c>
      <c r="Y127" s="202"/>
      <c r="Z127" s="152" t="e">
        <f>#REF!</f>
        <v>#REF!</v>
      </c>
      <c r="AA127" s="202"/>
      <c r="AB127" s="153" t="e">
        <f>#REF!</f>
        <v>#REF!</v>
      </c>
      <c r="AC127" s="202"/>
      <c r="AD127" s="152" t="e">
        <f>#REF!</f>
        <v>#REF!</v>
      </c>
      <c r="AE127" s="202"/>
      <c r="AF127" s="153" t="e">
        <f>#REF!</f>
        <v>#REF!</v>
      </c>
      <c r="AG127" s="202"/>
      <c r="AH127" s="152" t="e">
        <f>#REF!</f>
        <v>#REF!</v>
      </c>
      <c r="AI127" s="202"/>
      <c r="AJ127" s="153" t="e">
        <f>#REF!</f>
        <v>#REF!</v>
      </c>
      <c r="AK127" s="202"/>
      <c r="AL127" s="152" t="e">
        <f>#REF!</f>
        <v>#REF!</v>
      </c>
      <c r="AM127" s="202"/>
      <c r="AN127" s="153" t="e">
        <f>#REF!</f>
        <v>#REF!</v>
      </c>
      <c r="AO127" s="202"/>
      <c r="AP127" s="152" t="e">
        <f>#REF!</f>
        <v>#REF!</v>
      </c>
      <c r="AQ127" s="202"/>
      <c r="AR127" s="154" t="e">
        <f>#REF!</f>
        <v>#REF!</v>
      </c>
      <c r="AS127" s="202"/>
      <c r="AT127" s="153" t="e">
        <f>#REF!</f>
        <v>#REF!</v>
      </c>
      <c r="AU127" s="202"/>
      <c r="AV127" s="152" t="e">
        <f>#REF!</f>
        <v>#REF!</v>
      </c>
      <c r="AW127" s="202"/>
      <c r="AX127" s="153" t="e">
        <f>#REF!</f>
        <v>#REF!</v>
      </c>
      <c r="AY127" s="202"/>
      <c r="AZ127" s="152" t="e">
        <f>#REF!</f>
        <v>#REF!</v>
      </c>
      <c r="BA127" s="202"/>
      <c r="BB127" s="154" t="e">
        <f>#REF!</f>
        <v>#REF!</v>
      </c>
      <c r="BC127" s="137"/>
    </row>
    <row r="128" spans="1:55" ht="30" customHeight="1">
      <c r="A128" s="203" t="e">
        <f>#REF!</f>
        <v>#REF!</v>
      </c>
      <c r="B128" s="204" t="e">
        <f xml:space="preserve"> IF(#REF!=0, "",#REF!)</f>
        <v>#REF!</v>
      </c>
      <c r="C128" s="369" t="e">
        <f>#REF!</f>
        <v>#REF!</v>
      </c>
      <c r="D128" s="369"/>
      <c r="E128" s="291" t="e">
        <f>#REF!</f>
        <v>#REF!</v>
      </c>
      <c r="F128" s="148" t="e">
        <f>#REF!</f>
        <v>#REF!</v>
      </c>
      <c r="G128" s="205" t="e">
        <f xml:space="preserve"> IF(#REF!="", "",#REF!)</f>
        <v>#REF!</v>
      </c>
      <c r="H128" s="205" t="e">
        <f xml:space="preserve"> IF(#REF!="", "",#REF!)</f>
        <v>#REF!</v>
      </c>
      <c r="I128" s="205" t="e">
        <f xml:space="preserve"> IF(#REF!="", "",#REF!)</f>
        <v>#REF!</v>
      </c>
      <c r="J128" s="298" t="e">
        <f>#REF!</f>
        <v>#REF!</v>
      </c>
      <c r="K128" s="149" t="e">
        <f>#REF!</f>
        <v>#REF!</v>
      </c>
      <c r="L128" s="149" t="e">
        <f>#REF!</f>
        <v>#REF!</v>
      </c>
      <c r="M128" s="150" t="e">
        <f>#REF!</f>
        <v>#REF!</v>
      </c>
      <c r="N128" s="364"/>
      <c r="O128" s="202"/>
      <c r="P128" s="151" t="e">
        <f>#REF!</f>
        <v>#REF!</v>
      </c>
      <c r="Q128" s="202"/>
      <c r="R128" s="152" t="e">
        <f>#REF!</f>
        <v>#REF!</v>
      </c>
      <c r="S128" s="202"/>
      <c r="T128" s="153" t="e">
        <f>#REF!</f>
        <v>#REF!</v>
      </c>
      <c r="U128" s="202"/>
      <c r="V128" s="153" t="e">
        <f>#REF!</f>
        <v>#REF!</v>
      </c>
      <c r="W128" s="202"/>
      <c r="X128" s="153" t="e">
        <f>#REF!</f>
        <v>#REF!</v>
      </c>
      <c r="Y128" s="202"/>
      <c r="Z128" s="152" t="e">
        <f>#REF!</f>
        <v>#REF!</v>
      </c>
      <c r="AA128" s="202"/>
      <c r="AB128" s="153" t="e">
        <f>#REF!</f>
        <v>#REF!</v>
      </c>
      <c r="AC128" s="202"/>
      <c r="AD128" s="152" t="e">
        <f>#REF!</f>
        <v>#REF!</v>
      </c>
      <c r="AE128" s="202"/>
      <c r="AF128" s="153" t="e">
        <f>#REF!</f>
        <v>#REF!</v>
      </c>
      <c r="AG128" s="202"/>
      <c r="AH128" s="152" t="e">
        <f>#REF!</f>
        <v>#REF!</v>
      </c>
      <c r="AI128" s="202"/>
      <c r="AJ128" s="153" t="e">
        <f>#REF!</f>
        <v>#REF!</v>
      </c>
      <c r="AK128" s="202"/>
      <c r="AL128" s="152" t="e">
        <f>#REF!</f>
        <v>#REF!</v>
      </c>
      <c r="AM128" s="202"/>
      <c r="AN128" s="153" t="e">
        <f>#REF!</f>
        <v>#REF!</v>
      </c>
      <c r="AO128" s="202"/>
      <c r="AP128" s="152" t="e">
        <f>#REF!</f>
        <v>#REF!</v>
      </c>
      <c r="AQ128" s="202"/>
      <c r="AR128" s="154" t="e">
        <f>#REF!</f>
        <v>#REF!</v>
      </c>
      <c r="AS128" s="202"/>
      <c r="AT128" s="153" t="e">
        <f>#REF!</f>
        <v>#REF!</v>
      </c>
      <c r="AU128" s="202"/>
      <c r="AV128" s="152" t="e">
        <f>#REF!</f>
        <v>#REF!</v>
      </c>
      <c r="AW128" s="202"/>
      <c r="AX128" s="153" t="e">
        <f>#REF!</f>
        <v>#REF!</v>
      </c>
      <c r="AY128" s="202"/>
      <c r="AZ128" s="152" t="e">
        <f>#REF!</f>
        <v>#REF!</v>
      </c>
      <c r="BA128" s="202"/>
      <c r="BB128" s="154" t="e">
        <f>#REF!</f>
        <v>#REF!</v>
      </c>
      <c r="BC128" s="137"/>
    </row>
    <row r="129" spans="1:55" ht="30" customHeight="1">
      <c r="A129" s="203" t="e">
        <f>#REF!</f>
        <v>#REF!</v>
      </c>
      <c r="B129" s="204" t="e">
        <f xml:space="preserve"> IF(#REF!=0, "",#REF!)</f>
        <v>#REF!</v>
      </c>
      <c r="C129" s="369" t="e">
        <f>#REF!</f>
        <v>#REF!</v>
      </c>
      <c r="D129" s="369"/>
      <c r="E129" s="291" t="e">
        <f>#REF!</f>
        <v>#REF!</v>
      </c>
      <c r="F129" s="148" t="e">
        <f>#REF!</f>
        <v>#REF!</v>
      </c>
      <c r="G129" s="205" t="e">
        <f xml:space="preserve"> IF(#REF!="", "",#REF!)</f>
        <v>#REF!</v>
      </c>
      <c r="H129" s="205" t="e">
        <f xml:space="preserve"> IF(#REF!="", "",#REF!)</f>
        <v>#REF!</v>
      </c>
      <c r="I129" s="205" t="e">
        <f xml:space="preserve"> IF(#REF!="", "",#REF!)</f>
        <v>#REF!</v>
      </c>
      <c r="J129" s="298" t="e">
        <f>#REF!</f>
        <v>#REF!</v>
      </c>
      <c r="K129" s="149" t="e">
        <f>#REF!</f>
        <v>#REF!</v>
      </c>
      <c r="L129" s="149" t="e">
        <f>#REF!</f>
        <v>#REF!</v>
      </c>
      <c r="M129" s="150" t="e">
        <f>#REF!</f>
        <v>#REF!</v>
      </c>
      <c r="N129" s="364"/>
      <c r="O129" s="202"/>
      <c r="P129" s="151" t="e">
        <f>#REF!</f>
        <v>#REF!</v>
      </c>
      <c r="Q129" s="202"/>
      <c r="R129" s="152" t="e">
        <f>#REF!</f>
        <v>#REF!</v>
      </c>
      <c r="S129" s="202"/>
      <c r="T129" s="153" t="e">
        <f>#REF!</f>
        <v>#REF!</v>
      </c>
      <c r="U129" s="202"/>
      <c r="V129" s="153" t="e">
        <f>#REF!</f>
        <v>#REF!</v>
      </c>
      <c r="W129" s="202"/>
      <c r="X129" s="153" t="e">
        <f>#REF!</f>
        <v>#REF!</v>
      </c>
      <c r="Y129" s="202"/>
      <c r="Z129" s="152" t="e">
        <f>#REF!</f>
        <v>#REF!</v>
      </c>
      <c r="AA129" s="202"/>
      <c r="AB129" s="153" t="e">
        <f>#REF!</f>
        <v>#REF!</v>
      </c>
      <c r="AC129" s="202"/>
      <c r="AD129" s="152" t="e">
        <f>#REF!</f>
        <v>#REF!</v>
      </c>
      <c r="AE129" s="202"/>
      <c r="AF129" s="153" t="e">
        <f>#REF!</f>
        <v>#REF!</v>
      </c>
      <c r="AG129" s="202"/>
      <c r="AH129" s="152" t="e">
        <f>#REF!</f>
        <v>#REF!</v>
      </c>
      <c r="AI129" s="202"/>
      <c r="AJ129" s="153" t="e">
        <f>#REF!</f>
        <v>#REF!</v>
      </c>
      <c r="AK129" s="202"/>
      <c r="AL129" s="152" t="e">
        <f>#REF!</f>
        <v>#REF!</v>
      </c>
      <c r="AM129" s="202"/>
      <c r="AN129" s="153" t="e">
        <f>#REF!</f>
        <v>#REF!</v>
      </c>
      <c r="AO129" s="202"/>
      <c r="AP129" s="152" t="e">
        <f>#REF!</f>
        <v>#REF!</v>
      </c>
      <c r="AQ129" s="202"/>
      <c r="AR129" s="154" t="e">
        <f>#REF!</f>
        <v>#REF!</v>
      </c>
      <c r="AS129" s="202"/>
      <c r="AT129" s="153" t="e">
        <f>#REF!</f>
        <v>#REF!</v>
      </c>
      <c r="AU129" s="202"/>
      <c r="AV129" s="152" t="e">
        <f>#REF!</f>
        <v>#REF!</v>
      </c>
      <c r="AW129" s="202"/>
      <c r="AX129" s="153" t="e">
        <f>#REF!</f>
        <v>#REF!</v>
      </c>
      <c r="AY129" s="202"/>
      <c r="AZ129" s="152" t="e">
        <f>#REF!</f>
        <v>#REF!</v>
      </c>
      <c r="BA129" s="202"/>
      <c r="BB129" s="154" t="e">
        <f>#REF!</f>
        <v>#REF!</v>
      </c>
      <c r="BC129" s="137"/>
    </row>
    <row r="130" spans="1:55" ht="30" customHeight="1">
      <c r="A130" s="203" t="e">
        <f>#REF!</f>
        <v>#REF!</v>
      </c>
      <c r="B130" s="204" t="e">
        <f xml:space="preserve"> IF(#REF!=0, "",#REF!)</f>
        <v>#REF!</v>
      </c>
      <c r="C130" s="369" t="e">
        <f>#REF!</f>
        <v>#REF!</v>
      </c>
      <c r="D130" s="369"/>
      <c r="E130" s="291" t="e">
        <f>#REF!</f>
        <v>#REF!</v>
      </c>
      <c r="F130" s="148" t="e">
        <f>#REF!</f>
        <v>#REF!</v>
      </c>
      <c r="G130" s="205" t="e">
        <f xml:space="preserve"> IF(#REF!="", "",#REF!)</f>
        <v>#REF!</v>
      </c>
      <c r="H130" s="205" t="e">
        <f xml:space="preserve"> IF(#REF!="", "",#REF!)</f>
        <v>#REF!</v>
      </c>
      <c r="I130" s="205" t="e">
        <f xml:space="preserve"> IF(#REF!="", "",#REF!)</f>
        <v>#REF!</v>
      </c>
      <c r="J130" s="298" t="e">
        <f>#REF!</f>
        <v>#REF!</v>
      </c>
      <c r="K130" s="149" t="e">
        <f>#REF!</f>
        <v>#REF!</v>
      </c>
      <c r="L130" s="149" t="e">
        <f>#REF!</f>
        <v>#REF!</v>
      </c>
      <c r="M130" s="150" t="e">
        <f>#REF!</f>
        <v>#REF!</v>
      </c>
      <c r="N130" s="364"/>
      <c r="O130" s="202"/>
      <c r="P130" s="151" t="e">
        <f>#REF!</f>
        <v>#REF!</v>
      </c>
      <c r="Q130" s="202"/>
      <c r="R130" s="152" t="e">
        <f>#REF!</f>
        <v>#REF!</v>
      </c>
      <c r="S130" s="202"/>
      <c r="T130" s="153" t="e">
        <f>#REF!</f>
        <v>#REF!</v>
      </c>
      <c r="U130" s="202"/>
      <c r="V130" s="153" t="e">
        <f>#REF!</f>
        <v>#REF!</v>
      </c>
      <c r="W130" s="202"/>
      <c r="X130" s="153" t="e">
        <f>#REF!</f>
        <v>#REF!</v>
      </c>
      <c r="Y130" s="202"/>
      <c r="Z130" s="152" t="e">
        <f>#REF!</f>
        <v>#REF!</v>
      </c>
      <c r="AA130" s="202"/>
      <c r="AB130" s="153" t="e">
        <f>#REF!</f>
        <v>#REF!</v>
      </c>
      <c r="AC130" s="202"/>
      <c r="AD130" s="152" t="e">
        <f>#REF!</f>
        <v>#REF!</v>
      </c>
      <c r="AE130" s="202"/>
      <c r="AF130" s="153" t="e">
        <f>#REF!</f>
        <v>#REF!</v>
      </c>
      <c r="AG130" s="202"/>
      <c r="AH130" s="152" t="e">
        <f>#REF!</f>
        <v>#REF!</v>
      </c>
      <c r="AI130" s="202"/>
      <c r="AJ130" s="153" t="e">
        <f>#REF!</f>
        <v>#REF!</v>
      </c>
      <c r="AK130" s="202"/>
      <c r="AL130" s="152" t="e">
        <f>#REF!</f>
        <v>#REF!</v>
      </c>
      <c r="AM130" s="202"/>
      <c r="AN130" s="153" t="e">
        <f>#REF!</f>
        <v>#REF!</v>
      </c>
      <c r="AO130" s="202"/>
      <c r="AP130" s="152" t="e">
        <f>#REF!</f>
        <v>#REF!</v>
      </c>
      <c r="AQ130" s="202"/>
      <c r="AR130" s="154" t="e">
        <f>#REF!</f>
        <v>#REF!</v>
      </c>
      <c r="AS130" s="202"/>
      <c r="AT130" s="153" t="e">
        <f>#REF!</f>
        <v>#REF!</v>
      </c>
      <c r="AU130" s="202"/>
      <c r="AV130" s="152" t="e">
        <f>#REF!</f>
        <v>#REF!</v>
      </c>
      <c r="AW130" s="202"/>
      <c r="AX130" s="153" t="e">
        <f>#REF!</f>
        <v>#REF!</v>
      </c>
      <c r="AY130" s="202"/>
      <c r="AZ130" s="152" t="e">
        <f>#REF!</f>
        <v>#REF!</v>
      </c>
      <c r="BA130" s="202"/>
      <c r="BB130" s="154" t="e">
        <f>#REF!</f>
        <v>#REF!</v>
      </c>
      <c r="BC130" s="137"/>
    </row>
    <row r="131" spans="1:55" ht="30" customHeight="1">
      <c r="A131" s="203" t="e">
        <f>#REF!</f>
        <v>#REF!</v>
      </c>
      <c r="B131" s="204" t="e">
        <f xml:space="preserve"> IF(#REF!=0, "",#REF!)</f>
        <v>#REF!</v>
      </c>
      <c r="C131" s="369" t="e">
        <f>#REF!</f>
        <v>#REF!</v>
      </c>
      <c r="D131" s="369"/>
      <c r="E131" s="291" t="e">
        <f>#REF!</f>
        <v>#REF!</v>
      </c>
      <c r="F131" s="148" t="e">
        <f>#REF!</f>
        <v>#REF!</v>
      </c>
      <c r="G131" s="205" t="e">
        <f xml:space="preserve"> IF(#REF!="", "",#REF!)</f>
        <v>#REF!</v>
      </c>
      <c r="H131" s="205" t="e">
        <f xml:space="preserve"> IF(#REF!="", "",#REF!)</f>
        <v>#REF!</v>
      </c>
      <c r="I131" s="205" t="e">
        <f xml:space="preserve"> IF(#REF!="", "",#REF!)</f>
        <v>#REF!</v>
      </c>
      <c r="J131" s="298" t="e">
        <f>#REF!</f>
        <v>#REF!</v>
      </c>
      <c r="K131" s="149" t="e">
        <f>#REF!</f>
        <v>#REF!</v>
      </c>
      <c r="L131" s="149" t="e">
        <f>#REF!</f>
        <v>#REF!</v>
      </c>
      <c r="M131" s="150" t="e">
        <f>#REF!</f>
        <v>#REF!</v>
      </c>
      <c r="N131" s="364"/>
      <c r="O131" s="202"/>
      <c r="P131" s="151" t="e">
        <f>#REF!</f>
        <v>#REF!</v>
      </c>
      <c r="Q131" s="202"/>
      <c r="R131" s="152" t="e">
        <f>#REF!</f>
        <v>#REF!</v>
      </c>
      <c r="S131" s="202"/>
      <c r="T131" s="153" t="e">
        <f>#REF!</f>
        <v>#REF!</v>
      </c>
      <c r="U131" s="202"/>
      <c r="V131" s="153" t="e">
        <f>#REF!</f>
        <v>#REF!</v>
      </c>
      <c r="W131" s="202"/>
      <c r="X131" s="153" t="e">
        <f>#REF!</f>
        <v>#REF!</v>
      </c>
      <c r="Y131" s="202"/>
      <c r="Z131" s="152" t="e">
        <f>#REF!</f>
        <v>#REF!</v>
      </c>
      <c r="AA131" s="202"/>
      <c r="AB131" s="153" t="e">
        <f>#REF!</f>
        <v>#REF!</v>
      </c>
      <c r="AC131" s="202"/>
      <c r="AD131" s="152" t="e">
        <f>#REF!</f>
        <v>#REF!</v>
      </c>
      <c r="AE131" s="202"/>
      <c r="AF131" s="153" t="e">
        <f>#REF!</f>
        <v>#REF!</v>
      </c>
      <c r="AG131" s="202"/>
      <c r="AH131" s="152" t="e">
        <f>#REF!</f>
        <v>#REF!</v>
      </c>
      <c r="AI131" s="202"/>
      <c r="AJ131" s="153" t="e">
        <f>#REF!</f>
        <v>#REF!</v>
      </c>
      <c r="AK131" s="202"/>
      <c r="AL131" s="152" t="e">
        <f>#REF!</f>
        <v>#REF!</v>
      </c>
      <c r="AM131" s="202"/>
      <c r="AN131" s="153" t="e">
        <f>#REF!</f>
        <v>#REF!</v>
      </c>
      <c r="AO131" s="202"/>
      <c r="AP131" s="152" t="e">
        <f>#REF!</f>
        <v>#REF!</v>
      </c>
      <c r="AQ131" s="202"/>
      <c r="AR131" s="154" t="e">
        <f>#REF!</f>
        <v>#REF!</v>
      </c>
      <c r="AS131" s="202"/>
      <c r="AT131" s="153" t="e">
        <f>#REF!</f>
        <v>#REF!</v>
      </c>
      <c r="AU131" s="202"/>
      <c r="AV131" s="152" t="e">
        <f>#REF!</f>
        <v>#REF!</v>
      </c>
      <c r="AW131" s="202"/>
      <c r="AX131" s="153" t="e">
        <f>#REF!</f>
        <v>#REF!</v>
      </c>
      <c r="AY131" s="202"/>
      <c r="AZ131" s="152" t="e">
        <f>#REF!</f>
        <v>#REF!</v>
      </c>
      <c r="BA131" s="202"/>
      <c r="BB131" s="154" t="e">
        <f>#REF!</f>
        <v>#REF!</v>
      </c>
      <c r="BC131" s="137"/>
    </row>
    <row r="132" spans="1:55" ht="30" customHeight="1">
      <c r="A132" s="203" t="e">
        <f>#REF!</f>
        <v>#REF!</v>
      </c>
      <c r="B132" s="204" t="e">
        <f xml:space="preserve"> IF(#REF!=0, "",#REF!)</f>
        <v>#REF!</v>
      </c>
      <c r="C132" s="369" t="e">
        <f>#REF!</f>
        <v>#REF!</v>
      </c>
      <c r="D132" s="369"/>
      <c r="E132" s="291" t="e">
        <f>#REF!</f>
        <v>#REF!</v>
      </c>
      <c r="F132" s="148" t="e">
        <f>#REF!</f>
        <v>#REF!</v>
      </c>
      <c r="G132" s="205" t="e">
        <f xml:space="preserve"> IF(#REF!="", "",#REF!)</f>
        <v>#REF!</v>
      </c>
      <c r="H132" s="205" t="e">
        <f xml:space="preserve"> IF(#REF!="", "",#REF!)</f>
        <v>#REF!</v>
      </c>
      <c r="I132" s="205" t="e">
        <f xml:space="preserve"> IF(#REF!="", "",#REF!)</f>
        <v>#REF!</v>
      </c>
      <c r="J132" s="298" t="e">
        <f>#REF!</f>
        <v>#REF!</v>
      </c>
      <c r="K132" s="149" t="e">
        <f>#REF!</f>
        <v>#REF!</v>
      </c>
      <c r="L132" s="149" t="e">
        <f>#REF!</f>
        <v>#REF!</v>
      </c>
      <c r="M132" s="150" t="e">
        <f>#REF!</f>
        <v>#REF!</v>
      </c>
      <c r="N132" s="364"/>
      <c r="O132" s="202"/>
      <c r="P132" s="151" t="e">
        <f>#REF!</f>
        <v>#REF!</v>
      </c>
      <c r="Q132" s="202"/>
      <c r="R132" s="152" t="e">
        <f>#REF!</f>
        <v>#REF!</v>
      </c>
      <c r="S132" s="202"/>
      <c r="T132" s="153" t="e">
        <f>#REF!</f>
        <v>#REF!</v>
      </c>
      <c r="U132" s="202"/>
      <c r="V132" s="153" t="e">
        <f>#REF!</f>
        <v>#REF!</v>
      </c>
      <c r="W132" s="202"/>
      <c r="X132" s="153" t="e">
        <f>#REF!</f>
        <v>#REF!</v>
      </c>
      <c r="Y132" s="202"/>
      <c r="Z132" s="152" t="e">
        <f>#REF!</f>
        <v>#REF!</v>
      </c>
      <c r="AA132" s="202"/>
      <c r="AB132" s="153" t="e">
        <f>#REF!</f>
        <v>#REF!</v>
      </c>
      <c r="AC132" s="202"/>
      <c r="AD132" s="152" t="e">
        <f>#REF!</f>
        <v>#REF!</v>
      </c>
      <c r="AE132" s="202"/>
      <c r="AF132" s="153" t="e">
        <f>#REF!</f>
        <v>#REF!</v>
      </c>
      <c r="AG132" s="202"/>
      <c r="AH132" s="152" t="e">
        <f>#REF!</f>
        <v>#REF!</v>
      </c>
      <c r="AI132" s="202"/>
      <c r="AJ132" s="153" t="e">
        <f>#REF!</f>
        <v>#REF!</v>
      </c>
      <c r="AK132" s="202"/>
      <c r="AL132" s="152" t="e">
        <f>#REF!</f>
        <v>#REF!</v>
      </c>
      <c r="AM132" s="202"/>
      <c r="AN132" s="153" t="e">
        <f>#REF!</f>
        <v>#REF!</v>
      </c>
      <c r="AO132" s="202"/>
      <c r="AP132" s="152" t="e">
        <f>#REF!</f>
        <v>#REF!</v>
      </c>
      <c r="AQ132" s="202"/>
      <c r="AR132" s="154" t="e">
        <f>#REF!</f>
        <v>#REF!</v>
      </c>
      <c r="AS132" s="202"/>
      <c r="AT132" s="153" t="e">
        <f>#REF!</f>
        <v>#REF!</v>
      </c>
      <c r="AU132" s="202"/>
      <c r="AV132" s="152" t="e">
        <f>#REF!</f>
        <v>#REF!</v>
      </c>
      <c r="AW132" s="202"/>
      <c r="AX132" s="153" t="e">
        <f>#REF!</f>
        <v>#REF!</v>
      </c>
      <c r="AY132" s="202"/>
      <c r="AZ132" s="152" t="e">
        <f>#REF!</f>
        <v>#REF!</v>
      </c>
      <c r="BA132" s="202"/>
      <c r="BB132" s="154" t="e">
        <f>#REF!</f>
        <v>#REF!</v>
      </c>
      <c r="BC132" s="137"/>
    </row>
    <row r="133" spans="1:55" ht="30" customHeight="1">
      <c r="A133" s="203" t="e">
        <f>#REF!</f>
        <v>#REF!</v>
      </c>
      <c r="B133" s="204" t="e">
        <f xml:space="preserve"> IF(#REF!=0, "",#REF!)</f>
        <v>#REF!</v>
      </c>
      <c r="C133" s="369" t="e">
        <f>#REF!</f>
        <v>#REF!</v>
      </c>
      <c r="D133" s="369"/>
      <c r="E133" s="291" t="e">
        <f>#REF!</f>
        <v>#REF!</v>
      </c>
      <c r="F133" s="148" t="e">
        <f>#REF!</f>
        <v>#REF!</v>
      </c>
      <c r="G133" s="205" t="e">
        <f xml:space="preserve"> IF(#REF!="", "",#REF!)</f>
        <v>#REF!</v>
      </c>
      <c r="H133" s="205" t="e">
        <f xml:space="preserve"> IF(#REF!="", "",#REF!)</f>
        <v>#REF!</v>
      </c>
      <c r="I133" s="205" t="e">
        <f xml:space="preserve"> IF(#REF!="", "",#REF!)</f>
        <v>#REF!</v>
      </c>
      <c r="J133" s="298" t="e">
        <f>#REF!</f>
        <v>#REF!</v>
      </c>
      <c r="K133" s="149" t="e">
        <f>#REF!</f>
        <v>#REF!</v>
      </c>
      <c r="L133" s="149" t="e">
        <f>#REF!</f>
        <v>#REF!</v>
      </c>
      <c r="M133" s="150" t="e">
        <f>#REF!</f>
        <v>#REF!</v>
      </c>
      <c r="N133" s="364"/>
      <c r="O133" s="202"/>
      <c r="P133" s="151" t="e">
        <f>#REF!</f>
        <v>#REF!</v>
      </c>
      <c r="Q133" s="202"/>
      <c r="R133" s="152" t="e">
        <f>#REF!</f>
        <v>#REF!</v>
      </c>
      <c r="S133" s="202"/>
      <c r="T133" s="153" t="e">
        <f>#REF!</f>
        <v>#REF!</v>
      </c>
      <c r="U133" s="202"/>
      <c r="V133" s="153" t="e">
        <f>#REF!</f>
        <v>#REF!</v>
      </c>
      <c r="W133" s="202"/>
      <c r="X133" s="153" t="e">
        <f>#REF!</f>
        <v>#REF!</v>
      </c>
      <c r="Y133" s="202"/>
      <c r="Z133" s="152" t="e">
        <f>#REF!</f>
        <v>#REF!</v>
      </c>
      <c r="AA133" s="202"/>
      <c r="AB133" s="153" t="e">
        <f>#REF!</f>
        <v>#REF!</v>
      </c>
      <c r="AC133" s="202"/>
      <c r="AD133" s="152" t="e">
        <f>#REF!</f>
        <v>#REF!</v>
      </c>
      <c r="AE133" s="202"/>
      <c r="AF133" s="153" t="e">
        <f>#REF!</f>
        <v>#REF!</v>
      </c>
      <c r="AG133" s="202"/>
      <c r="AH133" s="152" t="e">
        <f>#REF!</f>
        <v>#REF!</v>
      </c>
      <c r="AI133" s="202"/>
      <c r="AJ133" s="153" t="e">
        <f>#REF!</f>
        <v>#REF!</v>
      </c>
      <c r="AK133" s="202"/>
      <c r="AL133" s="152" t="e">
        <f>#REF!</f>
        <v>#REF!</v>
      </c>
      <c r="AM133" s="202"/>
      <c r="AN133" s="153" t="e">
        <f>#REF!</f>
        <v>#REF!</v>
      </c>
      <c r="AO133" s="202"/>
      <c r="AP133" s="152" t="e">
        <f>#REF!</f>
        <v>#REF!</v>
      </c>
      <c r="AQ133" s="202"/>
      <c r="AR133" s="154" t="e">
        <f>#REF!</f>
        <v>#REF!</v>
      </c>
      <c r="AS133" s="202"/>
      <c r="AT133" s="153" t="e">
        <f>#REF!</f>
        <v>#REF!</v>
      </c>
      <c r="AU133" s="202"/>
      <c r="AV133" s="152" t="e">
        <f>#REF!</f>
        <v>#REF!</v>
      </c>
      <c r="AW133" s="202"/>
      <c r="AX133" s="153" t="e">
        <f>#REF!</f>
        <v>#REF!</v>
      </c>
      <c r="AY133" s="202"/>
      <c r="AZ133" s="152" t="e">
        <f>#REF!</f>
        <v>#REF!</v>
      </c>
      <c r="BA133" s="202"/>
      <c r="BB133" s="154" t="e">
        <f>#REF!</f>
        <v>#REF!</v>
      </c>
      <c r="BC133" s="137"/>
    </row>
    <row r="134" spans="1:55" ht="30" customHeight="1">
      <c r="A134" s="203" t="e">
        <f>#REF!</f>
        <v>#REF!</v>
      </c>
      <c r="B134" s="204" t="e">
        <f xml:space="preserve"> IF(#REF!=0, "",#REF!)</f>
        <v>#REF!</v>
      </c>
      <c r="C134" s="369" t="e">
        <f>#REF!</f>
        <v>#REF!</v>
      </c>
      <c r="D134" s="369"/>
      <c r="E134" s="291" t="e">
        <f>#REF!</f>
        <v>#REF!</v>
      </c>
      <c r="F134" s="148" t="e">
        <f>#REF!</f>
        <v>#REF!</v>
      </c>
      <c r="G134" s="205" t="e">
        <f xml:space="preserve"> IF(#REF!="", "",#REF!)</f>
        <v>#REF!</v>
      </c>
      <c r="H134" s="205" t="e">
        <f xml:space="preserve"> IF(#REF!="", "",#REF!)</f>
        <v>#REF!</v>
      </c>
      <c r="I134" s="205" t="e">
        <f xml:space="preserve"> IF(#REF!="", "",#REF!)</f>
        <v>#REF!</v>
      </c>
      <c r="J134" s="298" t="e">
        <f>#REF!</f>
        <v>#REF!</v>
      </c>
      <c r="K134" s="149" t="e">
        <f>#REF!</f>
        <v>#REF!</v>
      </c>
      <c r="L134" s="149" t="e">
        <f>#REF!</f>
        <v>#REF!</v>
      </c>
      <c r="M134" s="150" t="e">
        <f>#REF!</f>
        <v>#REF!</v>
      </c>
      <c r="N134" s="364"/>
      <c r="O134" s="202"/>
      <c r="P134" s="151" t="e">
        <f>#REF!</f>
        <v>#REF!</v>
      </c>
      <c r="Q134" s="202"/>
      <c r="R134" s="152" t="e">
        <f>#REF!</f>
        <v>#REF!</v>
      </c>
      <c r="S134" s="202"/>
      <c r="T134" s="153" t="e">
        <f>#REF!</f>
        <v>#REF!</v>
      </c>
      <c r="U134" s="202"/>
      <c r="V134" s="153" t="e">
        <f>#REF!</f>
        <v>#REF!</v>
      </c>
      <c r="W134" s="202"/>
      <c r="X134" s="153" t="e">
        <f>#REF!</f>
        <v>#REF!</v>
      </c>
      <c r="Y134" s="202"/>
      <c r="Z134" s="152" t="e">
        <f>#REF!</f>
        <v>#REF!</v>
      </c>
      <c r="AA134" s="202"/>
      <c r="AB134" s="153" t="e">
        <f>#REF!</f>
        <v>#REF!</v>
      </c>
      <c r="AC134" s="202"/>
      <c r="AD134" s="152" t="e">
        <f>#REF!</f>
        <v>#REF!</v>
      </c>
      <c r="AE134" s="202"/>
      <c r="AF134" s="153" t="e">
        <f>#REF!</f>
        <v>#REF!</v>
      </c>
      <c r="AG134" s="202"/>
      <c r="AH134" s="152" t="e">
        <f>#REF!</f>
        <v>#REF!</v>
      </c>
      <c r="AI134" s="202"/>
      <c r="AJ134" s="153" t="e">
        <f>#REF!</f>
        <v>#REF!</v>
      </c>
      <c r="AK134" s="202"/>
      <c r="AL134" s="152" t="e">
        <f>#REF!</f>
        <v>#REF!</v>
      </c>
      <c r="AM134" s="202"/>
      <c r="AN134" s="153" t="e">
        <f>#REF!</f>
        <v>#REF!</v>
      </c>
      <c r="AO134" s="202"/>
      <c r="AP134" s="152" t="e">
        <f>#REF!</f>
        <v>#REF!</v>
      </c>
      <c r="AQ134" s="202"/>
      <c r="AR134" s="154" t="e">
        <f>#REF!</f>
        <v>#REF!</v>
      </c>
      <c r="AS134" s="202"/>
      <c r="AT134" s="153" t="e">
        <f>#REF!</f>
        <v>#REF!</v>
      </c>
      <c r="AU134" s="202"/>
      <c r="AV134" s="152" t="e">
        <f>#REF!</f>
        <v>#REF!</v>
      </c>
      <c r="AW134" s="202"/>
      <c r="AX134" s="153" t="e">
        <f>#REF!</f>
        <v>#REF!</v>
      </c>
      <c r="AY134" s="202"/>
      <c r="AZ134" s="152" t="e">
        <f>#REF!</f>
        <v>#REF!</v>
      </c>
      <c r="BA134" s="202"/>
      <c r="BB134" s="154" t="e">
        <f>#REF!</f>
        <v>#REF!</v>
      </c>
      <c r="BC134" s="137"/>
    </row>
    <row r="135" spans="1:55" ht="30" customHeight="1">
      <c r="A135" s="203" t="e">
        <f>#REF!</f>
        <v>#REF!</v>
      </c>
      <c r="B135" s="204" t="e">
        <f xml:space="preserve"> IF(#REF!=0, "",#REF!)</f>
        <v>#REF!</v>
      </c>
      <c r="C135" s="369" t="e">
        <f>#REF!</f>
        <v>#REF!</v>
      </c>
      <c r="D135" s="369"/>
      <c r="E135" s="291" t="e">
        <f>#REF!</f>
        <v>#REF!</v>
      </c>
      <c r="F135" s="148" t="e">
        <f>#REF!</f>
        <v>#REF!</v>
      </c>
      <c r="G135" s="205" t="e">
        <f xml:space="preserve"> IF(#REF!="", "",#REF!)</f>
        <v>#REF!</v>
      </c>
      <c r="H135" s="205" t="e">
        <f xml:space="preserve"> IF(#REF!="", "",#REF!)</f>
        <v>#REF!</v>
      </c>
      <c r="I135" s="205" t="e">
        <f xml:space="preserve"> IF(#REF!="", "",#REF!)</f>
        <v>#REF!</v>
      </c>
      <c r="J135" s="298" t="e">
        <f>#REF!</f>
        <v>#REF!</v>
      </c>
      <c r="K135" s="149" t="e">
        <f>#REF!</f>
        <v>#REF!</v>
      </c>
      <c r="L135" s="149" t="e">
        <f>#REF!</f>
        <v>#REF!</v>
      </c>
      <c r="M135" s="150" t="e">
        <f>#REF!</f>
        <v>#REF!</v>
      </c>
      <c r="N135" s="364"/>
      <c r="O135" s="202"/>
      <c r="P135" s="151" t="e">
        <f>#REF!</f>
        <v>#REF!</v>
      </c>
      <c r="Q135" s="202"/>
      <c r="R135" s="152" t="e">
        <f>#REF!</f>
        <v>#REF!</v>
      </c>
      <c r="S135" s="202"/>
      <c r="T135" s="153" t="e">
        <f>#REF!</f>
        <v>#REF!</v>
      </c>
      <c r="U135" s="202"/>
      <c r="V135" s="153" t="e">
        <f>#REF!</f>
        <v>#REF!</v>
      </c>
      <c r="W135" s="202"/>
      <c r="X135" s="153" t="e">
        <f>#REF!</f>
        <v>#REF!</v>
      </c>
      <c r="Y135" s="202"/>
      <c r="Z135" s="152" t="e">
        <f>#REF!</f>
        <v>#REF!</v>
      </c>
      <c r="AA135" s="202"/>
      <c r="AB135" s="153" t="e">
        <f>#REF!</f>
        <v>#REF!</v>
      </c>
      <c r="AC135" s="202"/>
      <c r="AD135" s="152" t="e">
        <f>#REF!</f>
        <v>#REF!</v>
      </c>
      <c r="AE135" s="202"/>
      <c r="AF135" s="153" t="e">
        <f>#REF!</f>
        <v>#REF!</v>
      </c>
      <c r="AG135" s="202"/>
      <c r="AH135" s="152" t="e">
        <f>#REF!</f>
        <v>#REF!</v>
      </c>
      <c r="AI135" s="202"/>
      <c r="AJ135" s="153" t="e">
        <f>#REF!</f>
        <v>#REF!</v>
      </c>
      <c r="AK135" s="202"/>
      <c r="AL135" s="152" t="e">
        <f>#REF!</f>
        <v>#REF!</v>
      </c>
      <c r="AM135" s="202"/>
      <c r="AN135" s="153" t="e">
        <f>#REF!</f>
        <v>#REF!</v>
      </c>
      <c r="AO135" s="202"/>
      <c r="AP135" s="152" t="e">
        <f>#REF!</f>
        <v>#REF!</v>
      </c>
      <c r="AQ135" s="202"/>
      <c r="AR135" s="154" t="e">
        <f>#REF!</f>
        <v>#REF!</v>
      </c>
      <c r="AS135" s="202"/>
      <c r="AT135" s="153" t="e">
        <f>#REF!</f>
        <v>#REF!</v>
      </c>
      <c r="AU135" s="202"/>
      <c r="AV135" s="152" t="e">
        <f>#REF!</f>
        <v>#REF!</v>
      </c>
      <c r="AW135" s="202"/>
      <c r="AX135" s="153" t="e">
        <f>#REF!</f>
        <v>#REF!</v>
      </c>
      <c r="AY135" s="202"/>
      <c r="AZ135" s="152" t="e">
        <f>#REF!</f>
        <v>#REF!</v>
      </c>
      <c r="BA135" s="202"/>
      <c r="BB135" s="154" t="e">
        <f>#REF!</f>
        <v>#REF!</v>
      </c>
      <c r="BC135" s="137"/>
    </row>
    <row r="136" spans="1:55" ht="30" customHeight="1">
      <c r="A136" s="203" t="e">
        <f>#REF!</f>
        <v>#REF!</v>
      </c>
      <c r="B136" s="204" t="e">
        <f xml:space="preserve"> IF(#REF!=0, "",#REF!)</f>
        <v>#REF!</v>
      </c>
      <c r="C136" s="369" t="e">
        <f>#REF!</f>
        <v>#REF!</v>
      </c>
      <c r="D136" s="369"/>
      <c r="E136" s="291" t="e">
        <f>#REF!</f>
        <v>#REF!</v>
      </c>
      <c r="F136" s="148" t="e">
        <f>#REF!</f>
        <v>#REF!</v>
      </c>
      <c r="G136" s="205" t="e">
        <f xml:space="preserve"> IF(#REF!="", "",#REF!)</f>
        <v>#REF!</v>
      </c>
      <c r="H136" s="205" t="e">
        <f xml:space="preserve"> IF(#REF!="", "",#REF!)</f>
        <v>#REF!</v>
      </c>
      <c r="I136" s="205" t="e">
        <f xml:space="preserve"> IF(#REF!="", "",#REF!)</f>
        <v>#REF!</v>
      </c>
      <c r="J136" s="298" t="e">
        <f>#REF!</f>
        <v>#REF!</v>
      </c>
      <c r="K136" s="149" t="e">
        <f>#REF!</f>
        <v>#REF!</v>
      </c>
      <c r="L136" s="149" t="e">
        <f>#REF!</f>
        <v>#REF!</v>
      </c>
      <c r="M136" s="150" t="e">
        <f>#REF!</f>
        <v>#REF!</v>
      </c>
      <c r="N136" s="364"/>
      <c r="O136" s="202"/>
      <c r="P136" s="151" t="e">
        <f>#REF!</f>
        <v>#REF!</v>
      </c>
      <c r="Q136" s="202"/>
      <c r="R136" s="152" t="e">
        <f>#REF!</f>
        <v>#REF!</v>
      </c>
      <c r="S136" s="202"/>
      <c r="T136" s="153" t="e">
        <f>#REF!</f>
        <v>#REF!</v>
      </c>
      <c r="U136" s="202"/>
      <c r="V136" s="153" t="e">
        <f>#REF!</f>
        <v>#REF!</v>
      </c>
      <c r="W136" s="202"/>
      <c r="X136" s="153" t="e">
        <f>#REF!</f>
        <v>#REF!</v>
      </c>
      <c r="Y136" s="202"/>
      <c r="Z136" s="152" t="e">
        <f>#REF!</f>
        <v>#REF!</v>
      </c>
      <c r="AA136" s="202"/>
      <c r="AB136" s="153" t="e">
        <f>#REF!</f>
        <v>#REF!</v>
      </c>
      <c r="AC136" s="202"/>
      <c r="AD136" s="152" t="e">
        <f>#REF!</f>
        <v>#REF!</v>
      </c>
      <c r="AE136" s="202"/>
      <c r="AF136" s="153" t="e">
        <f>#REF!</f>
        <v>#REF!</v>
      </c>
      <c r="AG136" s="202"/>
      <c r="AH136" s="152" t="e">
        <f>#REF!</f>
        <v>#REF!</v>
      </c>
      <c r="AI136" s="202"/>
      <c r="AJ136" s="153" t="e">
        <f>#REF!</f>
        <v>#REF!</v>
      </c>
      <c r="AK136" s="202"/>
      <c r="AL136" s="152" t="e">
        <f>#REF!</f>
        <v>#REF!</v>
      </c>
      <c r="AM136" s="202"/>
      <c r="AN136" s="153" t="e">
        <f>#REF!</f>
        <v>#REF!</v>
      </c>
      <c r="AO136" s="202"/>
      <c r="AP136" s="152" t="e">
        <f>#REF!</f>
        <v>#REF!</v>
      </c>
      <c r="AQ136" s="202"/>
      <c r="AR136" s="154" t="e">
        <f>#REF!</f>
        <v>#REF!</v>
      </c>
      <c r="AS136" s="202"/>
      <c r="AT136" s="153" t="e">
        <f>#REF!</f>
        <v>#REF!</v>
      </c>
      <c r="AU136" s="202"/>
      <c r="AV136" s="152" t="e">
        <f>#REF!</f>
        <v>#REF!</v>
      </c>
      <c r="AW136" s="202"/>
      <c r="AX136" s="153" t="e">
        <f>#REF!</f>
        <v>#REF!</v>
      </c>
      <c r="AY136" s="202"/>
      <c r="AZ136" s="152" t="e">
        <f>#REF!</f>
        <v>#REF!</v>
      </c>
      <c r="BA136" s="202"/>
      <c r="BB136" s="154" t="e">
        <f>#REF!</f>
        <v>#REF!</v>
      </c>
      <c r="BC136" s="137"/>
    </row>
    <row r="137" spans="1:55" ht="30" customHeight="1">
      <c r="A137" s="203" t="e">
        <f>#REF!</f>
        <v>#REF!</v>
      </c>
      <c r="B137" s="204" t="e">
        <f xml:space="preserve"> IF(#REF!=0, "",#REF!)</f>
        <v>#REF!</v>
      </c>
      <c r="C137" s="369" t="e">
        <f>#REF!</f>
        <v>#REF!</v>
      </c>
      <c r="D137" s="369"/>
      <c r="E137" s="291" t="e">
        <f>#REF!</f>
        <v>#REF!</v>
      </c>
      <c r="F137" s="148" t="e">
        <f>#REF!</f>
        <v>#REF!</v>
      </c>
      <c r="G137" s="205" t="e">
        <f xml:space="preserve"> IF(#REF!="", "",#REF!)</f>
        <v>#REF!</v>
      </c>
      <c r="H137" s="205" t="e">
        <f xml:space="preserve"> IF(#REF!="", "",#REF!)</f>
        <v>#REF!</v>
      </c>
      <c r="I137" s="205" t="e">
        <f xml:space="preserve"> IF(#REF!="", "",#REF!)</f>
        <v>#REF!</v>
      </c>
      <c r="J137" s="298" t="e">
        <f>#REF!</f>
        <v>#REF!</v>
      </c>
      <c r="K137" s="149" t="e">
        <f>#REF!</f>
        <v>#REF!</v>
      </c>
      <c r="L137" s="149" t="e">
        <f>#REF!</f>
        <v>#REF!</v>
      </c>
      <c r="M137" s="150" t="e">
        <f>#REF!</f>
        <v>#REF!</v>
      </c>
      <c r="N137" s="364"/>
      <c r="O137" s="202"/>
      <c r="P137" s="151" t="e">
        <f>#REF!</f>
        <v>#REF!</v>
      </c>
      <c r="Q137" s="202"/>
      <c r="R137" s="152" t="e">
        <f>#REF!</f>
        <v>#REF!</v>
      </c>
      <c r="S137" s="202"/>
      <c r="T137" s="153" t="e">
        <f>#REF!</f>
        <v>#REF!</v>
      </c>
      <c r="U137" s="202"/>
      <c r="V137" s="153" t="e">
        <f>#REF!</f>
        <v>#REF!</v>
      </c>
      <c r="W137" s="202"/>
      <c r="X137" s="153" t="e">
        <f>#REF!</f>
        <v>#REF!</v>
      </c>
      <c r="Y137" s="202"/>
      <c r="Z137" s="152" t="e">
        <f>#REF!</f>
        <v>#REF!</v>
      </c>
      <c r="AA137" s="202"/>
      <c r="AB137" s="153" t="e">
        <f>#REF!</f>
        <v>#REF!</v>
      </c>
      <c r="AC137" s="202"/>
      <c r="AD137" s="152" t="e">
        <f>#REF!</f>
        <v>#REF!</v>
      </c>
      <c r="AE137" s="202"/>
      <c r="AF137" s="153" t="e">
        <f>#REF!</f>
        <v>#REF!</v>
      </c>
      <c r="AG137" s="202"/>
      <c r="AH137" s="152" t="e">
        <f>#REF!</f>
        <v>#REF!</v>
      </c>
      <c r="AI137" s="202"/>
      <c r="AJ137" s="153" t="e">
        <f>#REF!</f>
        <v>#REF!</v>
      </c>
      <c r="AK137" s="202"/>
      <c r="AL137" s="152" t="e">
        <f>#REF!</f>
        <v>#REF!</v>
      </c>
      <c r="AM137" s="202"/>
      <c r="AN137" s="153" t="e">
        <f>#REF!</f>
        <v>#REF!</v>
      </c>
      <c r="AO137" s="202"/>
      <c r="AP137" s="152" t="e">
        <f>#REF!</f>
        <v>#REF!</v>
      </c>
      <c r="AQ137" s="202"/>
      <c r="AR137" s="154" t="e">
        <f>#REF!</f>
        <v>#REF!</v>
      </c>
      <c r="AS137" s="202"/>
      <c r="AT137" s="153" t="e">
        <f>#REF!</f>
        <v>#REF!</v>
      </c>
      <c r="AU137" s="202"/>
      <c r="AV137" s="152" t="e">
        <f>#REF!</f>
        <v>#REF!</v>
      </c>
      <c r="AW137" s="202"/>
      <c r="AX137" s="153" t="e">
        <f>#REF!</f>
        <v>#REF!</v>
      </c>
      <c r="AY137" s="202"/>
      <c r="AZ137" s="152" t="e">
        <f>#REF!</f>
        <v>#REF!</v>
      </c>
      <c r="BA137" s="202"/>
      <c r="BB137" s="154" t="e">
        <f>#REF!</f>
        <v>#REF!</v>
      </c>
      <c r="BC137" s="137"/>
    </row>
    <row r="138" spans="1:55" ht="30" customHeight="1">
      <c r="A138" s="203" t="e">
        <f>#REF!</f>
        <v>#REF!</v>
      </c>
      <c r="B138" s="204" t="e">
        <f xml:space="preserve"> IF(#REF!=0, "",#REF!)</f>
        <v>#REF!</v>
      </c>
      <c r="C138" s="369" t="e">
        <f>#REF!</f>
        <v>#REF!</v>
      </c>
      <c r="D138" s="369"/>
      <c r="E138" s="291" t="e">
        <f>#REF!</f>
        <v>#REF!</v>
      </c>
      <c r="F138" s="148" t="e">
        <f>#REF!</f>
        <v>#REF!</v>
      </c>
      <c r="G138" s="205" t="e">
        <f xml:space="preserve"> IF(#REF!="", "",#REF!)</f>
        <v>#REF!</v>
      </c>
      <c r="H138" s="205" t="e">
        <f xml:space="preserve"> IF(#REF!="", "",#REF!)</f>
        <v>#REF!</v>
      </c>
      <c r="I138" s="205" t="e">
        <f xml:space="preserve"> IF(#REF!="", "",#REF!)</f>
        <v>#REF!</v>
      </c>
      <c r="J138" s="298" t="e">
        <f>#REF!</f>
        <v>#REF!</v>
      </c>
      <c r="K138" s="149" t="e">
        <f>#REF!</f>
        <v>#REF!</v>
      </c>
      <c r="L138" s="149" t="e">
        <f>#REF!</f>
        <v>#REF!</v>
      </c>
      <c r="M138" s="150" t="e">
        <f>#REF!</f>
        <v>#REF!</v>
      </c>
      <c r="N138" s="364"/>
      <c r="O138" s="202"/>
      <c r="P138" s="151" t="e">
        <f>#REF!</f>
        <v>#REF!</v>
      </c>
      <c r="Q138" s="202"/>
      <c r="R138" s="152" t="e">
        <f>#REF!</f>
        <v>#REF!</v>
      </c>
      <c r="S138" s="202"/>
      <c r="T138" s="153" t="e">
        <f>#REF!</f>
        <v>#REF!</v>
      </c>
      <c r="U138" s="202"/>
      <c r="V138" s="153" t="e">
        <f>#REF!</f>
        <v>#REF!</v>
      </c>
      <c r="W138" s="202"/>
      <c r="X138" s="153" t="e">
        <f>#REF!</f>
        <v>#REF!</v>
      </c>
      <c r="Y138" s="202"/>
      <c r="Z138" s="152" t="e">
        <f>#REF!</f>
        <v>#REF!</v>
      </c>
      <c r="AA138" s="202"/>
      <c r="AB138" s="153" t="e">
        <f>#REF!</f>
        <v>#REF!</v>
      </c>
      <c r="AC138" s="202"/>
      <c r="AD138" s="152" t="e">
        <f>#REF!</f>
        <v>#REF!</v>
      </c>
      <c r="AE138" s="202"/>
      <c r="AF138" s="153" t="e">
        <f>#REF!</f>
        <v>#REF!</v>
      </c>
      <c r="AG138" s="202"/>
      <c r="AH138" s="152" t="e">
        <f>#REF!</f>
        <v>#REF!</v>
      </c>
      <c r="AI138" s="202"/>
      <c r="AJ138" s="153" t="e">
        <f>#REF!</f>
        <v>#REF!</v>
      </c>
      <c r="AK138" s="202"/>
      <c r="AL138" s="152" t="e">
        <f>#REF!</f>
        <v>#REF!</v>
      </c>
      <c r="AM138" s="202"/>
      <c r="AN138" s="153" t="e">
        <f>#REF!</f>
        <v>#REF!</v>
      </c>
      <c r="AO138" s="202"/>
      <c r="AP138" s="152" t="e">
        <f>#REF!</f>
        <v>#REF!</v>
      </c>
      <c r="AQ138" s="202"/>
      <c r="AR138" s="154" t="e">
        <f>#REF!</f>
        <v>#REF!</v>
      </c>
      <c r="AS138" s="202"/>
      <c r="AT138" s="153" t="e">
        <f>#REF!</f>
        <v>#REF!</v>
      </c>
      <c r="AU138" s="202"/>
      <c r="AV138" s="152" t="e">
        <f>#REF!</f>
        <v>#REF!</v>
      </c>
      <c r="AW138" s="202"/>
      <c r="AX138" s="153" t="e">
        <f>#REF!</f>
        <v>#REF!</v>
      </c>
      <c r="AY138" s="202"/>
      <c r="AZ138" s="152" t="e">
        <f>#REF!</f>
        <v>#REF!</v>
      </c>
      <c r="BA138" s="202"/>
      <c r="BB138" s="154" t="e">
        <f>#REF!</f>
        <v>#REF!</v>
      </c>
      <c r="BC138" s="137"/>
    </row>
    <row r="139" spans="1:55" ht="30" customHeight="1">
      <c r="A139" s="203" t="e">
        <f>#REF!</f>
        <v>#REF!</v>
      </c>
      <c r="B139" s="204" t="e">
        <f xml:space="preserve"> IF(#REF!=0, "",#REF!)</f>
        <v>#REF!</v>
      </c>
      <c r="C139" s="369" t="e">
        <f>#REF!</f>
        <v>#REF!</v>
      </c>
      <c r="D139" s="369"/>
      <c r="E139" s="291" t="e">
        <f>#REF!</f>
        <v>#REF!</v>
      </c>
      <c r="F139" s="148" t="e">
        <f>#REF!</f>
        <v>#REF!</v>
      </c>
      <c r="G139" s="205" t="e">
        <f xml:space="preserve"> IF(#REF!="", "",#REF!)</f>
        <v>#REF!</v>
      </c>
      <c r="H139" s="205" t="e">
        <f xml:space="preserve"> IF(#REF!="", "",#REF!)</f>
        <v>#REF!</v>
      </c>
      <c r="I139" s="205" t="e">
        <f xml:space="preserve"> IF(#REF!="", "",#REF!)</f>
        <v>#REF!</v>
      </c>
      <c r="J139" s="298" t="e">
        <f>#REF!</f>
        <v>#REF!</v>
      </c>
      <c r="K139" s="149" t="e">
        <f>#REF!</f>
        <v>#REF!</v>
      </c>
      <c r="L139" s="149" t="e">
        <f>#REF!</f>
        <v>#REF!</v>
      </c>
      <c r="M139" s="150" t="e">
        <f>#REF!</f>
        <v>#REF!</v>
      </c>
      <c r="N139" s="364"/>
      <c r="O139" s="202"/>
      <c r="P139" s="151" t="e">
        <f>#REF!</f>
        <v>#REF!</v>
      </c>
      <c r="Q139" s="202"/>
      <c r="R139" s="152" t="e">
        <f>#REF!</f>
        <v>#REF!</v>
      </c>
      <c r="S139" s="202"/>
      <c r="T139" s="153" t="e">
        <f>#REF!</f>
        <v>#REF!</v>
      </c>
      <c r="U139" s="202"/>
      <c r="V139" s="153" t="e">
        <f>#REF!</f>
        <v>#REF!</v>
      </c>
      <c r="W139" s="202"/>
      <c r="X139" s="153" t="e">
        <f>#REF!</f>
        <v>#REF!</v>
      </c>
      <c r="Y139" s="202"/>
      <c r="Z139" s="152" t="e">
        <f>#REF!</f>
        <v>#REF!</v>
      </c>
      <c r="AA139" s="202"/>
      <c r="AB139" s="153" t="e">
        <f>#REF!</f>
        <v>#REF!</v>
      </c>
      <c r="AC139" s="202"/>
      <c r="AD139" s="152" t="e">
        <f>#REF!</f>
        <v>#REF!</v>
      </c>
      <c r="AE139" s="202"/>
      <c r="AF139" s="153" t="e">
        <f>#REF!</f>
        <v>#REF!</v>
      </c>
      <c r="AG139" s="202"/>
      <c r="AH139" s="152" t="e">
        <f>#REF!</f>
        <v>#REF!</v>
      </c>
      <c r="AI139" s="202"/>
      <c r="AJ139" s="153" t="e">
        <f>#REF!</f>
        <v>#REF!</v>
      </c>
      <c r="AK139" s="202"/>
      <c r="AL139" s="152" t="e">
        <f>#REF!</f>
        <v>#REF!</v>
      </c>
      <c r="AM139" s="202"/>
      <c r="AN139" s="153" t="e">
        <f>#REF!</f>
        <v>#REF!</v>
      </c>
      <c r="AO139" s="202"/>
      <c r="AP139" s="152" t="e">
        <f>#REF!</f>
        <v>#REF!</v>
      </c>
      <c r="AQ139" s="202"/>
      <c r="AR139" s="154" t="e">
        <f>#REF!</f>
        <v>#REF!</v>
      </c>
      <c r="AS139" s="202"/>
      <c r="AT139" s="153" t="e">
        <f>#REF!</f>
        <v>#REF!</v>
      </c>
      <c r="AU139" s="202"/>
      <c r="AV139" s="152" t="e">
        <f>#REF!</f>
        <v>#REF!</v>
      </c>
      <c r="AW139" s="202"/>
      <c r="AX139" s="153" t="e">
        <f>#REF!</f>
        <v>#REF!</v>
      </c>
      <c r="AY139" s="202"/>
      <c r="AZ139" s="152" t="e">
        <f>#REF!</f>
        <v>#REF!</v>
      </c>
      <c r="BA139" s="202"/>
      <c r="BB139" s="154" t="e">
        <f>#REF!</f>
        <v>#REF!</v>
      </c>
      <c r="BC139" s="137"/>
    </row>
    <row r="140" spans="1:55" ht="30" customHeight="1">
      <c r="A140" s="203" t="e">
        <f>#REF!</f>
        <v>#REF!</v>
      </c>
      <c r="B140" s="204" t="e">
        <f xml:space="preserve"> IF(#REF!=0, "",#REF!)</f>
        <v>#REF!</v>
      </c>
      <c r="C140" s="369" t="e">
        <f>#REF!</f>
        <v>#REF!</v>
      </c>
      <c r="D140" s="369"/>
      <c r="E140" s="291" t="e">
        <f>#REF!</f>
        <v>#REF!</v>
      </c>
      <c r="F140" s="148" t="e">
        <f>#REF!</f>
        <v>#REF!</v>
      </c>
      <c r="G140" s="205" t="e">
        <f xml:space="preserve"> IF(#REF!="", "",#REF!)</f>
        <v>#REF!</v>
      </c>
      <c r="H140" s="205" t="e">
        <f xml:space="preserve"> IF(#REF!="", "",#REF!)</f>
        <v>#REF!</v>
      </c>
      <c r="I140" s="205" t="e">
        <f xml:space="preserve"> IF(#REF!="", "",#REF!)</f>
        <v>#REF!</v>
      </c>
      <c r="J140" s="298" t="e">
        <f>#REF!</f>
        <v>#REF!</v>
      </c>
      <c r="K140" s="149" t="e">
        <f>#REF!</f>
        <v>#REF!</v>
      </c>
      <c r="L140" s="149" t="e">
        <f>#REF!</f>
        <v>#REF!</v>
      </c>
      <c r="M140" s="150" t="e">
        <f>#REF!</f>
        <v>#REF!</v>
      </c>
      <c r="N140" s="364"/>
      <c r="O140" s="202"/>
      <c r="P140" s="151" t="e">
        <f>#REF!</f>
        <v>#REF!</v>
      </c>
      <c r="Q140" s="202"/>
      <c r="R140" s="152" t="e">
        <f>#REF!</f>
        <v>#REF!</v>
      </c>
      <c r="S140" s="202"/>
      <c r="T140" s="153" t="e">
        <f>#REF!</f>
        <v>#REF!</v>
      </c>
      <c r="U140" s="202"/>
      <c r="V140" s="153" t="e">
        <f>#REF!</f>
        <v>#REF!</v>
      </c>
      <c r="W140" s="202"/>
      <c r="X140" s="153" t="e">
        <f>#REF!</f>
        <v>#REF!</v>
      </c>
      <c r="Y140" s="202"/>
      <c r="Z140" s="152" t="e">
        <f>#REF!</f>
        <v>#REF!</v>
      </c>
      <c r="AA140" s="202"/>
      <c r="AB140" s="153" t="e">
        <f>#REF!</f>
        <v>#REF!</v>
      </c>
      <c r="AC140" s="202"/>
      <c r="AD140" s="152" t="e">
        <f>#REF!</f>
        <v>#REF!</v>
      </c>
      <c r="AE140" s="202"/>
      <c r="AF140" s="153" t="e">
        <f>#REF!</f>
        <v>#REF!</v>
      </c>
      <c r="AG140" s="202"/>
      <c r="AH140" s="152" t="e">
        <f>#REF!</f>
        <v>#REF!</v>
      </c>
      <c r="AI140" s="202"/>
      <c r="AJ140" s="153" t="e">
        <f>#REF!</f>
        <v>#REF!</v>
      </c>
      <c r="AK140" s="202"/>
      <c r="AL140" s="152" t="e">
        <f>#REF!</f>
        <v>#REF!</v>
      </c>
      <c r="AM140" s="202"/>
      <c r="AN140" s="153" t="e">
        <f>#REF!</f>
        <v>#REF!</v>
      </c>
      <c r="AO140" s="202"/>
      <c r="AP140" s="152" t="e">
        <f>#REF!</f>
        <v>#REF!</v>
      </c>
      <c r="AQ140" s="202"/>
      <c r="AR140" s="154" t="e">
        <f>#REF!</f>
        <v>#REF!</v>
      </c>
      <c r="AS140" s="202"/>
      <c r="AT140" s="153" t="e">
        <f>#REF!</f>
        <v>#REF!</v>
      </c>
      <c r="AU140" s="202"/>
      <c r="AV140" s="152" t="e">
        <f>#REF!</f>
        <v>#REF!</v>
      </c>
      <c r="AW140" s="202"/>
      <c r="AX140" s="153" t="e">
        <f>#REF!</f>
        <v>#REF!</v>
      </c>
      <c r="AY140" s="202"/>
      <c r="AZ140" s="152" t="e">
        <f>#REF!</f>
        <v>#REF!</v>
      </c>
      <c r="BA140" s="202"/>
      <c r="BB140" s="154" t="e">
        <f>#REF!</f>
        <v>#REF!</v>
      </c>
      <c r="BC140" s="137"/>
    </row>
    <row r="141" spans="1:55" ht="30" customHeight="1">
      <c r="A141" s="203" t="e">
        <f>#REF!</f>
        <v>#REF!</v>
      </c>
      <c r="B141" s="204" t="e">
        <f xml:space="preserve"> IF(#REF!=0, "",#REF!)</f>
        <v>#REF!</v>
      </c>
      <c r="C141" s="369" t="e">
        <f>#REF!</f>
        <v>#REF!</v>
      </c>
      <c r="D141" s="369"/>
      <c r="E141" s="291" t="e">
        <f>#REF!</f>
        <v>#REF!</v>
      </c>
      <c r="F141" s="148" t="e">
        <f>#REF!</f>
        <v>#REF!</v>
      </c>
      <c r="G141" s="205" t="e">
        <f xml:space="preserve"> IF(#REF!="", "",#REF!)</f>
        <v>#REF!</v>
      </c>
      <c r="H141" s="205" t="e">
        <f xml:space="preserve"> IF(#REF!="", "",#REF!)</f>
        <v>#REF!</v>
      </c>
      <c r="I141" s="205" t="e">
        <f xml:space="preserve"> IF(#REF!="", "",#REF!)</f>
        <v>#REF!</v>
      </c>
      <c r="J141" s="298" t="e">
        <f>#REF!</f>
        <v>#REF!</v>
      </c>
      <c r="K141" s="149" t="e">
        <f>#REF!</f>
        <v>#REF!</v>
      </c>
      <c r="L141" s="149" t="e">
        <f>#REF!</f>
        <v>#REF!</v>
      </c>
      <c r="M141" s="150" t="e">
        <f>#REF!</f>
        <v>#REF!</v>
      </c>
      <c r="N141" s="364"/>
      <c r="O141" s="202"/>
      <c r="P141" s="151" t="e">
        <f>#REF!</f>
        <v>#REF!</v>
      </c>
      <c r="Q141" s="202"/>
      <c r="R141" s="152" t="e">
        <f>#REF!</f>
        <v>#REF!</v>
      </c>
      <c r="S141" s="202"/>
      <c r="T141" s="153" t="e">
        <f>#REF!</f>
        <v>#REF!</v>
      </c>
      <c r="U141" s="202"/>
      <c r="V141" s="153" t="e">
        <f>#REF!</f>
        <v>#REF!</v>
      </c>
      <c r="W141" s="202"/>
      <c r="X141" s="153" t="e">
        <f>#REF!</f>
        <v>#REF!</v>
      </c>
      <c r="Y141" s="202"/>
      <c r="Z141" s="152" t="e">
        <f>#REF!</f>
        <v>#REF!</v>
      </c>
      <c r="AA141" s="202"/>
      <c r="AB141" s="153" t="e">
        <f>#REF!</f>
        <v>#REF!</v>
      </c>
      <c r="AC141" s="202"/>
      <c r="AD141" s="152" t="e">
        <f>#REF!</f>
        <v>#REF!</v>
      </c>
      <c r="AE141" s="202"/>
      <c r="AF141" s="153" t="e">
        <f>#REF!</f>
        <v>#REF!</v>
      </c>
      <c r="AG141" s="202"/>
      <c r="AH141" s="152" t="e">
        <f>#REF!</f>
        <v>#REF!</v>
      </c>
      <c r="AI141" s="202"/>
      <c r="AJ141" s="153" t="e">
        <f>#REF!</f>
        <v>#REF!</v>
      </c>
      <c r="AK141" s="202"/>
      <c r="AL141" s="152" t="e">
        <f>#REF!</f>
        <v>#REF!</v>
      </c>
      <c r="AM141" s="202"/>
      <c r="AN141" s="153" t="e">
        <f>#REF!</f>
        <v>#REF!</v>
      </c>
      <c r="AO141" s="202"/>
      <c r="AP141" s="152" t="e">
        <f>#REF!</f>
        <v>#REF!</v>
      </c>
      <c r="AQ141" s="202"/>
      <c r="AR141" s="154" t="e">
        <f>#REF!</f>
        <v>#REF!</v>
      </c>
      <c r="AS141" s="202"/>
      <c r="AT141" s="153" t="e">
        <f>#REF!</f>
        <v>#REF!</v>
      </c>
      <c r="AU141" s="202"/>
      <c r="AV141" s="152" t="e">
        <f>#REF!</f>
        <v>#REF!</v>
      </c>
      <c r="AW141" s="202"/>
      <c r="AX141" s="153" t="e">
        <f>#REF!</f>
        <v>#REF!</v>
      </c>
      <c r="AY141" s="202"/>
      <c r="AZ141" s="152" t="e">
        <f>#REF!</f>
        <v>#REF!</v>
      </c>
      <c r="BA141" s="202"/>
      <c r="BB141" s="154" t="e">
        <f>#REF!</f>
        <v>#REF!</v>
      </c>
      <c r="BC141" s="137"/>
    </row>
    <row r="142" spans="1:55" ht="30" customHeight="1">
      <c r="A142" s="203" t="e">
        <f>#REF!</f>
        <v>#REF!</v>
      </c>
      <c r="B142" s="204" t="e">
        <f xml:space="preserve"> IF(#REF!=0, "",#REF!)</f>
        <v>#REF!</v>
      </c>
      <c r="C142" s="369" t="e">
        <f>#REF!</f>
        <v>#REF!</v>
      </c>
      <c r="D142" s="369"/>
      <c r="E142" s="291" t="e">
        <f>#REF!</f>
        <v>#REF!</v>
      </c>
      <c r="F142" s="148" t="e">
        <f>#REF!</f>
        <v>#REF!</v>
      </c>
      <c r="G142" s="205" t="e">
        <f xml:space="preserve"> IF(#REF!="", "",#REF!)</f>
        <v>#REF!</v>
      </c>
      <c r="H142" s="205" t="e">
        <f xml:space="preserve"> IF(#REF!="", "",#REF!)</f>
        <v>#REF!</v>
      </c>
      <c r="I142" s="205" t="e">
        <f xml:space="preserve"> IF(#REF!="", "",#REF!)</f>
        <v>#REF!</v>
      </c>
      <c r="J142" s="298" t="e">
        <f>#REF!</f>
        <v>#REF!</v>
      </c>
      <c r="K142" s="149" t="e">
        <f>#REF!</f>
        <v>#REF!</v>
      </c>
      <c r="L142" s="149" t="e">
        <f>#REF!</f>
        <v>#REF!</v>
      </c>
      <c r="M142" s="150" t="e">
        <f>#REF!</f>
        <v>#REF!</v>
      </c>
      <c r="N142" s="364"/>
      <c r="O142" s="202"/>
      <c r="P142" s="151" t="e">
        <f>#REF!</f>
        <v>#REF!</v>
      </c>
      <c r="Q142" s="202"/>
      <c r="R142" s="152" t="e">
        <f>#REF!</f>
        <v>#REF!</v>
      </c>
      <c r="S142" s="202"/>
      <c r="T142" s="153" t="e">
        <f>#REF!</f>
        <v>#REF!</v>
      </c>
      <c r="U142" s="202"/>
      <c r="V142" s="153" t="e">
        <f>#REF!</f>
        <v>#REF!</v>
      </c>
      <c r="W142" s="202"/>
      <c r="X142" s="153" t="e">
        <f>#REF!</f>
        <v>#REF!</v>
      </c>
      <c r="Y142" s="202"/>
      <c r="Z142" s="152" t="e">
        <f>#REF!</f>
        <v>#REF!</v>
      </c>
      <c r="AA142" s="202"/>
      <c r="AB142" s="153" t="e">
        <f>#REF!</f>
        <v>#REF!</v>
      </c>
      <c r="AC142" s="202"/>
      <c r="AD142" s="152" t="e">
        <f>#REF!</f>
        <v>#REF!</v>
      </c>
      <c r="AE142" s="202"/>
      <c r="AF142" s="153" t="e">
        <f>#REF!</f>
        <v>#REF!</v>
      </c>
      <c r="AG142" s="202"/>
      <c r="AH142" s="152" t="e">
        <f>#REF!</f>
        <v>#REF!</v>
      </c>
      <c r="AI142" s="202"/>
      <c r="AJ142" s="153" t="e">
        <f>#REF!</f>
        <v>#REF!</v>
      </c>
      <c r="AK142" s="202"/>
      <c r="AL142" s="152" t="e">
        <f>#REF!</f>
        <v>#REF!</v>
      </c>
      <c r="AM142" s="202"/>
      <c r="AN142" s="153" t="e">
        <f>#REF!</f>
        <v>#REF!</v>
      </c>
      <c r="AO142" s="202"/>
      <c r="AP142" s="152" t="e">
        <f>#REF!</f>
        <v>#REF!</v>
      </c>
      <c r="AQ142" s="202"/>
      <c r="AR142" s="154" t="e">
        <f>#REF!</f>
        <v>#REF!</v>
      </c>
      <c r="AS142" s="202"/>
      <c r="AT142" s="153" t="e">
        <f>#REF!</f>
        <v>#REF!</v>
      </c>
      <c r="AU142" s="202"/>
      <c r="AV142" s="152" t="e">
        <f>#REF!</f>
        <v>#REF!</v>
      </c>
      <c r="AW142" s="202"/>
      <c r="AX142" s="153" t="e">
        <f>#REF!</f>
        <v>#REF!</v>
      </c>
      <c r="AY142" s="202"/>
      <c r="AZ142" s="152" t="e">
        <f>#REF!</f>
        <v>#REF!</v>
      </c>
      <c r="BA142" s="202"/>
      <c r="BB142" s="154" t="e">
        <f>#REF!</f>
        <v>#REF!</v>
      </c>
      <c r="BC142" s="137"/>
    </row>
    <row r="143" spans="1:55" ht="30" customHeight="1">
      <c r="A143" s="203" t="e">
        <f>#REF!</f>
        <v>#REF!</v>
      </c>
      <c r="B143" s="204" t="e">
        <f xml:space="preserve"> IF(#REF!=0, "",#REF!)</f>
        <v>#REF!</v>
      </c>
      <c r="C143" s="369" t="e">
        <f>#REF!</f>
        <v>#REF!</v>
      </c>
      <c r="D143" s="369"/>
      <c r="E143" s="291" t="e">
        <f>#REF!</f>
        <v>#REF!</v>
      </c>
      <c r="F143" s="148" t="e">
        <f>#REF!</f>
        <v>#REF!</v>
      </c>
      <c r="G143" s="205" t="e">
        <f xml:space="preserve"> IF(#REF!="", "",#REF!)</f>
        <v>#REF!</v>
      </c>
      <c r="H143" s="205" t="e">
        <f xml:space="preserve"> IF(#REF!="", "",#REF!)</f>
        <v>#REF!</v>
      </c>
      <c r="I143" s="205" t="e">
        <f xml:space="preserve"> IF(#REF!="", "",#REF!)</f>
        <v>#REF!</v>
      </c>
      <c r="J143" s="298" t="e">
        <f>#REF!</f>
        <v>#REF!</v>
      </c>
      <c r="K143" s="149" t="e">
        <f>#REF!</f>
        <v>#REF!</v>
      </c>
      <c r="L143" s="149" t="e">
        <f>#REF!</f>
        <v>#REF!</v>
      </c>
      <c r="M143" s="150" t="e">
        <f>#REF!</f>
        <v>#REF!</v>
      </c>
      <c r="N143" s="364"/>
      <c r="O143" s="202"/>
      <c r="P143" s="151" t="e">
        <f>#REF!</f>
        <v>#REF!</v>
      </c>
      <c r="Q143" s="202"/>
      <c r="R143" s="152" t="e">
        <f>#REF!</f>
        <v>#REF!</v>
      </c>
      <c r="S143" s="202"/>
      <c r="T143" s="153" t="e">
        <f>#REF!</f>
        <v>#REF!</v>
      </c>
      <c r="U143" s="202"/>
      <c r="V143" s="153" t="e">
        <f>#REF!</f>
        <v>#REF!</v>
      </c>
      <c r="W143" s="202"/>
      <c r="X143" s="153" t="e">
        <f>#REF!</f>
        <v>#REF!</v>
      </c>
      <c r="Y143" s="202"/>
      <c r="Z143" s="152" t="e">
        <f>#REF!</f>
        <v>#REF!</v>
      </c>
      <c r="AA143" s="202"/>
      <c r="AB143" s="153" t="e">
        <f>#REF!</f>
        <v>#REF!</v>
      </c>
      <c r="AC143" s="202"/>
      <c r="AD143" s="152" t="e">
        <f>#REF!</f>
        <v>#REF!</v>
      </c>
      <c r="AE143" s="202"/>
      <c r="AF143" s="153" t="e">
        <f>#REF!</f>
        <v>#REF!</v>
      </c>
      <c r="AG143" s="202"/>
      <c r="AH143" s="152" t="e">
        <f>#REF!</f>
        <v>#REF!</v>
      </c>
      <c r="AI143" s="202"/>
      <c r="AJ143" s="153" t="e">
        <f>#REF!</f>
        <v>#REF!</v>
      </c>
      <c r="AK143" s="202"/>
      <c r="AL143" s="152" t="e">
        <f>#REF!</f>
        <v>#REF!</v>
      </c>
      <c r="AM143" s="202"/>
      <c r="AN143" s="153" t="e">
        <f>#REF!</f>
        <v>#REF!</v>
      </c>
      <c r="AO143" s="202"/>
      <c r="AP143" s="152" t="e">
        <f>#REF!</f>
        <v>#REF!</v>
      </c>
      <c r="AQ143" s="202"/>
      <c r="AR143" s="154" t="e">
        <f>#REF!</f>
        <v>#REF!</v>
      </c>
      <c r="AS143" s="202"/>
      <c r="AT143" s="153" t="e">
        <f>#REF!</f>
        <v>#REF!</v>
      </c>
      <c r="AU143" s="202"/>
      <c r="AV143" s="152" t="e">
        <f>#REF!</f>
        <v>#REF!</v>
      </c>
      <c r="AW143" s="202"/>
      <c r="AX143" s="153" t="e">
        <f>#REF!</f>
        <v>#REF!</v>
      </c>
      <c r="AY143" s="202"/>
      <c r="AZ143" s="152" t="e">
        <f>#REF!</f>
        <v>#REF!</v>
      </c>
      <c r="BA143" s="202"/>
      <c r="BB143" s="154" t="e">
        <f>#REF!</f>
        <v>#REF!</v>
      </c>
      <c r="BC143" s="137"/>
    </row>
    <row r="144" spans="1:55" ht="30" customHeight="1">
      <c r="A144" s="203" t="e">
        <f>#REF!</f>
        <v>#REF!</v>
      </c>
      <c r="B144" s="204" t="e">
        <f xml:space="preserve"> IF(#REF!=0, "",#REF!)</f>
        <v>#REF!</v>
      </c>
      <c r="C144" s="369" t="e">
        <f>#REF!</f>
        <v>#REF!</v>
      </c>
      <c r="D144" s="369"/>
      <c r="E144" s="291" t="e">
        <f>#REF!</f>
        <v>#REF!</v>
      </c>
      <c r="F144" s="148" t="e">
        <f>#REF!</f>
        <v>#REF!</v>
      </c>
      <c r="G144" s="205" t="e">
        <f xml:space="preserve"> IF(#REF!="", "",#REF!)</f>
        <v>#REF!</v>
      </c>
      <c r="H144" s="205" t="e">
        <f xml:space="preserve"> IF(#REF!="", "",#REF!)</f>
        <v>#REF!</v>
      </c>
      <c r="I144" s="205" t="e">
        <f xml:space="preserve"> IF(#REF!="", "",#REF!)</f>
        <v>#REF!</v>
      </c>
      <c r="J144" s="298" t="e">
        <f>#REF!</f>
        <v>#REF!</v>
      </c>
      <c r="K144" s="149" t="e">
        <f>#REF!</f>
        <v>#REF!</v>
      </c>
      <c r="L144" s="149" t="e">
        <f>#REF!</f>
        <v>#REF!</v>
      </c>
      <c r="M144" s="150" t="e">
        <f>#REF!</f>
        <v>#REF!</v>
      </c>
      <c r="N144" s="364"/>
      <c r="O144" s="202"/>
      <c r="P144" s="151" t="e">
        <f>#REF!</f>
        <v>#REF!</v>
      </c>
      <c r="Q144" s="202"/>
      <c r="R144" s="152" t="e">
        <f>#REF!</f>
        <v>#REF!</v>
      </c>
      <c r="S144" s="202"/>
      <c r="T144" s="153" t="e">
        <f>#REF!</f>
        <v>#REF!</v>
      </c>
      <c r="U144" s="202"/>
      <c r="V144" s="153" t="e">
        <f>#REF!</f>
        <v>#REF!</v>
      </c>
      <c r="W144" s="202"/>
      <c r="X144" s="153" t="e">
        <f>#REF!</f>
        <v>#REF!</v>
      </c>
      <c r="Y144" s="202"/>
      <c r="Z144" s="152" t="e">
        <f>#REF!</f>
        <v>#REF!</v>
      </c>
      <c r="AA144" s="202"/>
      <c r="AB144" s="153" t="e">
        <f>#REF!</f>
        <v>#REF!</v>
      </c>
      <c r="AC144" s="202"/>
      <c r="AD144" s="152" t="e">
        <f>#REF!</f>
        <v>#REF!</v>
      </c>
      <c r="AE144" s="202"/>
      <c r="AF144" s="153" t="e">
        <f>#REF!</f>
        <v>#REF!</v>
      </c>
      <c r="AG144" s="202"/>
      <c r="AH144" s="152" t="e">
        <f>#REF!</f>
        <v>#REF!</v>
      </c>
      <c r="AI144" s="202"/>
      <c r="AJ144" s="153" t="e">
        <f>#REF!</f>
        <v>#REF!</v>
      </c>
      <c r="AK144" s="202"/>
      <c r="AL144" s="152" t="e">
        <f>#REF!</f>
        <v>#REF!</v>
      </c>
      <c r="AM144" s="202"/>
      <c r="AN144" s="153" t="e">
        <f>#REF!</f>
        <v>#REF!</v>
      </c>
      <c r="AO144" s="202"/>
      <c r="AP144" s="152" t="e">
        <f>#REF!</f>
        <v>#REF!</v>
      </c>
      <c r="AQ144" s="202"/>
      <c r="AR144" s="154" t="e">
        <f>#REF!</f>
        <v>#REF!</v>
      </c>
      <c r="AS144" s="202"/>
      <c r="AT144" s="153" t="e">
        <f>#REF!</f>
        <v>#REF!</v>
      </c>
      <c r="AU144" s="202"/>
      <c r="AV144" s="152" t="e">
        <f>#REF!</f>
        <v>#REF!</v>
      </c>
      <c r="AW144" s="202"/>
      <c r="AX144" s="153" t="e">
        <f>#REF!</f>
        <v>#REF!</v>
      </c>
      <c r="AY144" s="202"/>
      <c r="AZ144" s="152" t="e">
        <f>#REF!</f>
        <v>#REF!</v>
      </c>
      <c r="BA144" s="202"/>
      <c r="BB144" s="154" t="e">
        <f>#REF!</f>
        <v>#REF!</v>
      </c>
      <c r="BC144" s="137"/>
    </row>
    <row r="145" spans="1:55" ht="30" customHeight="1">
      <c r="A145" s="203" t="e">
        <f>#REF!</f>
        <v>#REF!</v>
      </c>
      <c r="B145" s="204" t="e">
        <f xml:space="preserve"> IF(#REF!=0, "",#REF!)</f>
        <v>#REF!</v>
      </c>
      <c r="C145" s="369" t="e">
        <f>#REF!</f>
        <v>#REF!</v>
      </c>
      <c r="D145" s="369"/>
      <c r="E145" s="291" t="e">
        <f>#REF!</f>
        <v>#REF!</v>
      </c>
      <c r="F145" s="148" t="e">
        <f>#REF!</f>
        <v>#REF!</v>
      </c>
      <c r="G145" s="205" t="e">
        <f xml:space="preserve"> IF(#REF!="", "",#REF!)</f>
        <v>#REF!</v>
      </c>
      <c r="H145" s="205" t="e">
        <f xml:space="preserve"> IF(#REF!="", "",#REF!)</f>
        <v>#REF!</v>
      </c>
      <c r="I145" s="205" t="e">
        <f xml:space="preserve"> IF(#REF!="", "",#REF!)</f>
        <v>#REF!</v>
      </c>
      <c r="J145" s="298" t="e">
        <f>#REF!</f>
        <v>#REF!</v>
      </c>
      <c r="K145" s="149" t="e">
        <f>#REF!</f>
        <v>#REF!</v>
      </c>
      <c r="L145" s="149" t="e">
        <f>#REF!</f>
        <v>#REF!</v>
      </c>
      <c r="M145" s="150" t="e">
        <f>#REF!</f>
        <v>#REF!</v>
      </c>
      <c r="N145" s="364"/>
      <c r="O145" s="202"/>
      <c r="P145" s="151" t="e">
        <f>#REF!</f>
        <v>#REF!</v>
      </c>
      <c r="Q145" s="202"/>
      <c r="R145" s="152" t="e">
        <f>#REF!</f>
        <v>#REF!</v>
      </c>
      <c r="S145" s="202"/>
      <c r="T145" s="153" t="e">
        <f>#REF!</f>
        <v>#REF!</v>
      </c>
      <c r="U145" s="202"/>
      <c r="V145" s="153" t="e">
        <f>#REF!</f>
        <v>#REF!</v>
      </c>
      <c r="W145" s="202"/>
      <c r="X145" s="153" t="e">
        <f>#REF!</f>
        <v>#REF!</v>
      </c>
      <c r="Y145" s="202"/>
      <c r="Z145" s="152" t="e">
        <f>#REF!</f>
        <v>#REF!</v>
      </c>
      <c r="AA145" s="202"/>
      <c r="AB145" s="153" t="e">
        <f>#REF!</f>
        <v>#REF!</v>
      </c>
      <c r="AC145" s="202"/>
      <c r="AD145" s="152" t="e">
        <f>#REF!</f>
        <v>#REF!</v>
      </c>
      <c r="AE145" s="202"/>
      <c r="AF145" s="153" t="e">
        <f>#REF!</f>
        <v>#REF!</v>
      </c>
      <c r="AG145" s="202"/>
      <c r="AH145" s="152" t="e">
        <f>#REF!</f>
        <v>#REF!</v>
      </c>
      <c r="AI145" s="202"/>
      <c r="AJ145" s="153" t="e">
        <f>#REF!</f>
        <v>#REF!</v>
      </c>
      <c r="AK145" s="202"/>
      <c r="AL145" s="152" t="e">
        <f>#REF!</f>
        <v>#REF!</v>
      </c>
      <c r="AM145" s="202"/>
      <c r="AN145" s="153" t="e">
        <f>#REF!</f>
        <v>#REF!</v>
      </c>
      <c r="AO145" s="202"/>
      <c r="AP145" s="152" t="e">
        <f>#REF!</f>
        <v>#REF!</v>
      </c>
      <c r="AQ145" s="202"/>
      <c r="AR145" s="154" t="e">
        <f>#REF!</f>
        <v>#REF!</v>
      </c>
      <c r="AS145" s="202"/>
      <c r="AT145" s="153" t="e">
        <f>#REF!</f>
        <v>#REF!</v>
      </c>
      <c r="AU145" s="202"/>
      <c r="AV145" s="152" t="e">
        <f>#REF!</f>
        <v>#REF!</v>
      </c>
      <c r="AW145" s="202"/>
      <c r="AX145" s="153" t="e">
        <f>#REF!</f>
        <v>#REF!</v>
      </c>
      <c r="AY145" s="202"/>
      <c r="AZ145" s="152" t="e">
        <f>#REF!</f>
        <v>#REF!</v>
      </c>
      <c r="BA145" s="202"/>
      <c r="BB145" s="154" t="e">
        <f>#REF!</f>
        <v>#REF!</v>
      </c>
      <c r="BC145" s="137"/>
    </row>
    <row r="146" spans="1:55" ht="30" customHeight="1">
      <c r="A146" s="203" t="e">
        <f>#REF!</f>
        <v>#REF!</v>
      </c>
      <c r="B146" s="204" t="e">
        <f xml:space="preserve"> IF(#REF!=0, "",#REF!)</f>
        <v>#REF!</v>
      </c>
      <c r="C146" s="369" t="e">
        <f>#REF!</f>
        <v>#REF!</v>
      </c>
      <c r="D146" s="369"/>
      <c r="E146" s="291" t="e">
        <f>#REF!</f>
        <v>#REF!</v>
      </c>
      <c r="F146" s="148" t="e">
        <f>#REF!</f>
        <v>#REF!</v>
      </c>
      <c r="G146" s="205" t="e">
        <f xml:space="preserve"> IF(#REF!="", "",#REF!)</f>
        <v>#REF!</v>
      </c>
      <c r="H146" s="205" t="e">
        <f xml:space="preserve"> IF(#REF!="", "",#REF!)</f>
        <v>#REF!</v>
      </c>
      <c r="I146" s="205" t="e">
        <f xml:space="preserve"> IF(#REF!="", "",#REF!)</f>
        <v>#REF!</v>
      </c>
      <c r="J146" s="298" t="e">
        <f>#REF!</f>
        <v>#REF!</v>
      </c>
      <c r="K146" s="149" t="e">
        <f>#REF!</f>
        <v>#REF!</v>
      </c>
      <c r="L146" s="149" t="e">
        <f>#REF!</f>
        <v>#REF!</v>
      </c>
      <c r="M146" s="150" t="e">
        <f>#REF!</f>
        <v>#REF!</v>
      </c>
      <c r="N146" s="364"/>
      <c r="O146" s="202"/>
      <c r="P146" s="151" t="e">
        <f>#REF!</f>
        <v>#REF!</v>
      </c>
      <c r="Q146" s="202"/>
      <c r="R146" s="152" t="e">
        <f>#REF!</f>
        <v>#REF!</v>
      </c>
      <c r="S146" s="202"/>
      <c r="T146" s="153" t="e">
        <f>#REF!</f>
        <v>#REF!</v>
      </c>
      <c r="U146" s="202"/>
      <c r="V146" s="153" t="e">
        <f>#REF!</f>
        <v>#REF!</v>
      </c>
      <c r="W146" s="202"/>
      <c r="X146" s="153" t="e">
        <f>#REF!</f>
        <v>#REF!</v>
      </c>
      <c r="Y146" s="202"/>
      <c r="Z146" s="152" t="e">
        <f>#REF!</f>
        <v>#REF!</v>
      </c>
      <c r="AA146" s="202"/>
      <c r="AB146" s="153" t="e">
        <f>#REF!</f>
        <v>#REF!</v>
      </c>
      <c r="AC146" s="202"/>
      <c r="AD146" s="152" t="e">
        <f>#REF!</f>
        <v>#REF!</v>
      </c>
      <c r="AE146" s="202"/>
      <c r="AF146" s="153" t="e">
        <f>#REF!</f>
        <v>#REF!</v>
      </c>
      <c r="AG146" s="202"/>
      <c r="AH146" s="152" t="e">
        <f>#REF!</f>
        <v>#REF!</v>
      </c>
      <c r="AI146" s="202"/>
      <c r="AJ146" s="153" t="e">
        <f>#REF!</f>
        <v>#REF!</v>
      </c>
      <c r="AK146" s="202"/>
      <c r="AL146" s="152" t="e">
        <f>#REF!</f>
        <v>#REF!</v>
      </c>
      <c r="AM146" s="202"/>
      <c r="AN146" s="153" t="e">
        <f>#REF!</f>
        <v>#REF!</v>
      </c>
      <c r="AO146" s="202"/>
      <c r="AP146" s="152" t="e">
        <f>#REF!</f>
        <v>#REF!</v>
      </c>
      <c r="AQ146" s="202"/>
      <c r="AR146" s="154" t="e">
        <f>#REF!</f>
        <v>#REF!</v>
      </c>
      <c r="AS146" s="202"/>
      <c r="AT146" s="153" t="e">
        <f>#REF!</f>
        <v>#REF!</v>
      </c>
      <c r="AU146" s="202"/>
      <c r="AV146" s="152" t="e">
        <f>#REF!</f>
        <v>#REF!</v>
      </c>
      <c r="AW146" s="202"/>
      <c r="AX146" s="153" t="e">
        <f>#REF!</f>
        <v>#REF!</v>
      </c>
      <c r="AY146" s="202"/>
      <c r="AZ146" s="152" t="e">
        <f>#REF!</f>
        <v>#REF!</v>
      </c>
      <c r="BA146" s="202"/>
      <c r="BB146" s="154" t="e">
        <f>#REF!</f>
        <v>#REF!</v>
      </c>
      <c r="BC146" s="137"/>
    </row>
    <row r="147" spans="1:55" ht="30" customHeight="1">
      <c r="A147" s="203" t="e">
        <f>#REF!</f>
        <v>#REF!</v>
      </c>
      <c r="B147" s="204" t="e">
        <f xml:space="preserve"> IF(#REF!=0, "",#REF!)</f>
        <v>#REF!</v>
      </c>
      <c r="C147" s="369" t="e">
        <f>#REF!</f>
        <v>#REF!</v>
      </c>
      <c r="D147" s="369"/>
      <c r="E147" s="291" t="e">
        <f>#REF!</f>
        <v>#REF!</v>
      </c>
      <c r="F147" s="148" t="e">
        <f>#REF!</f>
        <v>#REF!</v>
      </c>
      <c r="G147" s="205" t="e">
        <f xml:space="preserve"> IF(#REF!="", "",#REF!)</f>
        <v>#REF!</v>
      </c>
      <c r="H147" s="205" t="e">
        <f xml:space="preserve"> IF(#REF!="", "",#REF!)</f>
        <v>#REF!</v>
      </c>
      <c r="I147" s="205" t="e">
        <f xml:space="preserve"> IF(#REF!="", "",#REF!)</f>
        <v>#REF!</v>
      </c>
      <c r="J147" s="298" t="e">
        <f>#REF!</f>
        <v>#REF!</v>
      </c>
      <c r="K147" s="149" t="e">
        <f>#REF!</f>
        <v>#REF!</v>
      </c>
      <c r="L147" s="149" t="e">
        <f>#REF!</f>
        <v>#REF!</v>
      </c>
      <c r="M147" s="150" t="e">
        <f>#REF!</f>
        <v>#REF!</v>
      </c>
      <c r="N147" s="364"/>
      <c r="O147" s="202"/>
      <c r="P147" s="151" t="e">
        <f>#REF!</f>
        <v>#REF!</v>
      </c>
      <c r="Q147" s="202"/>
      <c r="R147" s="152" t="e">
        <f>#REF!</f>
        <v>#REF!</v>
      </c>
      <c r="S147" s="202"/>
      <c r="T147" s="153" t="e">
        <f>#REF!</f>
        <v>#REF!</v>
      </c>
      <c r="U147" s="202"/>
      <c r="V147" s="153" t="e">
        <f>#REF!</f>
        <v>#REF!</v>
      </c>
      <c r="W147" s="202"/>
      <c r="X147" s="153" t="e">
        <f>#REF!</f>
        <v>#REF!</v>
      </c>
      <c r="Y147" s="202"/>
      <c r="Z147" s="152" t="e">
        <f>#REF!</f>
        <v>#REF!</v>
      </c>
      <c r="AA147" s="202"/>
      <c r="AB147" s="153" t="e">
        <f>#REF!</f>
        <v>#REF!</v>
      </c>
      <c r="AC147" s="202"/>
      <c r="AD147" s="152" t="e">
        <f>#REF!</f>
        <v>#REF!</v>
      </c>
      <c r="AE147" s="202"/>
      <c r="AF147" s="153" t="e">
        <f>#REF!</f>
        <v>#REF!</v>
      </c>
      <c r="AG147" s="202"/>
      <c r="AH147" s="152" t="e">
        <f>#REF!</f>
        <v>#REF!</v>
      </c>
      <c r="AI147" s="202"/>
      <c r="AJ147" s="153" t="e">
        <f>#REF!</f>
        <v>#REF!</v>
      </c>
      <c r="AK147" s="202"/>
      <c r="AL147" s="152" t="e">
        <f>#REF!</f>
        <v>#REF!</v>
      </c>
      <c r="AM147" s="202"/>
      <c r="AN147" s="153" t="e">
        <f>#REF!</f>
        <v>#REF!</v>
      </c>
      <c r="AO147" s="202"/>
      <c r="AP147" s="152" t="e">
        <f>#REF!</f>
        <v>#REF!</v>
      </c>
      <c r="AQ147" s="202"/>
      <c r="AR147" s="154" t="e">
        <f>#REF!</f>
        <v>#REF!</v>
      </c>
      <c r="AS147" s="202"/>
      <c r="AT147" s="153" t="e">
        <f>#REF!</f>
        <v>#REF!</v>
      </c>
      <c r="AU147" s="202"/>
      <c r="AV147" s="152" t="e">
        <f>#REF!</f>
        <v>#REF!</v>
      </c>
      <c r="AW147" s="202"/>
      <c r="AX147" s="153" t="e">
        <f>#REF!</f>
        <v>#REF!</v>
      </c>
      <c r="AY147" s="202"/>
      <c r="AZ147" s="152" t="e">
        <f>#REF!</f>
        <v>#REF!</v>
      </c>
      <c r="BA147" s="202"/>
      <c r="BB147" s="154" t="e">
        <f>#REF!</f>
        <v>#REF!</v>
      </c>
      <c r="BC147" s="137"/>
    </row>
    <row r="148" spans="1:55" ht="30" customHeight="1">
      <c r="A148" s="203" t="e">
        <f>#REF!</f>
        <v>#REF!</v>
      </c>
      <c r="B148" s="204" t="e">
        <f xml:space="preserve"> IF(#REF!=0, "",#REF!)</f>
        <v>#REF!</v>
      </c>
      <c r="C148" s="369" t="e">
        <f>#REF!</f>
        <v>#REF!</v>
      </c>
      <c r="D148" s="369"/>
      <c r="E148" s="291" t="e">
        <f>#REF!</f>
        <v>#REF!</v>
      </c>
      <c r="F148" s="148" t="e">
        <f>#REF!</f>
        <v>#REF!</v>
      </c>
      <c r="G148" s="205" t="e">
        <f xml:space="preserve"> IF(#REF!="", "",#REF!)</f>
        <v>#REF!</v>
      </c>
      <c r="H148" s="205" t="e">
        <f xml:space="preserve"> IF(#REF!="", "",#REF!)</f>
        <v>#REF!</v>
      </c>
      <c r="I148" s="205" t="e">
        <f xml:space="preserve"> IF(#REF!="", "",#REF!)</f>
        <v>#REF!</v>
      </c>
      <c r="J148" s="298" t="e">
        <f>#REF!</f>
        <v>#REF!</v>
      </c>
      <c r="K148" s="149" t="e">
        <f>#REF!</f>
        <v>#REF!</v>
      </c>
      <c r="L148" s="149" t="e">
        <f>#REF!</f>
        <v>#REF!</v>
      </c>
      <c r="M148" s="150" t="e">
        <f>#REF!</f>
        <v>#REF!</v>
      </c>
      <c r="N148" s="364"/>
      <c r="O148" s="202"/>
      <c r="P148" s="151" t="e">
        <f>#REF!</f>
        <v>#REF!</v>
      </c>
      <c r="Q148" s="202"/>
      <c r="R148" s="152" t="e">
        <f>#REF!</f>
        <v>#REF!</v>
      </c>
      <c r="S148" s="202"/>
      <c r="T148" s="153" t="e">
        <f>#REF!</f>
        <v>#REF!</v>
      </c>
      <c r="U148" s="202"/>
      <c r="V148" s="153" t="e">
        <f>#REF!</f>
        <v>#REF!</v>
      </c>
      <c r="W148" s="202"/>
      <c r="X148" s="153" t="e">
        <f>#REF!</f>
        <v>#REF!</v>
      </c>
      <c r="Y148" s="202"/>
      <c r="Z148" s="152" t="e">
        <f>#REF!</f>
        <v>#REF!</v>
      </c>
      <c r="AA148" s="202"/>
      <c r="AB148" s="153" t="e">
        <f>#REF!</f>
        <v>#REF!</v>
      </c>
      <c r="AC148" s="202"/>
      <c r="AD148" s="152" t="e">
        <f>#REF!</f>
        <v>#REF!</v>
      </c>
      <c r="AE148" s="202"/>
      <c r="AF148" s="153" t="e">
        <f>#REF!</f>
        <v>#REF!</v>
      </c>
      <c r="AG148" s="202"/>
      <c r="AH148" s="152" t="e">
        <f>#REF!</f>
        <v>#REF!</v>
      </c>
      <c r="AI148" s="202"/>
      <c r="AJ148" s="153" t="e">
        <f>#REF!</f>
        <v>#REF!</v>
      </c>
      <c r="AK148" s="202"/>
      <c r="AL148" s="152" t="e">
        <f>#REF!</f>
        <v>#REF!</v>
      </c>
      <c r="AM148" s="202"/>
      <c r="AN148" s="153" t="e">
        <f>#REF!</f>
        <v>#REF!</v>
      </c>
      <c r="AO148" s="202"/>
      <c r="AP148" s="152" t="e">
        <f>#REF!</f>
        <v>#REF!</v>
      </c>
      <c r="AQ148" s="202"/>
      <c r="AR148" s="154" t="e">
        <f>#REF!</f>
        <v>#REF!</v>
      </c>
      <c r="AS148" s="202"/>
      <c r="AT148" s="153" t="e">
        <f>#REF!</f>
        <v>#REF!</v>
      </c>
      <c r="AU148" s="202"/>
      <c r="AV148" s="152" t="e">
        <f>#REF!</f>
        <v>#REF!</v>
      </c>
      <c r="AW148" s="202"/>
      <c r="AX148" s="153" t="e">
        <f>#REF!</f>
        <v>#REF!</v>
      </c>
      <c r="AY148" s="202"/>
      <c r="AZ148" s="152" t="e">
        <f>#REF!</f>
        <v>#REF!</v>
      </c>
      <c r="BA148" s="202"/>
      <c r="BB148" s="154" t="e">
        <f>#REF!</f>
        <v>#REF!</v>
      </c>
      <c r="BC148" s="137"/>
    </row>
    <row r="149" spans="1:55" ht="30" customHeight="1">
      <c r="A149" s="203" t="e">
        <f>#REF!</f>
        <v>#REF!</v>
      </c>
      <c r="B149" s="204" t="e">
        <f xml:space="preserve"> IF(#REF!=0, "",#REF!)</f>
        <v>#REF!</v>
      </c>
      <c r="C149" s="369" t="e">
        <f>#REF!</f>
        <v>#REF!</v>
      </c>
      <c r="D149" s="369"/>
      <c r="E149" s="291" t="e">
        <f>#REF!</f>
        <v>#REF!</v>
      </c>
      <c r="F149" s="148" t="e">
        <f>#REF!</f>
        <v>#REF!</v>
      </c>
      <c r="G149" s="205" t="e">
        <f xml:space="preserve"> IF(#REF!="", "",#REF!)</f>
        <v>#REF!</v>
      </c>
      <c r="H149" s="205" t="e">
        <f xml:space="preserve"> IF(#REF!="", "",#REF!)</f>
        <v>#REF!</v>
      </c>
      <c r="I149" s="205" t="e">
        <f xml:space="preserve"> IF(#REF!="", "",#REF!)</f>
        <v>#REF!</v>
      </c>
      <c r="J149" s="298" t="e">
        <f>#REF!</f>
        <v>#REF!</v>
      </c>
      <c r="K149" s="149" t="e">
        <f>#REF!</f>
        <v>#REF!</v>
      </c>
      <c r="L149" s="149" t="e">
        <f>#REF!</f>
        <v>#REF!</v>
      </c>
      <c r="M149" s="150" t="e">
        <f>#REF!</f>
        <v>#REF!</v>
      </c>
      <c r="N149" s="364"/>
      <c r="O149" s="202"/>
      <c r="P149" s="151" t="e">
        <f>#REF!</f>
        <v>#REF!</v>
      </c>
      <c r="Q149" s="202"/>
      <c r="R149" s="152" t="e">
        <f>#REF!</f>
        <v>#REF!</v>
      </c>
      <c r="S149" s="202"/>
      <c r="T149" s="153" t="e">
        <f>#REF!</f>
        <v>#REF!</v>
      </c>
      <c r="U149" s="202"/>
      <c r="V149" s="153" t="e">
        <f>#REF!</f>
        <v>#REF!</v>
      </c>
      <c r="W149" s="202"/>
      <c r="X149" s="153" t="e">
        <f>#REF!</f>
        <v>#REF!</v>
      </c>
      <c r="Y149" s="202"/>
      <c r="Z149" s="152" t="e">
        <f>#REF!</f>
        <v>#REF!</v>
      </c>
      <c r="AA149" s="202"/>
      <c r="AB149" s="153" t="e">
        <f>#REF!</f>
        <v>#REF!</v>
      </c>
      <c r="AC149" s="202"/>
      <c r="AD149" s="152" t="e">
        <f>#REF!</f>
        <v>#REF!</v>
      </c>
      <c r="AE149" s="202"/>
      <c r="AF149" s="153" t="e">
        <f>#REF!</f>
        <v>#REF!</v>
      </c>
      <c r="AG149" s="202"/>
      <c r="AH149" s="152" t="e">
        <f>#REF!</f>
        <v>#REF!</v>
      </c>
      <c r="AI149" s="202"/>
      <c r="AJ149" s="153" t="e">
        <f>#REF!</f>
        <v>#REF!</v>
      </c>
      <c r="AK149" s="202"/>
      <c r="AL149" s="152" t="e">
        <f>#REF!</f>
        <v>#REF!</v>
      </c>
      <c r="AM149" s="202"/>
      <c r="AN149" s="153" t="e">
        <f>#REF!</f>
        <v>#REF!</v>
      </c>
      <c r="AO149" s="202"/>
      <c r="AP149" s="152" t="e">
        <f>#REF!</f>
        <v>#REF!</v>
      </c>
      <c r="AQ149" s="202"/>
      <c r="AR149" s="154" t="e">
        <f>#REF!</f>
        <v>#REF!</v>
      </c>
      <c r="AS149" s="202"/>
      <c r="AT149" s="153" t="e">
        <f>#REF!</f>
        <v>#REF!</v>
      </c>
      <c r="AU149" s="202"/>
      <c r="AV149" s="152" t="e">
        <f>#REF!</f>
        <v>#REF!</v>
      </c>
      <c r="AW149" s="202"/>
      <c r="AX149" s="153" t="e">
        <f>#REF!</f>
        <v>#REF!</v>
      </c>
      <c r="AY149" s="202"/>
      <c r="AZ149" s="152" t="e">
        <f>#REF!</f>
        <v>#REF!</v>
      </c>
      <c r="BA149" s="202"/>
      <c r="BB149" s="154" t="e">
        <f>#REF!</f>
        <v>#REF!</v>
      </c>
      <c r="BC149" s="137"/>
    </row>
    <row r="150" spans="1:55" ht="30" customHeight="1">
      <c r="A150" s="203" t="e">
        <f>#REF!</f>
        <v>#REF!</v>
      </c>
      <c r="B150" s="204" t="e">
        <f xml:space="preserve"> IF(#REF!=0, "",#REF!)</f>
        <v>#REF!</v>
      </c>
      <c r="C150" s="369" t="e">
        <f>#REF!</f>
        <v>#REF!</v>
      </c>
      <c r="D150" s="369"/>
      <c r="E150" s="291" t="e">
        <f>#REF!</f>
        <v>#REF!</v>
      </c>
      <c r="F150" s="148" t="e">
        <f>#REF!</f>
        <v>#REF!</v>
      </c>
      <c r="G150" s="205" t="e">
        <f xml:space="preserve"> IF(#REF!="", "",#REF!)</f>
        <v>#REF!</v>
      </c>
      <c r="H150" s="205" t="e">
        <f xml:space="preserve"> IF(#REF!="", "",#REF!)</f>
        <v>#REF!</v>
      </c>
      <c r="I150" s="205" t="e">
        <f xml:space="preserve"> IF(#REF!="", "",#REF!)</f>
        <v>#REF!</v>
      </c>
      <c r="J150" s="298" t="e">
        <f>#REF!</f>
        <v>#REF!</v>
      </c>
      <c r="K150" s="149" t="e">
        <f>#REF!</f>
        <v>#REF!</v>
      </c>
      <c r="L150" s="149" t="e">
        <f>#REF!</f>
        <v>#REF!</v>
      </c>
      <c r="M150" s="150" t="e">
        <f>#REF!</f>
        <v>#REF!</v>
      </c>
      <c r="N150" s="364"/>
      <c r="O150" s="202"/>
      <c r="P150" s="151" t="e">
        <f>#REF!</f>
        <v>#REF!</v>
      </c>
      <c r="Q150" s="202"/>
      <c r="R150" s="152" t="e">
        <f>#REF!</f>
        <v>#REF!</v>
      </c>
      <c r="S150" s="202"/>
      <c r="T150" s="153" t="e">
        <f>#REF!</f>
        <v>#REF!</v>
      </c>
      <c r="U150" s="202"/>
      <c r="V150" s="153" t="e">
        <f>#REF!</f>
        <v>#REF!</v>
      </c>
      <c r="W150" s="202"/>
      <c r="X150" s="153" t="e">
        <f>#REF!</f>
        <v>#REF!</v>
      </c>
      <c r="Y150" s="202"/>
      <c r="Z150" s="152" t="e">
        <f>#REF!</f>
        <v>#REF!</v>
      </c>
      <c r="AA150" s="202"/>
      <c r="AB150" s="153" t="e">
        <f>#REF!</f>
        <v>#REF!</v>
      </c>
      <c r="AC150" s="202"/>
      <c r="AD150" s="152" t="e">
        <f>#REF!</f>
        <v>#REF!</v>
      </c>
      <c r="AE150" s="202"/>
      <c r="AF150" s="153" t="e">
        <f>#REF!</f>
        <v>#REF!</v>
      </c>
      <c r="AG150" s="202"/>
      <c r="AH150" s="152" t="e">
        <f>#REF!</f>
        <v>#REF!</v>
      </c>
      <c r="AI150" s="202"/>
      <c r="AJ150" s="153" t="e">
        <f>#REF!</f>
        <v>#REF!</v>
      </c>
      <c r="AK150" s="202"/>
      <c r="AL150" s="152" t="e">
        <f>#REF!</f>
        <v>#REF!</v>
      </c>
      <c r="AM150" s="202"/>
      <c r="AN150" s="153" t="e">
        <f>#REF!</f>
        <v>#REF!</v>
      </c>
      <c r="AO150" s="202"/>
      <c r="AP150" s="152" t="e">
        <f>#REF!</f>
        <v>#REF!</v>
      </c>
      <c r="AQ150" s="202"/>
      <c r="AR150" s="154" t="e">
        <f>#REF!</f>
        <v>#REF!</v>
      </c>
      <c r="AS150" s="202"/>
      <c r="AT150" s="153" t="e">
        <f>#REF!</f>
        <v>#REF!</v>
      </c>
      <c r="AU150" s="202"/>
      <c r="AV150" s="152" t="e">
        <f>#REF!</f>
        <v>#REF!</v>
      </c>
      <c r="AW150" s="202"/>
      <c r="AX150" s="153" t="e">
        <f>#REF!</f>
        <v>#REF!</v>
      </c>
      <c r="AY150" s="202"/>
      <c r="AZ150" s="152" t="e">
        <f>#REF!</f>
        <v>#REF!</v>
      </c>
      <c r="BA150" s="202"/>
      <c r="BB150" s="154" t="e">
        <f>#REF!</f>
        <v>#REF!</v>
      </c>
      <c r="BC150" s="137"/>
    </row>
    <row r="151" spans="1:55" ht="30" customHeight="1">
      <c r="A151" s="203" t="e">
        <f>#REF!</f>
        <v>#REF!</v>
      </c>
      <c r="B151" s="204" t="e">
        <f xml:space="preserve"> IF(#REF!=0, "",#REF!)</f>
        <v>#REF!</v>
      </c>
      <c r="C151" s="369" t="e">
        <f>#REF!</f>
        <v>#REF!</v>
      </c>
      <c r="D151" s="369"/>
      <c r="E151" s="291" t="e">
        <f>#REF!</f>
        <v>#REF!</v>
      </c>
      <c r="F151" s="148" t="e">
        <f>#REF!</f>
        <v>#REF!</v>
      </c>
      <c r="G151" s="205" t="e">
        <f xml:space="preserve"> IF(#REF!="", "",#REF!)</f>
        <v>#REF!</v>
      </c>
      <c r="H151" s="205" t="e">
        <f xml:space="preserve"> IF(#REF!="", "",#REF!)</f>
        <v>#REF!</v>
      </c>
      <c r="I151" s="205" t="e">
        <f xml:space="preserve"> IF(#REF!="", "",#REF!)</f>
        <v>#REF!</v>
      </c>
      <c r="J151" s="298" t="e">
        <f>#REF!</f>
        <v>#REF!</v>
      </c>
      <c r="K151" s="149" t="e">
        <f>#REF!</f>
        <v>#REF!</v>
      </c>
      <c r="L151" s="149" t="e">
        <f>#REF!</f>
        <v>#REF!</v>
      </c>
      <c r="M151" s="150" t="e">
        <f>#REF!</f>
        <v>#REF!</v>
      </c>
      <c r="N151" s="364"/>
      <c r="O151" s="202"/>
      <c r="P151" s="151" t="e">
        <f>#REF!</f>
        <v>#REF!</v>
      </c>
      <c r="Q151" s="202"/>
      <c r="R151" s="152" t="e">
        <f>#REF!</f>
        <v>#REF!</v>
      </c>
      <c r="S151" s="202"/>
      <c r="T151" s="153" t="e">
        <f>#REF!</f>
        <v>#REF!</v>
      </c>
      <c r="U151" s="202"/>
      <c r="V151" s="153" t="e">
        <f>#REF!</f>
        <v>#REF!</v>
      </c>
      <c r="W151" s="202"/>
      <c r="X151" s="153" t="e">
        <f>#REF!</f>
        <v>#REF!</v>
      </c>
      <c r="Y151" s="202"/>
      <c r="Z151" s="152" t="e">
        <f>#REF!</f>
        <v>#REF!</v>
      </c>
      <c r="AA151" s="202"/>
      <c r="AB151" s="153" t="e">
        <f>#REF!</f>
        <v>#REF!</v>
      </c>
      <c r="AC151" s="202"/>
      <c r="AD151" s="152" t="e">
        <f>#REF!</f>
        <v>#REF!</v>
      </c>
      <c r="AE151" s="202"/>
      <c r="AF151" s="153" t="e">
        <f>#REF!</f>
        <v>#REF!</v>
      </c>
      <c r="AG151" s="202"/>
      <c r="AH151" s="152" t="e">
        <f>#REF!</f>
        <v>#REF!</v>
      </c>
      <c r="AI151" s="202"/>
      <c r="AJ151" s="153" t="e">
        <f>#REF!</f>
        <v>#REF!</v>
      </c>
      <c r="AK151" s="202"/>
      <c r="AL151" s="152" t="e">
        <f>#REF!</f>
        <v>#REF!</v>
      </c>
      <c r="AM151" s="202"/>
      <c r="AN151" s="153" t="e">
        <f>#REF!</f>
        <v>#REF!</v>
      </c>
      <c r="AO151" s="202"/>
      <c r="AP151" s="152" t="e">
        <f>#REF!</f>
        <v>#REF!</v>
      </c>
      <c r="AQ151" s="202"/>
      <c r="AR151" s="154" t="e">
        <f>#REF!</f>
        <v>#REF!</v>
      </c>
      <c r="AS151" s="202"/>
      <c r="AT151" s="153" t="e">
        <f>#REF!</f>
        <v>#REF!</v>
      </c>
      <c r="AU151" s="202"/>
      <c r="AV151" s="152" t="e">
        <f>#REF!</f>
        <v>#REF!</v>
      </c>
      <c r="AW151" s="202"/>
      <c r="AX151" s="153" t="e">
        <f>#REF!</f>
        <v>#REF!</v>
      </c>
      <c r="AY151" s="202"/>
      <c r="AZ151" s="152" t="e">
        <f>#REF!</f>
        <v>#REF!</v>
      </c>
      <c r="BA151" s="202"/>
      <c r="BB151" s="154" t="e">
        <f>#REF!</f>
        <v>#REF!</v>
      </c>
      <c r="BC151" s="137"/>
    </row>
    <row r="152" spans="1:55" ht="30" customHeight="1">
      <c r="A152" s="203" t="e">
        <f>#REF!</f>
        <v>#REF!</v>
      </c>
      <c r="B152" s="204" t="e">
        <f xml:space="preserve"> IF(#REF!=0, "",#REF!)</f>
        <v>#REF!</v>
      </c>
      <c r="C152" s="369" t="e">
        <f>#REF!</f>
        <v>#REF!</v>
      </c>
      <c r="D152" s="369"/>
      <c r="E152" s="291" t="e">
        <f>#REF!</f>
        <v>#REF!</v>
      </c>
      <c r="F152" s="148" t="e">
        <f>#REF!</f>
        <v>#REF!</v>
      </c>
      <c r="G152" s="205" t="e">
        <f xml:space="preserve"> IF(#REF!="", "",#REF!)</f>
        <v>#REF!</v>
      </c>
      <c r="H152" s="205" t="e">
        <f xml:space="preserve"> IF(#REF!="", "",#REF!)</f>
        <v>#REF!</v>
      </c>
      <c r="I152" s="205" t="e">
        <f xml:space="preserve"> IF(#REF!="", "",#REF!)</f>
        <v>#REF!</v>
      </c>
      <c r="J152" s="298" t="e">
        <f>#REF!</f>
        <v>#REF!</v>
      </c>
      <c r="K152" s="149" t="e">
        <f>#REF!</f>
        <v>#REF!</v>
      </c>
      <c r="L152" s="149" t="e">
        <f>#REF!</f>
        <v>#REF!</v>
      </c>
      <c r="M152" s="150" t="e">
        <f>#REF!</f>
        <v>#REF!</v>
      </c>
      <c r="N152" s="364"/>
      <c r="O152" s="202"/>
      <c r="P152" s="151" t="e">
        <f>#REF!</f>
        <v>#REF!</v>
      </c>
      <c r="Q152" s="202"/>
      <c r="R152" s="152" t="e">
        <f>#REF!</f>
        <v>#REF!</v>
      </c>
      <c r="S152" s="202"/>
      <c r="T152" s="153" t="e">
        <f>#REF!</f>
        <v>#REF!</v>
      </c>
      <c r="U152" s="202"/>
      <c r="V152" s="153" t="e">
        <f>#REF!</f>
        <v>#REF!</v>
      </c>
      <c r="W152" s="202"/>
      <c r="X152" s="153" t="e">
        <f>#REF!</f>
        <v>#REF!</v>
      </c>
      <c r="Y152" s="202"/>
      <c r="Z152" s="152" t="e">
        <f>#REF!</f>
        <v>#REF!</v>
      </c>
      <c r="AA152" s="202"/>
      <c r="AB152" s="153" t="e">
        <f>#REF!</f>
        <v>#REF!</v>
      </c>
      <c r="AC152" s="202"/>
      <c r="AD152" s="152" t="e">
        <f>#REF!</f>
        <v>#REF!</v>
      </c>
      <c r="AE152" s="202"/>
      <c r="AF152" s="153" t="e">
        <f>#REF!</f>
        <v>#REF!</v>
      </c>
      <c r="AG152" s="202"/>
      <c r="AH152" s="152" t="e">
        <f>#REF!</f>
        <v>#REF!</v>
      </c>
      <c r="AI152" s="202"/>
      <c r="AJ152" s="153" t="e">
        <f>#REF!</f>
        <v>#REF!</v>
      </c>
      <c r="AK152" s="202"/>
      <c r="AL152" s="152" t="e">
        <f>#REF!</f>
        <v>#REF!</v>
      </c>
      <c r="AM152" s="202"/>
      <c r="AN152" s="153" t="e">
        <f>#REF!</f>
        <v>#REF!</v>
      </c>
      <c r="AO152" s="202"/>
      <c r="AP152" s="152" t="e">
        <f>#REF!</f>
        <v>#REF!</v>
      </c>
      <c r="AQ152" s="202"/>
      <c r="AR152" s="154" t="e">
        <f>#REF!</f>
        <v>#REF!</v>
      </c>
      <c r="AS152" s="202"/>
      <c r="AT152" s="153" t="e">
        <f>#REF!</f>
        <v>#REF!</v>
      </c>
      <c r="AU152" s="202"/>
      <c r="AV152" s="152" t="e">
        <f>#REF!</f>
        <v>#REF!</v>
      </c>
      <c r="AW152" s="202"/>
      <c r="AX152" s="153" t="e">
        <f>#REF!</f>
        <v>#REF!</v>
      </c>
      <c r="AY152" s="202"/>
      <c r="AZ152" s="152" t="e">
        <f>#REF!</f>
        <v>#REF!</v>
      </c>
      <c r="BA152" s="202"/>
      <c r="BB152" s="154" t="e">
        <f>#REF!</f>
        <v>#REF!</v>
      </c>
      <c r="BC152" s="137"/>
    </row>
    <row r="153" spans="1:55" ht="30" customHeight="1">
      <c r="A153" s="203" t="e">
        <f>#REF!</f>
        <v>#REF!</v>
      </c>
      <c r="B153" s="204" t="e">
        <f xml:space="preserve"> IF(#REF!=0, "",#REF!)</f>
        <v>#REF!</v>
      </c>
      <c r="C153" s="369" t="e">
        <f>#REF!</f>
        <v>#REF!</v>
      </c>
      <c r="D153" s="369"/>
      <c r="E153" s="291" t="e">
        <f>#REF!</f>
        <v>#REF!</v>
      </c>
      <c r="F153" s="148" t="e">
        <f>#REF!</f>
        <v>#REF!</v>
      </c>
      <c r="G153" s="205" t="e">
        <f xml:space="preserve"> IF(#REF!="", "",#REF!)</f>
        <v>#REF!</v>
      </c>
      <c r="H153" s="205" t="e">
        <f xml:space="preserve"> IF(#REF!="", "",#REF!)</f>
        <v>#REF!</v>
      </c>
      <c r="I153" s="205" t="e">
        <f xml:space="preserve"> IF(#REF!="", "",#REF!)</f>
        <v>#REF!</v>
      </c>
      <c r="J153" s="298" t="e">
        <f>#REF!</f>
        <v>#REF!</v>
      </c>
      <c r="K153" s="149" t="e">
        <f>#REF!</f>
        <v>#REF!</v>
      </c>
      <c r="L153" s="149" t="e">
        <f>#REF!</f>
        <v>#REF!</v>
      </c>
      <c r="M153" s="150" t="e">
        <f>#REF!</f>
        <v>#REF!</v>
      </c>
      <c r="N153" s="364"/>
      <c r="O153" s="202"/>
      <c r="P153" s="151" t="e">
        <f>#REF!</f>
        <v>#REF!</v>
      </c>
      <c r="Q153" s="202"/>
      <c r="R153" s="152" t="e">
        <f>#REF!</f>
        <v>#REF!</v>
      </c>
      <c r="S153" s="202"/>
      <c r="T153" s="153" t="e">
        <f>#REF!</f>
        <v>#REF!</v>
      </c>
      <c r="U153" s="202"/>
      <c r="V153" s="153" t="e">
        <f>#REF!</f>
        <v>#REF!</v>
      </c>
      <c r="W153" s="202"/>
      <c r="X153" s="153" t="e">
        <f>#REF!</f>
        <v>#REF!</v>
      </c>
      <c r="Y153" s="202"/>
      <c r="Z153" s="152" t="e">
        <f>#REF!</f>
        <v>#REF!</v>
      </c>
      <c r="AA153" s="202"/>
      <c r="AB153" s="153" t="e">
        <f>#REF!</f>
        <v>#REF!</v>
      </c>
      <c r="AC153" s="202"/>
      <c r="AD153" s="152" t="e">
        <f>#REF!</f>
        <v>#REF!</v>
      </c>
      <c r="AE153" s="202"/>
      <c r="AF153" s="153" t="e">
        <f>#REF!</f>
        <v>#REF!</v>
      </c>
      <c r="AG153" s="202"/>
      <c r="AH153" s="152" t="e">
        <f>#REF!</f>
        <v>#REF!</v>
      </c>
      <c r="AI153" s="202"/>
      <c r="AJ153" s="153" t="e">
        <f>#REF!</f>
        <v>#REF!</v>
      </c>
      <c r="AK153" s="202"/>
      <c r="AL153" s="152" t="e">
        <f>#REF!</f>
        <v>#REF!</v>
      </c>
      <c r="AM153" s="202"/>
      <c r="AN153" s="153" t="e">
        <f>#REF!</f>
        <v>#REF!</v>
      </c>
      <c r="AO153" s="202"/>
      <c r="AP153" s="152" t="e">
        <f>#REF!</f>
        <v>#REF!</v>
      </c>
      <c r="AQ153" s="202"/>
      <c r="AR153" s="154" t="e">
        <f>#REF!</f>
        <v>#REF!</v>
      </c>
      <c r="AS153" s="202"/>
      <c r="AT153" s="153" t="e">
        <f>#REF!</f>
        <v>#REF!</v>
      </c>
      <c r="AU153" s="202"/>
      <c r="AV153" s="152" t="e">
        <f>#REF!</f>
        <v>#REF!</v>
      </c>
      <c r="AW153" s="202"/>
      <c r="AX153" s="153" t="e">
        <f>#REF!</f>
        <v>#REF!</v>
      </c>
      <c r="AY153" s="202"/>
      <c r="AZ153" s="152" t="e">
        <f>#REF!</f>
        <v>#REF!</v>
      </c>
      <c r="BA153" s="202"/>
      <c r="BB153" s="154" t="e">
        <f>#REF!</f>
        <v>#REF!</v>
      </c>
      <c r="BC153" s="137"/>
    </row>
    <row r="154" spans="1:55" ht="30" customHeight="1">
      <c r="A154" s="203" t="e">
        <f>#REF!</f>
        <v>#REF!</v>
      </c>
      <c r="B154" s="204" t="e">
        <f xml:space="preserve"> IF(#REF!=0, "",#REF!)</f>
        <v>#REF!</v>
      </c>
      <c r="C154" s="369" t="e">
        <f>#REF!</f>
        <v>#REF!</v>
      </c>
      <c r="D154" s="369"/>
      <c r="E154" s="291" t="e">
        <f>#REF!</f>
        <v>#REF!</v>
      </c>
      <c r="F154" s="148" t="e">
        <f>#REF!</f>
        <v>#REF!</v>
      </c>
      <c r="G154" s="205" t="e">
        <f xml:space="preserve"> IF(#REF!="", "",#REF!)</f>
        <v>#REF!</v>
      </c>
      <c r="H154" s="205" t="e">
        <f xml:space="preserve"> IF(#REF!="", "",#REF!)</f>
        <v>#REF!</v>
      </c>
      <c r="I154" s="205" t="e">
        <f xml:space="preserve"> IF(#REF!="", "",#REF!)</f>
        <v>#REF!</v>
      </c>
      <c r="J154" s="298" t="e">
        <f>#REF!</f>
        <v>#REF!</v>
      </c>
      <c r="K154" s="149" t="e">
        <f>#REF!</f>
        <v>#REF!</v>
      </c>
      <c r="L154" s="149" t="e">
        <f>#REF!</f>
        <v>#REF!</v>
      </c>
      <c r="M154" s="150" t="e">
        <f>#REF!</f>
        <v>#REF!</v>
      </c>
      <c r="N154" s="364"/>
      <c r="O154" s="202"/>
      <c r="P154" s="151" t="e">
        <f>#REF!</f>
        <v>#REF!</v>
      </c>
      <c r="Q154" s="202"/>
      <c r="R154" s="152" t="e">
        <f>#REF!</f>
        <v>#REF!</v>
      </c>
      <c r="S154" s="202"/>
      <c r="T154" s="153" t="e">
        <f>#REF!</f>
        <v>#REF!</v>
      </c>
      <c r="U154" s="202"/>
      <c r="V154" s="153" t="e">
        <f>#REF!</f>
        <v>#REF!</v>
      </c>
      <c r="W154" s="202"/>
      <c r="X154" s="153" t="e">
        <f>#REF!</f>
        <v>#REF!</v>
      </c>
      <c r="Y154" s="202"/>
      <c r="Z154" s="152" t="e">
        <f>#REF!</f>
        <v>#REF!</v>
      </c>
      <c r="AA154" s="202"/>
      <c r="AB154" s="153" t="e">
        <f>#REF!</f>
        <v>#REF!</v>
      </c>
      <c r="AC154" s="202"/>
      <c r="AD154" s="152" t="e">
        <f>#REF!</f>
        <v>#REF!</v>
      </c>
      <c r="AE154" s="202"/>
      <c r="AF154" s="153" t="e">
        <f>#REF!</f>
        <v>#REF!</v>
      </c>
      <c r="AG154" s="202"/>
      <c r="AH154" s="152" t="e">
        <f>#REF!</f>
        <v>#REF!</v>
      </c>
      <c r="AI154" s="202"/>
      <c r="AJ154" s="153" t="e">
        <f>#REF!</f>
        <v>#REF!</v>
      </c>
      <c r="AK154" s="202"/>
      <c r="AL154" s="152" t="e">
        <f>#REF!</f>
        <v>#REF!</v>
      </c>
      <c r="AM154" s="202"/>
      <c r="AN154" s="153" t="e">
        <f>#REF!</f>
        <v>#REF!</v>
      </c>
      <c r="AO154" s="202"/>
      <c r="AP154" s="152" t="e">
        <f>#REF!</f>
        <v>#REF!</v>
      </c>
      <c r="AQ154" s="202"/>
      <c r="AR154" s="154" t="e">
        <f>#REF!</f>
        <v>#REF!</v>
      </c>
      <c r="AS154" s="202"/>
      <c r="AT154" s="153" t="e">
        <f>#REF!</f>
        <v>#REF!</v>
      </c>
      <c r="AU154" s="202"/>
      <c r="AV154" s="152" t="e">
        <f>#REF!</f>
        <v>#REF!</v>
      </c>
      <c r="AW154" s="202"/>
      <c r="AX154" s="153" t="e">
        <f>#REF!</f>
        <v>#REF!</v>
      </c>
      <c r="AY154" s="202"/>
      <c r="AZ154" s="152" t="e">
        <f>#REF!</f>
        <v>#REF!</v>
      </c>
      <c r="BA154" s="202"/>
      <c r="BB154" s="154" t="e">
        <f>#REF!</f>
        <v>#REF!</v>
      </c>
      <c r="BC154" s="137"/>
    </row>
    <row r="155" spans="1:55" ht="30" customHeight="1">
      <c r="A155" s="203" t="e">
        <f>#REF!</f>
        <v>#REF!</v>
      </c>
      <c r="B155" s="204" t="e">
        <f xml:space="preserve"> IF(#REF!=0, "",#REF!)</f>
        <v>#REF!</v>
      </c>
      <c r="C155" s="369" t="e">
        <f>#REF!</f>
        <v>#REF!</v>
      </c>
      <c r="D155" s="369"/>
      <c r="E155" s="291" t="e">
        <f>#REF!</f>
        <v>#REF!</v>
      </c>
      <c r="F155" s="148" t="e">
        <f>#REF!</f>
        <v>#REF!</v>
      </c>
      <c r="G155" s="205" t="e">
        <f xml:space="preserve"> IF(#REF!="", "",#REF!)</f>
        <v>#REF!</v>
      </c>
      <c r="H155" s="205" t="e">
        <f xml:space="preserve"> IF(#REF!="", "",#REF!)</f>
        <v>#REF!</v>
      </c>
      <c r="I155" s="205" t="e">
        <f xml:space="preserve"> IF(#REF!="", "",#REF!)</f>
        <v>#REF!</v>
      </c>
      <c r="J155" s="298" t="e">
        <f>#REF!</f>
        <v>#REF!</v>
      </c>
      <c r="K155" s="149" t="e">
        <f>#REF!</f>
        <v>#REF!</v>
      </c>
      <c r="L155" s="149" t="e">
        <f>#REF!</f>
        <v>#REF!</v>
      </c>
      <c r="M155" s="150" t="e">
        <f>#REF!</f>
        <v>#REF!</v>
      </c>
      <c r="N155" s="364"/>
      <c r="O155" s="202"/>
      <c r="P155" s="151" t="e">
        <f>#REF!</f>
        <v>#REF!</v>
      </c>
      <c r="Q155" s="202"/>
      <c r="R155" s="152" t="e">
        <f>#REF!</f>
        <v>#REF!</v>
      </c>
      <c r="S155" s="202"/>
      <c r="T155" s="153" t="e">
        <f>#REF!</f>
        <v>#REF!</v>
      </c>
      <c r="U155" s="202"/>
      <c r="V155" s="153" t="e">
        <f>#REF!</f>
        <v>#REF!</v>
      </c>
      <c r="W155" s="202"/>
      <c r="X155" s="153" t="e">
        <f>#REF!</f>
        <v>#REF!</v>
      </c>
      <c r="Y155" s="202"/>
      <c r="Z155" s="152" t="e">
        <f>#REF!</f>
        <v>#REF!</v>
      </c>
      <c r="AA155" s="202"/>
      <c r="AB155" s="153" t="e">
        <f>#REF!</f>
        <v>#REF!</v>
      </c>
      <c r="AC155" s="202"/>
      <c r="AD155" s="152" t="e">
        <f>#REF!</f>
        <v>#REF!</v>
      </c>
      <c r="AE155" s="202"/>
      <c r="AF155" s="153" t="e">
        <f>#REF!</f>
        <v>#REF!</v>
      </c>
      <c r="AG155" s="202"/>
      <c r="AH155" s="152" t="e">
        <f>#REF!</f>
        <v>#REF!</v>
      </c>
      <c r="AI155" s="202"/>
      <c r="AJ155" s="153" t="e">
        <f>#REF!</f>
        <v>#REF!</v>
      </c>
      <c r="AK155" s="202"/>
      <c r="AL155" s="152" t="e">
        <f>#REF!</f>
        <v>#REF!</v>
      </c>
      <c r="AM155" s="202"/>
      <c r="AN155" s="153" t="e">
        <f>#REF!</f>
        <v>#REF!</v>
      </c>
      <c r="AO155" s="202"/>
      <c r="AP155" s="152" t="e">
        <f>#REF!</f>
        <v>#REF!</v>
      </c>
      <c r="AQ155" s="202"/>
      <c r="AR155" s="154" t="e">
        <f>#REF!</f>
        <v>#REF!</v>
      </c>
      <c r="AS155" s="202"/>
      <c r="AT155" s="153" t="e">
        <f>#REF!</f>
        <v>#REF!</v>
      </c>
      <c r="AU155" s="202"/>
      <c r="AV155" s="152" t="e">
        <f>#REF!</f>
        <v>#REF!</v>
      </c>
      <c r="AW155" s="202"/>
      <c r="AX155" s="153" t="e">
        <f>#REF!</f>
        <v>#REF!</v>
      </c>
      <c r="AY155" s="202"/>
      <c r="AZ155" s="152" t="e">
        <f>#REF!</f>
        <v>#REF!</v>
      </c>
      <c r="BA155" s="202"/>
      <c r="BB155" s="154" t="e">
        <f>#REF!</f>
        <v>#REF!</v>
      </c>
      <c r="BC155" s="137"/>
    </row>
    <row r="156" spans="1:55" ht="30" customHeight="1">
      <c r="A156" s="203" t="e">
        <f>#REF!</f>
        <v>#REF!</v>
      </c>
      <c r="B156" s="204" t="e">
        <f xml:space="preserve"> IF(#REF!=0, "",#REF!)</f>
        <v>#REF!</v>
      </c>
      <c r="C156" s="369" t="e">
        <f>#REF!</f>
        <v>#REF!</v>
      </c>
      <c r="D156" s="369"/>
      <c r="E156" s="291" t="e">
        <f>#REF!</f>
        <v>#REF!</v>
      </c>
      <c r="F156" s="148" t="e">
        <f>#REF!</f>
        <v>#REF!</v>
      </c>
      <c r="G156" s="205" t="e">
        <f xml:space="preserve"> IF(#REF!="", "",#REF!)</f>
        <v>#REF!</v>
      </c>
      <c r="H156" s="205" t="e">
        <f xml:space="preserve"> IF(#REF!="", "",#REF!)</f>
        <v>#REF!</v>
      </c>
      <c r="I156" s="205" t="e">
        <f xml:space="preserve"> IF(#REF!="", "",#REF!)</f>
        <v>#REF!</v>
      </c>
      <c r="J156" s="298" t="e">
        <f>#REF!</f>
        <v>#REF!</v>
      </c>
      <c r="K156" s="149" t="e">
        <f>#REF!</f>
        <v>#REF!</v>
      </c>
      <c r="L156" s="149" t="e">
        <f>#REF!</f>
        <v>#REF!</v>
      </c>
      <c r="M156" s="150" t="e">
        <f>#REF!</f>
        <v>#REF!</v>
      </c>
      <c r="N156" s="364"/>
      <c r="O156" s="202"/>
      <c r="P156" s="151" t="e">
        <f>#REF!</f>
        <v>#REF!</v>
      </c>
      <c r="Q156" s="202"/>
      <c r="R156" s="152" t="e">
        <f>#REF!</f>
        <v>#REF!</v>
      </c>
      <c r="S156" s="202"/>
      <c r="T156" s="153" t="e">
        <f>#REF!</f>
        <v>#REF!</v>
      </c>
      <c r="U156" s="202"/>
      <c r="V156" s="153" t="e">
        <f>#REF!</f>
        <v>#REF!</v>
      </c>
      <c r="W156" s="202"/>
      <c r="X156" s="153" t="e">
        <f>#REF!</f>
        <v>#REF!</v>
      </c>
      <c r="Y156" s="202"/>
      <c r="Z156" s="152" t="e">
        <f>#REF!</f>
        <v>#REF!</v>
      </c>
      <c r="AA156" s="202"/>
      <c r="AB156" s="153" t="e">
        <f>#REF!</f>
        <v>#REF!</v>
      </c>
      <c r="AC156" s="202"/>
      <c r="AD156" s="152" t="e">
        <f>#REF!</f>
        <v>#REF!</v>
      </c>
      <c r="AE156" s="202"/>
      <c r="AF156" s="153" t="e">
        <f>#REF!</f>
        <v>#REF!</v>
      </c>
      <c r="AG156" s="202"/>
      <c r="AH156" s="152" t="e">
        <f>#REF!</f>
        <v>#REF!</v>
      </c>
      <c r="AI156" s="202"/>
      <c r="AJ156" s="153" t="e">
        <f>#REF!</f>
        <v>#REF!</v>
      </c>
      <c r="AK156" s="202"/>
      <c r="AL156" s="152" t="e">
        <f>#REF!</f>
        <v>#REF!</v>
      </c>
      <c r="AM156" s="202"/>
      <c r="AN156" s="153" t="e">
        <f>#REF!</f>
        <v>#REF!</v>
      </c>
      <c r="AO156" s="202"/>
      <c r="AP156" s="152" t="e">
        <f>#REF!</f>
        <v>#REF!</v>
      </c>
      <c r="AQ156" s="202"/>
      <c r="AR156" s="154" t="e">
        <f>#REF!</f>
        <v>#REF!</v>
      </c>
      <c r="AS156" s="202"/>
      <c r="AT156" s="153" t="e">
        <f>#REF!</f>
        <v>#REF!</v>
      </c>
      <c r="AU156" s="202"/>
      <c r="AV156" s="152" t="e">
        <f>#REF!</f>
        <v>#REF!</v>
      </c>
      <c r="AW156" s="202"/>
      <c r="AX156" s="153" t="e">
        <f>#REF!</f>
        <v>#REF!</v>
      </c>
      <c r="AY156" s="202"/>
      <c r="AZ156" s="152" t="e">
        <f>#REF!</f>
        <v>#REF!</v>
      </c>
      <c r="BA156" s="202"/>
      <c r="BB156" s="154" t="e">
        <f>#REF!</f>
        <v>#REF!</v>
      </c>
      <c r="BC156" s="137"/>
    </row>
    <row r="157" spans="1:55" ht="30" customHeight="1">
      <c r="A157" s="203" t="e">
        <f>#REF!</f>
        <v>#REF!</v>
      </c>
      <c r="B157" s="204" t="e">
        <f xml:space="preserve"> IF(#REF!=0, "",#REF!)</f>
        <v>#REF!</v>
      </c>
      <c r="C157" s="369" t="e">
        <f>#REF!</f>
        <v>#REF!</v>
      </c>
      <c r="D157" s="369"/>
      <c r="E157" s="291" t="e">
        <f>#REF!</f>
        <v>#REF!</v>
      </c>
      <c r="F157" s="148" t="e">
        <f>#REF!</f>
        <v>#REF!</v>
      </c>
      <c r="G157" s="205" t="e">
        <f xml:space="preserve"> IF(#REF!="", "",#REF!)</f>
        <v>#REF!</v>
      </c>
      <c r="H157" s="205" t="e">
        <f xml:space="preserve"> IF(#REF!="", "",#REF!)</f>
        <v>#REF!</v>
      </c>
      <c r="I157" s="205" t="e">
        <f xml:space="preserve"> IF(#REF!="", "",#REF!)</f>
        <v>#REF!</v>
      </c>
      <c r="J157" s="298" t="e">
        <f>#REF!</f>
        <v>#REF!</v>
      </c>
      <c r="K157" s="149" t="e">
        <f>#REF!</f>
        <v>#REF!</v>
      </c>
      <c r="L157" s="149" t="e">
        <f>#REF!</f>
        <v>#REF!</v>
      </c>
      <c r="M157" s="150" t="e">
        <f>#REF!</f>
        <v>#REF!</v>
      </c>
      <c r="N157" s="364"/>
      <c r="O157" s="202"/>
      <c r="P157" s="151" t="e">
        <f>#REF!</f>
        <v>#REF!</v>
      </c>
      <c r="Q157" s="202"/>
      <c r="R157" s="152" t="e">
        <f>#REF!</f>
        <v>#REF!</v>
      </c>
      <c r="S157" s="202"/>
      <c r="T157" s="153" t="e">
        <f>#REF!</f>
        <v>#REF!</v>
      </c>
      <c r="U157" s="202"/>
      <c r="V157" s="153" t="e">
        <f>#REF!</f>
        <v>#REF!</v>
      </c>
      <c r="W157" s="202"/>
      <c r="X157" s="153" t="e">
        <f>#REF!</f>
        <v>#REF!</v>
      </c>
      <c r="Y157" s="202"/>
      <c r="Z157" s="152" t="e">
        <f>#REF!</f>
        <v>#REF!</v>
      </c>
      <c r="AA157" s="202"/>
      <c r="AB157" s="153" t="e">
        <f>#REF!</f>
        <v>#REF!</v>
      </c>
      <c r="AC157" s="202"/>
      <c r="AD157" s="152" t="e">
        <f>#REF!</f>
        <v>#REF!</v>
      </c>
      <c r="AE157" s="202"/>
      <c r="AF157" s="153" t="e">
        <f>#REF!</f>
        <v>#REF!</v>
      </c>
      <c r="AG157" s="202"/>
      <c r="AH157" s="152" t="e">
        <f>#REF!</f>
        <v>#REF!</v>
      </c>
      <c r="AI157" s="202"/>
      <c r="AJ157" s="153" t="e">
        <f>#REF!</f>
        <v>#REF!</v>
      </c>
      <c r="AK157" s="202"/>
      <c r="AL157" s="152" t="e">
        <f>#REF!</f>
        <v>#REF!</v>
      </c>
      <c r="AM157" s="202"/>
      <c r="AN157" s="153" t="e">
        <f>#REF!</f>
        <v>#REF!</v>
      </c>
      <c r="AO157" s="202"/>
      <c r="AP157" s="152" t="e">
        <f>#REF!</f>
        <v>#REF!</v>
      </c>
      <c r="AQ157" s="202"/>
      <c r="AR157" s="154" t="e">
        <f>#REF!</f>
        <v>#REF!</v>
      </c>
      <c r="AS157" s="202"/>
      <c r="AT157" s="153" t="e">
        <f>#REF!</f>
        <v>#REF!</v>
      </c>
      <c r="AU157" s="202"/>
      <c r="AV157" s="152" t="e">
        <f>#REF!</f>
        <v>#REF!</v>
      </c>
      <c r="AW157" s="202"/>
      <c r="AX157" s="153" t="e">
        <f>#REF!</f>
        <v>#REF!</v>
      </c>
      <c r="AY157" s="202"/>
      <c r="AZ157" s="152" t="e">
        <f>#REF!</f>
        <v>#REF!</v>
      </c>
      <c r="BA157" s="202"/>
      <c r="BB157" s="154" t="e">
        <f>#REF!</f>
        <v>#REF!</v>
      </c>
      <c r="BC157" s="137"/>
    </row>
    <row r="158" spans="1:55" ht="30" customHeight="1">
      <c r="A158" s="203" t="e">
        <f>#REF!</f>
        <v>#REF!</v>
      </c>
      <c r="B158" s="204" t="e">
        <f xml:space="preserve"> IF(#REF!=0, "",#REF!)</f>
        <v>#REF!</v>
      </c>
      <c r="C158" s="369" t="e">
        <f>#REF!</f>
        <v>#REF!</v>
      </c>
      <c r="D158" s="369"/>
      <c r="E158" s="291" t="e">
        <f>#REF!</f>
        <v>#REF!</v>
      </c>
      <c r="F158" s="148" t="e">
        <f>#REF!</f>
        <v>#REF!</v>
      </c>
      <c r="G158" s="205" t="e">
        <f xml:space="preserve"> IF(#REF!="", "",#REF!)</f>
        <v>#REF!</v>
      </c>
      <c r="H158" s="205" t="e">
        <f xml:space="preserve"> IF(#REF!="", "",#REF!)</f>
        <v>#REF!</v>
      </c>
      <c r="I158" s="205" t="e">
        <f xml:space="preserve"> IF(#REF!="", "",#REF!)</f>
        <v>#REF!</v>
      </c>
      <c r="J158" s="298" t="e">
        <f>#REF!</f>
        <v>#REF!</v>
      </c>
      <c r="K158" s="149" t="e">
        <f>#REF!</f>
        <v>#REF!</v>
      </c>
      <c r="L158" s="149" t="e">
        <f>#REF!</f>
        <v>#REF!</v>
      </c>
      <c r="M158" s="150" t="e">
        <f>#REF!</f>
        <v>#REF!</v>
      </c>
      <c r="N158" s="364"/>
      <c r="O158" s="202"/>
      <c r="P158" s="151" t="e">
        <f>#REF!</f>
        <v>#REF!</v>
      </c>
      <c r="Q158" s="202"/>
      <c r="R158" s="152" t="e">
        <f>#REF!</f>
        <v>#REF!</v>
      </c>
      <c r="S158" s="202"/>
      <c r="T158" s="153" t="e">
        <f>#REF!</f>
        <v>#REF!</v>
      </c>
      <c r="U158" s="202"/>
      <c r="V158" s="153" t="e">
        <f>#REF!</f>
        <v>#REF!</v>
      </c>
      <c r="W158" s="202"/>
      <c r="X158" s="153" t="e">
        <f>#REF!</f>
        <v>#REF!</v>
      </c>
      <c r="Y158" s="202"/>
      <c r="Z158" s="152" t="e">
        <f>#REF!</f>
        <v>#REF!</v>
      </c>
      <c r="AA158" s="202"/>
      <c r="AB158" s="153" t="e">
        <f>#REF!</f>
        <v>#REF!</v>
      </c>
      <c r="AC158" s="202"/>
      <c r="AD158" s="152" t="e">
        <f>#REF!</f>
        <v>#REF!</v>
      </c>
      <c r="AE158" s="202"/>
      <c r="AF158" s="153" t="e">
        <f>#REF!</f>
        <v>#REF!</v>
      </c>
      <c r="AG158" s="202"/>
      <c r="AH158" s="152" t="e">
        <f>#REF!</f>
        <v>#REF!</v>
      </c>
      <c r="AI158" s="202"/>
      <c r="AJ158" s="153" t="e">
        <f>#REF!</f>
        <v>#REF!</v>
      </c>
      <c r="AK158" s="202"/>
      <c r="AL158" s="152" t="e">
        <f>#REF!</f>
        <v>#REF!</v>
      </c>
      <c r="AM158" s="202"/>
      <c r="AN158" s="153" t="e">
        <f>#REF!</f>
        <v>#REF!</v>
      </c>
      <c r="AO158" s="202"/>
      <c r="AP158" s="152" t="e">
        <f>#REF!</f>
        <v>#REF!</v>
      </c>
      <c r="AQ158" s="202"/>
      <c r="AR158" s="154" t="e">
        <f>#REF!</f>
        <v>#REF!</v>
      </c>
      <c r="AS158" s="202"/>
      <c r="AT158" s="153" t="e">
        <f>#REF!</f>
        <v>#REF!</v>
      </c>
      <c r="AU158" s="202"/>
      <c r="AV158" s="152" t="e">
        <f>#REF!</f>
        <v>#REF!</v>
      </c>
      <c r="AW158" s="202"/>
      <c r="AX158" s="153" t="e">
        <f>#REF!</f>
        <v>#REF!</v>
      </c>
      <c r="AY158" s="202"/>
      <c r="AZ158" s="152" t="e">
        <f>#REF!</f>
        <v>#REF!</v>
      </c>
      <c r="BA158" s="202"/>
      <c r="BB158" s="154" t="e">
        <f>#REF!</f>
        <v>#REF!</v>
      </c>
      <c r="BC158" s="137"/>
    </row>
    <row r="159" spans="1:55" ht="30" customHeight="1">
      <c r="A159" s="203" t="e">
        <f>#REF!</f>
        <v>#REF!</v>
      </c>
      <c r="B159" s="204" t="e">
        <f xml:space="preserve"> IF(#REF!=0, "",#REF!)</f>
        <v>#REF!</v>
      </c>
      <c r="C159" s="369" t="e">
        <f>#REF!</f>
        <v>#REF!</v>
      </c>
      <c r="D159" s="369"/>
      <c r="E159" s="291" t="e">
        <f>#REF!</f>
        <v>#REF!</v>
      </c>
      <c r="F159" s="148" t="e">
        <f>#REF!</f>
        <v>#REF!</v>
      </c>
      <c r="G159" s="205" t="e">
        <f xml:space="preserve"> IF(#REF!="", "",#REF!)</f>
        <v>#REF!</v>
      </c>
      <c r="H159" s="205" t="e">
        <f xml:space="preserve"> IF(#REF!="", "",#REF!)</f>
        <v>#REF!</v>
      </c>
      <c r="I159" s="205" t="e">
        <f xml:space="preserve"> IF(#REF!="", "",#REF!)</f>
        <v>#REF!</v>
      </c>
      <c r="J159" s="298" t="e">
        <f>#REF!</f>
        <v>#REF!</v>
      </c>
      <c r="K159" s="149" t="e">
        <f>#REF!</f>
        <v>#REF!</v>
      </c>
      <c r="L159" s="149" t="e">
        <f>#REF!</f>
        <v>#REF!</v>
      </c>
      <c r="M159" s="150" t="e">
        <f>#REF!</f>
        <v>#REF!</v>
      </c>
      <c r="N159" s="364"/>
      <c r="O159" s="202"/>
      <c r="P159" s="151" t="e">
        <f>#REF!</f>
        <v>#REF!</v>
      </c>
      <c r="Q159" s="202"/>
      <c r="R159" s="152" t="e">
        <f>#REF!</f>
        <v>#REF!</v>
      </c>
      <c r="S159" s="202"/>
      <c r="T159" s="153" t="e">
        <f>#REF!</f>
        <v>#REF!</v>
      </c>
      <c r="U159" s="202"/>
      <c r="V159" s="153" t="e">
        <f>#REF!</f>
        <v>#REF!</v>
      </c>
      <c r="W159" s="202"/>
      <c r="X159" s="153" t="e">
        <f>#REF!</f>
        <v>#REF!</v>
      </c>
      <c r="Y159" s="202"/>
      <c r="Z159" s="152" t="e">
        <f>#REF!</f>
        <v>#REF!</v>
      </c>
      <c r="AA159" s="202"/>
      <c r="AB159" s="153" t="e">
        <f>#REF!</f>
        <v>#REF!</v>
      </c>
      <c r="AC159" s="202"/>
      <c r="AD159" s="152" t="e">
        <f>#REF!</f>
        <v>#REF!</v>
      </c>
      <c r="AE159" s="202"/>
      <c r="AF159" s="153" t="e">
        <f>#REF!</f>
        <v>#REF!</v>
      </c>
      <c r="AG159" s="202"/>
      <c r="AH159" s="152" t="e">
        <f>#REF!</f>
        <v>#REF!</v>
      </c>
      <c r="AI159" s="202"/>
      <c r="AJ159" s="153" t="e">
        <f>#REF!</f>
        <v>#REF!</v>
      </c>
      <c r="AK159" s="202"/>
      <c r="AL159" s="152" t="e">
        <f>#REF!</f>
        <v>#REF!</v>
      </c>
      <c r="AM159" s="202"/>
      <c r="AN159" s="153" t="e">
        <f>#REF!</f>
        <v>#REF!</v>
      </c>
      <c r="AO159" s="202"/>
      <c r="AP159" s="152" t="e">
        <f>#REF!</f>
        <v>#REF!</v>
      </c>
      <c r="AQ159" s="202"/>
      <c r="AR159" s="154" t="e">
        <f>#REF!</f>
        <v>#REF!</v>
      </c>
      <c r="AS159" s="202"/>
      <c r="AT159" s="153" t="e">
        <f>#REF!</f>
        <v>#REF!</v>
      </c>
      <c r="AU159" s="202"/>
      <c r="AV159" s="152" t="e">
        <f>#REF!</f>
        <v>#REF!</v>
      </c>
      <c r="AW159" s="202"/>
      <c r="AX159" s="153" t="e">
        <f>#REF!</f>
        <v>#REF!</v>
      </c>
      <c r="AY159" s="202"/>
      <c r="AZ159" s="152" t="e">
        <f>#REF!</f>
        <v>#REF!</v>
      </c>
      <c r="BA159" s="202"/>
      <c r="BB159" s="154" t="e">
        <f>#REF!</f>
        <v>#REF!</v>
      </c>
      <c r="BC159" s="137"/>
    </row>
    <row r="160" spans="1:55" ht="30" customHeight="1">
      <c r="A160" s="203" t="e">
        <f>#REF!</f>
        <v>#REF!</v>
      </c>
      <c r="B160" s="204" t="e">
        <f xml:space="preserve"> IF(#REF!=0, "",#REF!)</f>
        <v>#REF!</v>
      </c>
      <c r="C160" s="369" t="e">
        <f>#REF!</f>
        <v>#REF!</v>
      </c>
      <c r="D160" s="369"/>
      <c r="E160" s="291" t="e">
        <f>#REF!</f>
        <v>#REF!</v>
      </c>
      <c r="F160" s="148" t="e">
        <f>#REF!</f>
        <v>#REF!</v>
      </c>
      <c r="G160" s="205" t="e">
        <f xml:space="preserve"> IF(#REF!="", "",#REF!)</f>
        <v>#REF!</v>
      </c>
      <c r="H160" s="205" t="e">
        <f xml:space="preserve"> IF(#REF!="", "",#REF!)</f>
        <v>#REF!</v>
      </c>
      <c r="I160" s="205" t="e">
        <f xml:space="preserve"> IF(#REF!="", "",#REF!)</f>
        <v>#REF!</v>
      </c>
      <c r="J160" s="298" t="e">
        <f>#REF!</f>
        <v>#REF!</v>
      </c>
      <c r="K160" s="149" t="e">
        <f>#REF!</f>
        <v>#REF!</v>
      </c>
      <c r="L160" s="149" t="e">
        <f>#REF!</f>
        <v>#REF!</v>
      </c>
      <c r="M160" s="150" t="e">
        <f>#REF!</f>
        <v>#REF!</v>
      </c>
      <c r="N160" s="364"/>
      <c r="O160" s="202"/>
      <c r="P160" s="151" t="e">
        <f>#REF!</f>
        <v>#REF!</v>
      </c>
      <c r="Q160" s="202"/>
      <c r="R160" s="152" t="e">
        <f>#REF!</f>
        <v>#REF!</v>
      </c>
      <c r="S160" s="202"/>
      <c r="T160" s="153" t="e">
        <f>#REF!</f>
        <v>#REF!</v>
      </c>
      <c r="U160" s="202"/>
      <c r="V160" s="153" t="e">
        <f>#REF!</f>
        <v>#REF!</v>
      </c>
      <c r="W160" s="202"/>
      <c r="X160" s="153" t="e">
        <f>#REF!</f>
        <v>#REF!</v>
      </c>
      <c r="Y160" s="202"/>
      <c r="Z160" s="152" t="e">
        <f>#REF!</f>
        <v>#REF!</v>
      </c>
      <c r="AA160" s="202"/>
      <c r="AB160" s="153" t="e">
        <f>#REF!</f>
        <v>#REF!</v>
      </c>
      <c r="AC160" s="202"/>
      <c r="AD160" s="152" t="e">
        <f>#REF!</f>
        <v>#REF!</v>
      </c>
      <c r="AE160" s="202"/>
      <c r="AF160" s="153" t="e">
        <f>#REF!</f>
        <v>#REF!</v>
      </c>
      <c r="AG160" s="202"/>
      <c r="AH160" s="152" t="e">
        <f>#REF!</f>
        <v>#REF!</v>
      </c>
      <c r="AI160" s="202"/>
      <c r="AJ160" s="153" t="e">
        <f>#REF!</f>
        <v>#REF!</v>
      </c>
      <c r="AK160" s="202"/>
      <c r="AL160" s="152" t="e">
        <f>#REF!</f>
        <v>#REF!</v>
      </c>
      <c r="AM160" s="202"/>
      <c r="AN160" s="153" t="e">
        <f>#REF!</f>
        <v>#REF!</v>
      </c>
      <c r="AO160" s="202"/>
      <c r="AP160" s="152" t="e">
        <f>#REF!</f>
        <v>#REF!</v>
      </c>
      <c r="AQ160" s="202"/>
      <c r="AR160" s="154" t="e">
        <f>#REF!</f>
        <v>#REF!</v>
      </c>
      <c r="AS160" s="202"/>
      <c r="AT160" s="153" t="e">
        <f>#REF!</f>
        <v>#REF!</v>
      </c>
      <c r="AU160" s="202"/>
      <c r="AV160" s="152" t="e">
        <f>#REF!</f>
        <v>#REF!</v>
      </c>
      <c r="AW160" s="202"/>
      <c r="AX160" s="153" t="e">
        <f>#REF!</f>
        <v>#REF!</v>
      </c>
      <c r="AY160" s="202"/>
      <c r="AZ160" s="152" t="e">
        <f>#REF!</f>
        <v>#REF!</v>
      </c>
      <c r="BA160" s="202"/>
      <c r="BB160" s="154" t="e">
        <f>#REF!</f>
        <v>#REF!</v>
      </c>
      <c r="BC160" s="137"/>
    </row>
    <row r="161" spans="1:55" ht="30" customHeight="1">
      <c r="A161" s="203" t="e">
        <f>#REF!</f>
        <v>#REF!</v>
      </c>
      <c r="B161" s="204" t="e">
        <f xml:space="preserve"> IF(#REF!=0, "",#REF!)</f>
        <v>#REF!</v>
      </c>
      <c r="C161" s="369" t="e">
        <f>#REF!</f>
        <v>#REF!</v>
      </c>
      <c r="D161" s="369"/>
      <c r="E161" s="291" t="e">
        <f>#REF!</f>
        <v>#REF!</v>
      </c>
      <c r="F161" s="148" t="e">
        <f>#REF!</f>
        <v>#REF!</v>
      </c>
      <c r="G161" s="205" t="e">
        <f xml:space="preserve"> IF(#REF!="", "",#REF!)</f>
        <v>#REF!</v>
      </c>
      <c r="H161" s="205" t="e">
        <f xml:space="preserve"> IF(#REF!="", "",#REF!)</f>
        <v>#REF!</v>
      </c>
      <c r="I161" s="205" t="e">
        <f xml:space="preserve"> IF(#REF!="", "",#REF!)</f>
        <v>#REF!</v>
      </c>
      <c r="J161" s="298" t="e">
        <f>#REF!</f>
        <v>#REF!</v>
      </c>
      <c r="K161" s="149" t="e">
        <f>#REF!</f>
        <v>#REF!</v>
      </c>
      <c r="L161" s="149" t="e">
        <f>#REF!</f>
        <v>#REF!</v>
      </c>
      <c r="M161" s="150" t="e">
        <f>#REF!</f>
        <v>#REF!</v>
      </c>
      <c r="N161" s="364"/>
      <c r="O161" s="202"/>
      <c r="P161" s="151" t="e">
        <f>#REF!</f>
        <v>#REF!</v>
      </c>
      <c r="Q161" s="202"/>
      <c r="R161" s="152" t="e">
        <f>#REF!</f>
        <v>#REF!</v>
      </c>
      <c r="S161" s="202"/>
      <c r="T161" s="153" t="e">
        <f>#REF!</f>
        <v>#REF!</v>
      </c>
      <c r="U161" s="202"/>
      <c r="V161" s="153" t="e">
        <f>#REF!</f>
        <v>#REF!</v>
      </c>
      <c r="W161" s="202"/>
      <c r="X161" s="153" t="e">
        <f>#REF!</f>
        <v>#REF!</v>
      </c>
      <c r="Y161" s="202"/>
      <c r="Z161" s="152" t="e">
        <f>#REF!</f>
        <v>#REF!</v>
      </c>
      <c r="AA161" s="202"/>
      <c r="AB161" s="153" t="e">
        <f>#REF!</f>
        <v>#REF!</v>
      </c>
      <c r="AC161" s="202"/>
      <c r="AD161" s="152" t="e">
        <f>#REF!</f>
        <v>#REF!</v>
      </c>
      <c r="AE161" s="202"/>
      <c r="AF161" s="153" t="e">
        <f>#REF!</f>
        <v>#REF!</v>
      </c>
      <c r="AG161" s="202"/>
      <c r="AH161" s="152" t="e">
        <f>#REF!</f>
        <v>#REF!</v>
      </c>
      <c r="AI161" s="202"/>
      <c r="AJ161" s="153" t="e">
        <f>#REF!</f>
        <v>#REF!</v>
      </c>
      <c r="AK161" s="202"/>
      <c r="AL161" s="152" t="e">
        <f>#REF!</f>
        <v>#REF!</v>
      </c>
      <c r="AM161" s="202"/>
      <c r="AN161" s="153" t="e">
        <f>#REF!</f>
        <v>#REF!</v>
      </c>
      <c r="AO161" s="202"/>
      <c r="AP161" s="152" t="e">
        <f>#REF!</f>
        <v>#REF!</v>
      </c>
      <c r="AQ161" s="202"/>
      <c r="AR161" s="154" t="e">
        <f>#REF!</f>
        <v>#REF!</v>
      </c>
      <c r="AS161" s="202"/>
      <c r="AT161" s="153" t="e">
        <f>#REF!</f>
        <v>#REF!</v>
      </c>
      <c r="AU161" s="202"/>
      <c r="AV161" s="152" t="e">
        <f>#REF!</f>
        <v>#REF!</v>
      </c>
      <c r="AW161" s="202"/>
      <c r="AX161" s="153" t="e">
        <f>#REF!</f>
        <v>#REF!</v>
      </c>
      <c r="AY161" s="202"/>
      <c r="AZ161" s="152" t="e">
        <f>#REF!</f>
        <v>#REF!</v>
      </c>
      <c r="BA161" s="202"/>
      <c r="BB161" s="154" t="e">
        <f>#REF!</f>
        <v>#REF!</v>
      </c>
      <c r="BC161" s="137"/>
    </row>
    <row r="162" spans="1:55" ht="30" customHeight="1">
      <c r="A162" s="203" t="e">
        <f>#REF!</f>
        <v>#REF!</v>
      </c>
      <c r="B162" s="204" t="e">
        <f xml:space="preserve"> IF(#REF!=0, "",#REF!)</f>
        <v>#REF!</v>
      </c>
      <c r="C162" s="369" t="e">
        <f>#REF!</f>
        <v>#REF!</v>
      </c>
      <c r="D162" s="369"/>
      <c r="E162" s="291" t="e">
        <f>#REF!</f>
        <v>#REF!</v>
      </c>
      <c r="F162" s="148" t="e">
        <f>#REF!</f>
        <v>#REF!</v>
      </c>
      <c r="G162" s="205" t="e">
        <f xml:space="preserve"> IF(#REF!="", "",#REF!)</f>
        <v>#REF!</v>
      </c>
      <c r="H162" s="205" t="e">
        <f xml:space="preserve"> IF(#REF!="", "",#REF!)</f>
        <v>#REF!</v>
      </c>
      <c r="I162" s="205" t="e">
        <f xml:space="preserve"> IF(#REF!="", "",#REF!)</f>
        <v>#REF!</v>
      </c>
      <c r="J162" s="298" t="e">
        <f>#REF!</f>
        <v>#REF!</v>
      </c>
      <c r="K162" s="149" t="e">
        <f>#REF!</f>
        <v>#REF!</v>
      </c>
      <c r="L162" s="149" t="e">
        <f>#REF!</f>
        <v>#REF!</v>
      </c>
      <c r="M162" s="150" t="e">
        <f>#REF!</f>
        <v>#REF!</v>
      </c>
      <c r="N162" s="364"/>
      <c r="O162" s="202"/>
      <c r="P162" s="151" t="e">
        <f>#REF!</f>
        <v>#REF!</v>
      </c>
      <c r="Q162" s="202"/>
      <c r="R162" s="152" t="e">
        <f>#REF!</f>
        <v>#REF!</v>
      </c>
      <c r="S162" s="202"/>
      <c r="T162" s="153" t="e">
        <f>#REF!</f>
        <v>#REF!</v>
      </c>
      <c r="U162" s="202"/>
      <c r="V162" s="153" t="e">
        <f>#REF!</f>
        <v>#REF!</v>
      </c>
      <c r="W162" s="202"/>
      <c r="X162" s="153" t="e">
        <f>#REF!</f>
        <v>#REF!</v>
      </c>
      <c r="Y162" s="202"/>
      <c r="Z162" s="152" t="e">
        <f>#REF!</f>
        <v>#REF!</v>
      </c>
      <c r="AA162" s="202"/>
      <c r="AB162" s="153" t="e">
        <f>#REF!</f>
        <v>#REF!</v>
      </c>
      <c r="AC162" s="202"/>
      <c r="AD162" s="152" t="e">
        <f>#REF!</f>
        <v>#REF!</v>
      </c>
      <c r="AE162" s="202"/>
      <c r="AF162" s="153" t="e">
        <f>#REF!</f>
        <v>#REF!</v>
      </c>
      <c r="AG162" s="202"/>
      <c r="AH162" s="152" t="e">
        <f>#REF!</f>
        <v>#REF!</v>
      </c>
      <c r="AI162" s="202"/>
      <c r="AJ162" s="153" t="e">
        <f>#REF!</f>
        <v>#REF!</v>
      </c>
      <c r="AK162" s="202"/>
      <c r="AL162" s="152" t="e">
        <f>#REF!</f>
        <v>#REF!</v>
      </c>
      <c r="AM162" s="202"/>
      <c r="AN162" s="153" t="e">
        <f>#REF!</f>
        <v>#REF!</v>
      </c>
      <c r="AO162" s="202"/>
      <c r="AP162" s="152" t="e">
        <f>#REF!</f>
        <v>#REF!</v>
      </c>
      <c r="AQ162" s="202"/>
      <c r="AR162" s="154" t="e">
        <f>#REF!</f>
        <v>#REF!</v>
      </c>
      <c r="AS162" s="202"/>
      <c r="AT162" s="153" t="e">
        <f>#REF!</f>
        <v>#REF!</v>
      </c>
      <c r="AU162" s="202"/>
      <c r="AV162" s="152" t="e">
        <f>#REF!</f>
        <v>#REF!</v>
      </c>
      <c r="AW162" s="202"/>
      <c r="AX162" s="153" t="e">
        <f>#REF!</f>
        <v>#REF!</v>
      </c>
      <c r="AY162" s="202"/>
      <c r="AZ162" s="152" t="e">
        <f>#REF!</f>
        <v>#REF!</v>
      </c>
      <c r="BA162" s="202"/>
      <c r="BB162" s="154" t="e">
        <f>#REF!</f>
        <v>#REF!</v>
      </c>
      <c r="BC162" s="137"/>
    </row>
    <row r="163" spans="1:55" ht="30" customHeight="1">
      <c r="A163" s="203" t="e">
        <f>#REF!</f>
        <v>#REF!</v>
      </c>
      <c r="B163" s="204" t="e">
        <f xml:space="preserve"> IF(#REF!=0, "",#REF!)</f>
        <v>#REF!</v>
      </c>
      <c r="C163" s="369" t="e">
        <f>#REF!</f>
        <v>#REF!</v>
      </c>
      <c r="D163" s="369"/>
      <c r="E163" s="291" t="e">
        <f>#REF!</f>
        <v>#REF!</v>
      </c>
      <c r="F163" s="148" t="e">
        <f>#REF!</f>
        <v>#REF!</v>
      </c>
      <c r="G163" s="205" t="e">
        <f xml:space="preserve"> IF(#REF!="", "",#REF!)</f>
        <v>#REF!</v>
      </c>
      <c r="H163" s="205" t="e">
        <f xml:space="preserve"> IF(#REF!="", "",#REF!)</f>
        <v>#REF!</v>
      </c>
      <c r="I163" s="205" t="e">
        <f xml:space="preserve"> IF(#REF!="", "",#REF!)</f>
        <v>#REF!</v>
      </c>
      <c r="J163" s="298" t="e">
        <f>#REF!</f>
        <v>#REF!</v>
      </c>
      <c r="K163" s="149" t="e">
        <f>#REF!</f>
        <v>#REF!</v>
      </c>
      <c r="L163" s="149" t="e">
        <f>#REF!</f>
        <v>#REF!</v>
      </c>
      <c r="M163" s="150" t="e">
        <f>#REF!</f>
        <v>#REF!</v>
      </c>
      <c r="N163" s="364"/>
      <c r="O163" s="202"/>
      <c r="P163" s="151" t="e">
        <f>#REF!</f>
        <v>#REF!</v>
      </c>
      <c r="Q163" s="202"/>
      <c r="R163" s="152" t="e">
        <f>#REF!</f>
        <v>#REF!</v>
      </c>
      <c r="S163" s="202"/>
      <c r="T163" s="153" t="e">
        <f>#REF!</f>
        <v>#REF!</v>
      </c>
      <c r="U163" s="202"/>
      <c r="V163" s="153" t="e">
        <f>#REF!</f>
        <v>#REF!</v>
      </c>
      <c r="W163" s="202"/>
      <c r="X163" s="153" t="e">
        <f>#REF!</f>
        <v>#REF!</v>
      </c>
      <c r="Y163" s="202"/>
      <c r="Z163" s="152" t="e">
        <f>#REF!</f>
        <v>#REF!</v>
      </c>
      <c r="AA163" s="202"/>
      <c r="AB163" s="153" t="e">
        <f>#REF!</f>
        <v>#REF!</v>
      </c>
      <c r="AC163" s="202"/>
      <c r="AD163" s="152" t="e">
        <f>#REF!</f>
        <v>#REF!</v>
      </c>
      <c r="AE163" s="202"/>
      <c r="AF163" s="153" t="e">
        <f>#REF!</f>
        <v>#REF!</v>
      </c>
      <c r="AG163" s="202"/>
      <c r="AH163" s="152" t="e">
        <f>#REF!</f>
        <v>#REF!</v>
      </c>
      <c r="AI163" s="202"/>
      <c r="AJ163" s="153" t="e">
        <f>#REF!</f>
        <v>#REF!</v>
      </c>
      <c r="AK163" s="202"/>
      <c r="AL163" s="152" t="e">
        <f>#REF!</f>
        <v>#REF!</v>
      </c>
      <c r="AM163" s="202"/>
      <c r="AN163" s="153" t="e">
        <f>#REF!</f>
        <v>#REF!</v>
      </c>
      <c r="AO163" s="202"/>
      <c r="AP163" s="152" t="e">
        <f>#REF!</f>
        <v>#REF!</v>
      </c>
      <c r="AQ163" s="202"/>
      <c r="AR163" s="154" t="e">
        <f>#REF!</f>
        <v>#REF!</v>
      </c>
      <c r="AS163" s="202"/>
      <c r="AT163" s="153" t="e">
        <f>#REF!</f>
        <v>#REF!</v>
      </c>
      <c r="AU163" s="202"/>
      <c r="AV163" s="152" t="e">
        <f>#REF!</f>
        <v>#REF!</v>
      </c>
      <c r="AW163" s="202"/>
      <c r="AX163" s="153" t="e">
        <f>#REF!</f>
        <v>#REF!</v>
      </c>
      <c r="AY163" s="202"/>
      <c r="AZ163" s="152" t="e">
        <f>#REF!</f>
        <v>#REF!</v>
      </c>
      <c r="BA163" s="202"/>
      <c r="BB163" s="154" t="e">
        <f>#REF!</f>
        <v>#REF!</v>
      </c>
      <c r="BC163" s="137"/>
    </row>
    <row r="164" spans="1:55" ht="30" customHeight="1">
      <c r="A164" s="203" t="e">
        <f>#REF!</f>
        <v>#REF!</v>
      </c>
      <c r="B164" s="204" t="e">
        <f xml:space="preserve"> IF(#REF!=0, "",#REF!)</f>
        <v>#REF!</v>
      </c>
      <c r="C164" s="369" t="e">
        <f>#REF!</f>
        <v>#REF!</v>
      </c>
      <c r="D164" s="369"/>
      <c r="E164" s="291" t="e">
        <f>#REF!</f>
        <v>#REF!</v>
      </c>
      <c r="F164" s="148" t="e">
        <f>#REF!</f>
        <v>#REF!</v>
      </c>
      <c r="G164" s="205" t="e">
        <f xml:space="preserve"> IF(#REF!="", "",#REF!)</f>
        <v>#REF!</v>
      </c>
      <c r="H164" s="205" t="e">
        <f xml:space="preserve"> IF(#REF!="", "",#REF!)</f>
        <v>#REF!</v>
      </c>
      <c r="I164" s="205" t="e">
        <f xml:space="preserve"> IF(#REF!="", "",#REF!)</f>
        <v>#REF!</v>
      </c>
      <c r="J164" s="298" t="e">
        <f>#REF!</f>
        <v>#REF!</v>
      </c>
      <c r="K164" s="149" t="e">
        <f>#REF!</f>
        <v>#REF!</v>
      </c>
      <c r="L164" s="149" t="e">
        <f>#REF!</f>
        <v>#REF!</v>
      </c>
      <c r="M164" s="150" t="e">
        <f>#REF!</f>
        <v>#REF!</v>
      </c>
      <c r="N164" s="364"/>
      <c r="O164" s="202"/>
      <c r="P164" s="151" t="e">
        <f>#REF!</f>
        <v>#REF!</v>
      </c>
      <c r="Q164" s="202"/>
      <c r="R164" s="152" t="e">
        <f>#REF!</f>
        <v>#REF!</v>
      </c>
      <c r="S164" s="202"/>
      <c r="T164" s="153" t="e">
        <f>#REF!</f>
        <v>#REF!</v>
      </c>
      <c r="U164" s="202"/>
      <c r="V164" s="153" t="e">
        <f>#REF!</f>
        <v>#REF!</v>
      </c>
      <c r="W164" s="202"/>
      <c r="X164" s="153" t="e">
        <f>#REF!</f>
        <v>#REF!</v>
      </c>
      <c r="Y164" s="202"/>
      <c r="Z164" s="152" t="e">
        <f>#REF!</f>
        <v>#REF!</v>
      </c>
      <c r="AA164" s="202"/>
      <c r="AB164" s="153" t="e">
        <f>#REF!</f>
        <v>#REF!</v>
      </c>
      <c r="AC164" s="202"/>
      <c r="AD164" s="152" t="e">
        <f>#REF!</f>
        <v>#REF!</v>
      </c>
      <c r="AE164" s="202"/>
      <c r="AF164" s="153" t="e">
        <f>#REF!</f>
        <v>#REF!</v>
      </c>
      <c r="AG164" s="202"/>
      <c r="AH164" s="152" t="e">
        <f>#REF!</f>
        <v>#REF!</v>
      </c>
      <c r="AI164" s="202"/>
      <c r="AJ164" s="153" t="e">
        <f>#REF!</f>
        <v>#REF!</v>
      </c>
      <c r="AK164" s="202"/>
      <c r="AL164" s="152" t="e">
        <f>#REF!</f>
        <v>#REF!</v>
      </c>
      <c r="AM164" s="202"/>
      <c r="AN164" s="153" t="e">
        <f>#REF!</f>
        <v>#REF!</v>
      </c>
      <c r="AO164" s="202"/>
      <c r="AP164" s="152" t="e">
        <f>#REF!</f>
        <v>#REF!</v>
      </c>
      <c r="AQ164" s="202"/>
      <c r="AR164" s="154" t="e">
        <f>#REF!</f>
        <v>#REF!</v>
      </c>
      <c r="AS164" s="202"/>
      <c r="AT164" s="153" t="e">
        <f>#REF!</f>
        <v>#REF!</v>
      </c>
      <c r="AU164" s="202"/>
      <c r="AV164" s="152" t="e">
        <f>#REF!</f>
        <v>#REF!</v>
      </c>
      <c r="AW164" s="202"/>
      <c r="AX164" s="153" t="e">
        <f>#REF!</f>
        <v>#REF!</v>
      </c>
      <c r="AY164" s="202"/>
      <c r="AZ164" s="152" t="e">
        <f>#REF!</f>
        <v>#REF!</v>
      </c>
      <c r="BA164" s="202"/>
      <c r="BB164" s="154" t="e">
        <f>#REF!</f>
        <v>#REF!</v>
      </c>
      <c r="BC164" s="137"/>
    </row>
    <row r="165" spans="1:55" ht="30" customHeight="1">
      <c r="A165" s="203" t="e">
        <f>#REF!</f>
        <v>#REF!</v>
      </c>
      <c r="B165" s="204" t="e">
        <f xml:space="preserve"> IF(#REF!=0, "",#REF!)</f>
        <v>#REF!</v>
      </c>
      <c r="C165" s="369" t="e">
        <f>#REF!</f>
        <v>#REF!</v>
      </c>
      <c r="D165" s="369"/>
      <c r="E165" s="291" t="e">
        <f>#REF!</f>
        <v>#REF!</v>
      </c>
      <c r="F165" s="148" t="e">
        <f>#REF!</f>
        <v>#REF!</v>
      </c>
      <c r="G165" s="205" t="e">
        <f xml:space="preserve"> IF(#REF!="", "",#REF!)</f>
        <v>#REF!</v>
      </c>
      <c r="H165" s="205" t="e">
        <f xml:space="preserve"> IF(#REF!="", "",#REF!)</f>
        <v>#REF!</v>
      </c>
      <c r="I165" s="205" t="e">
        <f xml:space="preserve"> IF(#REF!="", "",#REF!)</f>
        <v>#REF!</v>
      </c>
      <c r="J165" s="298" t="e">
        <f>#REF!</f>
        <v>#REF!</v>
      </c>
      <c r="K165" s="149" t="e">
        <f>#REF!</f>
        <v>#REF!</v>
      </c>
      <c r="L165" s="149" t="e">
        <f>#REF!</f>
        <v>#REF!</v>
      </c>
      <c r="M165" s="150" t="e">
        <f>#REF!</f>
        <v>#REF!</v>
      </c>
      <c r="N165" s="364"/>
      <c r="O165" s="202"/>
      <c r="P165" s="151" t="e">
        <f>#REF!</f>
        <v>#REF!</v>
      </c>
      <c r="Q165" s="202"/>
      <c r="R165" s="152" t="e">
        <f>#REF!</f>
        <v>#REF!</v>
      </c>
      <c r="S165" s="202"/>
      <c r="T165" s="153" t="e">
        <f>#REF!</f>
        <v>#REF!</v>
      </c>
      <c r="U165" s="202"/>
      <c r="V165" s="153" t="e">
        <f>#REF!</f>
        <v>#REF!</v>
      </c>
      <c r="W165" s="202"/>
      <c r="X165" s="153" t="e">
        <f>#REF!</f>
        <v>#REF!</v>
      </c>
      <c r="Y165" s="202"/>
      <c r="Z165" s="152" t="e">
        <f>#REF!</f>
        <v>#REF!</v>
      </c>
      <c r="AA165" s="202"/>
      <c r="AB165" s="153" t="e">
        <f>#REF!</f>
        <v>#REF!</v>
      </c>
      <c r="AC165" s="202"/>
      <c r="AD165" s="152" t="e">
        <f>#REF!</f>
        <v>#REF!</v>
      </c>
      <c r="AE165" s="202"/>
      <c r="AF165" s="153" t="e">
        <f>#REF!</f>
        <v>#REF!</v>
      </c>
      <c r="AG165" s="202"/>
      <c r="AH165" s="152" t="e">
        <f>#REF!</f>
        <v>#REF!</v>
      </c>
      <c r="AI165" s="202"/>
      <c r="AJ165" s="153" t="e">
        <f>#REF!</f>
        <v>#REF!</v>
      </c>
      <c r="AK165" s="202"/>
      <c r="AL165" s="152" t="e">
        <f>#REF!</f>
        <v>#REF!</v>
      </c>
      <c r="AM165" s="202"/>
      <c r="AN165" s="153" t="e">
        <f>#REF!</f>
        <v>#REF!</v>
      </c>
      <c r="AO165" s="202"/>
      <c r="AP165" s="152" t="e">
        <f>#REF!</f>
        <v>#REF!</v>
      </c>
      <c r="AQ165" s="202"/>
      <c r="AR165" s="154" t="e">
        <f>#REF!</f>
        <v>#REF!</v>
      </c>
      <c r="AS165" s="202"/>
      <c r="AT165" s="153" t="e">
        <f>#REF!</f>
        <v>#REF!</v>
      </c>
      <c r="AU165" s="202"/>
      <c r="AV165" s="152" t="e">
        <f>#REF!</f>
        <v>#REF!</v>
      </c>
      <c r="AW165" s="202"/>
      <c r="AX165" s="153" t="e">
        <f>#REF!</f>
        <v>#REF!</v>
      </c>
      <c r="AY165" s="202"/>
      <c r="AZ165" s="152" t="e">
        <f>#REF!</f>
        <v>#REF!</v>
      </c>
      <c r="BA165" s="202"/>
      <c r="BB165" s="154" t="e">
        <f>#REF!</f>
        <v>#REF!</v>
      </c>
      <c r="BC165" s="137"/>
    </row>
    <row r="166" spans="1:55" ht="30" customHeight="1">
      <c r="A166" s="203" t="e">
        <f>#REF!</f>
        <v>#REF!</v>
      </c>
      <c r="B166" s="204" t="e">
        <f xml:space="preserve"> IF(#REF!=0, "",#REF!)</f>
        <v>#REF!</v>
      </c>
      <c r="C166" s="369" t="e">
        <f>#REF!</f>
        <v>#REF!</v>
      </c>
      <c r="D166" s="369"/>
      <c r="E166" s="291" t="e">
        <f>#REF!</f>
        <v>#REF!</v>
      </c>
      <c r="F166" s="148" t="e">
        <f>#REF!</f>
        <v>#REF!</v>
      </c>
      <c r="G166" s="205" t="e">
        <f xml:space="preserve"> IF(#REF!="", "",#REF!)</f>
        <v>#REF!</v>
      </c>
      <c r="H166" s="205" t="e">
        <f xml:space="preserve"> IF(#REF!="", "",#REF!)</f>
        <v>#REF!</v>
      </c>
      <c r="I166" s="205" t="e">
        <f xml:space="preserve"> IF(#REF!="", "",#REF!)</f>
        <v>#REF!</v>
      </c>
      <c r="J166" s="298" t="e">
        <f>#REF!</f>
        <v>#REF!</v>
      </c>
      <c r="K166" s="149" t="e">
        <f>#REF!</f>
        <v>#REF!</v>
      </c>
      <c r="L166" s="149" t="e">
        <f>#REF!</f>
        <v>#REF!</v>
      </c>
      <c r="M166" s="150" t="e">
        <f>#REF!</f>
        <v>#REF!</v>
      </c>
      <c r="N166" s="364"/>
      <c r="O166" s="202"/>
      <c r="P166" s="151" t="e">
        <f>#REF!</f>
        <v>#REF!</v>
      </c>
      <c r="Q166" s="202"/>
      <c r="R166" s="152" t="e">
        <f>#REF!</f>
        <v>#REF!</v>
      </c>
      <c r="S166" s="202"/>
      <c r="T166" s="153" t="e">
        <f>#REF!</f>
        <v>#REF!</v>
      </c>
      <c r="U166" s="202"/>
      <c r="V166" s="153" t="e">
        <f>#REF!</f>
        <v>#REF!</v>
      </c>
      <c r="W166" s="202"/>
      <c r="X166" s="153" t="e">
        <f>#REF!</f>
        <v>#REF!</v>
      </c>
      <c r="Y166" s="202"/>
      <c r="Z166" s="152" t="e">
        <f>#REF!</f>
        <v>#REF!</v>
      </c>
      <c r="AA166" s="202"/>
      <c r="AB166" s="153" t="e">
        <f>#REF!</f>
        <v>#REF!</v>
      </c>
      <c r="AC166" s="202"/>
      <c r="AD166" s="152" t="e">
        <f>#REF!</f>
        <v>#REF!</v>
      </c>
      <c r="AE166" s="202"/>
      <c r="AF166" s="153" t="e">
        <f>#REF!</f>
        <v>#REF!</v>
      </c>
      <c r="AG166" s="202"/>
      <c r="AH166" s="152" t="e">
        <f>#REF!</f>
        <v>#REF!</v>
      </c>
      <c r="AI166" s="202"/>
      <c r="AJ166" s="153" t="e">
        <f>#REF!</f>
        <v>#REF!</v>
      </c>
      <c r="AK166" s="202"/>
      <c r="AL166" s="152" t="e">
        <f>#REF!</f>
        <v>#REF!</v>
      </c>
      <c r="AM166" s="202"/>
      <c r="AN166" s="153" t="e">
        <f>#REF!</f>
        <v>#REF!</v>
      </c>
      <c r="AO166" s="202"/>
      <c r="AP166" s="152" t="e">
        <f>#REF!</f>
        <v>#REF!</v>
      </c>
      <c r="AQ166" s="202"/>
      <c r="AR166" s="154" t="e">
        <f>#REF!</f>
        <v>#REF!</v>
      </c>
      <c r="AS166" s="202"/>
      <c r="AT166" s="153" t="e">
        <f>#REF!</f>
        <v>#REF!</v>
      </c>
      <c r="AU166" s="202"/>
      <c r="AV166" s="152" t="e">
        <f>#REF!</f>
        <v>#REF!</v>
      </c>
      <c r="AW166" s="202"/>
      <c r="AX166" s="153" t="e">
        <f>#REF!</f>
        <v>#REF!</v>
      </c>
      <c r="AY166" s="202"/>
      <c r="AZ166" s="152" t="e">
        <f>#REF!</f>
        <v>#REF!</v>
      </c>
      <c r="BA166" s="202"/>
      <c r="BB166" s="154" t="e">
        <f>#REF!</f>
        <v>#REF!</v>
      </c>
      <c r="BC166" s="137"/>
    </row>
    <row r="167" spans="1:55" ht="30" customHeight="1">
      <c r="A167" s="203" t="e">
        <f>#REF!</f>
        <v>#REF!</v>
      </c>
      <c r="B167" s="204" t="e">
        <f xml:space="preserve"> IF(#REF!=0, "",#REF!)</f>
        <v>#REF!</v>
      </c>
      <c r="C167" s="369" t="e">
        <f>#REF!</f>
        <v>#REF!</v>
      </c>
      <c r="D167" s="369"/>
      <c r="E167" s="291" t="e">
        <f>#REF!</f>
        <v>#REF!</v>
      </c>
      <c r="F167" s="148" t="e">
        <f>#REF!</f>
        <v>#REF!</v>
      </c>
      <c r="G167" s="205" t="e">
        <f xml:space="preserve"> IF(#REF!="", "",#REF!)</f>
        <v>#REF!</v>
      </c>
      <c r="H167" s="205" t="e">
        <f xml:space="preserve"> IF(#REF!="", "",#REF!)</f>
        <v>#REF!</v>
      </c>
      <c r="I167" s="205" t="e">
        <f xml:space="preserve"> IF(#REF!="", "",#REF!)</f>
        <v>#REF!</v>
      </c>
      <c r="J167" s="298" t="e">
        <f>#REF!</f>
        <v>#REF!</v>
      </c>
      <c r="K167" s="149" t="e">
        <f>#REF!</f>
        <v>#REF!</v>
      </c>
      <c r="L167" s="149" t="e">
        <f>#REF!</f>
        <v>#REF!</v>
      </c>
      <c r="M167" s="150" t="e">
        <f>#REF!</f>
        <v>#REF!</v>
      </c>
      <c r="N167" s="364"/>
      <c r="O167" s="202"/>
      <c r="P167" s="151" t="e">
        <f>#REF!</f>
        <v>#REF!</v>
      </c>
      <c r="Q167" s="202"/>
      <c r="R167" s="152" t="e">
        <f>#REF!</f>
        <v>#REF!</v>
      </c>
      <c r="S167" s="202"/>
      <c r="T167" s="153" t="e">
        <f>#REF!</f>
        <v>#REF!</v>
      </c>
      <c r="U167" s="202"/>
      <c r="V167" s="153" t="e">
        <f>#REF!</f>
        <v>#REF!</v>
      </c>
      <c r="W167" s="202"/>
      <c r="X167" s="153" t="e">
        <f>#REF!</f>
        <v>#REF!</v>
      </c>
      <c r="Y167" s="202"/>
      <c r="Z167" s="152" t="e">
        <f>#REF!</f>
        <v>#REF!</v>
      </c>
      <c r="AA167" s="202"/>
      <c r="AB167" s="153" t="e">
        <f>#REF!</f>
        <v>#REF!</v>
      </c>
      <c r="AC167" s="202"/>
      <c r="AD167" s="152" t="e">
        <f>#REF!</f>
        <v>#REF!</v>
      </c>
      <c r="AE167" s="202"/>
      <c r="AF167" s="153" t="e">
        <f>#REF!</f>
        <v>#REF!</v>
      </c>
      <c r="AG167" s="202"/>
      <c r="AH167" s="152" t="e">
        <f>#REF!</f>
        <v>#REF!</v>
      </c>
      <c r="AI167" s="202"/>
      <c r="AJ167" s="153" t="e">
        <f>#REF!</f>
        <v>#REF!</v>
      </c>
      <c r="AK167" s="202"/>
      <c r="AL167" s="152" t="e">
        <f>#REF!</f>
        <v>#REF!</v>
      </c>
      <c r="AM167" s="202"/>
      <c r="AN167" s="153" t="e">
        <f>#REF!</f>
        <v>#REF!</v>
      </c>
      <c r="AO167" s="202"/>
      <c r="AP167" s="152" t="e">
        <f>#REF!</f>
        <v>#REF!</v>
      </c>
      <c r="AQ167" s="202"/>
      <c r="AR167" s="154" t="e">
        <f>#REF!</f>
        <v>#REF!</v>
      </c>
      <c r="AS167" s="202"/>
      <c r="AT167" s="153" t="e">
        <f>#REF!</f>
        <v>#REF!</v>
      </c>
      <c r="AU167" s="202"/>
      <c r="AV167" s="152" t="e">
        <f>#REF!</f>
        <v>#REF!</v>
      </c>
      <c r="AW167" s="202"/>
      <c r="AX167" s="153" t="e">
        <f>#REF!</f>
        <v>#REF!</v>
      </c>
      <c r="AY167" s="202"/>
      <c r="AZ167" s="152" t="e">
        <f>#REF!</f>
        <v>#REF!</v>
      </c>
      <c r="BA167" s="202"/>
      <c r="BB167" s="154" t="e">
        <f>#REF!</f>
        <v>#REF!</v>
      </c>
      <c r="BC167" s="137"/>
    </row>
    <row r="168" spans="1:55" ht="30" customHeight="1">
      <c r="A168" s="203" t="e">
        <f>#REF!</f>
        <v>#REF!</v>
      </c>
      <c r="B168" s="204" t="e">
        <f xml:space="preserve"> IF(#REF!=0, "",#REF!)</f>
        <v>#REF!</v>
      </c>
      <c r="C168" s="369" t="e">
        <f>#REF!</f>
        <v>#REF!</v>
      </c>
      <c r="D168" s="369"/>
      <c r="E168" s="291" t="e">
        <f>#REF!</f>
        <v>#REF!</v>
      </c>
      <c r="F168" s="148" t="e">
        <f>#REF!</f>
        <v>#REF!</v>
      </c>
      <c r="G168" s="205" t="e">
        <f xml:space="preserve"> IF(#REF!="", "",#REF!)</f>
        <v>#REF!</v>
      </c>
      <c r="H168" s="205" t="e">
        <f xml:space="preserve"> IF(#REF!="", "",#REF!)</f>
        <v>#REF!</v>
      </c>
      <c r="I168" s="205" t="e">
        <f xml:space="preserve"> IF(#REF!="", "",#REF!)</f>
        <v>#REF!</v>
      </c>
      <c r="J168" s="298" t="e">
        <f>#REF!</f>
        <v>#REF!</v>
      </c>
      <c r="K168" s="149" t="e">
        <f>#REF!</f>
        <v>#REF!</v>
      </c>
      <c r="L168" s="149" t="e">
        <f>#REF!</f>
        <v>#REF!</v>
      </c>
      <c r="M168" s="150" t="e">
        <f>#REF!</f>
        <v>#REF!</v>
      </c>
      <c r="N168" s="364"/>
      <c r="O168" s="202"/>
      <c r="P168" s="151" t="e">
        <f>#REF!</f>
        <v>#REF!</v>
      </c>
      <c r="Q168" s="202"/>
      <c r="R168" s="152" t="e">
        <f>#REF!</f>
        <v>#REF!</v>
      </c>
      <c r="S168" s="202"/>
      <c r="T168" s="153" t="e">
        <f>#REF!</f>
        <v>#REF!</v>
      </c>
      <c r="U168" s="202"/>
      <c r="V168" s="153" t="e">
        <f>#REF!</f>
        <v>#REF!</v>
      </c>
      <c r="W168" s="202"/>
      <c r="X168" s="153" t="e">
        <f>#REF!</f>
        <v>#REF!</v>
      </c>
      <c r="Y168" s="202"/>
      <c r="Z168" s="152" t="e">
        <f>#REF!</f>
        <v>#REF!</v>
      </c>
      <c r="AA168" s="202"/>
      <c r="AB168" s="153" t="e">
        <f>#REF!</f>
        <v>#REF!</v>
      </c>
      <c r="AC168" s="202"/>
      <c r="AD168" s="152" t="e">
        <f>#REF!</f>
        <v>#REF!</v>
      </c>
      <c r="AE168" s="202"/>
      <c r="AF168" s="153" t="e">
        <f>#REF!</f>
        <v>#REF!</v>
      </c>
      <c r="AG168" s="202"/>
      <c r="AH168" s="152" t="e">
        <f>#REF!</f>
        <v>#REF!</v>
      </c>
      <c r="AI168" s="202"/>
      <c r="AJ168" s="153" t="e">
        <f>#REF!</f>
        <v>#REF!</v>
      </c>
      <c r="AK168" s="202"/>
      <c r="AL168" s="152" t="e">
        <f>#REF!</f>
        <v>#REF!</v>
      </c>
      <c r="AM168" s="202"/>
      <c r="AN168" s="153" t="e">
        <f>#REF!</f>
        <v>#REF!</v>
      </c>
      <c r="AO168" s="202"/>
      <c r="AP168" s="152" t="e">
        <f>#REF!</f>
        <v>#REF!</v>
      </c>
      <c r="AQ168" s="202"/>
      <c r="AR168" s="154" t="e">
        <f>#REF!</f>
        <v>#REF!</v>
      </c>
      <c r="AS168" s="202"/>
      <c r="AT168" s="153" t="e">
        <f>#REF!</f>
        <v>#REF!</v>
      </c>
      <c r="AU168" s="202"/>
      <c r="AV168" s="152" t="e">
        <f>#REF!</f>
        <v>#REF!</v>
      </c>
      <c r="AW168" s="202"/>
      <c r="AX168" s="153" t="e">
        <f>#REF!</f>
        <v>#REF!</v>
      </c>
      <c r="AY168" s="202"/>
      <c r="AZ168" s="152" t="e">
        <f>#REF!</f>
        <v>#REF!</v>
      </c>
      <c r="BA168" s="202"/>
      <c r="BB168" s="154" t="e">
        <f>#REF!</f>
        <v>#REF!</v>
      </c>
      <c r="BC168" s="137"/>
    </row>
    <row r="169" spans="1:55" ht="30" customHeight="1">
      <c r="A169" s="203" t="e">
        <f>#REF!</f>
        <v>#REF!</v>
      </c>
      <c r="B169" s="204" t="e">
        <f xml:space="preserve"> IF(#REF!=0, "",#REF!)</f>
        <v>#REF!</v>
      </c>
      <c r="C169" s="369" t="e">
        <f>#REF!</f>
        <v>#REF!</v>
      </c>
      <c r="D169" s="369"/>
      <c r="E169" s="291" t="e">
        <f>#REF!</f>
        <v>#REF!</v>
      </c>
      <c r="F169" s="148" t="e">
        <f>#REF!</f>
        <v>#REF!</v>
      </c>
      <c r="G169" s="205" t="e">
        <f xml:space="preserve"> IF(#REF!="", "",#REF!)</f>
        <v>#REF!</v>
      </c>
      <c r="H169" s="205" t="e">
        <f xml:space="preserve"> IF(#REF!="", "",#REF!)</f>
        <v>#REF!</v>
      </c>
      <c r="I169" s="205" t="e">
        <f xml:space="preserve"> IF(#REF!="", "",#REF!)</f>
        <v>#REF!</v>
      </c>
      <c r="J169" s="298" t="e">
        <f>#REF!</f>
        <v>#REF!</v>
      </c>
      <c r="K169" s="149" t="e">
        <f>#REF!</f>
        <v>#REF!</v>
      </c>
      <c r="L169" s="149" t="e">
        <f>#REF!</f>
        <v>#REF!</v>
      </c>
      <c r="M169" s="150" t="e">
        <f>#REF!</f>
        <v>#REF!</v>
      </c>
      <c r="N169" s="364"/>
      <c r="O169" s="202"/>
      <c r="P169" s="151" t="e">
        <f>#REF!</f>
        <v>#REF!</v>
      </c>
      <c r="Q169" s="202"/>
      <c r="R169" s="152" t="e">
        <f>#REF!</f>
        <v>#REF!</v>
      </c>
      <c r="S169" s="202"/>
      <c r="T169" s="153" t="e">
        <f>#REF!</f>
        <v>#REF!</v>
      </c>
      <c r="U169" s="202"/>
      <c r="V169" s="153" t="e">
        <f>#REF!</f>
        <v>#REF!</v>
      </c>
      <c r="W169" s="202"/>
      <c r="X169" s="153" t="e">
        <f>#REF!</f>
        <v>#REF!</v>
      </c>
      <c r="Y169" s="202"/>
      <c r="Z169" s="152" t="e">
        <f>#REF!</f>
        <v>#REF!</v>
      </c>
      <c r="AA169" s="202"/>
      <c r="AB169" s="153" t="e">
        <f>#REF!</f>
        <v>#REF!</v>
      </c>
      <c r="AC169" s="202"/>
      <c r="AD169" s="152" t="e">
        <f>#REF!</f>
        <v>#REF!</v>
      </c>
      <c r="AE169" s="202"/>
      <c r="AF169" s="153" t="e">
        <f>#REF!</f>
        <v>#REF!</v>
      </c>
      <c r="AG169" s="202"/>
      <c r="AH169" s="152" t="e">
        <f>#REF!</f>
        <v>#REF!</v>
      </c>
      <c r="AI169" s="202"/>
      <c r="AJ169" s="153" t="e">
        <f>#REF!</f>
        <v>#REF!</v>
      </c>
      <c r="AK169" s="202"/>
      <c r="AL169" s="152" t="e">
        <f>#REF!</f>
        <v>#REF!</v>
      </c>
      <c r="AM169" s="202"/>
      <c r="AN169" s="153" t="e">
        <f>#REF!</f>
        <v>#REF!</v>
      </c>
      <c r="AO169" s="202"/>
      <c r="AP169" s="152" t="e">
        <f>#REF!</f>
        <v>#REF!</v>
      </c>
      <c r="AQ169" s="202"/>
      <c r="AR169" s="154" t="e">
        <f>#REF!</f>
        <v>#REF!</v>
      </c>
      <c r="AS169" s="202"/>
      <c r="AT169" s="153" t="e">
        <f>#REF!</f>
        <v>#REF!</v>
      </c>
      <c r="AU169" s="202"/>
      <c r="AV169" s="152" t="e">
        <f>#REF!</f>
        <v>#REF!</v>
      </c>
      <c r="AW169" s="202"/>
      <c r="AX169" s="153" t="e">
        <f>#REF!</f>
        <v>#REF!</v>
      </c>
      <c r="AY169" s="202"/>
      <c r="AZ169" s="152" t="e">
        <f>#REF!</f>
        <v>#REF!</v>
      </c>
      <c r="BA169" s="202"/>
      <c r="BB169" s="154" t="e">
        <f>#REF!</f>
        <v>#REF!</v>
      </c>
      <c r="BC169" s="137"/>
    </row>
    <row r="170" spans="1:55" ht="30" customHeight="1">
      <c r="A170" s="203" t="e">
        <f>#REF!</f>
        <v>#REF!</v>
      </c>
      <c r="B170" s="204" t="e">
        <f xml:space="preserve"> IF(#REF!=0, "",#REF!)</f>
        <v>#REF!</v>
      </c>
      <c r="C170" s="369" t="e">
        <f>#REF!</f>
        <v>#REF!</v>
      </c>
      <c r="D170" s="369"/>
      <c r="E170" s="291" t="e">
        <f>#REF!</f>
        <v>#REF!</v>
      </c>
      <c r="F170" s="148" t="e">
        <f>#REF!</f>
        <v>#REF!</v>
      </c>
      <c r="G170" s="205" t="e">
        <f xml:space="preserve"> IF(#REF!="", "",#REF!)</f>
        <v>#REF!</v>
      </c>
      <c r="H170" s="205" t="e">
        <f xml:space="preserve"> IF(#REF!="", "",#REF!)</f>
        <v>#REF!</v>
      </c>
      <c r="I170" s="205" t="e">
        <f xml:space="preserve"> IF(#REF!="", "",#REF!)</f>
        <v>#REF!</v>
      </c>
      <c r="J170" s="298" t="e">
        <f>#REF!</f>
        <v>#REF!</v>
      </c>
      <c r="K170" s="149" t="e">
        <f>#REF!</f>
        <v>#REF!</v>
      </c>
      <c r="L170" s="149" t="e">
        <f>#REF!</f>
        <v>#REF!</v>
      </c>
      <c r="M170" s="150" t="e">
        <f>#REF!</f>
        <v>#REF!</v>
      </c>
      <c r="N170" s="364"/>
      <c r="O170" s="202"/>
      <c r="P170" s="151" t="e">
        <f>#REF!</f>
        <v>#REF!</v>
      </c>
      <c r="Q170" s="202"/>
      <c r="R170" s="152" t="e">
        <f>#REF!</f>
        <v>#REF!</v>
      </c>
      <c r="S170" s="202"/>
      <c r="T170" s="153" t="e">
        <f>#REF!</f>
        <v>#REF!</v>
      </c>
      <c r="U170" s="202"/>
      <c r="V170" s="153" t="e">
        <f>#REF!</f>
        <v>#REF!</v>
      </c>
      <c r="W170" s="202"/>
      <c r="X170" s="153" t="e">
        <f>#REF!</f>
        <v>#REF!</v>
      </c>
      <c r="Y170" s="202"/>
      <c r="Z170" s="152" t="e">
        <f>#REF!</f>
        <v>#REF!</v>
      </c>
      <c r="AA170" s="202"/>
      <c r="AB170" s="153" t="e">
        <f>#REF!</f>
        <v>#REF!</v>
      </c>
      <c r="AC170" s="202"/>
      <c r="AD170" s="152" t="e">
        <f>#REF!</f>
        <v>#REF!</v>
      </c>
      <c r="AE170" s="202"/>
      <c r="AF170" s="153" t="e">
        <f>#REF!</f>
        <v>#REF!</v>
      </c>
      <c r="AG170" s="202"/>
      <c r="AH170" s="152" t="e">
        <f>#REF!</f>
        <v>#REF!</v>
      </c>
      <c r="AI170" s="202"/>
      <c r="AJ170" s="153" t="e">
        <f>#REF!</f>
        <v>#REF!</v>
      </c>
      <c r="AK170" s="202"/>
      <c r="AL170" s="152" t="e">
        <f>#REF!</f>
        <v>#REF!</v>
      </c>
      <c r="AM170" s="202"/>
      <c r="AN170" s="153" t="e">
        <f>#REF!</f>
        <v>#REF!</v>
      </c>
      <c r="AO170" s="202"/>
      <c r="AP170" s="152" t="e">
        <f>#REF!</f>
        <v>#REF!</v>
      </c>
      <c r="AQ170" s="202"/>
      <c r="AR170" s="154" t="e">
        <f>#REF!</f>
        <v>#REF!</v>
      </c>
      <c r="AS170" s="202"/>
      <c r="AT170" s="153" t="e">
        <f>#REF!</f>
        <v>#REF!</v>
      </c>
      <c r="AU170" s="202"/>
      <c r="AV170" s="152" t="e">
        <f>#REF!</f>
        <v>#REF!</v>
      </c>
      <c r="AW170" s="202"/>
      <c r="AX170" s="153" t="e">
        <f>#REF!</f>
        <v>#REF!</v>
      </c>
      <c r="AY170" s="202"/>
      <c r="AZ170" s="152" t="e">
        <f>#REF!</f>
        <v>#REF!</v>
      </c>
      <c r="BA170" s="202"/>
      <c r="BB170" s="154" t="e">
        <f>#REF!</f>
        <v>#REF!</v>
      </c>
      <c r="BC170" s="137"/>
    </row>
    <row r="171" spans="1:55" ht="30" customHeight="1">
      <c r="A171" s="203" t="e">
        <f>#REF!</f>
        <v>#REF!</v>
      </c>
      <c r="B171" s="204" t="e">
        <f xml:space="preserve"> IF(#REF!=0, "",#REF!)</f>
        <v>#REF!</v>
      </c>
      <c r="C171" s="369" t="e">
        <f>#REF!</f>
        <v>#REF!</v>
      </c>
      <c r="D171" s="369"/>
      <c r="E171" s="291" t="e">
        <f>#REF!</f>
        <v>#REF!</v>
      </c>
      <c r="F171" s="148" t="e">
        <f>#REF!</f>
        <v>#REF!</v>
      </c>
      <c r="G171" s="205" t="e">
        <f xml:space="preserve"> IF(#REF!="", "",#REF!)</f>
        <v>#REF!</v>
      </c>
      <c r="H171" s="205" t="e">
        <f xml:space="preserve"> IF(#REF!="", "",#REF!)</f>
        <v>#REF!</v>
      </c>
      <c r="I171" s="205" t="e">
        <f xml:space="preserve"> IF(#REF!="", "",#REF!)</f>
        <v>#REF!</v>
      </c>
      <c r="J171" s="298" t="e">
        <f>#REF!</f>
        <v>#REF!</v>
      </c>
      <c r="K171" s="149" t="e">
        <f>#REF!</f>
        <v>#REF!</v>
      </c>
      <c r="L171" s="149" t="e">
        <f>#REF!</f>
        <v>#REF!</v>
      </c>
      <c r="M171" s="150" t="e">
        <f>#REF!</f>
        <v>#REF!</v>
      </c>
      <c r="N171" s="364"/>
      <c r="O171" s="202"/>
      <c r="P171" s="151" t="e">
        <f>#REF!</f>
        <v>#REF!</v>
      </c>
      <c r="Q171" s="202"/>
      <c r="R171" s="152" t="e">
        <f>#REF!</f>
        <v>#REF!</v>
      </c>
      <c r="S171" s="202"/>
      <c r="T171" s="153" t="e">
        <f>#REF!</f>
        <v>#REF!</v>
      </c>
      <c r="U171" s="202"/>
      <c r="V171" s="153" t="e">
        <f>#REF!</f>
        <v>#REF!</v>
      </c>
      <c r="W171" s="202"/>
      <c r="X171" s="153" t="e">
        <f>#REF!</f>
        <v>#REF!</v>
      </c>
      <c r="Y171" s="202"/>
      <c r="Z171" s="152" t="e">
        <f>#REF!</f>
        <v>#REF!</v>
      </c>
      <c r="AA171" s="202"/>
      <c r="AB171" s="153" t="e">
        <f>#REF!</f>
        <v>#REF!</v>
      </c>
      <c r="AC171" s="202"/>
      <c r="AD171" s="152" t="e">
        <f>#REF!</f>
        <v>#REF!</v>
      </c>
      <c r="AE171" s="202"/>
      <c r="AF171" s="153" t="e">
        <f>#REF!</f>
        <v>#REF!</v>
      </c>
      <c r="AG171" s="202"/>
      <c r="AH171" s="152" t="e">
        <f>#REF!</f>
        <v>#REF!</v>
      </c>
      <c r="AI171" s="202"/>
      <c r="AJ171" s="153" t="e">
        <f>#REF!</f>
        <v>#REF!</v>
      </c>
      <c r="AK171" s="202"/>
      <c r="AL171" s="152" t="e">
        <f>#REF!</f>
        <v>#REF!</v>
      </c>
      <c r="AM171" s="202"/>
      <c r="AN171" s="153" t="e">
        <f>#REF!</f>
        <v>#REF!</v>
      </c>
      <c r="AO171" s="202"/>
      <c r="AP171" s="152" t="e">
        <f>#REF!</f>
        <v>#REF!</v>
      </c>
      <c r="AQ171" s="202"/>
      <c r="AR171" s="154" t="e">
        <f>#REF!</f>
        <v>#REF!</v>
      </c>
      <c r="AS171" s="202"/>
      <c r="AT171" s="153" t="e">
        <f>#REF!</f>
        <v>#REF!</v>
      </c>
      <c r="AU171" s="202"/>
      <c r="AV171" s="152" t="e">
        <f>#REF!</f>
        <v>#REF!</v>
      </c>
      <c r="AW171" s="202"/>
      <c r="AX171" s="153" t="e">
        <f>#REF!</f>
        <v>#REF!</v>
      </c>
      <c r="AY171" s="202"/>
      <c r="AZ171" s="152" t="e">
        <f>#REF!</f>
        <v>#REF!</v>
      </c>
      <c r="BA171" s="202"/>
      <c r="BB171" s="154" t="e">
        <f>#REF!</f>
        <v>#REF!</v>
      </c>
      <c r="BC171" s="137"/>
    </row>
    <row r="172" spans="1:55" ht="30" customHeight="1">
      <c r="A172" s="203" t="e">
        <f>#REF!</f>
        <v>#REF!</v>
      </c>
      <c r="B172" s="204" t="e">
        <f xml:space="preserve"> IF(#REF!=0, "",#REF!)</f>
        <v>#REF!</v>
      </c>
      <c r="C172" s="369" t="e">
        <f>#REF!</f>
        <v>#REF!</v>
      </c>
      <c r="D172" s="369"/>
      <c r="E172" s="291" t="e">
        <f>#REF!</f>
        <v>#REF!</v>
      </c>
      <c r="F172" s="148" t="e">
        <f>#REF!</f>
        <v>#REF!</v>
      </c>
      <c r="G172" s="205" t="e">
        <f xml:space="preserve"> IF(#REF!="", "",#REF!)</f>
        <v>#REF!</v>
      </c>
      <c r="H172" s="205" t="e">
        <f xml:space="preserve"> IF(#REF!="", "",#REF!)</f>
        <v>#REF!</v>
      </c>
      <c r="I172" s="205" t="e">
        <f xml:space="preserve"> IF(#REF!="", "",#REF!)</f>
        <v>#REF!</v>
      </c>
      <c r="J172" s="298" t="e">
        <f>#REF!</f>
        <v>#REF!</v>
      </c>
      <c r="K172" s="149" t="e">
        <f>#REF!</f>
        <v>#REF!</v>
      </c>
      <c r="L172" s="149" t="e">
        <f>#REF!</f>
        <v>#REF!</v>
      </c>
      <c r="M172" s="150" t="e">
        <f>#REF!</f>
        <v>#REF!</v>
      </c>
      <c r="N172" s="364"/>
      <c r="O172" s="202"/>
      <c r="P172" s="151" t="e">
        <f>#REF!</f>
        <v>#REF!</v>
      </c>
      <c r="Q172" s="202"/>
      <c r="R172" s="152" t="e">
        <f>#REF!</f>
        <v>#REF!</v>
      </c>
      <c r="S172" s="202"/>
      <c r="T172" s="153" t="e">
        <f>#REF!</f>
        <v>#REF!</v>
      </c>
      <c r="U172" s="202"/>
      <c r="V172" s="153" t="e">
        <f>#REF!</f>
        <v>#REF!</v>
      </c>
      <c r="W172" s="202"/>
      <c r="X172" s="153" t="e">
        <f>#REF!</f>
        <v>#REF!</v>
      </c>
      <c r="Y172" s="202"/>
      <c r="Z172" s="152" t="e">
        <f>#REF!</f>
        <v>#REF!</v>
      </c>
      <c r="AA172" s="202"/>
      <c r="AB172" s="153" t="e">
        <f>#REF!</f>
        <v>#REF!</v>
      </c>
      <c r="AC172" s="202"/>
      <c r="AD172" s="152" t="e">
        <f>#REF!</f>
        <v>#REF!</v>
      </c>
      <c r="AE172" s="202"/>
      <c r="AF172" s="153" t="e">
        <f>#REF!</f>
        <v>#REF!</v>
      </c>
      <c r="AG172" s="202"/>
      <c r="AH172" s="152" t="e">
        <f>#REF!</f>
        <v>#REF!</v>
      </c>
      <c r="AI172" s="202"/>
      <c r="AJ172" s="153" t="e">
        <f>#REF!</f>
        <v>#REF!</v>
      </c>
      <c r="AK172" s="202"/>
      <c r="AL172" s="152" t="e">
        <f>#REF!</f>
        <v>#REF!</v>
      </c>
      <c r="AM172" s="202"/>
      <c r="AN172" s="153" t="e">
        <f>#REF!</f>
        <v>#REF!</v>
      </c>
      <c r="AO172" s="202"/>
      <c r="AP172" s="152" t="e">
        <f>#REF!</f>
        <v>#REF!</v>
      </c>
      <c r="AQ172" s="202"/>
      <c r="AR172" s="154" t="e">
        <f>#REF!</f>
        <v>#REF!</v>
      </c>
      <c r="AS172" s="202"/>
      <c r="AT172" s="153" t="e">
        <f>#REF!</f>
        <v>#REF!</v>
      </c>
      <c r="AU172" s="202"/>
      <c r="AV172" s="152" t="e">
        <f>#REF!</f>
        <v>#REF!</v>
      </c>
      <c r="AW172" s="202"/>
      <c r="AX172" s="153" t="e">
        <f>#REF!</f>
        <v>#REF!</v>
      </c>
      <c r="AY172" s="202"/>
      <c r="AZ172" s="152" t="e">
        <f>#REF!</f>
        <v>#REF!</v>
      </c>
      <c r="BA172" s="202"/>
      <c r="BB172" s="154" t="e">
        <f>#REF!</f>
        <v>#REF!</v>
      </c>
      <c r="BC172" s="137"/>
    </row>
    <row r="173" spans="1:55" ht="30" customHeight="1">
      <c r="A173" s="203" t="e">
        <f>#REF!</f>
        <v>#REF!</v>
      </c>
      <c r="B173" s="204" t="e">
        <f xml:space="preserve"> IF(#REF!=0, "",#REF!)</f>
        <v>#REF!</v>
      </c>
      <c r="C173" s="369" t="e">
        <f>#REF!</f>
        <v>#REF!</v>
      </c>
      <c r="D173" s="369"/>
      <c r="E173" s="291" t="e">
        <f>#REF!</f>
        <v>#REF!</v>
      </c>
      <c r="F173" s="148" t="e">
        <f>#REF!</f>
        <v>#REF!</v>
      </c>
      <c r="G173" s="205" t="e">
        <f xml:space="preserve"> IF(#REF!="", "",#REF!)</f>
        <v>#REF!</v>
      </c>
      <c r="H173" s="205" t="e">
        <f xml:space="preserve"> IF(#REF!="", "",#REF!)</f>
        <v>#REF!</v>
      </c>
      <c r="I173" s="205" t="e">
        <f xml:space="preserve"> IF(#REF!="", "",#REF!)</f>
        <v>#REF!</v>
      </c>
      <c r="J173" s="298" t="e">
        <f>#REF!</f>
        <v>#REF!</v>
      </c>
      <c r="K173" s="149" t="e">
        <f>#REF!</f>
        <v>#REF!</v>
      </c>
      <c r="L173" s="149" t="e">
        <f>#REF!</f>
        <v>#REF!</v>
      </c>
      <c r="M173" s="150" t="e">
        <f>#REF!</f>
        <v>#REF!</v>
      </c>
      <c r="N173" s="364"/>
      <c r="O173" s="202"/>
      <c r="P173" s="151" t="e">
        <f>#REF!</f>
        <v>#REF!</v>
      </c>
      <c r="Q173" s="202"/>
      <c r="R173" s="152" t="e">
        <f>#REF!</f>
        <v>#REF!</v>
      </c>
      <c r="S173" s="202"/>
      <c r="T173" s="153" t="e">
        <f>#REF!</f>
        <v>#REF!</v>
      </c>
      <c r="U173" s="202"/>
      <c r="V173" s="153" t="e">
        <f>#REF!</f>
        <v>#REF!</v>
      </c>
      <c r="W173" s="202"/>
      <c r="X173" s="153" t="e">
        <f>#REF!</f>
        <v>#REF!</v>
      </c>
      <c r="Y173" s="202"/>
      <c r="Z173" s="152" t="e">
        <f>#REF!</f>
        <v>#REF!</v>
      </c>
      <c r="AA173" s="202"/>
      <c r="AB173" s="153" t="e">
        <f>#REF!</f>
        <v>#REF!</v>
      </c>
      <c r="AC173" s="202"/>
      <c r="AD173" s="152" t="e">
        <f>#REF!</f>
        <v>#REF!</v>
      </c>
      <c r="AE173" s="202"/>
      <c r="AF173" s="153" t="e">
        <f>#REF!</f>
        <v>#REF!</v>
      </c>
      <c r="AG173" s="202"/>
      <c r="AH173" s="152" t="e">
        <f>#REF!</f>
        <v>#REF!</v>
      </c>
      <c r="AI173" s="202"/>
      <c r="AJ173" s="153" t="e">
        <f>#REF!</f>
        <v>#REF!</v>
      </c>
      <c r="AK173" s="202"/>
      <c r="AL173" s="152" t="e">
        <f>#REF!</f>
        <v>#REF!</v>
      </c>
      <c r="AM173" s="202"/>
      <c r="AN173" s="153" t="e">
        <f>#REF!</f>
        <v>#REF!</v>
      </c>
      <c r="AO173" s="202"/>
      <c r="AP173" s="152" t="e">
        <f>#REF!</f>
        <v>#REF!</v>
      </c>
      <c r="AQ173" s="202"/>
      <c r="AR173" s="154" t="e">
        <f>#REF!</f>
        <v>#REF!</v>
      </c>
      <c r="AS173" s="202"/>
      <c r="AT173" s="153" t="e">
        <f>#REF!</f>
        <v>#REF!</v>
      </c>
      <c r="AU173" s="202"/>
      <c r="AV173" s="152" t="e">
        <f>#REF!</f>
        <v>#REF!</v>
      </c>
      <c r="AW173" s="202"/>
      <c r="AX173" s="153" t="e">
        <f>#REF!</f>
        <v>#REF!</v>
      </c>
      <c r="AY173" s="202"/>
      <c r="AZ173" s="152" t="e">
        <f>#REF!</f>
        <v>#REF!</v>
      </c>
      <c r="BA173" s="202"/>
      <c r="BB173" s="154" t="e">
        <f>#REF!</f>
        <v>#REF!</v>
      </c>
      <c r="BC173" s="137"/>
    </row>
    <row r="174" spans="1:55" ht="30" customHeight="1">
      <c r="A174" s="203" t="e">
        <f>#REF!</f>
        <v>#REF!</v>
      </c>
      <c r="B174" s="204" t="e">
        <f xml:space="preserve"> IF(#REF!=0, "",#REF!)</f>
        <v>#REF!</v>
      </c>
      <c r="C174" s="369" t="e">
        <f>#REF!</f>
        <v>#REF!</v>
      </c>
      <c r="D174" s="369"/>
      <c r="E174" s="291" t="e">
        <f>#REF!</f>
        <v>#REF!</v>
      </c>
      <c r="F174" s="148" t="e">
        <f>#REF!</f>
        <v>#REF!</v>
      </c>
      <c r="G174" s="205" t="e">
        <f xml:space="preserve"> IF(#REF!="", "",#REF!)</f>
        <v>#REF!</v>
      </c>
      <c r="H174" s="205" t="e">
        <f xml:space="preserve"> IF(#REF!="", "",#REF!)</f>
        <v>#REF!</v>
      </c>
      <c r="I174" s="205" t="e">
        <f xml:space="preserve"> IF(#REF!="", "",#REF!)</f>
        <v>#REF!</v>
      </c>
      <c r="J174" s="298" t="e">
        <f>#REF!</f>
        <v>#REF!</v>
      </c>
      <c r="K174" s="149" t="e">
        <f>#REF!</f>
        <v>#REF!</v>
      </c>
      <c r="L174" s="149" t="e">
        <f>#REF!</f>
        <v>#REF!</v>
      </c>
      <c r="M174" s="150" t="e">
        <f>#REF!</f>
        <v>#REF!</v>
      </c>
      <c r="N174" s="364"/>
      <c r="O174" s="202"/>
      <c r="P174" s="151" t="e">
        <f>#REF!</f>
        <v>#REF!</v>
      </c>
      <c r="Q174" s="202"/>
      <c r="R174" s="152" t="e">
        <f>#REF!</f>
        <v>#REF!</v>
      </c>
      <c r="S174" s="202"/>
      <c r="T174" s="153" t="e">
        <f>#REF!</f>
        <v>#REF!</v>
      </c>
      <c r="U174" s="202"/>
      <c r="V174" s="153" t="e">
        <f>#REF!</f>
        <v>#REF!</v>
      </c>
      <c r="W174" s="202"/>
      <c r="X174" s="153" t="e">
        <f>#REF!</f>
        <v>#REF!</v>
      </c>
      <c r="Y174" s="202"/>
      <c r="Z174" s="152" t="e">
        <f>#REF!</f>
        <v>#REF!</v>
      </c>
      <c r="AA174" s="202"/>
      <c r="AB174" s="153" t="e">
        <f>#REF!</f>
        <v>#REF!</v>
      </c>
      <c r="AC174" s="202"/>
      <c r="AD174" s="152" t="e">
        <f>#REF!</f>
        <v>#REF!</v>
      </c>
      <c r="AE174" s="202"/>
      <c r="AF174" s="153" t="e">
        <f>#REF!</f>
        <v>#REF!</v>
      </c>
      <c r="AG174" s="202"/>
      <c r="AH174" s="152" t="e">
        <f>#REF!</f>
        <v>#REF!</v>
      </c>
      <c r="AI174" s="202"/>
      <c r="AJ174" s="153" t="e">
        <f>#REF!</f>
        <v>#REF!</v>
      </c>
      <c r="AK174" s="202"/>
      <c r="AL174" s="152" t="e">
        <f>#REF!</f>
        <v>#REF!</v>
      </c>
      <c r="AM174" s="202"/>
      <c r="AN174" s="153" t="e">
        <f>#REF!</f>
        <v>#REF!</v>
      </c>
      <c r="AO174" s="202"/>
      <c r="AP174" s="152" t="e">
        <f>#REF!</f>
        <v>#REF!</v>
      </c>
      <c r="AQ174" s="202"/>
      <c r="AR174" s="154" t="e">
        <f>#REF!</f>
        <v>#REF!</v>
      </c>
      <c r="AS174" s="202"/>
      <c r="AT174" s="153" t="e">
        <f>#REF!</f>
        <v>#REF!</v>
      </c>
      <c r="AU174" s="202"/>
      <c r="AV174" s="152" t="e">
        <f>#REF!</f>
        <v>#REF!</v>
      </c>
      <c r="AW174" s="202"/>
      <c r="AX174" s="153" t="e">
        <f>#REF!</f>
        <v>#REF!</v>
      </c>
      <c r="AY174" s="202"/>
      <c r="AZ174" s="152" t="e">
        <f>#REF!</f>
        <v>#REF!</v>
      </c>
      <c r="BA174" s="202"/>
      <c r="BB174" s="154" t="e">
        <f>#REF!</f>
        <v>#REF!</v>
      </c>
      <c r="BC174" s="137"/>
    </row>
    <row r="175" spans="1:55" ht="30" customHeight="1">
      <c r="A175" s="203" t="e">
        <f>#REF!</f>
        <v>#REF!</v>
      </c>
      <c r="B175" s="204" t="e">
        <f xml:space="preserve"> IF(#REF!=0, "",#REF!)</f>
        <v>#REF!</v>
      </c>
      <c r="C175" s="369" t="e">
        <f>#REF!</f>
        <v>#REF!</v>
      </c>
      <c r="D175" s="369"/>
      <c r="E175" s="291" t="e">
        <f>#REF!</f>
        <v>#REF!</v>
      </c>
      <c r="F175" s="148" t="e">
        <f>#REF!</f>
        <v>#REF!</v>
      </c>
      <c r="G175" s="205" t="e">
        <f xml:space="preserve"> IF(#REF!="", "",#REF!)</f>
        <v>#REF!</v>
      </c>
      <c r="H175" s="205" t="e">
        <f xml:space="preserve"> IF(#REF!="", "",#REF!)</f>
        <v>#REF!</v>
      </c>
      <c r="I175" s="205" t="e">
        <f xml:space="preserve"> IF(#REF!="", "",#REF!)</f>
        <v>#REF!</v>
      </c>
      <c r="J175" s="298" t="e">
        <f>#REF!</f>
        <v>#REF!</v>
      </c>
      <c r="K175" s="149" t="e">
        <f>#REF!</f>
        <v>#REF!</v>
      </c>
      <c r="L175" s="149" t="e">
        <f>#REF!</f>
        <v>#REF!</v>
      </c>
      <c r="M175" s="150" t="e">
        <f>#REF!</f>
        <v>#REF!</v>
      </c>
      <c r="N175" s="364"/>
      <c r="O175" s="202"/>
      <c r="P175" s="151" t="e">
        <f>#REF!</f>
        <v>#REF!</v>
      </c>
      <c r="Q175" s="202"/>
      <c r="R175" s="152" t="e">
        <f>#REF!</f>
        <v>#REF!</v>
      </c>
      <c r="S175" s="202"/>
      <c r="T175" s="153" t="e">
        <f>#REF!</f>
        <v>#REF!</v>
      </c>
      <c r="U175" s="202"/>
      <c r="V175" s="153" t="e">
        <f>#REF!</f>
        <v>#REF!</v>
      </c>
      <c r="W175" s="202"/>
      <c r="X175" s="153" t="e">
        <f>#REF!</f>
        <v>#REF!</v>
      </c>
      <c r="Y175" s="202"/>
      <c r="Z175" s="152" t="e">
        <f>#REF!</f>
        <v>#REF!</v>
      </c>
      <c r="AA175" s="202"/>
      <c r="AB175" s="153" t="e">
        <f>#REF!</f>
        <v>#REF!</v>
      </c>
      <c r="AC175" s="202"/>
      <c r="AD175" s="152" t="e">
        <f>#REF!</f>
        <v>#REF!</v>
      </c>
      <c r="AE175" s="202"/>
      <c r="AF175" s="153" t="e">
        <f>#REF!</f>
        <v>#REF!</v>
      </c>
      <c r="AG175" s="202"/>
      <c r="AH175" s="152" t="e">
        <f>#REF!</f>
        <v>#REF!</v>
      </c>
      <c r="AI175" s="202"/>
      <c r="AJ175" s="153" t="e">
        <f>#REF!</f>
        <v>#REF!</v>
      </c>
      <c r="AK175" s="202"/>
      <c r="AL175" s="152" t="e">
        <f>#REF!</f>
        <v>#REF!</v>
      </c>
      <c r="AM175" s="202"/>
      <c r="AN175" s="153" t="e">
        <f>#REF!</f>
        <v>#REF!</v>
      </c>
      <c r="AO175" s="202"/>
      <c r="AP175" s="152" t="e">
        <f>#REF!</f>
        <v>#REF!</v>
      </c>
      <c r="AQ175" s="202"/>
      <c r="AR175" s="154" t="e">
        <f>#REF!</f>
        <v>#REF!</v>
      </c>
      <c r="AS175" s="202"/>
      <c r="AT175" s="153" t="e">
        <f>#REF!</f>
        <v>#REF!</v>
      </c>
      <c r="AU175" s="202"/>
      <c r="AV175" s="152" t="e">
        <f>#REF!</f>
        <v>#REF!</v>
      </c>
      <c r="AW175" s="202"/>
      <c r="AX175" s="153" t="e">
        <f>#REF!</f>
        <v>#REF!</v>
      </c>
      <c r="AY175" s="202"/>
      <c r="AZ175" s="152" t="e">
        <f>#REF!</f>
        <v>#REF!</v>
      </c>
      <c r="BA175" s="202"/>
      <c r="BB175" s="154" t="e">
        <f>#REF!</f>
        <v>#REF!</v>
      </c>
      <c r="BC175" s="137"/>
    </row>
    <row r="176" spans="1:55" ht="30" customHeight="1">
      <c r="A176" s="203" t="e">
        <f>#REF!</f>
        <v>#REF!</v>
      </c>
      <c r="B176" s="204" t="e">
        <f xml:space="preserve"> IF(#REF!=0, "",#REF!)</f>
        <v>#REF!</v>
      </c>
      <c r="C176" s="369" t="e">
        <f>#REF!</f>
        <v>#REF!</v>
      </c>
      <c r="D176" s="369"/>
      <c r="E176" s="291" t="e">
        <f>#REF!</f>
        <v>#REF!</v>
      </c>
      <c r="F176" s="148" t="e">
        <f>#REF!</f>
        <v>#REF!</v>
      </c>
      <c r="G176" s="205" t="e">
        <f xml:space="preserve"> IF(#REF!="", "",#REF!)</f>
        <v>#REF!</v>
      </c>
      <c r="H176" s="205" t="e">
        <f xml:space="preserve"> IF(#REF!="", "",#REF!)</f>
        <v>#REF!</v>
      </c>
      <c r="I176" s="205" t="e">
        <f xml:space="preserve"> IF(#REF!="", "",#REF!)</f>
        <v>#REF!</v>
      </c>
      <c r="J176" s="298" t="e">
        <f>#REF!</f>
        <v>#REF!</v>
      </c>
      <c r="K176" s="149" t="e">
        <f>#REF!</f>
        <v>#REF!</v>
      </c>
      <c r="L176" s="149" t="e">
        <f>#REF!</f>
        <v>#REF!</v>
      </c>
      <c r="M176" s="150" t="e">
        <f>#REF!</f>
        <v>#REF!</v>
      </c>
      <c r="N176" s="364"/>
      <c r="O176" s="202"/>
      <c r="P176" s="151" t="e">
        <f>#REF!</f>
        <v>#REF!</v>
      </c>
      <c r="Q176" s="202"/>
      <c r="R176" s="152" t="e">
        <f>#REF!</f>
        <v>#REF!</v>
      </c>
      <c r="S176" s="202"/>
      <c r="T176" s="153" t="e">
        <f>#REF!</f>
        <v>#REF!</v>
      </c>
      <c r="U176" s="202"/>
      <c r="V176" s="153" t="e">
        <f>#REF!</f>
        <v>#REF!</v>
      </c>
      <c r="W176" s="202"/>
      <c r="X176" s="153" t="e">
        <f>#REF!</f>
        <v>#REF!</v>
      </c>
      <c r="Y176" s="202"/>
      <c r="Z176" s="152" t="e">
        <f>#REF!</f>
        <v>#REF!</v>
      </c>
      <c r="AA176" s="202"/>
      <c r="AB176" s="153" t="e">
        <f>#REF!</f>
        <v>#REF!</v>
      </c>
      <c r="AC176" s="202"/>
      <c r="AD176" s="152" t="e">
        <f>#REF!</f>
        <v>#REF!</v>
      </c>
      <c r="AE176" s="202"/>
      <c r="AF176" s="153" t="e">
        <f>#REF!</f>
        <v>#REF!</v>
      </c>
      <c r="AG176" s="202"/>
      <c r="AH176" s="152" t="e">
        <f>#REF!</f>
        <v>#REF!</v>
      </c>
      <c r="AI176" s="202"/>
      <c r="AJ176" s="153" t="e">
        <f>#REF!</f>
        <v>#REF!</v>
      </c>
      <c r="AK176" s="202"/>
      <c r="AL176" s="152" t="e">
        <f>#REF!</f>
        <v>#REF!</v>
      </c>
      <c r="AM176" s="202"/>
      <c r="AN176" s="153" t="e">
        <f>#REF!</f>
        <v>#REF!</v>
      </c>
      <c r="AO176" s="202"/>
      <c r="AP176" s="152" t="e">
        <f>#REF!</f>
        <v>#REF!</v>
      </c>
      <c r="AQ176" s="202"/>
      <c r="AR176" s="154" t="e">
        <f>#REF!</f>
        <v>#REF!</v>
      </c>
      <c r="AS176" s="202"/>
      <c r="AT176" s="153" t="e">
        <f>#REF!</f>
        <v>#REF!</v>
      </c>
      <c r="AU176" s="202"/>
      <c r="AV176" s="152" t="e">
        <f>#REF!</f>
        <v>#REF!</v>
      </c>
      <c r="AW176" s="202"/>
      <c r="AX176" s="153" t="e">
        <f>#REF!</f>
        <v>#REF!</v>
      </c>
      <c r="AY176" s="202"/>
      <c r="AZ176" s="152" t="e">
        <f>#REF!</f>
        <v>#REF!</v>
      </c>
      <c r="BA176" s="202"/>
      <c r="BB176" s="154" t="e">
        <f>#REF!</f>
        <v>#REF!</v>
      </c>
      <c r="BC176" s="137"/>
    </row>
    <row r="177" spans="1:55" ht="30" customHeight="1">
      <c r="A177" s="203" t="e">
        <f>#REF!</f>
        <v>#REF!</v>
      </c>
      <c r="B177" s="204" t="e">
        <f xml:space="preserve"> IF(#REF!=0, "",#REF!)</f>
        <v>#REF!</v>
      </c>
      <c r="C177" s="369" t="e">
        <f>#REF!</f>
        <v>#REF!</v>
      </c>
      <c r="D177" s="369"/>
      <c r="E177" s="291" t="e">
        <f>#REF!</f>
        <v>#REF!</v>
      </c>
      <c r="F177" s="148" t="e">
        <f>#REF!</f>
        <v>#REF!</v>
      </c>
      <c r="G177" s="205" t="e">
        <f xml:space="preserve"> IF(#REF!="", "",#REF!)</f>
        <v>#REF!</v>
      </c>
      <c r="H177" s="205" t="e">
        <f xml:space="preserve"> IF(#REF!="", "",#REF!)</f>
        <v>#REF!</v>
      </c>
      <c r="I177" s="205" t="e">
        <f xml:space="preserve"> IF(#REF!="", "",#REF!)</f>
        <v>#REF!</v>
      </c>
      <c r="J177" s="298" t="e">
        <f>#REF!</f>
        <v>#REF!</v>
      </c>
      <c r="K177" s="149" t="e">
        <f>#REF!</f>
        <v>#REF!</v>
      </c>
      <c r="L177" s="149" t="e">
        <f>#REF!</f>
        <v>#REF!</v>
      </c>
      <c r="M177" s="150" t="e">
        <f>#REF!</f>
        <v>#REF!</v>
      </c>
      <c r="N177" s="364"/>
      <c r="O177" s="202"/>
      <c r="P177" s="151" t="e">
        <f>#REF!</f>
        <v>#REF!</v>
      </c>
      <c r="Q177" s="202"/>
      <c r="R177" s="152" t="e">
        <f>#REF!</f>
        <v>#REF!</v>
      </c>
      <c r="S177" s="202"/>
      <c r="T177" s="153" t="e">
        <f>#REF!</f>
        <v>#REF!</v>
      </c>
      <c r="U177" s="202"/>
      <c r="V177" s="153" t="e">
        <f>#REF!</f>
        <v>#REF!</v>
      </c>
      <c r="W177" s="202"/>
      <c r="X177" s="153" t="e">
        <f>#REF!</f>
        <v>#REF!</v>
      </c>
      <c r="Y177" s="202"/>
      <c r="Z177" s="152" t="e">
        <f>#REF!</f>
        <v>#REF!</v>
      </c>
      <c r="AA177" s="202"/>
      <c r="AB177" s="153" t="e">
        <f>#REF!</f>
        <v>#REF!</v>
      </c>
      <c r="AC177" s="202"/>
      <c r="AD177" s="152" t="e">
        <f>#REF!</f>
        <v>#REF!</v>
      </c>
      <c r="AE177" s="202"/>
      <c r="AF177" s="153" t="e">
        <f>#REF!</f>
        <v>#REF!</v>
      </c>
      <c r="AG177" s="202"/>
      <c r="AH177" s="152" t="e">
        <f>#REF!</f>
        <v>#REF!</v>
      </c>
      <c r="AI177" s="202"/>
      <c r="AJ177" s="153" t="e">
        <f>#REF!</f>
        <v>#REF!</v>
      </c>
      <c r="AK177" s="202"/>
      <c r="AL177" s="152" t="e">
        <f>#REF!</f>
        <v>#REF!</v>
      </c>
      <c r="AM177" s="202"/>
      <c r="AN177" s="153" t="e">
        <f>#REF!</f>
        <v>#REF!</v>
      </c>
      <c r="AO177" s="202"/>
      <c r="AP177" s="152" t="e">
        <f>#REF!</f>
        <v>#REF!</v>
      </c>
      <c r="AQ177" s="202"/>
      <c r="AR177" s="154" t="e">
        <f>#REF!</f>
        <v>#REF!</v>
      </c>
      <c r="AS177" s="202"/>
      <c r="AT177" s="153" t="e">
        <f>#REF!</f>
        <v>#REF!</v>
      </c>
      <c r="AU177" s="202"/>
      <c r="AV177" s="152" t="e">
        <f>#REF!</f>
        <v>#REF!</v>
      </c>
      <c r="AW177" s="202"/>
      <c r="AX177" s="153" t="e">
        <f>#REF!</f>
        <v>#REF!</v>
      </c>
      <c r="AY177" s="202"/>
      <c r="AZ177" s="152" t="e">
        <f>#REF!</f>
        <v>#REF!</v>
      </c>
      <c r="BA177" s="202"/>
      <c r="BB177" s="154" t="e">
        <f>#REF!</f>
        <v>#REF!</v>
      </c>
      <c r="BC177" s="137"/>
    </row>
    <row r="178" spans="1:55" ht="30" customHeight="1">
      <c r="A178" s="203" t="e">
        <f>#REF!</f>
        <v>#REF!</v>
      </c>
      <c r="B178" s="204" t="e">
        <f xml:space="preserve"> IF(#REF!=0, "",#REF!)</f>
        <v>#REF!</v>
      </c>
      <c r="C178" s="369" t="e">
        <f>#REF!</f>
        <v>#REF!</v>
      </c>
      <c r="D178" s="369"/>
      <c r="E178" s="291" t="e">
        <f>#REF!</f>
        <v>#REF!</v>
      </c>
      <c r="F178" s="148" t="e">
        <f>#REF!</f>
        <v>#REF!</v>
      </c>
      <c r="G178" s="205" t="e">
        <f xml:space="preserve"> IF(#REF!="", "",#REF!)</f>
        <v>#REF!</v>
      </c>
      <c r="H178" s="205" t="e">
        <f xml:space="preserve"> IF(#REF!="", "",#REF!)</f>
        <v>#REF!</v>
      </c>
      <c r="I178" s="205" t="e">
        <f xml:space="preserve"> IF(#REF!="", "",#REF!)</f>
        <v>#REF!</v>
      </c>
      <c r="J178" s="298" t="e">
        <f>#REF!</f>
        <v>#REF!</v>
      </c>
      <c r="K178" s="149" t="e">
        <f>#REF!</f>
        <v>#REF!</v>
      </c>
      <c r="L178" s="149" t="e">
        <f>#REF!</f>
        <v>#REF!</v>
      </c>
      <c r="M178" s="150" t="e">
        <f>#REF!</f>
        <v>#REF!</v>
      </c>
      <c r="N178" s="364"/>
      <c r="O178" s="202"/>
      <c r="P178" s="151" t="e">
        <f>#REF!</f>
        <v>#REF!</v>
      </c>
      <c r="Q178" s="202"/>
      <c r="R178" s="152" t="e">
        <f>#REF!</f>
        <v>#REF!</v>
      </c>
      <c r="S178" s="202"/>
      <c r="T178" s="153" t="e">
        <f>#REF!</f>
        <v>#REF!</v>
      </c>
      <c r="U178" s="202"/>
      <c r="V178" s="153" t="e">
        <f>#REF!</f>
        <v>#REF!</v>
      </c>
      <c r="W178" s="202"/>
      <c r="X178" s="153" t="e">
        <f>#REF!</f>
        <v>#REF!</v>
      </c>
      <c r="Y178" s="202"/>
      <c r="Z178" s="152" t="e">
        <f>#REF!</f>
        <v>#REF!</v>
      </c>
      <c r="AA178" s="202"/>
      <c r="AB178" s="153" t="e">
        <f>#REF!</f>
        <v>#REF!</v>
      </c>
      <c r="AC178" s="202"/>
      <c r="AD178" s="152" t="e">
        <f>#REF!</f>
        <v>#REF!</v>
      </c>
      <c r="AE178" s="202"/>
      <c r="AF178" s="153" t="e">
        <f>#REF!</f>
        <v>#REF!</v>
      </c>
      <c r="AG178" s="202"/>
      <c r="AH178" s="152" t="e">
        <f>#REF!</f>
        <v>#REF!</v>
      </c>
      <c r="AI178" s="202"/>
      <c r="AJ178" s="153" t="e">
        <f>#REF!</f>
        <v>#REF!</v>
      </c>
      <c r="AK178" s="202"/>
      <c r="AL178" s="152" t="e">
        <f>#REF!</f>
        <v>#REF!</v>
      </c>
      <c r="AM178" s="202"/>
      <c r="AN178" s="153" t="e">
        <f>#REF!</f>
        <v>#REF!</v>
      </c>
      <c r="AO178" s="202"/>
      <c r="AP178" s="152" t="e">
        <f>#REF!</f>
        <v>#REF!</v>
      </c>
      <c r="AQ178" s="202"/>
      <c r="AR178" s="154" t="e">
        <f>#REF!</f>
        <v>#REF!</v>
      </c>
      <c r="AS178" s="202"/>
      <c r="AT178" s="153" t="e">
        <f>#REF!</f>
        <v>#REF!</v>
      </c>
      <c r="AU178" s="202"/>
      <c r="AV178" s="152" t="e">
        <f>#REF!</f>
        <v>#REF!</v>
      </c>
      <c r="AW178" s="202"/>
      <c r="AX178" s="153" t="e">
        <f>#REF!</f>
        <v>#REF!</v>
      </c>
      <c r="AY178" s="202"/>
      <c r="AZ178" s="152" t="e">
        <f>#REF!</f>
        <v>#REF!</v>
      </c>
      <c r="BA178" s="202"/>
      <c r="BB178" s="154" t="e">
        <f>#REF!</f>
        <v>#REF!</v>
      </c>
      <c r="BC178" s="137"/>
    </row>
    <row r="179" spans="1:55" ht="30" customHeight="1">
      <c r="A179" s="203" t="e">
        <f>#REF!</f>
        <v>#REF!</v>
      </c>
      <c r="B179" s="204" t="e">
        <f xml:space="preserve"> IF(#REF!=0, "",#REF!)</f>
        <v>#REF!</v>
      </c>
      <c r="C179" s="369" t="e">
        <f>#REF!</f>
        <v>#REF!</v>
      </c>
      <c r="D179" s="369"/>
      <c r="E179" s="291" t="e">
        <f>#REF!</f>
        <v>#REF!</v>
      </c>
      <c r="F179" s="148" t="e">
        <f>#REF!</f>
        <v>#REF!</v>
      </c>
      <c r="G179" s="205" t="e">
        <f xml:space="preserve"> IF(#REF!="", "",#REF!)</f>
        <v>#REF!</v>
      </c>
      <c r="H179" s="205" t="e">
        <f xml:space="preserve"> IF(#REF!="", "",#REF!)</f>
        <v>#REF!</v>
      </c>
      <c r="I179" s="205" t="e">
        <f xml:space="preserve"> IF(#REF!="", "",#REF!)</f>
        <v>#REF!</v>
      </c>
      <c r="J179" s="298" t="e">
        <f>#REF!</f>
        <v>#REF!</v>
      </c>
      <c r="K179" s="149" t="e">
        <f>#REF!</f>
        <v>#REF!</v>
      </c>
      <c r="L179" s="149" t="e">
        <f>#REF!</f>
        <v>#REF!</v>
      </c>
      <c r="M179" s="150" t="e">
        <f>#REF!</f>
        <v>#REF!</v>
      </c>
      <c r="N179" s="364"/>
      <c r="O179" s="202"/>
      <c r="P179" s="151" t="e">
        <f>#REF!</f>
        <v>#REF!</v>
      </c>
      <c r="Q179" s="202"/>
      <c r="R179" s="152" t="e">
        <f>#REF!</f>
        <v>#REF!</v>
      </c>
      <c r="S179" s="202"/>
      <c r="T179" s="153" t="e">
        <f>#REF!</f>
        <v>#REF!</v>
      </c>
      <c r="U179" s="202"/>
      <c r="V179" s="153" t="e">
        <f>#REF!</f>
        <v>#REF!</v>
      </c>
      <c r="W179" s="202"/>
      <c r="X179" s="153" t="e">
        <f>#REF!</f>
        <v>#REF!</v>
      </c>
      <c r="Y179" s="202"/>
      <c r="Z179" s="152" t="e">
        <f>#REF!</f>
        <v>#REF!</v>
      </c>
      <c r="AA179" s="202"/>
      <c r="AB179" s="153" t="e">
        <f>#REF!</f>
        <v>#REF!</v>
      </c>
      <c r="AC179" s="202"/>
      <c r="AD179" s="152" t="e">
        <f>#REF!</f>
        <v>#REF!</v>
      </c>
      <c r="AE179" s="202"/>
      <c r="AF179" s="153" t="e">
        <f>#REF!</f>
        <v>#REF!</v>
      </c>
      <c r="AG179" s="202"/>
      <c r="AH179" s="152" t="e">
        <f>#REF!</f>
        <v>#REF!</v>
      </c>
      <c r="AI179" s="202"/>
      <c r="AJ179" s="153" t="e">
        <f>#REF!</f>
        <v>#REF!</v>
      </c>
      <c r="AK179" s="202"/>
      <c r="AL179" s="152" t="e">
        <f>#REF!</f>
        <v>#REF!</v>
      </c>
      <c r="AM179" s="202"/>
      <c r="AN179" s="153" t="e">
        <f>#REF!</f>
        <v>#REF!</v>
      </c>
      <c r="AO179" s="202"/>
      <c r="AP179" s="152" t="e">
        <f>#REF!</f>
        <v>#REF!</v>
      </c>
      <c r="AQ179" s="202"/>
      <c r="AR179" s="154" t="e">
        <f>#REF!</f>
        <v>#REF!</v>
      </c>
      <c r="AS179" s="202"/>
      <c r="AT179" s="153" t="e">
        <f>#REF!</f>
        <v>#REF!</v>
      </c>
      <c r="AU179" s="202"/>
      <c r="AV179" s="152" t="e">
        <f>#REF!</f>
        <v>#REF!</v>
      </c>
      <c r="AW179" s="202"/>
      <c r="AX179" s="153" t="e">
        <f>#REF!</f>
        <v>#REF!</v>
      </c>
      <c r="AY179" s="202"/>
      <c r="AZ179" s="152" t="e">
        <f>#REF!</f>
        <v>#REF!</v>
      </c>
      <c r="BA179" s="202"/>
      <c r="BB179" s="154" t="e">
        <f>#REF!</f>
        <v>#REF!</v>
      </c>
      <c r="BC179" s="137"/>
    </row>
    <row r="180" spans="1:55" ht="30" customHeight="1">
      <c r="A180" s="203" t="e">
        <f>#REF!</f>
        <v>#REF!</v>
      </c>
      <c r="B180" s="204" t="e">
        <f xml:space="preserve"> IF(#REF!=0, "",#REF!)</f>
        <v>#REF!</v>
      </c>
      <c r="C180" s="369" t="e">
        <f>#REF!</f>
        <v>#REF!</v>
      </c>
      <c r="D180" s="369"/>
      <c r="E180" s="291" t="e">
        <f>#REF!</f>
        <v>#REF!</v>
      </c>
      <c r="F180" s="148" t="e">
        <f>#REF!</f>
        <v>#REF!</v>
      </c>
      <c r="G180" s="205" t="e">
        <f xml:space="preserve"> IF(#REF!="", "",#REF!)</f>
        <v>#REF!</v>
      </c>
      <c r="H180" s="205" t="e">
        <f xml:space="preserve"> IF(#REF!="", "",#REF!)</f>
        <v>#REF!</v>
      </c>
      <c r="I180" s="205" t="e">
        <f xml:space="preserve"> IF(#REF!="", "",#REF!)</f>
        <v>#REF!</v>
      </c>
      <c r="J180" s="298" t="e">
        <f>#REF!</f>
        <v>#REF!</v>
      </c>
      <c r="K180" s="149" t="e">
        <f>#REF!</f>
        <v>#REF!</v>
      </c>
      <c r="L180" s="149" t="e">
        <f>#REF!</f>
        <v>#REF!</v>
      </c>
      <c r="M180" s="150" t="e">
        <f>#REF!</f>
        <v>#REF!</v>
      </c>
      <c r="N180" s="364"/>
      <c r="O180" s="202"/>
      <c r="P180" s="151" t="e">
        <f>#REF!</f>
        <v>#REF!</v>
      </c>
      <c r="Q180" s="202"/>
      <c r="R180" s="152" t="e">
        <f>#REF!</f>
        <v>#REF!</v>
      </c>
      <c r="S180" s="202"/>
      <c r="T180" s="153" t="e">
        <f>#REF!</f>
        <v>#REF!</v>
      </c>
      <c r="U180" s="202"/>
      <c r="V180" s="153" t="e">
        <f>#REF!</f>
        <v>#REF!</v>
      </c>
      <c r="W180" s="202"/>
      <c r="X180" s="153" t="e">
        <f>#REF!</f>
        <v>#REF!</v>
      </c>
      <c r="Y180" s="202"/>
      <c r="Z180" s="152" t="e">
        <f>#REF!</f>
        <v>#REF!</v>
      </c>
      <c r="AA180" s="202"/>
      <c r="AB180" s="153" t="e">
        <f>#REF!</f>
        <v>#REF!</v>
      </c>
      <c r="AC180" s="202"/>
      <c r="AD180" s="152" t="e">
        <f>#REF!</f>
        <v>#REF!</v>
      </c>
      <c r="AE180" s="202"/>
      <c r="AF180" s="153" t="e">
        <f>#REF!</f>
        <v>#REF!</v>
      </c>
      <c r="AG180" s="202"/>
      <c r="AH180" s="152" t="e">
        <f>#REF!</f>
        <v>#REF!</v>
      </c>
      <c r="AI180" s="202"/>
      <c r="AJ180" s="153" t="e">
        <f>#REF!</f>
        <v>#REF!</v>
      </c>
      <c r="AK180" s="202"/>
      <c r="AL180" s="152" t="e">
        <f>#REF!</f>
        <v>#REF!</v>
      </c>
      <c r="AM180" s="202"/>
      <c r="AN180" s="153" t="e">
        <f>#REF!</f>
        <v>#REF!</v>
      </c>
      <c r="AO180" s="202"/>
      <c r="AP180" s="152" t="e">
        <f>#REF!</f>
        <v>#REF!</v>
      </c>
      <c r="AQ180" s="202"/>
      <c r="AR180" s="154" t="e">
        <f>#REF!</f>
        <v>#REF!</v>
      </c>
      <c r="AS180" s="202"/>
      <c r="AT180" s="153" t="e">
        <f>#REF!</f>
        <v>#REF!</v>
      </c>
      <c r="AU180" s="202"/>
      <c r="AV180" s="152" t="e">
        <f>#REF!</f>
        <v>#REF!</v>
      </c>
      <c r="AW180" s="202"/>
      <c r="AX180" s="153" t="e">
        <f>#REF!</f>
        <v>#REF!</v>
      </c>
      <c r="AY180" s="202"/>
      <c r="AZ180" s="152" t="e">
        <f>#REF!</f>
        <v>#REF!</v>
      </c>
      <c r="BA180" s="202"/>
      <c r="BB180" s="154" t="e">
        <f>#REF!</f>
        <v>#REF!</v>
      </c>
      <c r="BC180" s="137"/>
    </row>
    <row r="181" spans="1:55" ht="30" customHeight="1">
      <c r="A181" s="203" t="e">
        <f>#REF!</f>
        <v>#REF!</v>
      </c>
      <c r="B181" s="204" t="e">
        <f xml:space="preserve"> IF(#REF!=0, "",#REF!)</f>
        <v>#REF!</v>
      </c>
      <c r="C181" s="369" t="e">
        <f>#REF!</f>
        <v>#REF!</v>
      </c>
      <c r="D181" s="369"/>
      <c r="E181" s="291" t="e">
        <f>#REF!</f>
        <v>#REF!</v>
      </c>
      <c r="F181" s="148" t="e">
        <f>#REF!</f>
        <v>#REF!</v>
      </c>
      <c r="G181" s="205" t="e">
        <f xml:space="preserve"> IF(#REF!="", "",#REF!)</f>
        <v>#REF!</v>
      </c>
      <c r="H181" s="205" t="e">
        <f xml:space="preserve"> IF(#REF!="", "",#REF!)</f>
        <v>#REF!</v>
      </c>
      <c r="I181" s="205" t="e">
        <f xml:space="preserve"> IF(#REF!="", "",#REF!)</f>
        <v>#REF!</v>
      </c>
      <c r="J181" s="298" t="e">
        <f>#REF!</f>
        <v>#REF!</v>
      </c>
      <c r="K181" s="149" t="e">
        <f>#REF!</f>
        <v>#REF!</v>
      </c>
      <c r="L181" s="149" t="e">
        <f>#REF!</f>
        <v>#REF!</v>
      </c>
      <c r="M181" s="150" t="e">
        <f>#REF!</f>
        <v>#REF!</v>
      </c>
      <c r="N181" s="364"/>
      <c r="O181" s="202"/>
      <c r="P181" s="151" t="e">
        <f>#REF!</f>
        <v>#REF!</v>
      </c>
      <c r="Q181" s="202"/>
      <c r="R181" s="152" t="e">
        <f>#REF!</f>
        <v>#REF!</v>
      </c>
      <c r="S181" s="202"/>
      <c r="T181" s="153" t="e">
        <f>#REF!</f>
        <v>#REF!</v>
      </c>
      <c r="U181" s="202"/>
      <c r="V181" s="153" t="e">
        <f>#REF!</f>
        <v>#REF!</v>
      </c>
      <c r="W181" s="202"/>
      <c r="X181" s="153" t="e">
        <f>#REF!</f>
        <v>#REF!</v>
      </c>
      <c r="Y181" s="202"/>
      <c r="Z181" s="152" t="e">
        <f>#REF!</f>
        <v>#REF!</v>
      </c>
      <c r="AA181" s="202"/>
      <c r="AB181" s="153" t="e">
        <f>#REF!</f>
        <v>#REF!</v>
      </c>
      <c r="AC181" s="202"/>
      <c r="AD181" s="152" t="e">
        <f>#REF!</f>
        <v>#REF!</v>
      </c>
      <c r="AE181" s="202"/>
      <c r="AF181" s="153" t="e">
        <f>#REF!</f>
        <v>#REF!</v>
      </c>
      <c r="AG181" s="202"/>
      <c r="AH181" s="152" t="e">
        <f>#REF!</f>
        <v>#REF!</v>
      </c>
      <c r="AI181" s="202"/>
      <c r="AJ181" s="153" t="e">
        <f>#REF!</f>
        <v>#REF!</v>
      </c>
      <c r="AK181" s="202"/>
      <c r="AL181" s="152" t="e">
        <f>#REF!</f>
        <v>#REF!</v>
      </c>
      <c r="AM181" s="202"/>
      <c r="AN181" s="153" t="e">
        <f>#REF!</f>
        <v>#REF!</v>
      </c>
      <c r="AO181" s="202"/>
      <c r="AP181" s="152" t="e">
        <f>#REF!</f>
        <v>#REF!</v>
      </c>
      <c r="AQ181" s="202"/>
      <c r="AR181" s="154" t="e">
        <f>#REF!</f>
        <v>#REF!</v>
      </c>
      <c r="AS181" s="202"/>
      <c r="AT181" s="153" t="e">
        <f>#REF!</f>
        <v>#REF!</v>
      </c>
      <c r="AU181" s="202"/>
      <c r="AV181" s="152" t="e">
        <f>#REF!</f>
        <v>#REF!</v>
      </c>
      <c r="AW181" s="202"/>
      <c r="AX181" s="153" t="e">
        <f>#REF!</f>
        <v>#REF!</v>
      </c>
      <c r="AY181" s="202"/>
      <c r="AZ181" s="152" t="e">
        <f>#REF!</f>
        <v>#REF!</v>
      </c>
      <c r="BA181" s="202"/>
      <c r="BB181" s="154" t="e">
        <f>#REF!</f>
        <v>#REF!</v>
      </c>
      <c r="BC181" s="137"/>
    </row>
    <row r="182" spans="1:55" ht="30" customHeight="1">
      <c r="A182" s="203" t="e">
        <f>#REF!</f>
        <v>#REF!</v>
      </c>
      <c r="B182" s="204" t="e">
        <f xml:space="preserve"> IF(#REF!=0, "",#REF!)</f>
        <v>#REF!</v>
      </c>
      <c r="C182" s="369" t="e">
        <f>#REF!</f>
        <v>#REF!</v>
      </c>
      <c r="D182" s="369"/>
      <c r="E182" s="291" t="e">
        <f>#REF!</f>
        <v>#REF!</v>
      </c>
      <c r="F182" s="148" t="e">
        <f>#REF!</f>
        <v>#REF!</v>
      </c>
      <c r="G182" s="205" t="e">
        <f xml:space="preserve"> IF(#REF!="", "",#REF!)</f>
        <v>#REF!</v>
      </c>
      <c r="H182" s="205" t="e">
        <f xml:space="preserve"> IF(#REF!="", "",#REF!)</f>
        <v>#REF!</v>
      </c>
      <c r="I182" s="205" t="e">
        <f xml:space="preserve"> IF(#REF!="", "",#REF!)</f>
        <v>#REF!</v>
      </c>
      <c r="J182" s="298" t="e">
        <f>#REF!</f>
        <v>#REF!</v>
      </c>
      <c r="K182" s="149" t="e">
        <f>#REF!</f>
        <v>#REF!</v>
      </c>
      <c r="L182" s="149" t="e">
        <f>#REF!</f>
        <v>#REF!</v>
      </c>
      <c r="M182" s="150" t="e">
        <f>#REF!</f>
        <v>#REF!</v>
      </c>
      <c r="N182" s="364"/>
      <c r="O182" s="202"/>
      <c r="P182" s="151" t="e">
        <f>#REF!</f>
        <v>#REF!</v>
      </c>
      <c r="Q182" s="202"/>
      <c r="R182" s="152" t="e">
        <f>#REF!</f>
        <v>#REF!</v>
      </c>
      <c r="S182" s="202"/>
      <c r="T182" s="153" t="e">
        <f>#REF!</f>
        <v>#REF!</v>
      </c>
      <c r="U182" s="202"/>
      <c r="V182" s="153" t="e">
        <f>#REF!</f>
        <v>#REF!</v>
      </c>
      <c r="W182" s="202"/>
      <c r="X182" s="153" t="e">
        <f>#REF!</f>
        <v>#REF!</v>
      </c>
      <c r="Y182" s="202"/>
      <c r="Z182" s="152" t="e">
        <f>#REF!</f>
        <v>#REF!</v>
      </c>
      <c r="AA182" s="202"/>
      <c r="AB182" s="153" t="e">
        <f>#REF!</f>
        <v>#REF!</v>
      </c>
      <c r="AC182" s="202"/>
      <c r="AD182" s="152" t="e">
        <f>#REF!</f>
        <v>#REF!</v>
      </c>
      <c r="AE182" s="202"/>
      <c r="AF182" s="153" t="e">
        <f>#REF!</f>
        <v>#REF!</v>
      </c>
      <c r="AG182" s="202"/>
      <c r="AH182" s="152" t="e">
        <f>#REF!</f>
        <v>#REF!</v>
      </c>
      <c r="AI182" s="202"/>
      <c r="AJ182" s="153" t="e">
        <f>#REF!</f>
        <v>#REF!</v>
      </c>
      <c r="AK182" s="202"/>
      <c r="AL182" s="152" t="e">
        <f>#REF!</f>
        <v>#REF!</v>
      </c>
      <c r="AM182" s="202"/>
      <c r="AN182" s="153" t="e">
        <f>#REF!</f>
        <v>#REF!</v>
      </c>
      <c r="AO182" s="202"/>
      <c r="AP182" s="152" t="e">
        <f>#REF!</f>
        <v>#REF!</v>
      </c>
      <c r="AQ182" s="202"/>
      <c r="AR182" s="154" t="e">
        <f>#REF!</f>
        <v>#REF!</v>
      </c>
      <c r="AS182" s="202"/>
      <c r="AT182" s="153" t="e">
        <f>#REF!</f>
        <v>#REF!</v>
      </c>
      <c r="AU182" s="202"/>
      <c r="AV182" s="152" t="e">
        <f>#REF!</f>
        <v>#REF!</v>
      </c>
      <c r="AW182" s="202"/>
      <c r="AX182" s="153" t="e">
        <f>#REF!</f>
        <v>#REF!</v>
      </c>
      <c r="AY182" s="202"/>
      <c r="AZ182" s="152" t="e">
        <f>#REF!</f>
        <v>#REF!</v>
      </c>
      <c r="BA182" s="202"/>
      <c r="BB182" s="154" t="e">
        <f>#REF!</f>
        <v>#REF!</v>
      </c>
      <c r="BC182" s="137"/>
    </row>
    <row r="183" spans="1:55" ht="30" customHeight="1">
      <c r="A183" s="203" t="e">
        <f>#REF!</f>
        <v>#REF!</v>
      </c>
      <c r="B183" s="204" t="e">
        <f xml:space="preserve"> IF(#REF!=0, "",#REF!)</f>
        <v>#REF!</v>
      </c>
      <c r="C183" s="369" t="e">
        <f>#REF!</f>
        <v>#REF!</v>
      </c>
      <c r="D183" s="369"/>
      <c r="E183" s="291" t="e">
        <f>#REF!</f>
        <v>#REF!</v>
      </c>
      <c r="F183" s="148" t="e">
        <f>#REF!</f>
        <v>#REF!</v>
      </c>
      <c r="G183" s="205" t="e">
        <f xml:space="preserve"> IF(#REF!="", "",#REF!)</f>
        <v>#REF!</v>
      </c>
      <c r="H183" s="205" t="e">
        <f xml:space="preserve"> IF(#REF!="", "",#REF!)</f>
        <v>#REF!</v>
      </c>
      <c r="I183" s="205" t="e">
        <f xml:space="preserve"> IF(#REF!="", "",#REF!)</f>
        <v>#REF!</v>
      </c>
      <c r="J183" s="298" t="e">
        <f>#REF!</f>
        <v>#REF!</v>
      </c>
      <c r="K183" s="149" t="e">
        <f>#REF!</f>
        <v>#REF!</v>
      </c>
      <c r="L183" s="149" t="e">
        <f>#REF!</f>
        <v>#REF!</v>
      </c>
      <c r="M183" s="150" t="e">
        <f>#REF!</f>
        <v>#REF!</v>
      </c>
      <c r="N183" s="364"/>
      <c r="O183" s="202"/>
      <c r="P183" s="151" t="e">
        <f>#REF!</f>
        <v>#REF!</v>
      </c>
      <c r="Q183" s="202"/>
      <c r="R183" s="152" t="e">
        <f>#REF!</f>
        <v>#REF!</v>
      </c>
      <c r="S183" s="202"/>
      <c r="T183" s="153" t="e">
        <f>#REF!</f>
        <v>#REF!</v>
      </c>
      <c r="U183" s="202"/>
      <c r="V183" s="153" t="e">
        <f>#REF!</f>
        <v>#REF!</v>
      </c>
      <c r="W183" s="202"/>
      <c r="X183" s="153" t="e">
        <f>#REF!</f>
        <v>#REF!</v>
      </c>
      <c r="Y183" s="202"/>
      <c r="Z183" s="152" t="e">
        <f>#REF!</f>
        <v>#REF!</v>
      </c>
      <c r="AA183" s="202"/>
      <c r="AB183" s="153" t="e">
        <f>#REF!</f>
        <v>#REF!</v>
      </c>
      <c r="AC183" s="202"/>
      <c r="AD183" s="152" t="e">
        <f>#REF!</f>
        <v>#REF!</v>
      </c>
      <c r="AE183" s="202"/>
      <c r="AF183" s="153" t="e">
        <f>#REF!</f>
        <v>#REF!</v>
      </c>
      <c r="AG183" s="202"/>
      <c r="AH183" s="152" t="e">
        <f>#REF!</f>
        <v>#REF!</v>
      </c>
      <c r="AI183" s="202"/>
      <c r="AJ183" s="153" t="e">
        <f>#REF!</f>
        <v>#REF!</v>
      </c>
      <c r="AK183" s="202"/>
      <c r="AL183" s="152" t="e">
        <f>#REF!</f>
        <v>#REF!</v>
      </c>
      <c r="AM183" s="202"/>
      <c r="AN183" s="153" t="e">
        <f>#REF!</f>
        <v>#REF!</v>
      </c>
      <c r="AO183" s="202"/>
      <c r="AP183" s="152" t="e">
        <f>#REF!</f>
        <v>#REF!</v>
      </c>
      <c r="AQ183" s="202"/>
      <c r="AR183" s="154" t="e">
        <f>#REF!</f>
        <v>#REF!</v>
      </c>
      <c r="AS183" s="202"/>
      <c r="AT183" s="153" t="e">
        <f>#REF!</f>
        <v>#REF!</v>
      </c>
      <c r="AU183" s="202"/>
      <c r="AV183" s="152" t="e">
        <f>#REF!</f>
        <v>#REF!</v>
      </c>
      <c r="AW183" s="202"/>
      <c r="AX183" s="153" t="e">
        <f>#REF!</f>
        <v>#REF!</v>
      </c>
      <c r="AY183" s="202"/>
      <c r="AZ183" s="152" t="e">
        <f>#REF!</f>
        <v>#REF!</v>
      </c>
      <c r="BA183" s="202"/>
      <c r="BB183" s="154" t="e">
        <f>#REF!</f>
        <v>#REF!</v>
      </c>
      <c r="BC183" s="137"/>
    </row>
    <row r="184" spans="1:55" ht="30" customHeight="1">
      <c r="A184" s="203" t="e">
        <f>#REF!</f>
        <v>#REF!</v>
      </c>
      <c r="B184" s="204" t="e">
        <f xml:space="preserve"> IF(#REF!=0, "",#REF!)</f>
        <v>#REF!</v>
      </c>
      <c r="C184" s="369" t="e">
        <f>#REF!</f>
        <v>#REF!</v>
      </c>
      <c r="D184" s="369"/>
      <c r="E184" s="291" t="e">
        <f>#REF!</f>
        <v>#REF!</v>
      </c>
      <c r="F184" s="148" t="e">
        <f>#REF!</f>
        <v>#REF!</v>
      </c>
      <c r="G184" s="205" t="e">
        <f xml:space="preserve"> IF(#REF!="", "",#REF!)</f>
        <v>#REF!</v>
      </c>
      <c r="H184" s="205" t="e">
        <f xml:space="preserve"> IF(#REF!="", "",#REF!)</f>
        <v>#REF!</v>
      </c>
      <c r="I184" s="205" t="e">
        <f xml:space="preserve"> IF(#REF!="", "",#REF!)</f>
        <v>#REF!</v>
      </c>
      <c r="J184" s="298" t="e">
        <f>#REF!</f>
        <v>#REF!</v>
      </c>
      <c r="K184" s="149" t="e">
        <f>#REF!</f>
        <v>#REF!</v>
      </c>
      <c r="L184" s="149" t="e">
        <f>#REF!</f>
        <v>#REF!</v>
      </c>
      <c r="M184" s="150" t="e">
        <f>#REF!</f>
        <v>#REF!</v>
      </c>
      <c r="N184" s="364"/>
      <c r="O184" s="202"/>
      <c r="P184" s="151" t="e">
        <f>#REF!</f>
        <v>#REF!</v>
      </c>
      <c r="Q184" s="202"/>
      <c r="R184" s="152" t="e">
        <f>#REF!</f>
        <v>#REF!</v>
      </c>
      <c r="S184" s="202"/>
      <c r="T184" s="153" t="e">
        <f>#REF!</f>
        <v>#REF!</v>
      </c>
      <c r="U184" s="202"/>
      <c r="V184" s="153" t="e">
        <f>#REF!</f>
        <v>#REF!</v>
      </c>
      <c r="W184" s="202"/>
      <c r="X184" s="153" t="e">
        <f>#REF!</f>
        <v>#REF!</v>
      </c>
      <c r="Y184" s="202"/>
      <c r="Z184" s="152" t="e">
        <f>#REF!</f>
        <v>#REF!</v>
      </c>
      <c r="AA184" s="202"/>
      <c r="AB184" s="153" t="e">
        <f>#REF!</f>
        <v>#REF!</v>
      </c>
      <c r="AC184" s="202"/>
      <c r="AD184" s="152" t="e">
        <f>#REF!</f>
        <v>#REF!</v>
      </c>
      <c r="AE184" s="202"/>
      <c r="AF184" s="153" t="e">
        <f>#REF!</f>
        <v>#REF!</v>
      </c>
      <c r="AG184" s="202"/>
      <c r="AH184" s="152" t="e">
        <f>#REF!</f>
        <v>#REF!</v>
      </c>
      <c r="AI184" s="202"/>
      <c r="AJ184" s="153" t="e">
        <f>#REF!</f>
        <v>#REF!</v>
      </c>
      <c r="AK184" s="202"/>
      <c r="AL184" s="152" t="e">
        <f>#REF!</f>
        <v>#REF!</v>
      </c>
      <c r="AM184" s="202"/>
      <c r="AN184" s="153" t="e">
        <f>#REF!</f>
        <v>#REF!</v>
      </c>
      <c r="AO184" s="202"/>
      <c r="AP184" s="152" t="e">
        <f>#REF!</f>
        <v>#REF!</v>
      </c>
      <c r="AQ184" s="202"/>
      <c r="AR184" s="154" t="e">
        <f>#REF!</f>
        <v>#REF!</v>
      </c>
      <c r="AS184" s="202"/>
      <c r="AT184" s="153" t="e">
        <f>#REF!</f>
        <v>#REF!</v>
      </c>
      <c r="AU184" s="202"/>
      <c r="AV184" s="152" t="e">
        <f>#REF!</f>
        <v>#REF!</v>
      </c>
      <c r="AW184" s="202"/>
      <c r="AX184" s="153" t="e">
        <f>#REF!</f>
        <v>#REF!</v>
      </c>
      <c r="AY184" s="202"/>
      <c r="AZ184" s="152" t="e">
        <f>#REF!</f>
        <v>#REF!</v>
      </c>
      <c r="BA184" s="202"/>
      <c r="BB184" s="154" t="e">
        <f>#REF!</f>
        <v>#REF!</v>
      </c>
      <c r="BC184" s="137"/>
    </row>
    <row r="185" spans="1:55" ht="30" customHeight="1">
      <c r="A185" s="203" t="e">
        <f>#REF!</f>
        <v>#REF!</v>
      </c>
      <c r="B185" s="204" t="e">
        <f xml:space="preserve"> IF(#REF!=0, "",#REF!)</f>
        <v>#REF!</v>
      </c>
      <c r="C185" s="369" t="e">
        <f>#REF!</f>
        <v>#REF!</v>
      </c>
      <c r="D185" s="369"/>
      <c r="E185" s="291" t="e">
        <f>#REF!</f>
        <v>#REF!</v>
      </c>
      <c r="F185" s="148" t="e">
        <f>#REF!</f>
        <v>#REF!</v>
      </c>
      <c r="G185" s="205" t="e">
        <f xml:space="preserve"> IF(#REF!="", "",#REF!)</f>
        <v>#REF!</v>
      </c>
      <c r="H185" s="205" t="e">
        <f xml:space="preserve"> IF(#REF!="", "",#REF!)</f>
        <v>#REF!</v>
      </c>
      <c r="I185" s="205" t="e">
        <f xml:space="preserve"> IF(#REF!="", "",#REF!)</f>
        <v>#REF!</v>
      </c>
      <c r="J185" s="298" t="e">
        <f>#REF!</f>
        <v>#REF!</v>
      </c>
      <c r="K185" s="149" t="e">
        <f>#REF!</f>
        <v>#REF!</v>
      </c>
      <c r="L185" s="149" t="e">
        <f>#REF!</f>
        <v>#REF!</v>
      </c>
      <c r="M185" s="150" t="e">
        <f>#REF!</f>
        <v>#REF!</v>
      </c>
      <c r="N185" s="364"/>
      <c r="O185" s="202"/>
      <c r="P185" s="151" t="e">
        <f>#REF!</f>
        <v>#REF!</v>
      </c>
      <c r="Q185" s="202"/>
      <c r="R185" s="152" t="e">
        <f>#REF!</f>
        <v>#REF!</v>
      </c>
      <c r="S185" s="202"/>
      <c r="T185" s="153" t="e">
        <f>#REF!</f>
        <v>#REF!</v>
      </c>
      <c r="U185" s="202"/>
      <c r="V185" s="153" t="e">
        <f>#REF!</f>
        <v>#REF!</v>
      </c>
      <c r="W185" s="202"/>
      <c r="X185" s="153" t="e">
        <f>#REF!</f>
        <v>#REF!</v>
      </c>
      <c r="Y185" s="202"/>
      <c r="Z185" s="152" t="e">
        <f>#REF!</f>
        <v>#REF!</v>
      </c>
      <c r="AA185" s="202"/>
      <c r="AB185" s="153" t="e">
        <f>#REF!</f>
        <v>#REF!</v>
      </c>
      <c r="AC185" s="202"/>
      <c r="AD185" s="152" t="e">
        <f>#REF!</f>
        <v>#REF!</v>
      </c>
      <c r="AE185" s="202"/>
      <c r="AF185" s="153" t="e">
        <f>#REF!</f>
        <v>#REF!</v>
      </c>
      <c r="AG185" s="202"/>
      <c r="AH185" s="152" t="e">
        <f>#REF!</f>
        <v>#REF!</v>
      </c>
      <c r="AI185" s="202"/>
      <c r="AJ185" s="153" t="e">
        <f>#REF!</f>
        <v>#REF!</v>
      </c>
      <c r="AK185" s="202"/>
      <c r="AL185" s="152" t="e">
        <f>#REF!</f>
        <v>#REF!</v>
      </c>
      <c r="AM185" s="202"/>
      <c r="AN185" s="153" t="e">
        <f>#REF!</f>
        <v>#REF!</v>
      </c>
      <c r="AO185" s="202"/>
      <c r="AP185" s="152" t="e">
        <f>#REF!</f>
        <v>#REF!</v>
      </c>
      <c r="AQ185" s="202"/>
      <c r="AR185" s="154" t="e">
        <f>#REF!</f>
        <v>#REF!</v>
      </c>
      <c r="AS185" s="202"/>
      <c r="AT185" s="153" t="e">
        <f>#REF!</f>
        <v>#REF!</v>
      </c>
      <c r="AU185" s="202"/>
      <c r="AV185" s="152" t="e">
        <f>#REF!</f>
        <v>#REF!</v>
      </c>
      <c r="AW185" s="202"/>
      <c r="AX185" s="153" t="e">
        <f>#REF!</f>
        <v>#REF!</v>
      </c>
      <c r="AY185" s="202"/>
      <c r="AZ185" s="152" t="e">
        <f>#REF!</f>
        <v>#REF!</v>
      </c>
      <c r="BA185" s="202"/>
      <c r="BB185" s="154" t="e">
        <f>#REF!</f>
        <v>#REF!</v>
      </c>
      <c r="BC185" s="137"/>
    </row>
    <row r="186" spans="1:55" ht="30" customHeight="1">
      <c r="A186" s="203" t="e">
        <f>#REF!</f>
        <v>#REF!</v>
      </c>
      <c r="B186" s="204" t="e">
        <f xml:space="preserve"> IF(#REF!=0, "",#REF!)</f>
        <v>#REF!</v>
      </c>
      <c r="C186" s="369" t="e">
        <f>#REF!</f>
        <v>#REF!</v>
      </c>
      <c r="D186" s="369"/>
      <c r="E186" s="291" t="e">
        <f>#REF!</f>
        <v>#REF!</v>
      </c>
      <c r="F186" s="148" t="e">
        <f>#REF!</f>
        <v>#REF!</v>
      </c>
      <c r="G186" s="205" t="e">
        <f xml:space="preserve"> IF(#REF!="", "",#REF!)</f>
        <v>#REF!</v>
      </c>
      <c r="H186" s="205" t="e">
        <f xml:space="preserve"> IF(#REF!="", "",#REF!)</f>
        <v>#REF!</v>
      </c>
      <c r="I186" s="205" t="e">
        <f xml:space="preserve"> IF(#REF!="", "",#REF!)</f>
        <v>#REF!</v>
      </c>
      <c r="J186" s="298" t="e">
        <f>#REF!</f>
        <v>#REF!</v>
      </c>
      <c r="K186" s="149" t="e">
        <f>#REF!</f>
        <v>#REF!</v>
      </c>
      <c r="L186" s="149" t="e">
        <f>#REF!</f>
        <v>#REF!</v>
      </c>
      <c r="M186" s="150" t="e">
        <f>#REF!</f>
        <v>#REF!</v>
      </c>
      <c r="N186" s="364"/>
      <c r="O186" s="202"/>
      <c r="P186" s="151" t="e">
        <f>#REF!</f>
        <v>#REF!</v>
      </c>
      <c r="Q186" s="202"/>
      <c r="R186" s="152" t="e">
        <f>#REF!</f>
        <v>#REF!</v>
      </c>
      <c r="S186" s="202"/>
      <c r="T186" s="153" t="e">
        <f>#REF!</f>
        <v>#REF!</v>
      </c>
      <c r="U186" s="202"/>
      <c r="V186" s="153" t="e">
        <f>#REF!</f>
        <v>#REF!</v>
      </c>
      <c r="W186" s="202"/>
      <c r="X186" s="153" t="e">
        <f>#REF!</f>
        <v>#REF!</v>
      </c>
      <c r="Y186" s="202"/>
      <c r="Z186" s="152" t="e">
        <f>#REF!</f>
        <v>#REF!</v>
      </c>
      <c r="AA186" s="202"/>
      <c r="AB186" s="153" t="e">
        <f>#REF!</f>
        <v>#REF!</v>
      </c>
      <c r="AC186" s="202"/>
      <c r="AD186" s="152" t="e">
        <f>#REF!</f>
        <v>#REF!</v>
      </c>
      <c r="AE186" s="202"/>
      <c r="AF186" s="153" t="e">
        <f>#REF!</f>
        <v>#REF!</v>
      </c>
      <c r="AG186" s="202"/>
      <c r="AH186" s="152" t="e">
        <f>#REF!</f>
        <v>#REF!</v>
      </c>
      <c r="AI186" s="202"/>
      <c r="AJ186" s="153" t="e">
        <f>#REF!</f>
        <v>#REF!</v>
      </c>
      <c r="AK186" s="202"/>
      <c r="AL186" s="152" t="e">
        <f>#REF!</f>
        <v>#REF!</v>
      </c>
      <c r="AM186" s="202"/>
      <c r="AN186" s="153" t="e">
        <f>#REF!</f>
        <v>#REF!</v>
      </c>
      <c r="AO186" s="202"/>
      <c r="AP186" s="152" t="e">
        <f>#REF!</f>
        <v>#REF!</v>
      </c>
      <c r="AQ186" s="202"/>
      <c r="AR186" s="154" t="e">
        <f>#REF!</f>
        <v>#REF!</v>
      </c>
      <c r="AS186" s="202"/>
      <c r="AT186" s="153" t="e">
        <f>#REF!</f>
        <v>#REF!</v>
      </c>
      <c r="AU186" s="202"/>
      <c r="AV186" s="152" t="e">
        <f>#REF!</f>
        <v>#REF!</v>
      </c>
      <c r="AW186" s="202"/>
      <c r="AX186" s="153" t="e">
        <f>#REF!</f>
        <v>#REF!</v>
      </c>
      <c r="AY186" s="202"/>
      <c r="AZ186" s="152" t="e">
        <f>#REF!</f>
        <v>#REF!</v>
      </c>
      <c r="BA186" s="202"/>
      <c r="BB186" s="154" t="e">
        <f>#REF!</f>
        <v>#REF!</v>
      </c>
      <c r="BC186" s="137"/>
    </row>
    <row r="187" spans="1:55" ht="30" customHeight="1">
      <c r="A187" s="203" t="e">
        <f>#REF!</f>
        <v>#REF!</v>
      </c>
      <c r="B187" s="204" t="e">
        <f xml:space="preserve"> IF(#REF!=0, "",#REF!)</f>
        <v>#REF!</v>
      </c>
      <c r="C187" s="369" t="e">
        <f>#REF!</f>
        <v>#REF!</v>
      </c>
      <c r="D187" s="369"/>
      <c r="E187" s="291" t="e">
        <f>#REF!</f>
        <v>#REF!</v>
      </c>
      <c r="F187" s="148" t="e">
        <f>#REF!</f>
        <v>#REF!</v>
      </c>
      <c r="G187" s="205" t="e">
        <f xml:space="preserve"> IF(#REF!="", "",#REF!)</f>
        <v>#REF!</v>
      </c>
      <c r="H187" s="205" t="e">
        <f xml:space="preserve"> IF(#REF!="", "",#REF!)</f>
        <v>#REF!</v>
      </c>
      <c r="I187" s="205" t="e">
        <f xml:space="preserve"> IF(#REF!="", "",#REF!)</f>
        <v>#REF!</v>
      </c>
      <c r="J187" s="298" t="e">
        <f>#REF!</f>
        <v>#REF!</v>
      </c>
      <c r="K187" s="149" t="e">
        <f>#REF!</f>
        <v>#REF!</v>
      </c>
      <c r="L187" s="149" t="e">
        <f>#REF!</f>
        <v>#REF!</v>
      </c>
      <c r="M187" s="150" t="e">
        <f>#REF!</f>
        <v>#REF!</v>
      </c>
      <c r="N187" s="364"/>
      <c r="O187" s="202"/>
      <c r="P187" s="151" t="e">
        <f>#REF!</f>
        <v>#REF!</v>
      </c>
      <c r="Q187" s="202"/>
      <c r="R187" s="152" t="e">
        <f>#REF!</f>
        <v>#REF!</v>
      </c>
      <c r="S187" s="202"/>
      <c r="T187" s="153" t="e">
        <f>#REF!</f>
        <v>#REF!</v>
      </c>
      <c r="U187" s="202"/>
      <c r="V187" s="153" t="e">
        <f>#REF!</f>
        <v>#REF!</v>
      </c>
      <c r="W187" s="202"/>
      <c r="X187" s="153" t="e">
        <f>#REF!</f>
        <v>#REF!</v>
      </c>
      <c r="Y187" s="202"/>
      <c r="Z187" s="152" t="e">
        <f>#REF!</f>
        <v>#REF!</v>
      </c>
      <c r="AA187" s="202"/>
      <c r="AB187" s="153" t="e">
        <f>#REF!</f>
        <v>#REF!</v>
      </c>
      <c r="AC187" s="202"/>
      <c r="AD187" s="152" t="e">
        <f>#REF!</f>
        <v>#REF!</v>
      </c>
      <c r="AE187" s="202"/>
      <c r="AF187" s="153" t="e">
        <f>#REF!</f>
        <v>#REF!</v>
      </c>
      <c r="AG187" s="202"/>
      <c r="AH187" s="152" t="e">
        <f>#REF!</f>
        <v>#REF!</v>
      </c>
      <c r="AI187" s="202"/>
      <c r="AJ187" s="153" t="e">
        <f>#REF!</f>
        <v>#REF!</v>
      </c>
      <c r="AK187" s="202"/>
      <c r="AL187" s="152" t="e">
        <f>#REF!</f>
        <v>#REF!</v>
      </c>
      <c r="AM187" s="202"/>
      <c r="AN187" s="153" t="e">
        <f>#REF!</f>
        <v>#REF!</v>
      </c>
      <c r="AO187" s="202"/>
      <c r="AP187" s="152" t="e">
        <f>#REF!</f>
        <v>#REF!</v>
      </c>
      <c r="AQ187" s="202"/>
      <c r="AR187" s="154" t="e">
        <f>#REF!</f>
        <v>#REF!</v>
      </c>
      <c r="AS187" s="202"/>
      <c r="AT187" s="153" t="e">
        <f>#REF!</f>
        <v>#REF!</v>
      </c>
      <c r="AU187" s="202"/>
      <c r="AV187" s="152" t="e">
        <f>#REF!</f>
        <v>#REF!</v>
      </c>
      <c r="AW187" s="202"/>
      <c r="AX187" s="153" t="e">
        <f>#REF!</f>
        <v>#REF!</v>
      </c>
      <c r="AY187" s="202"/>
      <c r="AZ187" s="152" t="e">
        <f>#REF!</f>
        <v>#REF!</v>
      </c>
      <c r="BA187" s="202"/>
      <c r="BB187" s="154" t="e">
        <f>#REF!</f>
        <v>#REF!</v>
      </c>
      <c r="BC187" s="137"/>
    </row>
    <row r="188" spans="1:55" ht="30" customHeight="1">
      <c r="A188" s="203" t="e">
        <f>#REF!</f>
        <v>#REF!</v>
      </c>
      <c r="B188" s="204" t="e">
        <f xml:space="preserve"> IF(#REF!=0, "",#REF!)</f>
        <v>#REF!</v>
      </c>
      <c r="C188" s="369" t="e">
        <f>#REF!</f>
        <v>#REF!</v>
      </c>
      <c r="D188" s="369"/>
      <c r="E188" s="291" t="e">
        <f>#REF!</f>
        <v>#REF!</v>
      </c>
      <c r="F188" s="148" t="e">
        <f>#REF!</f>
        <v>#REF!</v>
      </c>
      <c r="G188" s="205" t="e">
        <f xml:space="preserve"> IF(#REF!="", "",#REF!)</f>
        <v>#REF!</v>
      </c>
      <c r="H188" s="205" t="e">
        <f xml:space="preserve"> IF(#REF!="", "",#REF!)</f>
        <v>#REF!</v>
      </c>
      <c r="I188" s="205" t="e">
        <f xml:space="preserve"> IF(#REF!="", "",#REF!)</f>
        <v>#REF!</v>
      </c>
      <c r="J188" s="298" t="e">
        <f>#REF!</f>
        <v>#REF!</v>
      </c>
      <c r="K188" s="149" t="e">
        <f>#REF!</f>
        <v>#REF!</v>
      </c>
      <c r="L188" s="149" t="e">
        <f>#REF!</f>
        <v>#REF!</v>
      </c>
      <c r="M188" s="150" t="e">
        <f>#REF!</f>
        <v>#REF!</v>
      </c>
      <c r="N188" s="364"/>
      <c r="O188" s="202"/>
      <c r="P188" s="151" t="e">
        <f>#REF!</f>
        <v>#REF!</v>
      </c>
      <c r="Q188" s="202"/>
      <c r="R188" s="152" t="e">
        <f>#REF!</f>
        <v>#REF!</v>
      </c>
      <c r="S188" s="202"/>
      <c r="T188" s="153" t="e">
        <f>#REF!</f>
        <v>#REF!</v>
      </c>
      <c r="U188" s="202"/>
      <c r="V188" s="153" t="e">
        <f>#REF!</f>
        <v>#REF!</v>
      </c>
      <c r="W188" s="202"/>
      <c r="X188" s="153" t="e">
        <f>#REF!</f>
        <v>#REF!</v>
      </c>
      <c r="Y188" s="202"/>
      <c r="Z188" s="152" t="e">
        <f>#REF!</f>
        <v>#REF!</v>
      </c>
      <c r="AA188" s="202"/>
      <c r="AB188" s="153" t="e">
        <f>#REF!</f>
        <v>#REF!</v>
      </c>
      <c r="AC188" s="202"/>
      <c r="AD188" s="152" t="e">
        <f>#REF!</f>
        <v>#REF!</v>
      </c>
      <c r="AE188" s="202"/>
      <c r="AF188" s="153" t="e">
        <f>#REF!</f>
        <v>#REF!</v>
      </c>
      <c r="AG188" s="202"/>
      <c r="AH188" s="152" t="e">
        <f>#REF!</f>
        <v>#REF!</v>
      </c>
      <c r="AI188" s="202"/>
      <c r="AJ188" s="153" t="e">
        <f>#REF!</f>
        <v>#REF!</v>
      </c>
      <c r="AK188" s="202"/>
      <c r="AL188" s="152" t="e">
        <f>#REF!</f>
        <v>#REF!</v>
      </c>
      <c r="AM188" s="202"/>
      <c r="AN188" s="153" t="e">
        <f>#REF!</f>
        <v>#REF!</v>
      </c>
      <c r="AO188" s="202"/>
      <c r="AP188" s="152" t="e">
        <f>#REF!</f>
        <v>#REF!</v>
      </c>
      <c r="AQ188" s="202"/>
      <c r="AR188" s="154" t="e">
        <f>#REF!</f>
        <v>#REF!</v>
      </c>
      <c r="AS188" s="202"/>
      <c r="AT188" s="153" t="e">
        <f>#REF!</f>
        <v>#REF!</v>
      </c>
      <c r="AU188" s="202"/>
      <c r="AV188" s="152" t="e">
        <f>#REF!</f>
        <v>#REF!</v>
      </c>
      <c r="AW188" s="202"/>
      <c r="AX188" s="153" t="e">
        <f>#REF!</f>
        <v>#REF!</v>
      </c>
      <c r="AY188" s="202"/>
      <c r="AZ188" s="152" t="e">
        <f>#REF!</f>
        <v>#REF!</v>
      </c>
      <c r="BA188" s="202"/>
      <c r="BB188" s="154" t="e">
        <f>#REF!</f>
        <v>#REF!</v>
      </c>
      <c r="BC188" s="137"/>
    </row>
    <row r="189" spans="1:55" ht="30" customHeight="1">
      <c r="A189" s="203" t="e">
        <f>#REF!</f>
        <v>#REF!</v>
      </c>
      <c r="B189" s="204" t="e">
        <f xml:space="preserve"> IF(#REF!=0, "",#REF!)</f>
        <v>#REF!</v>
      </c>
      <c r="C189" s="369" t="e">
        <f>#REF!</f>
        <v>#REF!</v>
      </c>
      <c r="D189" s="369"/>
      <c r="E189" s="291" t="e">
        <f>#REF!</f>
        <v>#REF!</v>
      </c>
      <c r="F189" s="148" t="e">
        <f>#REF!</f>
        <v>#REF!</v>
      </c>
      <c r="G189" s="205" t="e">
        <f xml:space="preserve"> IF(#REF!="", "",#REF!)</f>
        <v>#REF!</v>
      </c>
      <c r="H189" s="205" t="e">
        <f xml:space="preserve"> IF(#REF!="", "",#REF!)</f>
        <v>#REF!</v>
      </c>
      <c r="I189" s="205" t="e">
        <f xml:space="preserve"> IF(#REF!="", "",#REF!)</f>
        <v>#REF!</v>
      </c>
      <c r="J189" s="298" t="e">
        <f>#REF!</f>
        <v>#REF!</v>
      </c>
      <c r="K189" s="149" t="e">
        <f>#REF!</f>
        <v>#REF!</v>
      </c>
      <c r="L189" s="149" t="e">
        <f>#REF!</f>
        <v>#REF!</v>
      </c>
      <c r="M189" s="150" t="e">
        <f>#REF!</f>
        <v>#REF!</v>
      </c>
      <c r="N189" s="364"/>
      <c r="O189" s="202"/>
      <c r="P189" s="151" t="e">
        <f>#REF!</f>
        <v>#REF!</v>
      </c>
      <c r="Q189" s="202"/>
      <c r="R189" s="152" t="e">
        <f>#REF!</f>
        <v>#REF!</v>
      </c>
      <c r="S189" s="202"/>
      <c r="T189" s="153" t="e">
        <f>#REF!</f>
        <v>#REF!</v>
      </c>
      <c r="U189" s="202"/>
      <c r="V189" s="153" t="e">
        <f>#REF!</f>
        <v>#REF!</v>
      </c>
      <c r="W189" s="202"/>
      <c r="X189" s="153" t="e">
        <f>#REF!</f>
        <v>#REF!</v>
      </c>
      <c r="Y189" s="202"/>
      <c r="Z189" s="152" t="e">
        <f>#REF!</f>
        <v>#REF!</v>
      </c>
      <c r="AA189" s="202"/>
      <c r="AB189" s="153" t="e">
        <f>#REF!</f>
        <v>#REF!</v>
      </c>
      <c r="AC189" s="202"/>
      <c r="AD189" s="152" t="e">
        <f>#REF!</f>
        <v>#REF!</v>
      </c>
      <c r="AE189" s="202"/>
      <c r="AF189" s="153" t="e">
        <f>#REF!</f>
        <v>#REF!</v>
      </c>
      <c r="AG189" s="202"/>
      <c r="AH189" s="152" t="e">
        <f>#REF!</f>
        <v>#REF!</v>
      </c>
      <c r="AI189" s="202"/>
      <c r="AJ189" s="153" t="e">
        <f>#REF!</f>
        <v>#REF!</v>
      </c>
      <c r="AK189" s="202"/>
      <c r="AL189" s="152" t="e">
        <f>#REF!</f>
        <v>#REF!</v>
      </c>
      <c r="AM189" s="202"/>
      <c r="AN189" s="153" t="e">
        <f>#REF!</f>
        <v>#REF!</v>
      </c>
      <c r="AO189" s="202"/>
      <c r="AP189" s="152" t="e">
        <f>#REF!</f>
        <v>#REF!</v>
      </c>
      <c r="AQ189" s="202"/>
      <c r="AR189" s="154" t="e">
        <f>#REF!</f>
        <v>#REF!</v>
      </c>
      <c r="AS189" s="202"/>
      <c r="AT189" s="153" t="e">
        <f>#REF!</f>
        <v>#REF!</v>
      </c>
      <c r="AU189" s="202"/>
      <c r="AV189" s="152" t="e">
        <f>#REF!</f>
        <v>#REF!</v>
      </c>
      <c r="AW189" s="202"/>
      <c r="AX189" s="153" t="e">
        <f>#REF!</f>
        <v>#REF!</v>
      </c>
      <c r="AY189" s="202"/>
      <c r="AZ189" s="152" t="e">
        <f>#REF!</f>
        <v>#REF!</v>
      </c>
      <c r="BA189" s="202"/>
      <c r="BB189" s="154" t="e">
        <f>#REF!</f>
        <v>#REF!</v>
      </c>
      <c r="BC189" s="137"/>
    </row>
    <row r="190" spans="1:55" ht="30" customHeight="1">
      <c r="A190" s="203" t="e">
        <f>#REF!</f>
        <v>#REF!</v>
      </c>
      <c r="B190" s="204" t="e">
        <f xml:space="preserve"> IF(#REF!=0, "",#REF!)</f>
        <v>#REF!</v>
      </c>
      <c r="C190" s="369" t="e">
        <f>#REF!</f>
        <v>#REF!</v>
      </c>
      <c r="D190" s="369"/>
      <c r="E190" s="291" t="e">
        <f>#REF!</f>
        <v>#REF!</v>
      </c>
      <c r="F190" s="148" t="e">
        <f>#REF!</f>
        <v>#REF!</v>
      </c>
      <c r="G190" s="205" t="e">
        <f xml:space="preserve"> IF(#REF!="", "",#REF!)</f>
        <v>#REF!</v>
      </c>
      <c r="H190" s="205" t="e">
        <f xml:space="preserve"> IF(#REF!="", "",#REF!)</f>
        <v>#REF!</v>
      </c>
      <c r="I190" s="205" t="e">
        <f xml:space="preserve"> IF(#REF!="", "",#REF!)</f>
        <v>#REF!</v>
      </c>
      <c r="J190" s="298" t="e">
        <f>#REF!</f>
        <v>#REF!</v>
      </c>
      <c r="K190" s="149" t="e">
        <f>#REF!</f>
        <v>#REF!</v>
      </c>
      <c r="L190" s="149" t="e">
        <f>#REF!</f>
        <v>#REF!</v>
      </c>
      <c r="M190" s="150" t="e">
        <f>#REF!</f>
        <v>#REF!</v>
      </c>
      <c r="N190" s="364"/>
      <c r="O190" s="202"/>
      <c r="P190" s="151" t="e">
        <f>#REF!</f>
        <v>#REF!</v>
      </c>
      <c r="Q190" s="202"/>
      <c r="R190" s="152" t="e">
        <f>#REF!</f>
        <v>#REF!</v>
      </c>
      <c r="S190" s="202"/>
      <c r="T190" s="153" t="e">
        <f>#REF!</f>
        <v>#REF!</v>
      </c>
      <c r="U190" s="202"/>
      <c r="V190" s="153" t="e">
        <f>#REF!</f>
        <v>#REF!</v>
      </c>
      <c r="W190" s="202"/>
      <c r="X190" s="153" t="e">
        <f>#REF!</f>
        <v>#REF!</v>
      </c>
      <c r="Y190" s="202"/>
      <c r="Z190" s="152" t="e">
        <f>#REF!</f>
        <v>#REF!</v>
      </c>
      <c r="AA190" s="202"/>
      <c r="AB190" s="153" t="e">
        <f>#REF!</f>
        <v>#REF!</v>
      </c>
      <c r="AC190" s="202"/>
      <c r="AD190" s="152" t="e">
        <f>#REF!</f>
        <v>#REF!</v>
      </c>
      <c r="AE190" s="202"/>
      <c r="AF190" s="153" t="e">
        <f>#REF!</f>
        <v>#REF!</v>
      </c>
      <c r="AG190" s="202"/>
      <c r="AH190" s="152" t="e">
        <f>#REF!</f>
        <v>#REF!</v>
      </c>
      <c r="AI190" s="202"/>
      <c r="AJ190" s="153" t="e">
        <f>#REF!</f>
        <v>#REF!</v>
      </c>
      <c r="AK190" s="202"/>
      <c r="AL190" s="152" t="e">
        <f>#REF!</f>
        <v>#REF!</v>
      </c>
      <c r="AM190" s="202"/>
      <c r="AN190" s="153" t="e">
        <f>#REF!</f>
        <v>#REF!</v>
      </c>
      <c r="AO190" s="202"/>
      <c r="AP190" s="152" t="e">
        <f>#REF!</f>
        <v>#REF!</v>
      </c>
      <c r="AQ190" s="202"/>
      <c r="AR190" s="154" t="e">
        <f>#REF!</f>
        <v>#REF!</v>
      </c>
      <c r="AS190" s="202"/>
      <c r="AT190" s="153" t="e">
        <f>#REF!</f>
        <v>#REF!</v>
      </c>
      <c r="AU190" s="202"/>
      <c r="AV190" s="152" t="e">
        <f>#REF!</f>
        <v>#REF!</v>
      </c>
      <c r="AW190" s="202"/>
      <c r="AX190" s="153" t="e">
        <f>#REF!</f>
        <v>#REF!</v>
      </c>
      <c r="AY190" s="202"/>
      <c r="AZ190" s="152" t="e">
        <f>#REF!</f>
        <v>#REF!</v>
      </c>
      <c r="BA190" s="202"/>
      <c r="BB190" s="154" t="e">
        <f>#REF!</f>
        <v>#REF!</v>
      </c>
      <c r="BC190" s="137"/>
    </row>
    <row r="191" spans="1:55" ht="30" customHeight="1">
      <c r="A191" s="203" t="e">
        <f>#REF!</f>
        <v>#REF!</v>
      </c>
      <c r="B191" s="204" t="e">
        <f xml:space="preserve"> IF(#REF!=0, "",#REF!)</f>
        <v>#REF!</v>
      </c>
      <c r="C191" s="369" t="e">
        <f>#REF!</f>
        <v>#REF!</v>
      </c>
      <c r="D191" s="369"/>
      <c r="E191" s="291" t="e">
        <f>#REF!</f>
        <v>#REF!</v>
      </c>
      <c r="F191" s="148" t="e">
        <f>#REF!</f>
        <v>#REF!</v>
      </c>
      <c r="G191" s="205" t="e">
        <f xml:space="preserve"> IF(#REF!="", "",#REF!)</f>
        <v>#REF!</v>
      </c>
      <c r="H191" s="205" t="e">
        <f xml:space="preserve"> IF(#REF!="", "",#REF!)</f>
        <v>#REF!</v>
      </c>
      <c r="I191" s="205" t="e">
        <f xml:space="preserve"> IF(#REF!="", "",#REF!)</f>
        <v>#REF!</v>
      </c>
      <c r="J191" s="298" t="e">
        <f>#REF!</f>
        <v>#REF!</v>
      </c>
      <c r="K191" s="149" t="e">
        <f>#REF!</f>
        <v>#REF!</v>
      </c>
      <c r="L191" s="149" t="e">
        <f>#REF!</f>
        <v>#REF!</v>
      </c>
      <c r="M191" s="150" t="e">
        <f>#REF!</f>
        <v>#REF!</v>
      </c>
      <c r="N191" s="364"/>
      <c r="O191" s="202"/>
      <c r="P191" s="151" t="e">
        <f>#REF!</f>
        <v>#REF!</v>
      </c>
      <c r="Q191" s="202"/>
      <c r="R191" s="152" t="e">
        <f>#REF!</f>
        <v>#REF!</v>
      </c>
      <c r="S191" s="202"/>
      <c r="T191" s="153" t="e">
        <f>#REF!</f>
        <v>#REF!</v>
      </c>
      <c r="U191" s="202"/>
      <c r="V191" s="153" t="e">
        <f>#REF!</f>
        <v>#REF!</v>
      </c>
      <c r="W191" s="202"/>
      <c r="X191" s="153" t="e">
        <f>#REF!</f>
        <v>#REF!</v>
      </c>
      <c r="Y191" s="202"/>
      <c r="Z191" s="152" t="e">
        <f>#REF!</f>
        <v>#REF!</v>
      </c>
      <c r="AA191" s="202"/>
      <c r="AB191" s="153" t="e">
        <f>#REF!</f>
        <v>#REF!</v>
      </c>
      <c r="AC191" s="202"/>
      <c r="AD191" s="152" t="e">
        <f>#REF!</f>
        <v>#REF!</v>
      </c>
      <c r="AE191" s="202"/>
      <c r="AF191" s="153" t="e">
        <f>#REF!</f>
        <v>#REF!</v>
      </c>
      <c r="AG191" s="202"/>
      <c r="AH191" s="152" t="e">
        <f>#REF!</f>
        <v>#REF!</v>
      </c>
      <c r="AI191" s="202"/>
      <c r="AJ191" s="153" t="e">
        <f>#REF!</f>
        <v>#REF!</v>
      </c>
      <c r="AK191" s="202"/>
      <c r="AL191" s="152" t="e">
        <f>#REF!</f>
        <v>#REF!</v>
      </c>
      <c r="AM191" s="202"/>
      <c r="AN191" s="153" t="e">
        <f>#REF!</f>
        <v>#REF!</v>
      </c>
      <c r="AO191" s="202"/>
      <c r="AP191" s="152" t="e">
        <f>#REF!</f>
        <v>#REF!</v>
      </c>
      <c r="AQ191" s="202"/>
      <c r="AR191" s="154" t="e">
        <f>#REF!</f>
        <v>#REF!</v>
      </c>
      <c r="AS191" s="202"/>
      <c r="AT191" s="153" t="e">
        <f>#REF!</f>
        <v>#REF!</v>
      </c>
      <c r="AU191" s="202"/>
      <c r="AV191" s="152" t="e">
        <f>#REF!</f>
        <v>#REF!</v>
      </c>
      <c r="AW191" s="202"/>
      <c r="AX191" s="153" t="e">
        <f>#REF!</f>
        <v>#REF!</v>
      </c>
      <c r="AY191" s="202"/>
      <c r="AZ191" s="152" t="e">
        <f>#REF!</f>
        <v>#REF!</v>
      </c>
      <c r="BA191" s="202"/>
      <c r="BB191" s="154" t="e">
        <f>#REF!</f>
        <v>#REF!</v>
      </c>
      <c r="BC191" s="137"/>
    </row>
    <row r="192" spans="1:55" ht="30" customHeight="1">
      <c r="A192" s="203" t="e">
        <f>#REF!</f>
        <v>#REF!</v>
      </c>
      <c r="B192" s="204" t="e">
        <f xml:space="preserve"> IF(#REF!=0, "",#REF!)</f>
        <v>#REF!</v>
      </c>
      <c r="C192" s="369" t="e">
        <f>#REF!</f>
        <v>#REF!</v>
      </c>
      <c r="D192" s="369"/>
      <c r="E192" s="291" t="e">
        <f>#REF!</f>
        <v>#REF!</v>
      </c>
      <c r="F192" s="148" t="e">
        <f>#REF!</f>
        <v>#REF!</v>
      </c>
      <c r="G192" s="205" t="e">
        <f xml:space="preserve"> IF(#REF!="", "",#REF!)</f>
        <v>#REF!</v>
      </c>
      <c r="H192" s="205" t="e">
        <f xml:space="preserve"> IF(#REF!="", "",#REF!)</f>
        <v>#REF!</v>
      </c>
      <c r="I192" s="205" t="e">
        <f xml:space="preserve"> IF(#REF!="", "",#REF!)</f>
        <v>#REF!</v>
      </c>
      <c r="J192" s="298" t="e">
        <f>#REF!</f>
        <v>#REF!</v>
      </c>
      <c r="K192" s="149" t="e">
        <f>#REF!</f>
        <v>#REF!</v>
      </c>
      <c r="L192" s="149" t="e">
        <f>#REF!</f>
        <v>#REF!</v>
      </c>
      <c r="M192" s="150" t="e">
        <f>#REF!</f>
        <v>#REF!</v>
      </c>
      <c r="N192" s="364"/>
      <c r="O192" s="202"/>
      <c r="P192" s="151" t="e">
        <f>#REF!</f>
        <v>#REF!</v>
      </c>
      <c r="Q192" s="202"/>
      <c r="R192" s="152" t="e">
        <f>#REF!</f>
        <v>#REF!</v>
      </c>
      <c r="S192" s="202"/>
      <c r="T192" s="153" t="e">
        <f>#REF!</f>
        <v>#REF!</v>
      </c>
      <c r="U192" s="202"/>
      <c r="V192" s="153" t="e">
        <f>#REF!</f>
        <v>#REF!</v>
      </c>
      <c r="W192" s="202"/>
      <c r="X192" s="153" t="e">
        <f>#REF!</f>
        <v>#REF!</v>
      </c>
      <c r="Y192" s="202"/>
      <c r="Z192" s="152" t="e">
        <f>#REF!</f>
        <v>#REF!</v>
      </c>
      <c r="AA192" s="202"/>
      <c r="AB192" s="153" t="e">
        <f>#REF!</f>
        <v>#REF!</v>
      </c>
      <c r="AC192" s="202"/>
      <c r="AD192" s="152" t="e">
        <f>#REF!</f>
        <v>#REF!</v>
      </c>
      <c r="AE192" s="202"/>
      <c r="AF192" s="153" t="e">
        <f>#REF!</f>
        <v>#REF!</v>
      </c>
      <c r="AG192" s="202"/>
      <c r="AH192" s="152" t="e">
        <f>#REF!</f>
        <v>#REF!</v>
      </c>
      <c r="AI192" s="202"/>
      <c r="AJ192" s="153" t="e">
        <f>#REF!</f>
        <v>#REF!</v>
      </c>
      <c r="AK192" s="202"/>
      <c r="AL192" s="152" t="e">
        <f>#REF!</f>
        <v>#REF!</v>
      </c>
      <c r="AM192" s="202"/>
      <c r="AN192" s="153" t="e">
        <f>#REF!</f>
        <v>#REF!</v>
      </c>
      <c r="AO192" s="202"/>
      <c r="AP192" s="152" t="e">
        <f>#REF!</f>
        <v>#REF!</v>
      </c>
      <c r="AQ192" s="202"/>
      <c r="AR192" s="154" t="e">
        <f>#REF!</f>
        <v>#REF!</v>
      </c>
      <c r="AS192" s="202"/>
      <c r="AT192" s="153" t="e">
        <f>#REF!</f>
        <v>#REF!</v>
      </c>
      <c r="AU192" s="202"/>
      <c r="AV192" s="152" t="e">
        <f>#REF!</f>
        <v>#REF!</v>
      </c>
      <c r="AW192" s="202"/>
      <c r="AX192" s="153" t="e">
        <f>#REF!</f>
        <v>#REF!</v>
      </c>
      <c r="AY192" s="202"/>
      <c r="AZ192" s="152" t="e">
        <f>#REF!</f>
        <v>#REF!</v>
      </c>
      <c r="BA192" s="202"/>
      <c r="BB192" s="154" t="e">
        <f>#REF!</f>
        <v>#REF!</v>
      </c>
      <c r="BC192" s="137"/>
    </row>
    <row r="193" spans="1:55" ht="30" customHeight="1">
      <c r="A193" s="203" t="e">
        <f>#REF!</f>
        <v>#REF!</v>
      </c>
      <c r="B193" s="204" t="e">
        <f xml:space="preserve"> IF(#REF!=0, "",#REF!)</f>
        <v>#REF!</v>
      </c>
      <c r="C193" s="369" t="e">
        <f>#REF!</f>
        <v>#REF!</v>
      </c>
      <c r="D193" s="369"/>
      <c r="E193" s="291" t="e">
        <f>#REF!</f>
        <v>#REF!</v>
      </c>
      <c r="F193" s="148" t="e">
        <f>#REF!</f>
        <v>#REF!</v>
      </c>
      <c r="G193" s="205" t="e">
        <f xml:space="preserve"> IF(#REF!="", "",#REF!)</f>
        <v>#REF!</v>
      </c>
      <c r="H193" s="205" t="e">
        <f xml:space="preserve"> IF(#REF!="", "",#REF!)</f>
        <v>#REF!</v>
      </c>
      <c r="I193" s="205" t="e">
        <f xml:space="preserve"> IF(#REF!="", "",#REF!)</f>
        <v>#REF!</v>
      </c>
      <c r="J193" s="298" t="e">
        <f>#REF!</f>
        <v>#REF!</v>
      </c>
      <c r="K193" s="149" t="e">
        <f>#REF!</f>
        <v>#REF!</v>
      </c>
      <c r="L193" s="149" t="e">
        <f>#REF!</f>
        <v>#REF!</v>
      </c>
      <c r="M193" s="150" t="e">
        <f>#REF!</f>
        <v>#REF!</v>
      </c>
      <c r="N193" s="364"/>
      <c r="O193" s="202"/>
      <c r="P193" s="151" t="e">
        <f>#REF!</f>
        <v>#REF!</v>
      </c>
      <c r="Q193" s="202"/>
      <c r="R193" s="152" t="e">
        <f>#REF!</f>
        <v>#REF!</v>
      </c>
      <c r="S193" s="202"/>
      <c r="T193" s="153" t="e">
        <f>#REF!</f>
        <v>#REF!</v>
      </c>
      <c r="U193" s="202"/>
      <c r="V193" s="153" t="e">
        <f>#REF!</f>
        <v>#REF!</v>
      </c>
      <c r="W193" s="202"/>
      <c r="X193" s="153" t="e">
        <f>#REF!</f>
        <v>#REF!</v>
      </c>
      <c r="Y193" s="202"/>
      <c r="Z193" s="152" t="e">
        <f>#REF!</f>
        <v>#REF!</v>
      </c>
      <c r="AA193" s="202"/>
      <c r="AB193" s="153" t="e">
        <f>#REF!</f>
        <v>#REF!</v>
      </c>
      <c r="AC193" s="202"/>
      <c r="AD193" s="152" t="e">
        <f>#REF!</f>
        <v>#REF!</v>
      </c>
      <c r="AE193" s="202"/>
      <c r="AF193" s="153" t="e">
        <f>#REF!</f>
        <v>#REF!</v>
      </c>
      <c r="AG193" s="202"/>
      <c r="AH193" s="152" t="e">
        <f>#REF!</f>
        <v>#REF!</v>
      </c>
      <c r="AI193" s="202"/>
      <c r="AJ193" s="153" t="e">
        <f>#REF!</f>
        <v>#REF!</v>
      </c>
      <c r="AK193" s="202"/>
      <c r="AL193" s="152" t="e">
        <f>#REF!</f>
        <v>#REF!</v>
      </c>
      <c r="AM193" s="202"/>
      <c r="AN193" s="153" t="e">
        <f>#REF!</f>
        <v>#REF!</v>
      </c>
      <c r="AO193" s="202"/>
      <c r="AP193" s="152" t="e">
        <f>#REF!</f>
        <v>#REF!</v>
      </c>
      <c r="AQ193" s="202"/>
      <c r="AR193" s="154" t="e">
        <f>#REF!</f>
        <v>#REF!</v>
      </c>
      <c r="AS193" s="202"/>
      <c r="AT193" s="153" t="e">
        <f>#REF!</f>
        <v>#REF!</v>
      </c>
      <c r="AU193" s="202"/>
      <c r="AV193" s="152" t="e">
        <f>#REF!</f>
        <v>#REF!</v>
      </c>
      <c r="AW193" s="202"/>
      <c r="AX193" s="153" t="e">
        <f>#REF!</f>
        <v>#REF!</v>
      </c>
      <c r="AY193" s="202"/>
      <c r="AZ193" s="152" t="e">
        <f>#REF!</f>
        <v>#REF!</v>
      </c>
      <c r="BA193" s="202"/>
      <c r="BB193" s="154" t="e">
        <f>#REF!</f>
        <v>#REF!</v>
      </c>
      <c r="BC193" s="137"/>
    </row>
    <row r="194" spans="1:55" ht="30" customHeight="1">
      <c r="A194" s="203" t="e">
        <f>#REF!</f>
        <v>#REF!</v>
      </c>
      <c r="B194" s="204" t="e">
        <f xml:space="preserve"> IF(#REF!=0, "",#REF!)</f>
        <v>#REF!</v>
      </c>
      <c r="C194" s="369" t="e">
        <f>#REF!</f>
        <v>#REF!</v>
      </c>
      <c r="D194" s="369"/>
      <c r="E194" s="291" t="e">
        <f>#REF!</f>
        <v>#REF!</v>
      </c>
      <c r="F194" s="148" t="e">
        <f>#REF!</f>
        <v>#REF!</v>
      </c>
      <c r="G194" s="205" t="e">
        <f xml:space="preserve"> IF(#REF!="", "",#REF!)</f>
        <v>#REF!</v>
      </c>
      <c r="H194" s="205" t="e">
        <f xml:space="preserve"> IF(#REF!="", "",#REF!)</f>
        <v>#REF!</v>
      </c>
      <c r="I194" s="205" t="e">
        <f xml:space="preserve"> IF(#REF!="", "",#REF!)</f>
        <v>#REF!</v>
      </c>
      <c r="J194" s="298" t="e">
        <f>#REF!</f>
        <v>#REF!</v>
      </c>
      <c r="K194" s="149" t="e">
        <f>#REF!</f>
        <v>#REF!</v>
      </c>
      <c r="L194" s="149" t="e">
        <f>#REF!</f>
        <v>#REF!</v>
      </c>
      <c r="M194" s="150" t="e">
        <f>#REF!</f>
        <v>#REF!</v>
      </c>
      <c r="N194" s="364"/>
      <c r="O194" s="202"/>
      <c r="P194" s="151" t="e">
        <f>#REF!</f>
        <v>#REF!</v>
      </c>
      <c r="Q194" s="202"/>
      <c r="R194" s="152" t="e">
        <f>#REF!</f>
        <v>#REF!</v>
      </c>
      <c r="S194" s="202"/>
      <c r="T194" s="153" t="e">
        <f>#REF!</f>
        <v>#REF!</v>
      </c>
      <c r="U194" s="202"/>
      <c r="V194" s="153" t="e">
        <f>#REF!</f>
        <v>#REF!</v>
      </c>
      <c r="W194" s="202"/>
      <c r="X194" s="153" t="e">
        <f>#REF!</f>
        <v>#REF!</v>
      </c>
      <c r="Y194" s="202"/>
      <c r="Z194" s="152" t="e">
        <f>#REF!</f>
        <v>#REF!</v>
      </c>
      <c r="AA194" s="202"/>
      <c r="AB194" s="153" t="e">
        <f>#REF!</f>
        <v>#REF!</v>
      </c>
      <c r="AC194" s="202"/>
      <c r="AD194" s="152" t="e">
        <f>#REF!</f>
        <v>#REF!</v>
      </c>
      <c r="AE194" s="202"/>
      <c r="AF194" s="153" t="e">
        <f>#REF!</f>
        <v>#REF!</v>
      </c>
      <c r="AG194" s="202"/>
      <c r="AH194" s="152" t="e">
        <f>#REF!</f>
        <v>#REF!</v>
      </c>
      <c r="AI194" s="202"/>
      <c r="AJ194" s="153" t="e">
        <f>#REF!</f>
        <v>#REF!</v>
      </c>
      <c r="AK194" s="202"/>
      <c r="AL194" s="152" t="e">
        <f>#REF!</f>
        <v>#REF!</v>
      </c>
      <c r="AM194" s="202"/>
      <c r="AN194" s="153" t="e">
        <f>#REF!</f>
        <v>#REF!</v>
      </c>
      <c r="AO194" s="202"/>
      <c r="AP194" s="152" t="e">
        <f>#REF!</f>
        <v>#REF!</v>
      </c>
      <c r="AQ194" s="202"/>
      <c r="AR194" s="154" t="e">
        <f>#REF!</f>
        <v>#REF!</v>
      </c>
      <c r="AS194" s="202"/>
      <c r="AT194" s="153" t="e">
        <f>#REF!</f>
        <v>#REF!</v>
      </c>
      <c r="AU194" s="202"/>
      <c r="AV194" s="152" t="e">
        <f>#REF!</f>
        <v>#REF!</v>
      </c>
      <c r="AW194" s="202"/>
      <c r="AX194" s="153" t="e">
        <f>#REF!</f>
        <v>#REF!</v>
      </c>
      <c r="AY194" s="202"/>
      <c r="AZ194" s="152" t="e">
        <f>#REF!</f>
        <v>#REF!</v>
      </c>
      <c r="BA194" s="202"/>
      <c r="BB194" s="154" t="e">
        <f>#REF!</f>
        <v>#REF!</v>
      </c>
      <c r="BC194" s="137"/>
    </row>
    <row r="195" spans="1:55" ht="30" customHeight="1">
      <c r="A195" s="203" t="e">
        <f>#REF!</f>
        <v>#REF!</v>
      </c>
      <c r="B195" s="204" t="e">
        <f xml:space="preserve"> IF(#REF!=0, "",#REF!)</f>
        <v>#REF!</v>
      </c>
      <c r="C195" s="369" t="e">
        <f>#REF!</f>
        <v>#REF!</v>
      </c>
      <c r="D195" s="369"/>
      <c r="E195" s="291" t="e">
        <f>#REF!</f>
        <v>#REF!</v>
      </c>
      <c r="F195" s="148" t="e">
        <f>#REF!</f>
        <v>#REF!</v>
      </c>
      <c r="G195" s="205" t="e">
        <f xml:space="preserve"> IF(#REF!="", "",#REF!)</f>
        <v>#REF!</v>
      </c>
      <c r="H195" s="205" t="e">
        <f xml:space="preserve"> IF(#REF!="", "",#REF!)</f>
        <v>#REF!</v>
      </c>
      <c r="I195" s="205" t="e">
        <f xml:space="preserve"> IF(#REF!="", "",#REF!)</f>
        <v>#REF!</v>
      </c>
      <c r="J195" s="298" t="e">
        <f>#REF!</f>
        <v>#REF!</v>
      </c>
      <c r="K195" s="149" t="e">
        <f>#REF!</f>
        <v>#REF!</v>
      </c>
      <c r="L195" s="149" t="e">
        <f>#REF!</f>
        <v>#REF!</v>
      </c>
      <c r="M195" s="150" t="e">
        <f>#REF!</f>
        <v>#REF!</v>
      </c>
      <c r="N195" s="364"/>
      <c r="O195" s="202"/>
      <c r="P195" s="151" t="e">
        <f>#REF!</f>
        <v>#REF!</v>
      </c>
      <c r="Q195" s="202"/>
      <c r="R195" s="152" t="e">
        <f>#REF!</f>
        <v>#REF!</v>
      </c>
      <c r="S195" s="202"/>
      <c r="T195" s="153" t="e">
        <f>#REF!</f>
        <v>#REF!</v>
      </c>
      <c r="U195" s="202"/>
      <c r="V195" s="153" t="e">
        <f>#REF!</f>
        <v>#REF!</v>
      </c>
      <c r="W195" s="202"/>
      <c r="X195" s="153" t="e">
        <f>#REF!</f>
        <v>#REF!</v>
      </c>
      <c r="Y195" s="202"/>
      <c r="Z195" s="152" t="e">
        <f>#REF!</f>
        <v>#REF!</v>
      </c>
      <c r="AA195" s="202"/>
      <c r="AB195" s="153" t="e">
        <f>#REF!</f>
        <v>#REF!</v>
      </c>
      <c r="AC195" s="202"/>
      <c r="AD195" s="152" t="e">
        <f>#REF!</f>
        <v>#REF!</v>
      </c>
      <c r="AE195" s="202"/>
      <c r="AF195" s="153" t="e">
        <f>#REF!</f>
        <v>#REF!</v>
      </c>
      <c r="AG195" s="202"/>
      <c r="AH195" s="152" t="e">
        <f>#REF!</f>
        <v>#REF!</v>
      </c>
      <c r="AI195" s="202"/>
      <c r="AJ195" s="153" t="e">
        <f>#REF!</f>
        <v>#REF!</v>
      </c>
      <c r="AK195" s="202"/>
      <c r="AL195" s="152" t="e">
        <f>#REF!</f>
        <v>#REF!</v>
      </c>
      <c r="AM195" s="202"/>
      <c r="AN195" s="153" t="e">
        <f>#REF!</f>
        <v>#REF!</v>
      </c>
      <c r="AO195" s="202"/>
      <c r="AP195" s="152" t="e">
        <f>#REF!</f>
        <v>#REF!</v>
      </c>
      <c r="AQ195" s="202"/>
      <c r="AR195" s="154" t="e">
        <f>#REF!</f>
        <v>#REF!</v>
      </c>
      <c r="AS195" s="202"/>
      <c r="AT195" s="153" t="e">
        <f>#REF!</f>
        <v>#REF!</v>
      </c>
      <c r="AU195" s="202"/>
      <c r="AV195" s="152" t="e">
        <f>#REF!</f>
        <v>#REF!</v>
      </c>
      <c r="AW195" s="202"/>
      <c r="AX195" s="153" t="e">
        <f>#REF!</f>
        <v>#REF!</v>
      </c>
      <c r="AY195" s="202"/>
      <c r="AZ195" s="152" t="e">
        <f>#REF!</f>
        <v>#REF!</v>
      </c>
      <c r="BA195" s="202"/>
      <c r="BB195" s="154" t="e">
        <f>#REF!</f>
        <v>#REF!</v>
      </c>
      <c r="BC195" s="137"/>
    </row>
    <row r="196" spans="1:55" ht="30" customHeight="1">
      <c r="A196" s="203" t="e">
        <f>#REF!</f>
        <v>#REF!</v>
      </c>
      <c r="B196" s="204" t="e">
        <f xml:space="preserve"> IF(#REF!=0, "",#REF!)</f>
        <v>#REF!</v>
      </c>
      <c r="C196" s="369" t="e">
        <f>#REF!</f>
        <v>#REF!</v>
      </c>
      <c r="D196" s="369"/>
      <c r="E196" s="291" t="e">
        <f>#REF!</f>
        <v>#REF!</v>
      </c>
      <c r="F196" s="148" t="e">
        <f>#REF!</f>
        <v>#REF!</v>
      </c>
      <c r="G196" s="205" t="e">
        <f xml:space="preserve"> IF(#REF!="", "",#REF!)</f>
        <v>#REF!</v>
      </c>
      <c r="H196" s="205" t="e">
        <f xml:space="preserve"> IF(#REF!="", "",#REF!)</f>
        <v>#REF!</v>
      </c>
      <c r="I196" s="205" t="e">
        <f xml:space="preserve"> IF(#REF!="", "",#REF!)</f>
        <v>#REF!</v>
      </c>
      <c r="J196" s="298" t="e">
        <f>#REF!</f>
        <v>#REF!</v>
      </c>
      <c r="K196" s="149" t="e">
        <f>#REF!</f>
        <v>#REF!</v>
      </c>
      <c r="L196" s="149" t="e">
        <f>#REF!</f>
        <v>#REF!</v>
      </c>
      <c r="M196" s="150" t="e">
        <f>#REF!</f>
        <v>#REF!</v>
      </c>
      <c r="N196" s="364"/>
      <c r="O196" s="202"/>
      <c r="P196" s="151" t="e">
        <f>#REF!</f>
        <v>#REF!</v>
      </c>
      <c r="Q196" s="202"/>
      <c r="R196" s="152" t="e">
        <f>#REF!</f>
        <v>#REF!</v>
      </c>
      <c r="S196" s="202"/>
      <c r="T196" s="153" t="e">
        <f>#REF!</f>
        <v>#REF!</v>
      </c>
      <c r="U196" s="202"/>
      <c r="V196" s="153" t="e">
        <f>#REF!</f>
        <v>#REF!</v>
      </c>
      <c r="W196" s="202"/>
      <c r="X196" s="153" t="e">
        <f>#REF!</f>
        <v>#REF!</v>
      </c>
      <c r="Y196" s="202"/>
      <c r="Z196" s="152" t="e">
        <f>#REF!</f>
        <v>#REF!</v>
      </c>
      <c r="AA196" s="202"/>
      <c r="AB196" s="153" t="e">
        <f>#REF!</f>
        <v>#REF!</v>
      </c>
      <c r="AC196" s="202"/>
      <c r="AD196" s="152" t="e">
        <f>#REF!</f>
        <v>#REF!</v>
      </c>
      <c r="AE196" s="202"/>
      <c r="AF196" s="153" t="e">
        <f>#REF!</f>
        <v>#REF!</v>
      </c>
      <c r="AG196" s="202"/>
      <c r="AH196" s="152" t="e">
        <f>#REF!</f>
        <v>#REF!</v>
      </c>
      <c r="AI196" s="202"/>
      <c r="AJ196" s="153" t="e">
        <f>#REF!</f>
        <v>#REF!</v>
      </c>
      <c r="AK196" s="202"/>
      <c r="AL196" s="152" t="e">
        <f>#REF!</f>
        <v>#REF!</v>
      </c>
      <c r="AM196" s="202"/>
      <c r="AN196" s="153" t="e">
        <f>#REF!</f>
        <v>#REF!</v>
      </c>
      <c r="AO196" s="202"/>
      <c r="AP196" s="152" t="e">
        <f>#REF!</f>
        <v>#REF!</v>
      </c>
      <c r="AQ196" s="202"/>
      <c r="AR196" s="154" t="e">
        <f>#REF!</f>
        <v>#REF!</v>
      </c>
      <c r="AS196" s="202"/>
      <c r="AT196" s="153" t="e">
        <f>#REF!</f>
        <v>#REF!</v>
      </c>
      <c r="AU196" s="202"/>
      <c r="AV196" s="152" t="e">
        <f>#REF!</f>
        <v>#REF!</v>
      </c>
      <c r="AW196" s="202"/>
      <c r="AX196" s="153" t="e">
        <f>#REF!</f>
        <v>#REF!</v>
      </c>
      <c r="AY196" s="202"/>
      <c r="AZ196" s="152" t="e">
        <f>#REF!</f>
        <v>#REF!</v>
      </c>
      <c r="BA196" s="202"/>
      <c r="BB196" s="154" t="e">
        <f>#REF!</f>
        <v>#REF!</v>
      </c>
      <c r="BC196" s="137"/>
    </row>
    <row r="197" spans="1:55" ht="30" customHeight="1">
      <c r="A197" s="203" t="e">
        <f>#REF!</f>
        <v>#REF!</v>
      </c>
      <c r="B197" s="204" t="e">
        <f xml:space="preserve"> IF(#REF!=0, "",#REF!)</f>
        <v>#REF!</v>
      </c>
      <c r="C197" s="369" t="e">
        <f>#REF!</f>
        <v>#REF!</v>
      </c>
      <c r="D197" s="369"/>
      <c r="E197" s="291" t="e">
        <f>#REF!</f>
        <v>#REF!</v>
      </c>
      <c r="F197" s="148" t="e">
        <f>#REF!</f>
        <v>#REF!</v>
      </c>
      <c r="G197" s="205" t="e">
        <f xml:space="preserve"> IF(#REF!="", "",#REF!)</f>
        <v>#REF!</v>
      </c>
      <c r="H197" s="205" t="e">
        <f xml:space="preserve"> IF(#REF!="", "",#REF!)</f>
        <v>#REF!</v>
      </c>
      <c r="I197" s="205" t="e">
        <f xml:space="preserve"> IF(#REF!="", "",#REF!)</f>
        <v>#REF!</v>
      </c>
      <c r="J197" s="298" t="e">
        <f>#REF!</f>
        <v>#REF!</v>
      </c>
      <c r="K197" s="149" t="e">
        <f>#REF!</f>
        <v>#REF!</v>
      </c>
      <c r="L197" s="149" t="e">
        <f>#REF!</f>
        <v>#REF!</v>
      </c>
      <c r="M197" s="150" t="e">
        <f>#REF!</f>
        <v>#REF!</v>
      </c>
      <c r="N197" s="364"/>
      <c r="O197" s="202"/>
      <c r="P197" s="151" t="e">
        <f>#REF!</f>
        <v>#REF!</v>
      </c>
      <c r="Q197" s="202"/>
      <c r="R197" s="152" t="e">
        <f>#REF!</f>
        <v>#REF!</v>
      </c>
      <c r="S197" s="202"/>
      <c r="T197" s="153" t="e">
        <f>#REF!</f>
        <v>#REF!</v>
      </c>
      <c r="U197" s="202"/>
      <c r="V197" s="153" t="e">
        <f>#REF!</f>
        <v>#REF!</v>
      </c>
      <c r="W197" s="202"/>
      <c r="X197" s="153" t="e">
        <f>#REF!</f>
        <v>#REF!</v>
      </c>
      <c r="Y197" s="202"/>
      <c r="Z197" s="152" t="e">
        <f>#REF!</f>
        <v>#REF!</v>
      </c>
      <c r="AA197" s="202"/>
      <c r="AB197" s="153" t="e">
        <f>#REF!</f>
        <v>#REF!</v>
      </c>
      <c r="AC197" s="202"/>
      <c r="AD197" s="152" t="e">
        <f>#REF!</f>
        <v>#REF!</v>
      </c>
      <c r="AE197" s="202"/>
      <c r="AF197" s="153" t="e">
        <f>#REF!</f>
        <v>#REF!</v>
      </c>
      <c r="AG197" s="202"/>
      <c r="AH197" s="152" t="e">
        <f>#REF!</f>
        <v>#REF!</v>
      </c>
      <c r="AI197" s="202"/>
      <c r="AJ197" s="153" t="e">
        <f>#REF!</f>
        <v>#REF!</v>
      </c>
      <c r="AK197" s="202"/>
      <c r="AL197" s="152" t="e">
        <f>#REF!</f>
        <v>#REF!</v>
      </c>
      <c r="AM197" s="202"/>
      <c r="AN197" s="153" t="e">
        <f>#REF!</f>
        <v>#REF!</v>
      </c>
      <c r="AO197" s="202"/>
      <c r="AP197" s="152" t="e">
        <f>#REF!</f>
        <v>#REF!</v>
      </c>
      <c r="AQ197" s="202"/>
      <c r="AR197" s="154" t="e">
        <f>#REF!</f>
        <v>#REF!</v>
      </c>
      <c r="AS197" s="202"/>
      <c r="AT197" s="153" t="e">
        <f>#REF!</f>
        <v>#REF!</v>
      </c>
      <c r="AU197" s="202"/>
      <c r="AV197" s="152" t="e">
        <f>#REF!</f>
        <v>#REF!</v>
      </c>
      <c r="AW197" s="202"/>
      <c r="AX197" s="153" t="e">
        <f>#REF!</f>
        <v>#REF!</v>
      </c>
      <c r="AY197" s="202"/>
      <c r="AZ197" s="152" t="e">
        <f>#REF!</f>
        <v>#REF!</v>
      </c>
      <c r="BA197" s="202"/>
      <c r="BB197" s="154" t="e">
        <f>#REF!</f>
        <v>#REF!</v>
      </c>
      <c r="BC197" s="137"/>
    </row>
    <row r="198" spans="1:55" ht="30" customHeight="1">
      <c r="A198" s="203" t="e">
        <f>#REF!</f>
        <v>#REF!</v>
      </c>
      <c r="B198" s="204" t="e">
        <f xml:space="preserve"> IF(#REF!=0, "",#REF!)</f>
        <v>#REF!</v>
      </c>
      <c r="C198" s="369" t="e">
        <f>#REF!</f>
        <v>#REF!</v>
      </c>
      <c r="D198" s="369"/>
      <c r="E198" s="291" t="e">
        <f>#REF!</f>
        <v>#REF!</v>
      </c>
      <c r="F198" s="148" t="e">
        <f>#REF!</f>
        <v>#REF!</v>
      </c>
      <c r="G198" s="205" t="e">
        <f xml:space="preserve"> IF(#REF!="", "",#REF!)</f>
        <v>#REF!</v>
      </c>
      <c r="H198" s="205" t="e">
        <f xml:space="preserve"> IF(#REF!="", "",#REF!)</f>
        <v>#REF!</v>
      </c>
      <c r="I198" s="205" t="e">
        <f xml:space="preserve"> IF(#REF!="", "",#REF!)</f>
        <v>#REF!</v>
      </c>
      <c r="J198" s="298" t="e">
        <f>#REF!</f>
        <v>#REF!</v>
      </c>
      <c r="K198" s="149" t="e">
        <f>#REF!</f>
        <v>#REF!</v>
      </c>
      <c r="L198" s="149" t="e">
        <f>#REF!</f>
        <v>#REF!</v>
      </c>
      <c r="M198" s="150" t="e">
        <f>#REF!</f>
        <v>#REF!</v>
      </c>
      <c r="N198" s="364"/>
      <c r="O198" s="202"/>
      <c r="P198" s="151" t="e">
        <f>#REF!</f>
        <v>#REF!</v>
      </c>
      <c r="Q198" s="202"/>
      <c r="R198" s="152" t="e">
        <f>#REF!</f>
        <v>#REF!</v>
      </c>
      <c r="S198" s="202"/>
      <c r="T198" s="153" t="e">
        <f>#REF!</f>
        <v>#REF!</v>
      </c>
      <c r="U198" s="202"/>
      <c r="V198" s="153" t="e">
        <f>#REF!</f>
        <v>#REF!</v>
      </c>
      <c r="W198" s="202"/>
      <c r="X198" s="153" t="e">
        <f>#REF!</f>
        <v>#REF!</v>
      </c>
      <c r="Y198" s="202"/>
      <c r="Z198" s="152" t="e">
        <f>#REF!</f>
        <v>#REF!</v>
      </c>
      <c r="AA198" s="202"/>
      <c r="AB198" s="153" t="e">
        <f>#REF!</f>
        <v>#REF!</v>
      </c>
      <c r="AC198" s="202"/>
      <c r="AD198" s="152" t="e">
        <f>#REF!</f>
        <v>#REF!</v>
      </c>
      <c r="AE198" s="202"/>
      <c r="AF198" s="153" t="e">
        <f>#REF!</f>
        <v>#REF!</v>
      </c>
      <c r="AG198" s="202"/>
      <c r="AH198" s="152" t="e">
        <f>#REF!</f>
        <v>#REF!</v>
      </c>
      <c r="AI198" s="202"/>
      <c r="AJ198" s="153" t="e">
        <f>#REF!</f>
        <v>#REF!</v>
      </c>
      <c r="AK198" s="202"/>
      <c r="AL198" s="152" t="e">
        <f>#REF!</f>
        <v>#REF!</v>
      </c>
      <c r="AM198" s="202"/>
      <c r="AN198" s="153" t="e">
        <f>#REF!</f>
        <v>#REF!</v>
      </c>
      <c r="AO198" s="202"/>
      <c r="AP198" s="152" t="e">
        <f>#REF!</f>
        <v>#REF!</v>
      </c>
      <c r="AQ198" s="202"/>
      <c r="AR198" s="154" t="e">
        <f>#REF!</f>
        <v>#REF!</v>
      </c>
      <c r="AS198" s="202"/>
      <c r="AT198" s="153" t="e">
        <f>#REF!</f>
        <v>#REF!</v>
      </c>
      <c r="AU198" s="202"/>
      <c r="AV198" s="152" t="e">
        <f>#REF!</f>
        <v>#REF!</v>
      </c>
      <c r="AW198" s="202"/>
      <c r="AX198" s="153" t="e">
        <f>#REF!</f>
        <v>#REF!</v>
      </c>
      <c r="AY198" s="202"/>
      <c r="AZ198" s="152" t="e">
        <f>#REF!</f>
        <v>#REF!</v>
      </c>
      <c r="BA198" s="202"/>
      <c r="BB198" s="154" t="e">
        <f>#REF!</f>
        <v>#REF!</v>
      </c>
      <c r="BC198" s="137"/>
    </row>
    <row r="199" spans="1:55" ht="30" hidden="1" customHeight="1">
      <c r="A199" s="203" t="e">
        <f>#REF!</f>
        <v>#REF!</v>
      </c>
      <c r="B199" s="204" t="e">
        <f xml:space="preserve"> IF(#REF!=0, "",#REF!)</f>
        <v>#REF!</v>
      </c>
      <c r="C199" s="369" t="e">
        <f>#REF!</f>
        <v>#REF!</v>
      </c>
      <c r="D199" s="369"/>
      <c r="E199" s="291" t="e">
        <f>#REF!</f>
        <v>#REF!</v>
      </c>
      <c r="F199" s="148" t="e">
        <f>#REF!</f>
        <v>#REF!</v>
      </c>
      <c r="G199" s="205" t="e">
        <f xml:space="preserve"> IF(#REF!="", "",#REF!)</f>
        <v>#REF!</v>
      </c>
      <c r="H199" s="205" t="e">
        <f xml:space="preserve"> IF(#REF!="", "",#REF!)</f>
        <v>#REF!</v>
      </c>
      <c r="I199" s="205" t="e">
        <f xml:space="preserve"> IF(#REF!="", "",#REF!)</f>
        <v>#REF!</v>
      </c>
      <c r="J199" s="298" t="e">
        <f>#REF!</f>
        <v>#REF!</v>
      </c>
      <c r="K199" s="149" t="e">
        <f>#REF!</f>
        <v>#REF!</v>
      </c>
      <c r="L199" s="149" t="e">
        <f>#REF!</f>
        <v>#REF!</v>
      </c>
      <c r="M199" s="150" t="e">
        <f>#REF!</f>
        <v>#REF!</v>
      </c>
      <c r="N199" s="364"/>
      <c r="O199" s="202"/>
      <c r="P199" s="151" t="e">
        <f>#REF!</f>
        <v>#REF!</v>
      </c>
      <c r="Q199" s="202"/>
      <c r="R199" s="152" t="e">
        <f>#REF!</f>
        <v>#REF!</v>
      </c>
      <c r="S199" s="202"/>
      <c r="T199" s="153" t="e">
        <f>#REF!</f>
        <v>#REF!</v>
      </c>
      <c r="U199" s="202"/>
      <c r="V199" s="153" t="e">
        <f>#REF!</f>
        <v>#REF!</v>
      </c>
      <c r="W199" s="202"/>
      <c r="X199" s="153" t="e">
        <f>#REF!</f>
        <v>#REF!</v>
      </c>
      <c r="Y199" s="202"/>
      <c r="Z199" s="152" t="e">
        <f>#REF!</f>
        <v>#REF!</v>
      </c>
      <c r="AA199" s="202"/>
      <c r="AB199" s="153" t="e">
        <f>#REF!</f>
        <v>#REF!</v>
      </c>
      <c r="AC199" s="202"/>
      <c r="AD199" s="152" t="e">
        <f>#REF!</f>
        <v>#REF!</v>
      </c>
      <c r="AE199" s="202"/>
      <c r="AF199" s="153" t="e">
        <f>#REF!</f>
        <v>#REF!</v>
      </c>
      <c r="AG199" s="202"/>
      <c r="AH199" s="152" t="e">
        <f>#REF!</f>
        <v>#REF!</v>
      </c>
      <c r="AI199" s="202"/>
      <c r="AJ199" s="153" t="e">
        <f>#REF!</f>
        <v>#REF!</v>
      </c>
      <c r="AK199" s="202"/>
      <c r="AL199" s="152" t="e">
        <f>#REF!</f>
        <v>#REF!</v>
      </c>
      <c r="AM199" s="202"/>
      <c r="AN199" s="153" t="e">
        <f>#REF!</f>
        <v>#REF!</v>
      </c>
      <c r="AO199" s="202"/>
      <c r="AP199" s="152" t="e">
        <f>#REF!</f>
        <v>#REF!</v>
      </c>
      <c r="AQ199" s="202"/>
      <c r="AR199" s="154" t="e">
        <f>#REF!</f>
        <v>#REF!</v>
      </c>
      <c r="AS199" s="202"/>
      <c r="AT199" s="153" t="e">
        <f>#REF!</f>
        <v>#REF!</v>
      </c>
      <c r="AU199" s="202"/>
      <c r="AV199" s="152" t="e">
        <f>#REF!</f>
        <v>#REF!</v>
      </c>
      <c r="AW199" s="202"/>
      <c r="AX199" s="153" t="e">
        <f>#REF!</f>
        <v>#REF!</v>
      </c>
      <c r="AY199" s="202"/>
      <c r="AZ199" s="152" t="e">
        <f>#REF!</f>
        <v>#REF!</v>
      </c>
      <c r="BA199" s="202"/>
      <c r="BB199" s="154" t="e">
        <f>#REF!</f>
        <v>#REF!</v>
      </c>
      <c r="BC199" s="137"/>
    </row>
    <row r="200" spans="1:55" ht="30" hidden="1" customHeight="1">
      <c r="A200" s="203" t="e">
        <f>#REF!</f>
        <v>#REF!</v>
      </c>
      <c r="B200" s="204" t="e">
        <f xml:space="preserve"> IF(#REF!=0, "",#REF!)</f>
        <v>#REF!</v>
      </c>
      <c r="C200" s="369" t="e">
        <f>#REF!</f>
        <v>#REF!</v>
      </c>
      <c r="D200" s="369"/>
      <c r="E200" s="291" t="e">
        <f>#REF!</f>
        <v>#REF!</v>
      </c>
      <c r="F200" s="148" t="e">
        <f>#REF!</f>
        <v>#REF!</v>
      </c>
      <c r="G200" s="205" t="e">
        <f xml:space="preserve"> IF(#REF!="", "",#REF!)</f>
        <v>#REF!</v>
      </c>
      <c r="H200" s="205" t="e">
        <f xml:space="preserve"> IF(#REF!="", "",#REF!)</f>
        <v>#REF!</v>
      </c>
      <c r="I200" s="205" t="e">
        <f xml:space="preserve"> IF(#REF!="", "",#REF!)</f>
        <v>#REF!</v>
      </c>
      <c r="J200" s="298" t="e">
        <f>#REF!</f>
        <v>#REF!</v>
      </c>
      <c r="K200" s="149" t="e">
        <f>#REF!</f>
        <v>#REF!</v>
      </c>
      <c r="L200" s="149" t="e">
        <f>#REF!</f>
        <v>#REF!</v>
      </c>
      <c r="M200" s="150" t="e">
        <f>#REF!</f>
        <v>#REF!</v>
      </c>
      <c r="N200" s="364"/>
      <c r="O200" s="202"/>
      <c r="P200" s="151" t="e">
        <f>#REF!</f>
        <v>#REF!</v>
      </c>
      <c r="Q200" s="202"/>
      <c r="R200" s="152" t="e">
        <f>#REF!</f>
        <v>#REF!</v>
      </c>
      <c r="S200" s="202"/>
      <c r="T200" s="153" t="e">
        <f>#REF!</f>
        <v>#REF!</v>
      </c>
      <c r="U200" s="202"/>
      <c r="V200" s="153" t="e">
        <f>#REF!</f>
        <v>#REF!</v>
      </c>
      <c r="W200" s="202"/>
      <c r="X200" s="153" t="e">
        <f>#REF!</f>
        <v>#REF!</v>
      </c>
      <c r="Y200" s="202"/>
      <c r="Z200" s="152" t="e">
        <f>#REF!</f>
        <v>#REF!</v>
      </c>
      <c r="AA200" s="202"/>
      <c r="AB200" s="153" t="e">
        <f>#REF!</f>
        <v>#REF!</v>
      </c>
      <c r="AC200" s="202"/>
      <c r="AD200" s="152" t="e">
        <f>#REF!</f>
        <v>#REF!</v>
      </c>
      <c r="AE200" s="202"/>
      <c r="AF200" s="153" t="e">
        <f>#REF!</f>
        <v>#REF!</v>
      </c>
      <c r="AG200" s="202"/>
      <c r="AH200" s="152" t="e">
        <f>#REF!</f>
        <v>#REF!</v>
      </c>
      <c r="AI200" s="202"/>
      <c r="AJ200" s="153" t="e">
        <f>#REF!</f>
        <v>#REF!</v>
      </c>
      <c r="AK200" s="202"/>
      <c r="AL200" s="152" t="e">
        <f>#REF!</f>
        <v>#REF!</v>
      </c>
      <c r="AM200" s="202"/>
      <c r="AN200" s="153" t="e">
        <f>#REF!</f>
        <v>#REF!</v>
      </c>
      <c r="AO200" s="202"/>
      <c r="AP200" s="152" t="e">
        <f>#REF!</f>
        <v>#REF!</v>
      </c>
      <c r="AQ200" s="202"/>
      <c r="AR200" s="154" t="e">
        <f>#REF!</f>
        <v>#REF!</v>
      </c>
      <c r="AS200" s="202"/>
      <c r="AT200" s="153" t="e">
        <f>#REF!</f>
        <v>#REF!</v>
      </c>
      <c r="AU200" s="202"/>
      <c r="AV200" s="152" t="e">
        <f>#REF!</f>
        <v>#REF!</v>
      </c>
      <c r="AW200" s="202"/>
      <c r="AX200" s="153" t="e">
        <f>#REF!</f>
        <v>#REF!</v>
      </c>
      <c r="AY200" s="202"/>
      <c r="AZ200" s="152" t="e">
        <f>#REF!</f>
        <v>#REF!</v>
      </c>
      <c r="BA200" s="202"/>
      <c r="BB200" s="154" t="e">
        <f>#REF!</f>
        <v>#REF!</v>
      </c>
      <c r="BC200" s="137"/>
    </row>
    <row r="201" spans="1:55" ht="30" hidden="1" customHeight="1">
      <c r="A201" s="203" t="e">
        <f>#REF!</f>
        <v>#REF!</v>
      </c>
      <c r="B201" s="204" t="e">
        <f xml:space="preserve"> IF(#REF!=0, "",#REF!)</f>
        <v>#REF!</v>
      </c>
      <c r="C201" s="369" t="e">
        <f>#REF!</f>
        <v>#REF!</v>
      </c>
      <c r="D201" s="369"/>
      <c r="E201" s="291" t="e">
        <f>#REF!</f>
        <v>#REF!</v>
      </c>
      <c r="F201" s="148" t="e">
        <f>#REF!</f>
        <v>#REF!</v>
      </c>
      <c r="G201" s="205" t="e">
        <f xml:space="preserve"> IF(#REF!="", "",#REF!)</f>
        <v>#REF!</v>
      </c>
      <c r="H201" s="205" t="e">
        <f xml:space="preserve"> IF(#REF!="", "",#REF!)</f>
        <v>#REF!</v>
      </c>
      <c r="I201" s="205" t="e">
        <f xml:space="preserve"> IF(#REF!="", "",#REF!)</f>
        <v>#REF!</v>
      </c>
      <c r="J201" s="298" t="e">
        <f>#REF!</f>
        <v>#REF!</v>
      </c>
      <c r="K201" s="149" t="e">
        <f>#REF!</f>
        <v>#REF!</v>
      </c>
      <c r="L201" s="149" t="e">
        <f>#REF!</f>
        <v>#REF!</v>
      </c>
      <c r="M201" s="150" t="e">
        <f>#REF!</f>
        <v>#REF!</v>
      </c>
      <c r="N201" s="364"/>
      <c r="O201" s="202"/>
      <c r="P201" s="151" t="e">
        <f>#REF!</f>
        <v>#REF!</v>
      </c>
      <c r="Q201" s="202"/>
      <c r="R201" s="152" t="e">
        <f>#REF!</f>
        <v>#REF!</v>
      </c>
      <c r="S201" s="202"/>
      <c r="T201" s="153" t="e">
        <f>#REF!</f>
        <v>#REF!</v>
      </c>
      <c r="U201" s="202"/>
      <c r="V201" s="153" t="e">
        <f>#REF!</f>
        <v>#REF!</v>
      </c>
      <c r="W201" s="202"/>
      <c r="X201" s="153" t="e">
        <f>#REF!</f>
        <v>#REF!</v>
      </c>
      <c r="Y201" s="202"/>
      <c r="Z201" s="152" t="e">
        <f>#REF!</f>
        <v>#REF!</v>
      </c>
      <c r="AA201" s="202"/>
      <c r="AB201" s="153" t="e">
        <f>#REF!</f>
        <v>#REF!</v>
      </c>
      <c r="AC201" s="202"/>
      <c r="AD201" s="152" t="e">
        <f>#REF!</f>
        <v>#REF!</v>
      </c>
      <c r="AE201" s="202"/>
      <c r="AF201" s="153" t="e">
        <f>#REF!</f>
        <v>#REF!</v>
      </c>
      <c r="AG201" s="202"/>
      <c r="AH201" s="152" t="e">
        <f>#REF!</f>
        <v>#REF!</v>
      </c>
      <c r="AI201" s="202"/>
      <c r="AJ201" s="153" t="e">
        <f>#REF!</f>
        <v>#REF!</v>
      </c>
      <c r="AK201" s="202"/>
      <c r="AL201" s="152" t="e">
        <f>#REF!</f>
        <v>#REF!</v>
      </c>
      <c r="AM201" s="202"/>
      <c r="AN201" s="153" t="e">
        <f>#REF!</f>
        <v>#REF!</v>
      </c>
      <c r="AO201" s="202"/>
      <c r="AP201" s="152" t="e">
        <f>#REF!</f>
        <v>#REF!</v>
      </c>
      <c r="AQ201" s="202"/>
      <c r="AR201" s="154" t="e">
        <f>#REF!</f>
        <v>#REF!</v>
      </c>
      <c r="AS201" s="202"/>
      <c r="AT201" s="153" t="e">
        <f>#REF!</f>
        <v>#REF!</v>
      </c>
      <c r="AU201" s="202"/>
      <c r="AV201" s="152" t="e">
        <f>#REF!</f>
        <v>#REF!</v>
      </c>
      <c r="AW201" s="202"/>
      <c r="AX201" s="153" t="e">
        <f>#REF!</f>
        <v>#REF!</v>
      </c>
      <c r="AY201" s="202"/>
      <c r="AZ201" s="152" t="e">
        <f>#REF!</f>
        <v>#REF!</v>
      </c>
      <c r="BA201" s="202"/>
      <c r="BB201" s="154" t="e">
        <f>#REF!</f>
        <v>#REF!</v>
      </c>
      <c r="BC201" s="137"/>
    </row>
    <row r="202" spans="1:55" ht="30" hidden="1" customHeight="1">
      <c r="A202" s="203" t="e">
        <f>#REF!</f>
        <v>#REF!</v>
      </c>
      <c r="B202" s="204" t="e">
        <f xml:space="preserve"> IF(#REF!=0, "",#REF!)</f>
        <v>#REF!</v>
      </c>
      <c r="C202" s="369" t="e">
        <f>#REF!</f>
        <v>#REF!</v>
      </c>
      <c r="D202" s="369"/>
      <c r="E202" s="291" t="e">
        <f>#REF!</f>
        <v>#REF!</v>
      </c>
      <c r="F202" s="148" t="e">
        <f>#REF!</f>
        <v>#REF!</v>
      </c>
      <c r="G202" s="205" t="e">
        <f xml:space="preserve"> IF(#REF!="", "",#REF!)</f>
        <v>#REF!</v>
      </c>
      <c r="H202" s="205" t="e">
        <f xml:space="preserve"> IF(#REF!="", "",#REF!)</f>
        <v>#REF!</v>
      </c>
      <c r="I202" s="205" t="e">
        <f xml:space="preserve"> IF(#REF!="", "",#REF!)</f>
        <v>#REF!</v>
      </c>
      <c r="J202" s="298" t="e">
        <f>#REF!</f>
        <v>#REF!</v>
      </c>
      <c r="K202" s="149" t="e">
        <f>#REF!</f>
        <v>#REF!</v>
      </c>
      <c r="L202" s="149" t="e">
        <f>#REF!</f>
        <v>#REF!</v>
      </c>
      <c r="M202" s="150" t="e">
        <f>#REF!</f>
        <v>#REF!</v>
      </c>
      <c r="N202" s="364"/>
      <c r="O202" s="202"/>
      <c r="P202" s="151" t="e">
        <f>#REF!</f>
        <v>#REF!</v>
      </c>
      <c r="Q202" s="202"/>
      <c r="R202" s="152" t="e">
        <f>#REF!</f>
        <v>#REF!</v>
      </c>
      <c r="S202" s="202"/>
      <c r="T202" s="153" t="e">
        <f>#REF!</f>
        <v>#REF!</v>
      </c>
      <c r="U202" s="202"/>
      <c r="V202" s="153" t="e">
        <f>#REF!</f>
        <v>#REF!</v>
      </c>
      <c r="W202" s="202"/>
      <c r="X202" s="153" t="e">
        <f>#REF!</f>
        <v>#REF!</v>
      </c>
      <c r="Y202" s="202"/>
      <c r="Z202" s="152" t="e">
        <f>#REF!</f>
        <v>#REF!</v>
      </c>
      <c r="AA202" s="202"/>
      <c r="AB202" s="153" t="e">
        <f>#REF!</f>
        <v>#REF!</v>
      </c>
      <c r="AC202" s="202"/>
      <c r="AD202" s="152" t="e">
        <f>#REF!</f>
        <v>#REF!</v>
      </c>
      <c r="AE202" s="202"/>
      <c r="AF202" s="153" t="e">
        <f>#REF!</f>
        <v>#REF!</v>
      </c>
      <c r="AG202" s="202"/>
      <c r="AH202" s="152" t="e">
        <f>#REF!</f>
        <v>#REF!</v>
      </c>
      <c r="AI202" s="202"/>
      <c r="AJ202" s="153" t="e">
        <f>#REF!</f>
        <v>#REF!</v>
      </c>
      <c r="AK202" s="202"/>
      <c r="AL202" s="152" t="e">
        <f>#REF!</f>
        <v>#REF!</v>
      </c>
      <c r="AM202" s="202"/>
      <c r="AN202" s="153" t="e">
        <f>#REF!</f>
        <v>#REF!</v>
      </c>
      <c r="AO202" s="202"/>
      <c r="AP202" s="152" t="e">
        <f>#REF!</f>
        <v>#REF!</v>
      </c>
      <c r="AQ202" s="202"/>
      <c r="AR202" s="154" t="e">
        <f>#REF!</f>
        <v>#REF!</v>
      </c>
      <c r="AS202" s="202"/>
      <c r="AT202" s="153" t="e">
        <f>#REF!</f>
        <v>#REF!</v>
      </c>
      <c r="AU202" s="202"/>
      <c r="AV202" s="152" t="e">
        <f>#REF!</f>
        <v>#REF!</v>
      </c>
      <c r="AW202" s="202"/>
      <c r="AX202" s="153" t="e">
        <f>#REF!</f>
        <v>#REF!</v>
      </c>
      <c r="AY202" s="202"/>
      <c r="AZ202" s="152" t="e">
        <f>#REF!</f>
        <v>#REF!</v>
      </c>
      <c r="BA202" s="202"/>
      <c r="BB202" s="154" t="e">
        <f>#REF!</f>
        <v>#REF!</v>
      </c>
      <c r="BC202" s="137"/>
    </row>
    <row r="203" spans="1:55" ht="30" hidden="1" customHeight="1">
      <c r="A203" s="203" t="e">
        <f>#REF!</f>
        <v>#REF!</v>
      </c>
      <c r="B203" s="204" t="e">
        <f xml:space="preserve"> IF(#REF!=0, "",#REF!)</f>
        <v>#REF!</v>
      </c>
      <c r="C203" s="369" t="e">
        <f>#REF!</f>
        <v>#REF!</v>
      </c>
      <c r="D203" s="369"/>
      <c r="E203" s="291" t="e">
        <f>#REF!</f>
        <v>#REF!</v>
      </c>
      <c r="F203" s="148" t="e">
        <f>#REF!</f>
        <v>#REF!</v>
      </c>
      <c r="G203" s="205" t="e">
        <f xml:space="preserve"> IF(#REF!="", "",#REF!)</f>
        <v>#REF!</v>
      </c>
      <c r="H203" s="205" t="e">
        <f xml:space="preserve"> IF(#REF!="", "",#REF!)</f>
        <v>#REF!</v>
      </c>
      <c r="I203" s="205" t="e">
        <f xml:space="preserve"> IF(#REF!="", "",#REF!)</f>
        <v>#REF!</v>
      </c>
      <c r="J203" s="298" t="e">
        <f>#REF!</f>
        <v>#REF!</v>
      </c>
      <c r="K203" s="149" t="e">
        <f>#REF!</f>
        <v>#REF!</v>
      </c>
      <c r="L203" s="149" t="e">
        <f>#REF!</f>
        <v>#REF!</v>
      </c>
      <c r="M203" s="150" t="e">
        <f>#REF!</f>
        <v>#REF!</v>
      </c>
      <c r="N203" s="364"/>
      <c r="O203" s="202"/>
      <c r="P203" s="151" t="e">
        <f>#REF!</f>
        <v>#REF!</v>
      </c>
      <c r="Q203" s="202"/>
      <c r="R203" s="152" t="e">
        <f>#REF!</f>
        <v>#REF!</v>
      </c>
      <c r="S203" s="202"/>
      <c r="T203" s="153" t="e">
        <f>#REF!</f>
        <v>#REF!</v>
      </c>
      <c r="U203" s="202"/>
      <c r="V203" s="153" t="e">
        <f>#REF!</f>
        <v>#REF!</v>
      </c>
      <c r="W203" s="202"/>
      <c r="X203" s="153" t="e">
        <f>#REF!</f>
        <v>#REF!</v>
      </c>
      <c r="Y203" s="202"/>
      <c r="Z203" s="152" t="e">
        <f>#REF!</f>
        <v>#REF!</v>
      </c>
      <c r="AA203" s="202"/>
      <c r="AB203" s="153" t="e">
        <f>#REF!</f>
        <v>#REF!</v>
      </c>
      <c r="AC203" s="202"/>
      <c r="AD203" s="152" t="e">
        <f>#REF!</f>
        <v>#REF!</v>
      </c>
      <c r="AE203" s="202"/>
      <c r="AF203" s="153" t="e">
        <f>#REF!</f>
        <v>#REF!</v>
      </c>
      <c r="AG203" s="202"/>
      <c r="AH203" s="152" t="e">
        <f>#REF!</f>
        <v>#REF!</v>
      </c>
      <c r="AI203" s="202"/>
      <c r="AJ203" s="153" t="e">
        <f>#REF!</f>
        <v>#REF!</v>
      </c>
      <c r="AK203" s="202"/>
      <c r="AL203" s="152" t="e">
        <f>#REF!</f>
        <v>#REF!</v>
      </c>
      <c r="AM203" s="202"/>
      <c r="AN203" s="153" t="e">
        <f>#REF!</f>
        <v>#REF!</v>
      </c>
      <c r="AO203" s="202"/>
      <c r="AP203" s="152" t="e">
        <f>#REF!</f>
        <v>#REF!</v>
      </c>
      <c r="AQ203" s="202"/>
      <c r="AR203" s="154" t="e">
        <f>#REF!</f>
        <v>#REF!</v>
      </c>
      <c r="AS203" s="202"/>
      <c r="AT203" s="153" t="e">
        <f>#REF!</f>
        <v>#REF!</v>
      </c>
      <c r="AU203" s="202"/>
      <c r="AV203" s="152" t="e">
        <f>#REF!</f>
        <v>#REF!</v>
      </c>
      <c r="AW203" s="202"/>
      <c r="AX203" s="153" t="e">
        <f>#REF!</f>
        <v>#REF!</v>
      </c>
      <c r="AY203" s="202"/>
      <c r="AZ203" s="152" t="e">
        <f>#REF!</f>
        <v>#REF!</v>
      </c>
      <c r="BA203" s="202"/>
      <c r="BB203" s="154" t="e">
        <f>#REF!</f>
        <v>#REF!</v>
      </c>
      <c r="BC203" s="137"/>
    </row>
    <row r="204" spans="1:55" ht="30" hidden="1" customHeight="1">
      <c r="A204" s="203" t="e">
        <f>#REF!</f>
        <v>#REF!</v>
      </c>
      <c r="B204" s="204" t="e">
        <f xml:space="preserve"> IF(#REF!=0, "",#REF!)</f>
        <v>#REF!</v>
      </c>
      <c r="C204" s="369" t="e">
        <f>#REF!</f>
        <v>#REF!</v>
      </c>
      <c r="D204" s="369"/>
      <c r="E204" s="291" t="e">
        <f>#REF!</f>
        <v>#REF!</v>
      </c>
      <c r="F204" s="148" t="e">
        <f>#REF!</f>
        <v>#REF!</v>
      </c>
      <c r="G204" s="205" t="e">
        <f xml:space="preserve"> IF(#REF!="", "",#REF!)</f>
        <v>#REF!</v>
      </c>
      <c r="H204" s="205" t="e">
        <f xml:space="preserve"> IF(#REF!="", "",#REF!)</f>
        <v>#REF!</v>
      </c>
      <c r="I204" s="205" t="e">
        <f xml:space="preserve"> IF(#REF!="", "",#REF!)</f>
        <v>#REF!</v>
      </c>
      <c r="J204" s="298" t="e">
        <f>#REF!</f>
        <v>#REF!</v>
      </c>
      <c r="K204" s="149" t="e">
        <f>#REF!</f>
        <v>#REF!</v>
      </c>
      <c r="L204" s="149" t="e">
        <f>#REF!</f>
        <v>#REF!</v>
      </c>
      <c r="M204" s="150" t="e">
        <f>#REF!</f>
        <v>#REF!</v>
      </c>
      <c r="N204" s="364"/>
      <c r="O204" s="202"/>
      <c r="P204" s="151" t="e">
        <f>#REF!</f>
        <v>#REF!</v>
      </c>
      <c r="Q204" s="202"/>
      <c r="R204" s="152" t="e">
        <f>#REF!</f>
        <v>#REF!</v>
      </c>
      <c r="S204" s="202"/>
      <c r="T204" s="153" t="e">
        <f>#REF!</f>
        <v>#REF!</v>
      </c>
      <c r="U204" s="202"/>
      <c r="V204" s="153" t="e">
        <f>#REF!</f>
        <v>#REF!</v>
      </c>
      <c r="W204" s="202"/>
      <c r="X204" s="153" t="e">
        <f>#REF!</f>
        <v>#REF!</v>
      </c>
      <c r="Y204" s="202"/>
      <c r="Z204" s="152" t="e">
        <f>#REF!</f>
        <v>#REF!</v>
      </c>
      <c r="AA204" s="202"/>
      <c r="AB204" s="153" t="e">
        <f>#REF!</f>
        <v>#REF!</v>
      </c>
      <c r="AC204" s="202"/>
      <c r="AD204" s="152" t="e">
        <f>#REF!</f>
        <v>#REF!</v>
      </c>
      <c r="AE204" s="202"/>
      <c r="AF204" s="153" t="e">
        <f>#REF!</f>
        <v>#REF!</v>
      </c>
      <c r="AG204" s="202"/>
      <c r="AH204" s="152" t="e">
        <f>#REF!</f>
        <v>#REF!</v>
      </c>
      <c r="AI204" s="202"/>
      <c r="AJ204" s="153" t="e">
        <f>#REF!</f>
        <v>#REF!</v>
      </c>
      <c r="AK204" s="202"/>
      <c r="AL204" s="152" t="e">
        <f>#REF!</f>
        <v>#REF!</v>
      </c>
      <c r="AM204" s="202"/>
      <c r="AN204" s="153" t="e">
        <f>#REF!</f>
        <v>#REF!</v>
      </c>
      <c r="AO204" s="202"/>
      <c r="AP204" s="152" t="e">
        <f>#REF!</f>
        <v>#REF!</v>
      </c>
      <c r="AQ204" s="202"/>
      <c r="AR204" s="154" t="e">
        <f>#REF!</f>
        <v>#REF!</v>
      </c>
      <c r="AS204" s="202"/>
      <c r="AT204" s="153" t="e">
        <f>#REF!</f>
        <v>#REF!</v>
      </c>
      <c r="AU204" s="202"/>
      <c r="AV204" s="152" t="e">
        <f>#REF!</f>
        <v>#REF!</v>
      </c>
      <c r="AW204" s="202"/>
      <c r="AX204" s="153" t="e">
        <f>#REF!</f>
        <v>#REF!</v>
      </c>
      <c r="AY204" s="202"/>
      <c r="AZ204" s="152" t="e">
        <f>#REF!</f>
        <v>#REF!</v>
      </c>
      <c r="BA204" s="202"/>
      <c r="BB204" s="154" t="e">
        <f>#REF!</f>
        <v>#REF!</v>
      </c>
      <c r="BC204" s="137"/>
    </row>
    <row r="205" spans="1:55" ht="30" hidden="1" customHeight="1">
      <c r="A205" s="203" t="e">
        <f>#REF!</f>
        <v>#REF!</v>
      </c>
      <c r="B205" s="204" t="e">
        <f xml:space="preserve"> IF(#REF!=0, "",#REF!)</f>
        <v>#REF!</v>
      </c>
      <c r="C205" s="369" t="e">
        <f>#REF!</f>
        <v>#REF!</v>
      </c>
      <c r="D205" s="369"/>
      <c r="E205" s="291" t="e">
        <f>#REF!</f>
        <v>#REF!</v>
      </c>
      <c r="F205" s="148" t="e">
        <f>#REF!</f>
        <v>#REF!</v>
      </c>
      <c r="G205" s="205" t="e">
        <f xml:space="preserve"> IF(#REF!="", "",#REF!)</f>
        <v>#REF!</v>
      </c>
      <c r="H205" s="205" t="e">
        <f xml:space="preserve"> IF(#REF!="", "",#REF!)</f>
        <v>#REF!</v>
      </c>
      <c r="I205" s="205" t="e">
        <f xml:space="preserve"> IF(#REF!="", "",#REF!)</f>
        <v>#REF!</v>
      </c>
      <c r="J205" s="298" t="e">
        <f>#REF!</f>
        <v>#REF!</v>
      </c>
      <c r="K205" s="149" t="e">
        <f>#REF!</f>
        <v>#REF!</v>
      </c>
      <c r="L205" s="149" t="e">
        <f>#REF!</f>
        <v>#REF!</v>
      </c>
      <c r="M205" s="150" t="e">
        <f>#REF!</f>
        <v>#REF!</v>
      </c>
      <c r="N205" s="364"/>
      <c r="O205" s="202"/>
      <c r="P205" s="151" t="e">
        <f>#REF!</f>
        <v>#REF!</v>
      </c>
      <c r="Q205" s="202"/>
      <c r="R205" s="152" t="e">
        <f>#REF!</f>
        <v>#REF!</v>
      </c>
      <c r="S205" s="202"/>
      <c r="T205" s="153" t="e">
        <f>#REF!</f>
        <v>#REF!</v>
      </c>
      <c r="U205" s="202"/>
      <c r="V205" s="153" t="e">
        <f>#REF!</f>
        <v>#REF!</v>
      </c>
      <c r="W205" s="202"/>
      <c r="X205" s="153" t="e">
        <f>#REF!</f>
        <v>#REF!</v>
      </c>
      <c r="Y205" s="202"/>
      <c r="Z205" s="152" t="e">
        <f>#REF!</f>
        <v>#REF!</v>
      </c>
      <c r="AA205" s="202"/>
      <c r="AB205" s="153" t="e">
        <f>#REF!</f>
        <v>#REF!</v>
      </c>
      <c r="AC205" s="202"/>
      <c r="AD205" s="152" t="e">
        <f>#REF!</f>
        <v>#REF!</v>
      </c>
      <c r="AE205" s="202"/>
      <c r="AF205" s="153" t="e">
        <f>#REF!</f>
        <v>#REF!</v>
      </c>
      <c r="AG205" s="202"/>
      <c r="AH205" s="152" t="e">
        <f>#REF!</f>
        <v>#REF!</v>
      </c>
      <c r="AI205" s="202"/>
      <c r="AJ205" s="153" t="e">
        <f>#REF!</f>
        <v>#REF!</v>
      </c>
      <c r="AK205" s="202"/>
      <c r="AL205" s="152" t="e">
        <f>#REF!</f>
        <v>#REF!</v>
      </c>
      <c r="AM205" s="202"/>
      <c r="AN205" s="153" t="e">
        <f>#REF!</f>
        <v>#REF!</v>
      </c>
      <c r="AO205" s="202"/>
      <c r="AP205" s="152" t="e">
        <f>#REF!</f>
        <v>#REF!</v>
      </c>
      <c r="AQ205" s="202"/>
      <c r="AR205" s="154" t="e">
        <f>#REF!</f>
        <v>#REF!</v>
      </c>
      <c r="AS205" s="202"/>
      <c r="AT205" s="153" t="e">
        <f>#REF!</f>
        <v>#REF!</v>
      </c>
      <c r="AU205" s="202"/>
      <c r="AV205" s="152" t="e">
        <f>#REF!</f>
        <v>#REF!</v>
      </c>
      <c r="AW205" s="202"/>
      <c r="AX205" s="153" t="e">
        <f>#REF!</f>
        <v>#REF!</v>
      </c>
      <c r="AY205" s="202"/>
      <c r="AZ205" s="152" t="e">
        <f>#REF!</f>
        <v>#REF!</v>
      </c>
      <c r="BA205" s="202"/>
      <c r="BB205" s="154" t="e">
        <f>#REF!</f>
        <v>#REF!</v>
      </c>
      <c r="BC205" s="137"/>
    </row>
    <row r="206" spans="1:55" ht="30" hidden="1" customHeight="1">
      <c r="A206" s="203" t="e">
        <f>#REF!</f>
        <v>#REF!</v>
      </c>
      <c r="B206" s="204" t="e">
        <f xml:space="preserve"> IF(#REF!=0, "",#REF!)</f>
        <v>#REF!</v>
      </c>
      <c r="C206" s="369" t="e">
        <f>#REF!</f>
        <v>#REF!</v>
      </c>
      <c r="D206" s="369"/>
      <c r="E206" s="291" t="e">
        <f>#REF!</f>
        <v>#REF!</v>
      </c>
      <c r="F206" s="148" t="e">
        <f>#REF!</f>
        <v>#REF!</v>
      </c>
      <c r="G206" s="205" t="e">
        <f xml:space="preserve"> IF(#REF!="", "",#REF!)</f>
        <v>#REF!</v>
      </c>
      <c r="H206" s="205" t="e">
        <f xml:space="preserve"> IF(#REF!="", "",#REF!)</f>
        <v>#REF!</v>
      </c>
      <c r="I206" s="205" t="e">
        <f xml:space="preserve"> IF(#REF!="", "",#REF!)</f>
        <v>#REF!</v>
      </c>
      <c r="J206" s="298" t="e">
        <f>#REF!</f>
        <v>#REF!</v>
      </c>
      <c r="K206" s="149" t="e">
        <f>#REF!</f>
        <v>#REF!</v>
      </c>
      <c r="L206" s="149" t="e">
        <f>#REF!</f>
        <v>#REF!</v>
      </c>
      <c r="M206" s="150" t="e">
        <f>#REF!</f>
        <v>#REF!</v>
      </c>
      <c r="N206" s="364"/>
      <c r="O206" s="202"/>
      <c r="P206" s="151" t="e">
        <f>#REF!</f>
        <v>#REF!</v>
      </c>
      <c r="Q206" s="202"/>
      <c r="R206" s="152" t="e">
        <f>#REF!</f>
        <v>#REF!</v>
      </c>
      <c r="S206" s="202"/>
      <c r="T206" s="153" t="e">
        <f>#REF!</f>
        <v>#REF!</v>
      </c>
      <c r="U206" s="202"/>
      <c r="V206" s="153" t="e">
        <f>#REF!</f>
        <v>#REF!</v>
      </c>
      <c r="W206" s="202"/>
      <c r="X206" s="153" t="e">
        <f>#REF!</f>
        <v>#REF!</v>
      </c>
      <c r="Y206" s="202"/>
      <c r="Z206" s="152" t="e">
        <f>#REF!</f>
        <v>#REF!</v>
      </c>
      <c r="AA206" s="202"/>
      <c r="AB206" s="153" t="e">
        <f>#REF!</f>
        <v>#REF!</v>
      </c>
      <c r="AC206" s="202"/>
      <c r="AD206" s="152" t="e">
        <f>#REF!</f>
        <v>#REF!</v>
      </c>
      <c r="AE206" s="202"/>
      <c r="AF206" s="153" t="e">
        <f>#REF!</f>
        <v>#REF!</v>
      </c>
      <c r="AG206" s="202"/>
      <c r="AH206" s="152" t="e">
        <f>#REF!</f>
        <v>#REF!</v>
      </c>
      <c r="AI206" s="202"/>
      <c r="AJ206" s="153" t="e">
        <f>#REF!</f>
        <v>#REF!</v>
      </c>
      <c r="AK206" s="202"/>
      <c r="AL206" s="152" t="e">
        <f>#REF!</f>
        <v>#REF!</v>
      </c>
      <c r="AM206" s="202"/>
      <c r="AN206" s="153" t="e">
        <f>#REF!</f>
        <v>#REF!</v>
      </c>
      <c r="AO206" s="202"/>
      <c r="AP206" s="152" t="e">
        <f>#REF!</f>
        <v>#REF!</v>
      </c>
      <c r="AQ206" s="202"/>
      <c r="AR206" s="154" t="e">
        <f>#REF!</f>
        <v>#REF!</v>
      </c>
      <c r="AS206" s="202"/>
      <c r="AT206" s="153" t="e">
        <f>#REF!</f>
        <v>#REF!</v>
      </c>
      <c r="AU206" s="202"/>
      <c r="AV206" s="152" t="e">
        <f>#REF!</f>
        <v>#REF!</v>
      </c>
      <c r="AW206" s="202"/>
      <c r="AX206" s="153" t="e">
        <f>#REF!</f>
        <v>#REF!</v>
      </c>
      <c r="AY206" s="202"/>
      <c r="AZ206" s="152" t="e">
        <f>#REF!</f>
        <v>#REF!</v>
      </c>
      <c r="BA206" s="202"/>
      <c r="BB206" s="154" t="e">
        <f>#REF!</f>
        <v>#REF!</v>
      </c>
      <c r="BC206" s="137"/>
    </row>
    <row r="207" spans="1:55" ht="30" hidden="1" customHeight="1">
      <c r="A207" s="203" t="e">
        <f>#REF!</f>
        <v>#REF!</v>
      </c>
      <c r="B207" s="204" t="e">
        <f xml:space="preserve"> IF(#REF!=0, "",#REF!)</f>
        <v>#REF!</v>
      </c>
      <c r="C207" s="369" t="e">
        <f>#REF!</f>
        <v>#REF!</v>
      </c>
      <c r="D207" s="369"/>
      <c r="E207" s="291" t="e">
        <f>#REF!</f>
        <v>#REF!</v>
      </c>
      <c r="F207" s="148" t="e">
        <f>#REF!</f>
        <v>#REF!</v>
      </c>
      <c r="G207" s="205" t="e">
        <f xml:space="preserve"> IF(#REF!="", "",#REF!)</f>
        <v>#REF!</v>
      </c>
      <c r="H207" s="205" t="e">
        <f xml:space="preserve"> IF(#REF!="", "",#REF!)</f>
        <v>#REF!</v>
      </c>
      <c r="I207" s="205" t="e">
        <f xml:space="preserve"> IF(#REF!="", "",#REF!)</f>
        <v>#REF!</v>
      </c>
      <c r="J207" s="298" t="e">
        <f>#REF!</f>
        <v>#REF!</v>
      </c>
      <c r="K207" s="149" t="e">
        <f>#REF!</f>
        <v>#REF!</v>
      </c>
      <c r="L207" s="149" t="e">
        <f>#REF!</f>
        <v>#REF!</v>
      </c>
      <c r="M207" s="150" t="e">
        <f>#REF!</f>
        <v>#REF!</v>
      </c>
      <c r="N207" s="364"/>
      <c r="O207" s="202"/>
      <c r="P207" s="151" t="e">
        <f>#REF!</f>
        <v>#REF!</v>
      </c>
      <c r="Q207" s="202"/>
      <c r="R207" s="152" t="e">
        <f>#REF!</f>
        <v>#REF!</v>
      </c>
      <c r="S207" s="202"/>
      <c r="T207" s="153" t="e">
        <f>#REF!</f>
        <v>#REF!</v>
      </c>
      <c r="U207" s="202"/>
      <c r="V207" s="153" t="e">
        <f>#REF!</f>
        <v>#REF!</v>
      </c>
      <c r="W207" s="202"/>
      <c r="X207" s="153" t="e">
        <f>#REF!</f>
        <v>#REF!</v>
      </c>
      <c r="Y207" s="202"/>
      <c r="Z207" s="152" t="e">
        <f>#REF!</f>
        <v>#REF!</v>
      </c>
      <c r="AA207" s="202"/>
      <c r="AB207" s="153" t="e">
        <f>#REF!</f>
        <v>#REF!</v>
      </c>
      <c r="AC207" s="202"/>
      <c r="AD207" s="152" t="e">
        <f>#REF!</f>
        <v>#REF!</v>
      </c>
      <c r="AE207" s="202"/>
      <c r="AF207" s="153" t="e">
        <f>#REF!</f>
        <v>#REF!</v>
      </c>
      <c r="AG207" s="202"/>
      <c r="AH207" s="152" t="e">
        <f>#REF!</f>
        <v>#REF!</v>
      </c>
      <c r="AI207" s="202"/>
      <c r="AJ207" s="153" t="e">
        <f>#REF!</f>
        <v>#REF!</v>
      </c>
      <c r="AK207" s="202"/>
      <c r="AL207" s="152" t="e">
        <f>#REF!</f>
        <v>#REF!</v>
      </c>
      <c r="AM207" s="202"/>
      <c r="AN207" s="153" t="e">
        <f>#REF!</f>
        <v>#REF!</v>
      </c>
      <c r="AO207" s="202"/>
      <c r="AP207" s="152" t="e">
        <f>#REF!</f>
        <v>#REF!</v>
      </c>
      <c r="AQ207" s="202"/>
      <c r="AR207" s="154" t="e">
        <f>#REF!</f>
        <v>#REF!</v>
      </c>
      <c r="AS207" s="202"/>
      <c r="AT207" s="153" t="e">
        <f>#REF!</f>
        <v>#REF!</v>
      </c>
      <c r="AU207" s="202"/>
      <c r="AV207" s="152" t="e">
        <f>#REF!</f>
        <v>#REF!</v>
      </c>
      <c r="AW207" s="202"/>
      <c r="AX207" s="153" t="e">
        <f>#REF!</f>
        <v>#REF!</v>
      </c>
      <c r="AY207" s="202"/>
      <c r="AZ207" s="152" t="e">
        <f>#REF!</f>
        <v>#REF!</v>
      </c>
      <c r="BA207" s="202"/>
      <c r="BB207" s="154" t="e">
        <f>#REF!</f>
        <v>#REF!</v>
      </c>
      <c r="BC207" s="137"/>
    </row>
    <row r="208" spans="1:55" ht="30" hidden="1" customHeight="1">
      <c r="A208" s="203" t="e">
        <f>#REF!</f>
        <v>#REF!</v>
      </c>
      <c r="B208" s="204" t="e">
        <f xml:space="preserve"> IF(#REF!=0, "",#REF!)</f>
        <v>#REF!</v>
      </c>
      <c r="C208" s="369" t="e">
        <f>#REF!</f>
        <v>#REF!</v>
      </c>
      <c r="D208" s="369"/>
      <c r="E208" s="291" t="e">
        <f>#REF!</f>
        <v>#REF!</v>
      </c>
      <c r="F208" s="148" t="e">
        <f>#REF!</f>
        <v>#REF!</v>
      </c>
      <c r="G208" s="205" t="e">
        <f xml:space="preserve"> IF(#REF!="", "",#REF!)</f>
        <v>#REF!</v>
      </c>
      <c r="H208" s="205" t="e">
        <f xml:space="preserve"> IF(#REF!="", "",#REF!)</f>
        <v>#REF!</v>
      </c>
      <c r="I208" s="205" t="e">
        <f xml:space="preserve"> IF(#REF!="", "",#REF!)</f>
        <v>#REF!</v>
      </c>
      <c r="J208" s="298" t="e">
        <f>#REF!</f>
        <v>#REF!</v>
      </c>
      <c r="K208" s="149" t="e">
        <f>#REF!</f>
        <v>#REF!</v>
      </c>
      <c r="L208" s="149" t="e">
        <f>#REF!</f>
        <v>#REF!</v>
      </c>
      <c r="M208" s="150" t="e">
        <f>#REF!</f>
        <v>#REF!</v>
      </c>
      <c r="N208" s="364"/>
      <c r="O208" s="202"/>
      <c r="P208" s="151" t="e">
        <f>#REF!</f>
        <v>#REF!</v>
      </c>
      <c r="Q208" s="202"/>
      <c r="R208" s="152" t="e">
        <f>#REF!</f>
        <v>#REF!</v>
      </c>
      <c r="S208" s="202"/>
      <c r="T208" s="153" t="e">
        <f>#REF!</f>
        <v>#REF!</v>
      </c>
      <c r="U208" s="202"/>
      <c r="V208" s="153" t="e">
        <f>#REF!</f>
        <v>#REF!</v>
      </c>
      <c r="W208" s="202"/>
      <c r="X208" s="153" t="e">
        <f>#REF!</f>
        <v>#REF!</v>
      </c>
      <c r="Y208" s="202"/>
      <c r="Z208" s="152" t="e">
        <f>#REF!</f>
        <v>#REF!</v>
      </c>
      <c r="AA208" s="202"/>
      <c r="AB208" s="153" t="e">
        <f>#REF!</f>
        <v>#REF!</v>
      </c>
      <c r="AC208" s="202"/>
      <c r="AD208" s="152" t="e">
        <f>#REF!</f>
        <v>#REF!</v>
      </c>
      <c r="AE208" s="202"/>
      <c r="AF208" s="153" t="e">
        <f>#REF!</f>
        <v>#REF!</v>
      </c>
      <c r="AG208" s="202"/>
      <c r="AH208" s="152" t="e">
        <f>#REF!</f>
        <v>#REF!</v>
      </c>
      <c r="AI208" s="202"/>
      <c r="AJ208" s="153" t="e">
        <f>#REF!</f>
        <v>#REF!</v>
      </c>
      <c r="AK208" s="202"/>
      <c r="AL208" s="152" t="e">
        <f>#REF!</f>
        <v>#REF!</v>
      </c>
      <c r="AM208" s="202"/>
      <c r="AN208" s="153" t="e">
        <f>#REF!</f>
        <v>#REF!</v>
      </c>
      <c r="AO208" s="202"/>
      <c r="AP208" s="152" t="e">
        <f>#REF!</f>
        <v>#REF!</v>
      </c>
      <c r="AQ208" s="202"/>
      <c r="AR208" s="154" t="e">
        <f>#REF!</f>
        <v>#REF!</v>
      </c>
      <c r="AS208" s="202"/>
      <c r="AT208" s="153" t="e">
        <f>#REF!</f>
        <v>#REF!</v>
      </c>
      <c r="AU208" s="202"/>
      <c r="AV208" s="152" t="e">
        <f>#REF!</f>
        <v>#REF!</v>
      </c>
      <c r="AW208" s="202"/>
      <c r="AX208" s="153" t="e">
        <f>#REF!</f>
        <v>#REF!</v>
      </c>
      <c r="AY208" s="202"/>
      <c r="AZ208" s="152" t="e">
        <f>#REF!</f>
        <v>#REF!</v>
      </c>
      <c r="BA208" s="202"/>
      <c r="BB208" s="154" t="e">
        <f>#REF!</f>
        <v>#REF!</v>
      </c>
      <c r="BC208" s="137"/>
    </row>
    <row r="209" spans="1:55" ht="30" hidden="1" customHeight="1">
      <c r="A209" s="203" t="e">
        <f>#REF!</f>
        <v>#REF!</v>
      </c>
      <c r="B209" s="204" t="e">
        <f xml:space="preserve"> IF(#REF!=0, "",#REF!)</f>
        <v>#REF!</v>
      </c>
      <c r="C209" s="369" t="e">
        <f>#REF!</f>
        <v>#REF!</v>
      </c>
      <c r="D209" s="369"/>
      <c r="E209" s="291" t="e">
        <f>#REF!</f>
        <v>#REF!</v>
      </c>
      <c r="F209" s="148" t="e">
        <f>#REF!</f>
        <v>#REF!</v>
      </c>
      <c r="G209" s="205" t="e">
        <f xml:space="preserve"> IF(#REF!="", "",#REF!)</f>
        <v>#REF!</v>
      </c>
      <c r="H209" s="205" t="e">
        <f xml:space="preserve"> IF(#REF!="", "",#REF!)</f>
        <v>#REF!</v>
      </c>
      <c r="I209" s="205" t="e">
        <f xml:space="preserve"> IF(#REF!="", "",#REF!)</f>
        <v>#REF!</v>
      </c>
      <c r="J209" s="298" t="e">
        <f>#REF!</f>
        <v>#REF!</v>
      </c>
      <c r="K209" s="149" t="e">
        <f>#REF!</f>
        <v>#REF!</v>
      </c>
      <c r="L209" s="149" t="e">
        <f>#REF!</f>
        <v>#REF!</v>
      </c>
      <c r="M209" s="150" t="e">
        <f>#REF!</f>
        <v>#REF!</v>
      </c>
      <c r="N209" s="364"/>
      <c r="O209" s="202"/>
      <c r="P209" s="151" t="e">
        <f>#REF!</f>
        <v>#REF!</v>
      </c>
      <c r="Q209" s="202"/>
      <c r="R209" s="152" t="e">
        <f>#REF!</f>
        <v>#REF!</v>
      </c>
      <c r="S209" s="202"/>
      <c r="T209" s="153" t="e">
        <f>#REF!</f>
        <v>#REF!</v>
      </c>
      <c r="U209" s="202"/>
      <c r="V209" s="153" t="e">
        <f>#REF!</f>
        <v>#REF!</v>
      </c>
      <c r="W209" s="202"/>
      <c r="X209" s="153" t="e">
        <f>#REF!</f>
        <v>#REF!</v>
      </c>
      <c r="Y209" s="202"/>
      <c r="Z209" s="152" t="e">
        <f>#REF!</f>
        <v>#REF!</v>
      </c>
      <c r="AA209" s="202"/>
      <c r="AB209" s="153" t="e">
        <f>#REF!</f>
        <v>#REF!</v>
      </c>
      <c r="AC209" s="202"/>
      <c r="AD209" s="152" t="e">
        <f>#REF!</f>
        <v>#REF!</v>
      </c>
      <c r="AE209" s="202"/>
      <c r="AF209" s="153" t="e">
        <f>#REF!</f>
        <v>#REF!</v>
      </c>
      <c r="AG209" s="202"/>
      <c r="AH209" s="152" t="e">
        <f>#REF!</f>
        <v>#REF!</v>
      </c>
      <c r="AI209" s="202"/>
      <c r="AJ209" s="153" t="e">
        <f>#REF!</f>
        <v>#REF!</v>
      </c>
      <c r="AK209" s="202"/>
      <c r="AL209" s="152" t="e">
        <f>#REF!</f>
        <v>#REF!</v>
      </c>
      <c r="AM209" s="202"/>
      <c r="AN209" s="153" t="e">
        <f>#REF!</f>
        <v>#REF!</v>
      </c>
      <c r="AO209" s="202"/>
      <c r="AP209" s="152" t="e">
        <f>#REF!</f>
        <v>#REF!</v>
      </c>
      <c r="AQ209" s="202"/>
      <c r="AR209" s="154" t="e">
        <f>#REF!</f>
        <v>#REF!</v>
      </c>
      <c r="AS209" s="202"/>
      <c r="AT209" s="153" t="e">
        <f>#REF!</f>
        <v>#REF!</v>
      </c>
      <c r="AU209" s="202"/>
      <c r="AV209" s="152" t="e">
        <f>#REF!</f>
        <v>#REF!</v>
      </c>
      <c r="AW209" s="202"/>
      <c r="AX209" s="153" t="e">
        <f>#REF!</f>
        <v>#REF!</v>
      </c>
      <c r="AY209" s="202"/>
      <c r="AZ209" s="152" t="e">
        <f>#REF!</f>
        <v>#REF!</v>
      </c>
      <c r="BA209" s="202"/>
      <c r="BB209" s="154" t="e">
        <f>#REF!</f>
        <v>#REF!</v>
      </c>
      <c r="BC209" s="137"/>
    </row>
    <row r="210" spans="1:55" ht="30" hidden="1" customHeight="1">
      <c r="A210" s="203" t="e">
        <f>#REF!</f>
        <v>#REF!</v>
      </c>
      <c r="B210" s="204" t="e">
        <f xml:space="preserve"> IF(#REF!=0, "",#REF!)</f>
        <v>#REF!</v>
      </c>
      <c r="C210" s="369" t="e">
        <f>#REF!</f>
        <v>#REF!</v>
      </c>
      <c r="D210" s="369"/>
      <c r="E210" s="291" t="e">
        <f>#REF!</f>
        <v>#REF!</v>
      </c>
      <c r="F210" s="148" t="e">
        <f>#REF!</f>
        <v>#REF!</v>
      </c>
      <c r="G210" s="205" t="e">
        <f xml:space="preserve"> IF(#REF!="", "",#REF!)</f>
        <v>#REF!</v>
      </c>
      <c r="H210" s="205" t="e">
        <f xml:space="preserve"> IF(#REF!="", "",#REF!)</f>
        <v>#REF!</v>
      </c>
      <c r="I210" s="205" t="e">
        <f xml:space="preserve"> IF(#REF!="", "",#REF!)</f>
        <v>#REF!</v>
      </c>
      <c r="J210" s="298" t="e">
        <f>#REF!</f>
        <v>#REF!</v>
      </c>
      <c r="K210" s="149" t="e">
        <f>#REF!</f>
        <v>#REF!</v>
      </c>
      <c r="L210" s="149" t="e">
        <f>#REF!</f>
        <v>#REF!</v>
      </c>
      <c r="M210" s="150" t="e">
        <f>#REF!</f>
        <v>#REF!</v>
      </c>
      <c r="N210" s="364"/>
      <c r="O210" s="202"/>
      <c r="P210" s="151" t="e">
        <f>#REF!</f>
        <v>#REF!</v>
      </c>
      <c r="Q210" s="202"/>
      <c r="R210" s="152" t="e">
        <f>#REF!</f>
        <v>#REF!</v>
      </c>
      <c r="S210" s="202"/>
      <c r="T210" s="153" t="e">
        <f>#REF!</f>
        <v>#REF!</v>
      </c>
      <c r="U210" s="202"/>
      <c r="V210" s="153" t="e">
        <f>#REF!</f>
        <v>#REF!</v>
      </c>
      <c r="W210" s="202"/>
      <c r="X210" s="153" t="e">
        <f>#REF!</f>
        <v>#REF!</v>
      </c>
      <c r="Y210" s="202"/>
      <c r="Z210" s="152" t="e">
        <f>#REF!</f>
        <v>#REF!</v>
      </c>
      <c r="AA210" s="202"/>
      <c r="AB210" s="153" t="e">
        <f>#REF!</f>
        <v>#REF!</v>
      </c>
      <c r="AC210" s="202"/>
      <c r="AD210" s="152" t="e">
        <f>#REF!</f>
        <v>#REF!</v>
      </c>
      <c r="AE210" s="202"/>
      <c r="AF210" s="153" t="e">
        <f>#REF!</f>
        <v>#REF!</v>
      </c>
      <c r="AG210" s="202"/>
      <c r="AH210" s="152" t="e">
        <f>#REF!</f>
        <v>#REF!</v>
      </c>
      <c r="AI210" s="202"/>
      <c r="AJ210" s="153" t="e">
        <f>#REF!</f>
        <v>#REF!</v>
      </c>
      <c r="AK210" s="202"/>
      <c r="AL210" s="152" t="e">
        <f>#REF!</f>
        <v>#REF!</v>
      </c>
      <c r="AM210" s="202"/>
      <c r="AN210" s="153" t="e">
        <f>#REF!</f>
        <v>#REF!</v>
      </c>
      <c r="AO210" s="202"/>
      <c r="AP210" s="152" t="e">
        <f>#REF!</f>
        <v>#REF!</v>
      </c>
      <c r="AQ210" s="202"/>
      <c r="AR210" s="154" t="e">
        <f>#REF!</f>
        <v>#REF!</v>
      </c>
      <c r="AS210" s="202"/>
      <c r="AT210" s="153" t="e">
        <f>#REF!</f>
        <v>#REF!</v>
      </c>
      <c r="AU210" s="202"/>
      <c r="AV210" s="152" t="e">
        <f>#REF!</f>
        <v>#REF!</v>
      </c>
      <c r="AW210" s="202"/>
      <c r="AX210" s="153" t="e">
        <f>#REF!</f>
        <v>#REF!</v>
      </c>
      <c r="AY210" s="202"/>
      <c r="AZ210" s="152" t="e">
        <f>#REF!</f>
        <v>#REF!</v>
      </c>
      <c r="BA210" s="202"/>
      <c r="BB210" s="154" t="e">
        <f>#REF!</f>
        <v>#REF!</v>
      </c>
      <c r="BC210" s="137"/>
    </row>
    <row r="211" spans="1:55" ht="30" hidden="1" customHeight="1">
      <c r="A211" s="203" t="e">
        <f>#REF!</f>
        <v>#REF!</v>
      </c>
      <c r="B211" s="204" t="e">
        <f xml:space="preserve"> IF(#REF!=0, "",#REF!)</f>
        <v>#REF!</v>
      </c>
      <c r="C211" s="369" t="e">
        <f>#REF!</f>
        <v>#REF!</v>
      </c>
      <c r="D211" s="369"/>
      <c r="E211" s="291" t="e">
        <f>#REF!</f>
        <v>#REF!</v>
      </c>
      <c r="F211" s="148" t="e">
        <f>#REF!</f>
        <v>#REF!</v>
      </c>
      <c r="G211" s="205" t="e">
        <f xml:space="preserve"> IF(#REF!="", "",#REF!)</f>
        <v>#REF!</v>
      </c>
      <c r="H211" s="205" t="e">
        <f xml:space="preserve"> IF(#REF!="", "",#REF!)</f>
        <v>#REF!</v>
      </c>
      <c r="I211" s="205" t="e">
        <f xml:space="preserve"> IF(#REF!="", "",#REF!)</f>
        <v>#REF!</v>
      </c>
      <c r="J211" s="298" t="e">
        <f>#REF!</f>
        <v>#REF!</v>
      </c>
      <c r="K211" s="149" t="e">
        <f>#REF!</f>
        <v>#REF!</v>
      </c>
      <c r="L211" s="149" t="e">
        <f>#REF!</f>
        <v>#REF!</v>
      </c>
      <c r="M211" s="150" t="e">
        <f>#REF!</f>
        <v>#REF!</v>
      </c>
      <c r="N211" s="364"/>
      <c r="O211" s="202"/>
      <c r="P211" s="151" t="e">
        <f>#REF!</f>
        <v>#REF!</v>
      </c>
      <c r="Q211" s="202"/>
      <c r="R211" s="152" t="e">
        <f>#REF!</f>
        <v>#REF!</v>
      </c>
      <c r="S211" s="202"/>
      <c r="T211" s="153" t="e">
        <f>#REF!</f>
        <v>#REF!</v>
      </c>
      <c r="U211" s="202"/>
      <c r="V211" s="153" t="e">
        <f>#REF!</f>
        <v>#REF!</v>
      </c>
      <c r="W211" s="202"/>
      <c r="X211" s="153" t="e">
        <f>#REF!</f>
        <v>#REF!</v>
      </c>
      <c r="Y211" s="202"/>
      <c r="Z211" s="152" t="e">
        <f>#REF!</f>
        <v>#REF!</v>
      </c>
      <c r="AA211" s="202"/>
      <c r="AB211" s="153" t="e">
        <f>#REF!</f>
        <v>#REF!</v>
      </c>
      <c r="AC211" s="202"/>
      <c r="AD211" s="152" t="e">
        <f>#REF!</f>
        <v>#REF!</v>
      </c>
      <c r="AE211" s="202"/>
      <c r="AF211" s="153" t="e">
        <f>#REF!</f>
        <v>#REF!</v>
      </c>
      <c r="AG211" s="202"/>
      <c r="AH211" s="152" t="e">
        <f>#REF!</f>
        <v>#REF!</v>
      </c>
      <c r="AI211" s="202"/>
      <c r="AJ211" s="153" t="e">
        <f>#REF!</f>
        <v>#REF!</v>
      </c>
      <c r="AK211" s="202"/>
      <c r="AL211" s="152" t="e">
        <f>#REF!</f>
        <v>#REF!</v>
      </c>
      <c r="AM211" s="202"/>
      <c r="AN211" s="153" t="e">
        <f>#REF!</f>
        <v>#REF!</v>
      </c>
      <c r="AO211" s="202"/>
      <c r="AP211" s="152" t="e">
        <f>#REF!</f>
        <v>#REF!</v>
      </c>
      <c r="AQ211" s="202"/>
      <c r="AR211" s="154" t="e">
        <f>#REF!</f>
        <v>#REF!</v>
      </c>
      <c r="AS211" s="202"/>
      <c r="AT211" s="153" t="e">
        <f>#REF!</f>
        <v>#REF!</v>
      </c>
      <c r="AU211" s="202"/>
      <c r="AV211" s="152" t="e">
        <f>#REF!</f>
        <v>#REF!</v>
      </c>
      <c r="AW211" s="202"/>
      <c r="AX211" s="153" t="e">
        <f>#REF!</f>
        <v>#REF!</v>
      </c>
      <c r="AY211" s="202"/>
      <c r="AZ211" s="152" t="e">
        <f>#REF!</f>
        <v>#REF!</v>
      </c>
      <c r="BA211" s="202"/>
      <c r="BB211" s="154" t="e">
        <f>#REF!</f>
        <v>#REF!</v>
      </c>
      <c r="BC211" s="137"/>
    </row>
    <row r="212" spans="1:55" ht="30" hidden="1" customHeight="1">
      <c r="A212" s="203" t="e">
        <f>#REF!</f>
        <v>#REF!</v>
      </c>
      <c r="B212" s="204" t="e">
        <f xml:space="preserve"> IF(#REF!=0, "",#REF!)</f>
        <v>#REF!</v>
      </c>
      <c r="C212" s="369" t="e">
        <f>#REF!</f>
        <v>#REF!</v>
      </c>
      <c r="D212" s="369"/>
      <c r="E212" s="291" t="e">
        <f>#REF!</f>
        <v>#REF!</v>
      </c>
      <c r="F212" s="148" t="e">
        <f>#REF!</f>
        <v>#REF!</v>
      </c>
      <c r="G212" s="205" t="e">
        <f xml:space="preserve"> IF(#REF!="", "",#REF!)</f>
        <v>#REF!</v>
      </c>
      <c r="H212" s="205" t="e">
        <f xml:space="preserve"> IF(#REF!="", "",#REF!)</f>
        <v>#REF!</v>
      </c>
      <c r="I212" s="205" t="e">
        <f xml:space="preserve"> IF(#REF!="", "",#REF!)</f>
        <v>#REF!</v>
      </c>
      <c r="J212" s="298" t="e">
        <f>#REF!</f>
        <v>#REF!</v>
      </c>
      <c r="K212" s="149" t="e">
        <f>#REF!</f>
        <v>#REF!</v>
      </c>
      <c r="L212" s="149" t="e">
        <f>#REF!</f>
        <v>#REF!</v>
      </c>
      <c r="M212" s="150" t="e">
        <f>#REF!</f>
        <v>#REF!</v>
      </c>
      <c r="N212" s="364"/>
      <c r="O212" s="202"/>
      <c r="P212" s="151" t="e">
        <f>#REF!</f>
        <v>#REF!</v>
      </c>
      <c r="Q212" s="202"/>
      <c r="R212" s="152" t="e">
        <f>#REF!</f>
        <v>#REF!</v>
      </c>
      <c r="S212" s="202"/>
      <c r="T212" s="153" t="e">
        <f>#REF!</f>
        <v>#REF!</v>
      </c>
      <c r="U212" s="202"/>
      <c r="V212" s="153" t="e">
        <f>#REF!</f>
        <v>#REF!</v>
      </c>
      <c r="W212" s="202"/>
      <c r="X212" s="153" t="e">
        <f>#REF!</f>
        <v>#REF!</v>
      </c>
      <c r="Y212" s="202"/>
      <c r="Z212" s="152" t="e">
        <f>#REF!</f>
        <v>#REF!</v>
      </c>
      <c r="AA212" s="202"/>
      <c r="AB212" s="153" t="e">
        <f>#REF!</f>
        <v>#REF!</v>
      </c>
      <c r="AC212" s="202"/>
      <c r="AD212" s="152" t="e">
        <f>#REF!</f>
        <v>#REF!</v>
      </c>
      <c r="AE212" s="202"/>
      <c r="AF212" s="153" t="e">
        <f>#REF!</f>
        <v>#REF!</v>
      </c>
      <c r="AG212" s="202"/>
      <c r="AH212" s="152" t="e">
        <f>#REF!</f>
        <v>#REF!</v>
      </c>
      <c r="AI212" s="202"/>
      <c r="AJ212" s="153" t="e">
        <f>#REF!</f>
        <v>#REF!</v>
      </c>
      <c r="AK212" s="202"/>
      <c r="AL212" s="152" t="e">
        <f>#REF!</f>
        <v>#REF!</v>
      </c>
      <c r="AM212" s="202"/>
      <c r="AN212" s="153" t="e">
        <f>#REF!</f>
        <v>#REF!</v>
      </c>
      <c r="AO212" s="202"/>
      <c r="AP212" s="152" t="e">
        <f>#REF!</f>
        <v>#REF!</v>
      </c>
      <c r="AQ212" s="202"/>
      <c r="AR212" s="154" t="e">
        <f>#REF!</f>
        <v>#REF!</v>
      </c>
      <c r="AS212" s="202"/>
      <c r="AT212" s="153" t="e">
        <f>#REF!</f>
        <v>#REF!</v>
      </c>
      <c r="AU212" s="202"/>
      <c r="AV212" s="152" t="e">
        <f>#REF!</f>
        <v>#REF!</v>
      </c>
      <c r="AW212" s="202"/>
      <c r="AX212" s="153" t="e">
        <f>#REF!</f>
        <v>#REF!</v>
      </c>
      <c r="AY212" s="202"/>
      <c r="AZ212" s="152" t="e">
        <f>#REF!</f>
        <v>#REF!</v>
      </c>
      <c r="BA212" s="202"/>
      <c r="BB212" s="154" t="e">
        <f>#REF!</f>
        <v>#REF!</v>
      </c>
      <c r="BC212" s="137"/>
    </row>
    <row r="213" spans="1:55" ht="30" hidden="1" customHeight="1">
      <c r="A213" s="203" t="e">
        <f>#REF!</f>
        <v>#REF!</v>
      </c>
      <c r="B213" s="204" t="e">
        <f xml:space="preserve"> IF(#REF!=0, "",#REF!)</f>
        <v>#REF!</v>
      </c>
      <c r="C213" s="369" t="e">
        <f>#REF!</f>
        <v>#REF!</v>
      </c>
      <c r="D213" s="369"/>
      <c r="E213" s="291" t="e">
        <f>#REF!</f>
        <v>#REF!</v>
      </c>
      <c r="F213" s="148" t="e">
        <f>#REF!</f>
        <v>#REF!</v>
      </c>
      <c r="G213" s="205" t="e">
        <f xml:space="preserve"> IF(#REF!="", "",#REF!)</f>
        <v>#REF!</v>
      </c>
      <c r="H213" s="205" t="e">
        <f xml:space="preserve"> IF(#REF!="", "",#REF!)</f>
        <v>#REF!</v>
      </c>
      <c r="I213" s="205" t="e">
        <f xml:space="preserve"> IF(#REF!="", "",#REF!)</f>
        <v>#REF!</v>
      </c>
      <c r="J213" s="298" t="e">
        <f>#REF!</f>
        <v>#REF!</v>
      </c>
      <c r="K213" s="149" t="e">
        <f>#REF!</f>
        <v>#REF!</v>
      </c>
      <c r="L213" s="149" t="e">
        <f>#REF!</f>
        <v>#REF!</v>
      </c>
      <c r="M213" s="150" t="e">
        <f>#REF!</f>
        <v>#REF!</v>
      </c>
      <c r="N213" s="364"/>
      <c r="O213" s="202"/>
      <c r="P213" s="151" t="e">
        <f>#REF!</f>
        <v>#REF!</v>
      </c>
      <c r="Q213" s="202"/>
      <c r="R213" s="152" t="e">
        <f>#REF!</f>
        <v>#REF!</v>
      </c>
      <c r="S213" s="202"/>
      <c r="T213" s="153" t="e">
        <f>#REF!</f>
        <v>#REF!</v>
      </c>
      <c r="U213" s="202"/>
      <c r="V213" s="153" t="e">
        <f>#REF!</f>
        <v>#REF!</v>
      </c>
      <c r="W213" s="202"/>
      <c r="X213" s="153" t="e">
        <f>#REF!</f>
        <v>#REF!</v>
      </c>
      <c r="Y213" s="202"/>
      <c r="Z213" s="152" t="e">
        <f>#REF!</f>
        <v>#REF!</v>
      </c>
      <c r="AA213" s="202"/>
      <c r="AB213" s="153" t="e">
        <f>#REF!</f>
        <v>#REF!</v>
      </c>
      <c r="AC213" s="202"/>
      <c r="AD213" s="152" t="e">
        <f>#REF!</f>
        <v>#REF!</v>
      </c>
      <c r="AE213" s="202"/>
      <c r="AF213" s="153" t="e">
        <f>#REF!</f>
        <v>#REF!</v>
      </c>
      <c r="AG213" s="202"/>
      <c r="AH213" s="152" t="e">
        <f>#REF!</f>
        <v>#REF!</v>
      </c>
      <c r="AI213" s="202"/>
      <c r="AJ213" s="153" t="e">
        <f>#REF!</f>
        <v>#REF!</v>
      </c>
      <c r="AK213" s="202"/>
      <c r="AL213" s="152" t="e">
        <f>#REF!</f>
        <v>#REF!</v>
      </c>
      <c r="AM213" s="202"/>
      <c r="AN213" s="153" t="e">
        <f>#REF!</f>
        <v>#REF!</v>
      </c>
      <c r="AO213" s="202"/>
      <c r="AP213" s="152" t="e">
        <f>#REF!</f>
        <v>#REF!</v>
      </c>
      <c r="AQ213" s="202"/>
      <c r="AR213" s="154" t="e">
        <f>#REF!</f>
        <v>#REF!</v>
      </c>
      <c r="AS213" s="202"/>
      <c r="AT213" s="153" t="e">
        <f>#REF!</f>
        <v>#REF!</v>
      </c>
      <c r="AU213" s="202"/>
      <c r="AV213" s="152" t="e">
        <f>#REF!</f>
        <v>#REF!</v>
      </c>
      <c r="AW213" s="202"/>
      <c r="AX213" s="153" t="e">
        <f>#REF!</f>
        <v>#REF!</v>
      </c>
      <c r="AY213" s="202"/>
      <c r="AZ213" s="152" t="e">
        <f>#REF!</f>
        <v>#REF!</v>
      </c>
      <c r="BA213" s="202"/>
      <c r="BB213" s="154" t="e">
        <f>#REF!</f>
        <v>#REF!</v>
      </c>
      <c r="BC213" s="137"/>
    </row>
    <row r="214" spans="1:55" ht="30" hidden="1" customHeight="1">
      <c r="A214" s="203" t="e">
        <f>#REF!</f>
        <v>#REF!</v>
      </c>
      <c r="B214" s="204" t="e">
        <f xml:space="preserve"> IF(#REF!=0, "",#REF!)</f>
        <v>#REF!</v>
      </c>
      <c r="C214" s="369" t="e">
        <f>#REF!</f>
        <v>#REF!</v>
      </c>
      <c r="D214" s="369"/>
      <c r="E214" s="291" t="e">
        <f>#REF!</f>
        <v>#REF!</v>
      </c>
      <c r="F214" s="148" t="e">
        <f>#REF!</f>
        <v>#REF!</v>
      </c>
      <c r="G214" s="205" t="e">
        <f xml:space="preserve"> IF(#REF!="", "",#REF!)</f>
        <v>#REF!</v>
      </c>
      <c r="H214" s="205" t="e">
        <f xml:space="preserve"> IF(#REF!="", "",#REF!)</f>
        <v>#REF!</v>
      </c>
      <c r="I214" s="205" t="e">
        <f xml:space="preserve"> IF(#REF!="", "",#REF!)</f>
        <v>#REF!</v>
      </c>
      <c r="J214" s="298" t="e">
        <f>#REF!</f>
        <v>#REF!</v>
      </c>
      <c r="K214" s="149" t="e">
        <f>#REF!</f>
        <v>#REF!</v>
      </c>
      <c r="L214" s="149" t="e">
        <f>#REF!</f>
        <v>#REF!</v>
      </c>
      <c r="M214" s="150" t="e">
        <f>#REF!</f>
        <v>#REF!</v>
      </c>
      <c r="N214" s="364"/>
      <c r="O214" s="202"/>
      <c r="P214" s="151" t="e">
        <f>#REF!</f>
        <v>#REF!</v>
      </c>
      <c r="Q214" s="202"/>
      <c r="R214" s="152" t="e">
        <f>#REF!</f>
        <v>#REF!</v>
      </c>
      <c r="S214" s="202"/>
      <c r="T214" s="153" t="e">
        <f>#REF!</f>
        <v>#REF!</v>
      </c>
      <c r="U214" s="202"/>
      <c r="V214" s="153" t="e">
        <f>#REF!</f>
        <v>#REF!</v>
      </c>
      <c r="W214" s="202"/>
      <c r="X214" s="153" t="e">
        <f>#REF!</f>
        <v>#REF!</v>
      </c>
      <c r="Y214" s="202"/>
      <c r="Z214" s="152" t="e">
        <f>#REF!</f>
        <v>#REF!</v>
      </c>
      <c r="AA214" s="202"/>
      <c r="AB214" s="153" t="e">
        <f>#REF!</f>
        <v>#REF!</v>
      </c>
      <c r="AC214" s="202"/>
      <c r="AD214" s="152" t="e">
        <f>#REF!</f>
        <v>#REF!</v>
      </c>
      <c r="AE214" s="202"/>
      <c r="AF214" s="153" t="e">
        <f>#REF!</f>
        <v>#REF!</v>
      </c>
      <c r="AG214" s="202"/>
      <c r="AH214" s="152" t="e">
        <f>#REF!</f>
        <v>#REF!</v>
      </c>
      <c r="AI214" s="202"/>
      <c r="AJ214" s="153" t="e">
        <f>#REF!</f>
        <v>#REF!</v>
      </c>
      <c r="AK214" s="202"/>
      <c r="AL214" s="152" t="e">
        <f>#REF!</f>
        <v>#REF!</v>
      </c>
      <c r="AM214" s="202"/>
      <c r="AN214" s="153" t="e">
        <f>#REF!</f>
        <v>#REF!</v>
      </c>
      <c r="AO214" s="202"/>
      <c r="AP214" s="152" t="e">
        <f>#REF!</f>
        <v>#REF!</v>
      </c>
      <c r="AQ214" s="202"/>
      <c r="AR214" s="154" t="e">
        <f>#REF!</f>
        <v>#REF!</v>
      </c>
      <c r="AS214" s="202"/>
      <c r="AT214" s="153" t="e">
        <f>#REF!</f>
        <v>#REF!</v>
      </c>
      <c r="AU214" s="202"/>
      <c r="AV214" s="152" t="e">
        <f>#REF!</f>
        <v>#REF!</v>
      </c>
      <c r="AW214" s="202"/>
      <c r="AX214" s="153" t="e">
        <f>#REF!</f>
        <v>#REF!</v>
      </c>
      <c r="AY214" s="202"/>
      <c r="AZ214" s="152" t="e">
        <f>#REF!</f>
        <v>#REF!</v>
      </c>
      <c r="BA214" s="202"/>
      <c r="BB214" s="154" t="e">
        <f>#REF!</f>
        <v>#REF!</v>
      </c>
      <c r="BC214" s="137"/>
    </row>
    <row r="215" spans="1:55" ht="30" hidden="1" customHeight="1">
      <c r="A215" s="203" t="e">
        <f>#REF!</f>
        <v>#REF!</v>
      </c>
      <c r="B215" s="204" t="e">
        <f xml:space="preserve"> IF(#REF!=0, "",#REF!)</f>
        <v>#REF!</v>
      </c>
      <c r="C215" s="369" t="e">
        <f>#REF!</f>
        <v>#REF!</v>
      </c>
      <c r="D215" s="369"/>
      <c r="E215" s="291" t="e">
        <f>#REF!</f>
        <v>#REF!</v>
      </c>
      <c r="F215" s="148" t="e">
        <f>#REF!</f>
        <v>#REF!</v>
      </c>
      <c r="G215" s="205" t="e">
        <f xml:space="preserve"> IF(#REF!="", "",#REF!)</f>
        <v>#REF!</v>
      </c>
      <c r="H215" s="205" t="e">
        <f xml:space="preserve"> IF(#REF!="", "",#REF!)</f>
        <v>#REF!</v>
      </c>
      <c r="I215" s="205" t="e">
        <f xml:space="preserve"> IF(#REF!="", "",#REF!)</f>
        <v>#REF!</v>
      </c>
      <c r="J215" s="298" t="e">
        <f>#REF!</f>
        <v>#REF!</v>
      </c>
      <c r="K215" s="149" t="e">
        <f>#REF!</f>
        <v>#REF!</v>
      </c>
      <c r="L215" s="149" t="e">
        <f>#REF!</f>
        <v>#REF!</v>
      </c>
      <c r="M215" s="150" t="e">
        <f>#REF!</f>
        <v>#REF!</v>
      </c>
      <c r="N215" s="364"/>
      <c r="O215" s="202"/>
      <c r="P215" s="151" t="e">
        <f>#REF!</f>
        <v>#REF!</v>
      </c>
      <c r="Q215" s="202"/>
      <c r="R215" s="152" t="e">
        <f>#REF!</f>
        <v>#REF!</v>
      </c>
      <c r="S215" s="202"/>
      <c r="T215" s="153" t="e">
        <f>#REF!</f>
        <v>#REF!</v>
      </c>
      <c r="U215" s="202"/>
      <c r="V215" s="153" t="e">
        <f>#REF!</f>
        <v>#REF!</v>
      </c>
      <c r="W215" s="202"/>
      <c r="X215" s="153" t="e">
        <f>#REF!</f>
        <v>#REF!</v>
      </c>
      <c r="Y215" s="202"/>
      <c r="Z215" s="152" t="e">
        <f>#REF!</f>
        <v>#REF!</v>
      </c>
      <c r="AA215" s="202"/>
      <c r="AB215" s="153" t="e">
        <f>#REF!</f>
        <v>#REF!</v>
      </c>
      <c r="AC215" s="202"/>
      <c r="AD215" s="152" t="e">
        <f>#REF!</f>
        <v>#REF!</v>
      </c>
      <c r="AE215" s="202"/>
      <c r="AF215" s="153" t="e">
        <f>#REF!</f>
        <v>#REF!</v>
      </c>
      <c r="AG215" s="202"/>
      <c r="AH215" s="152" t="e">
        <f>#REF!</f>
        <v>#REF!</v>
      </c>
      <c r="AI215" s="202"/>
      <c r="AJ215" s="153" t="e">
        <f>#REF!</f>
        <v>#REF!</v>
      </c>
      <c r="AK215" s="202"/>
      <c r="AL215" s="152" t="e">
        <f>#REF!</f>
        <v>#REF!</v>
      </c>
      <c r="AM215" s="202"/>
      <c r="AN215" s="153" t="e">
        <f>#REF!</f>
        <v>#REF!</v>
      </c>
      <c r="AO215" s="202"/>
      <c r="AP215" s="152" t="e">
        <f>#REF!</f>
        <v>#REF!</v>
      </c>
      <c r="AQ215" s="202"/>
      <c r="AR215" s="154" t="e">
        <f>#REF!</f>
        <v>#REF!</v>
      </c>
      <c r="AS215" s="202"/>
      <c r="AT215" s="153" t="e">
        <f>#REF!</f>
        <v>#REF!</v>
      </c>
      <c r="AU215" s="202"/>
      <c r="AV215" s="152" t="e">
        <f>#REF!</f>
        <v>#REF!</v>
      </c>
      <c r="AW215" s="202"/>
      <c r="AX215" s="153" t="e">
        <f>#REF!</f>
        <v>#REF!</v>
      </c>
      <c r="AY215" s="202"/>
      <c r="AZ215" s="152" t="e">
        <f>#REF!</f>
        <v>#REF!</v>
      </c>
      <c r="BA215" s="202"/>
      <c r="BB215" s="154" t="e">
        <f>#REF!</f>
        <v>#REF!</v>
      </c>
      <c r="BC215" s="137"/>
    </row>
    <row r="216" spans="1:55" ht="30" hidden="1" customHeight="1">
      <c r="A216" s="203" t="e">
        <f>#REF!</f>
        <v>#REF!</v>
      </c>
      <c r="B216" s="204" t="e">
        <f xml:space="preserve"> IF(#REF!=0, "",#REF!)</f>
        <v>#REF!</v>
      </c>
      <c r="C216" s="369" t="e">
        <f>#REF!</f>
        <v>#REF!</v>
      </c>
      <c r="D216" s="369"/>
      <c r="E216" s="291" t="e">
        <f>#REF!</f>
        <v>#REF!</v>
      </c>
      <c r="F216" s="148" t="e">
        <f>#REF!</f>
        <v>#REF!</v>
      </c>
      <c r="G216" s="205" t="e">
        <f xml:space="preserve"> IF(#REF!="", "",#REF!)</f>
        <v>#REF!</v>
      </c>
      <c r="H216" s="205" t="e">
        <f xml:space="preserve"> IF(#REF!="", "",#REF!)</f>
        <v>#REF!</v>
      </c>
      <c r="I216" s="205" t="e">
        <f xml:space="preserve"> IF(#REF!="", "",#REF!)</f>
        <v>#REF!</v>
      </c>
      <c r="J216" s="298" t="e">
        <f>#REF!</f>
        <v>#REF!</v>
      </c>
      <c r="K216" s="149" t="e">
        <f>#REF!</f>
        <v>#REF!</v>
      </c>
      <c r="L216" s="149" t="e">
        <f>#REF!</f>
        <v>#REF!</v>
      </c>
      <c r="M216" s="150" t="e">
        <f>#REF!</f>
        <v>#REF!</v>
      </c>
      <c r="N216" s="364"/>
      <c r="O216" s="202"/>
      <c r="P216" s="151" t="e">
        <f>#REF!</f>
        <v>#REF!</v>
      </c>
      <c r="Q216" s="202"/>
      <c r="R216" s="152" t="e">
        <f>#REF!</f>
        <v>#REF!</v>
      </c>
      <c r="S216" s="202"/>
      <c r="T216" s="153" t="e">
        <f>#REF!</f>
        <v>#REF!</v>
      </c>
      <c r="U216" s="202"/>
      <c r="V216" s="153" t="e">
        <f>#REF!</f>
        <v>#REF!</v>
      </c>
      <c r="W216" s="202"/>
      <c r="X216" s="153" t="e">
        <f>#REF!</f>
        <v>#REF!</v>
      </c>
      <c r="Y216" s="202"/>
      <c r="Z216" s="152" t="e">
        <f>#REF!</f>
        <v>#REF!</v>
      </c>
      <c r="AA216" s="202"/>
      <c r="AB216" s="153" t="e">
        <f>#REF!</f>
        <v>#REF!</v>
      </c>
      <c r="AC216" s="202"/>
      <c r="AD216" s="152" t="e">
        <f>#REF!</f>
        <v>#REF!</v>
      </c>
      <c r="AE216" s="202"/>
      <c r="AF216" s="153" t="e">
        <f>#REF!</f>
        <v>#REF!</v>
      </c>
      <c r="AG216" s="202"/>
      <c r="AH216" s="152" t="e">
        <f>#REF!</f>
        <v>#REF!</v>
      </c>
      <c r="AI216" s="202"/>
      <c r="AJ216" s="153" t="e">
        <f>#REF!</f>
        <v>#REF!</v>
      </c>
      <c r="AK216" s="202"/>
      <c r="AL216" s="152" t="e">
        <f>#REF!</f>
        <v>#REF!</v>
      </c>
      <c r="AM216" s="202"/>
      <c r="AN216" s="153" t="e">
        <f>#REF!</f>
        <v>#REF!</v>
      </c>
      <c r="AO216" s="202"/>
      <c r="AP216" s="152" t="e">
        <f>#REF!</f>
        <v>#REF!</v>
      </c>
      <c r="AQ216" s="202"/>
      <c r="AR216" s="154" t="e">
        <f>#REF!</f>
        <v>#REF!</v>
      </c>
      <c r="AS216" s="202"/>
      <c r="AT216" s="153" t="e">
        <f>#REF!</f>
        <v>#REF!</v>
      </c>
      <c r="AU216" s="202"/>
      <c r="AV216" s="152" t="e">
        <f>#REF!</f>
        <v>#REF!</v>
      </c>
      <c r="AW216" s="202"/>
      <c r="AX216" s="153" t="e">
        <f>#REF!</f>
        <v>#REF!</v>
      </c>
      <c r="AY216" s="202"/>
      <c r="AZ216" s="152" t="e">
        <f>#REF!</f>
        <v>#REF!</v>
      </c>
      <c r="BA216" s="202"/>
      <c r="BB216" s="154" t="e">
        <f>#REF!</f>
        <v>#REF!</v>
      </c>
      <c r="BC216" s="137"/>
    </row>
    <row r="217" spans="1:55" ht="30" hidden="1" customHeight="1">
      <c r="A217" s="203" t="e">
        <f>#REF!</f>
        <v>#REF!</v>
      </c>
      <c r="B217" s="204" t="e">
        <f xml:space="preserve"> IF(#REF!=0, "",#REF!)</f>
        <v>#REF!</v>
      </c>
      <c r="C217" s="369" t="e">
        <f>#REF!</f>
        <v>#REF!</v>
      </c>
      <c r="D217" s="369"/>
      <c r="E217" s="291" t="e">
        <f>#REF!</f>
        <v>#REF!</v>
      </c>
      <c r="F217" s="148" t="e">
        <f>#REF!</f>
        <v>#REF!</v>
      </c>
      <c r="G217" s="205" t="e">
        <f xml:space="preserve"> IF(#REF!="", "",#REF!)</f>
        <v>#REF!</v>
      </c>
      <c r="H217" s="205" t="e">
        <f xml:space="preserve"> IF(#REF!="", "",#REF!)</f>
        <v>#REF!</v>
      </c>
      <c r="I217" s="205" t="e">
        <f xml:space="preserve"> IF(#REF!="", "",#REF!)</f>
        <v>#REF!</v>
      </c>
      <c r="J217" s="298" t="e">
        <f>#REF!</f>
        <v>#REF!</v>
      </c>
      <c r="K217" s="149" t="e">
        <f>#REF!</f>
        <v>#REF!</v>
      </c>
      <c r="L217" s="149" t="e">
        <f>#REF!</f>
        <v>#REF!</v>
      </c>
      <c r="M217" s="150" t="e">
        <f>#REF!</f>
        <v>#REF!</v>
      </c>
      <c r="N217" s="364"/>
      <c r="O217" s="202"/>
      <c r="P217" s="151" t="e">
        <f>#REF!</f>
        <v>#REF!</v>
      </c>
      <c r="Q217" s="202"/>
      <c r="R217" s="152" t="e">
        <f>#REF!</f>
        <v>#REF!</v>
      </c>
      <c r="S217" s="202"/>
      <c r="T217" s="153" t="e">
        <f>#REF!</f>
        <v>#REF!</v>
      </c>
      <c r="U217" s="202"/>
      <c r="V217" s="153" t="e">
        <f>#REF!</f>
        <v>#REF!</v>
      </c>
      <c r="W217" s="202"/>
      <c r="X217" s="153" t="e">
        <f>#REF!</f>
        <v>#REF!</v>
      </c>
      <c r="Y217" s="202"/>
      <c r="Z217" s="152" t="e">
        <f>#REF!</f>
        <v>#REF!</v>
      </c>
      <c r="AA217" s="202"/>
      <c r="AB217" s="153" t="e">
        <f>#REF!</f>
        <v>#REF!</v>
      </c>
      <c r="AC217" s="202"/>
      <c r="AD217" s="152" t="e">
        <f>#REF!</f>
        <v>#REF!</v>
      </c>
      <c r="AE217" s="202"/>
      <c r="AF217" s="153" t="e">
        <f>#REF!</f>
        <v>#REF!</v>
      </c>
      <c r="AG217" s="202"/>
      <c r="AH217" s="152" t="e">
        <f>#REF!</f>
        <v>#REF!</v>
      </c>
      <c r="AI217" s="202"/>
      <c r="AJ217" s="153" t="e">
        <f>#REF!</f>
        <v>#REF!</v>
      </c>
      <c r="AK217" s="202"/>
      <c r="AL217" s="152" t="e">
        <f>#REF!</f>
        <v>#REF!</v>
      </c>
      <c r="AM217" s="202"/>
      <c r="AN217" s="153" t="e">
        <f>#REF!</f>
        <v>#REF!</v>
      </c>
      <c r="AO217" s="202"/>
      <c r="AP217" s="152" t="e">
        <f>#REF!</f>
        <v>#REF!</v>
      </c>
      <c r="AQ217" s="202"/>
      <c r="AR217" s="154" t="e">
        <f>#REF!</f>
        <v>#REF!</v>
      </c>
      <c r="AS217" s="202"/>
      <c r="AT217" s="153" t="e">
        <f>#REF!</f>
        <v>#REF!</v>
      </c>
      <c r="AU217" s="202"/>
      <c r="AV217" s="152" t="e">
        <f>#REF!</f>
        <v>#REF!</v>
      </c>
      <c r="AW217" s="202"/>
      <c r="AX217" s="153" t="e">
        <f>#REF!</f>
        <v>#REF!</v>
      </c>
      <c r="AY217" s="202"/>
      <c r="AZ217" s="152" t="e">
        <f>#REF!</f>
        <v>#REF!</v>
      </c>
      <c r="BA217" s="202"/>
      <c r="BB217" s="154" t="e">
        <f>#REF!</f>
        <v>#REF!</v>
      </c>
      <c r="BC217" s="137"/>
    </row>
    <row r="218" spans="1:55" ht="30" hidden="1" customHeight="1">
      <c r="A218" s="203" t="e">
        <f>#REF!</f>
        <v>#REF!</v>
      </c>
      <c r="B218" s="204" t="e">
        <f xml:space="preserve"> IF(#REF!=0, "",#REF!)</f>
        <v>#REF!</v>
      </c>
      <c r="C218" s="369" t="e">
        <f>#REF!</f>
        <v>#REF!</v>
      </c>
      <c r="D218" s="369"/>
      <c r="E218" s="291" t="e">
        <f>#REF!</f>
        <v>#REF!</v>
      </c>
      <c r="F218" s="148" t="e">
        <f>#REF!</f>
        <v>#REF!</v>
      </c>
      <c r="G218" s="205" t="e">
        <f xml:space="preserve"> IF(#REF!="", "",#REF!)</f>
        <v>#REF!</v>
      </c>
      <c r="H218" s="205" t="e">
        <f xml:space="preserve"> IF(#REF!="", "",#REF!)</f>
        <v>#REF!</v>
      </c>
      <c r="I218" s="205" t="e">
        <f xml:space="preserve"> IF(#REF!="", "",#REF!)</f>
        <v>#REF!</v>
      </c>
      <c r="J218" s="298" t="e">
        <f>#REF!</f>
        <v>#REF!</v>
      </c>
      <c r="K218" s="149" t="e">
        <f>#REF!</f>
        <v>#REF!</v>
      </c>
      <c r="L218" s="149" t="e">
        <f>#REF!</f>
        <v>#REF!</v>
      </c>
      <c r="M218" s="150" t="e">
        <f>#REF!</f>
        <v>#REF!</v>
      </c>
      <c r="N218" s="364"/>
      <c r="O218" s="202"/>
      <c r="P218" s="151" t="e">
        <f>#REF!</f>
        <v>#REF!</v>
      </c>
      <c r="Q218" s="202"/>
      <c r="R218" s="152" t="e">
        <f>#REF!</f>
        <v>#REF!</v>
      </c>
      <c r="S218" s="202"/>
      <c r="T218" s="153" t="e">
        <f>#REF!</f>
        <v>#REF!</v>
      </c>
      <c r="U218" s="202"/>
      <c r="V218" s="153" t="e">
        <f>#REF!</f>
        <v>#REF!</v>
      </c>
      <c r="W218" s="202"/>
      <c r="X218" s="153" t="e">
        <f>#REF!</f>
        <v>#REF!</v>
      </c>
      <c r="Y218" s="202"/>
      <c r="Z218" s="152" t="e">
        <f>#REF!</f>
        <v>#REF!</v>
      </c>
      <c r="AA218" s="202"/>
      <c r="AB218" s="153" t="e">
        <f>#REF!</f>
        <v>#REF!</v>
      </c>
      <c r="AC218" s="202"/>
      <c r="AD218" s="152" t="e">
        <f>#REF!</f>
        <v>#REF!</v>
      </c>
      <c r="AE218" s="202"/>
      <c r="AF218" s="153" t="e">
        <f>#REF!</f>
        <v>#REF!</v>
      </c>
      <c r="AG218" s="202"/>
      <c r="AH218" s="152" t="e">
        <f>#REF!</f>
        <v>#REF!</v>
      </c>
      <c r="AI218" s="202"/>
      <c r="AJ218" s="153" t="e">
        <f>#REF!</f>
        <v>#REF!</v>
      </c>
      <c r="AK218" s="202"/>
      <c r="AL218" s="152" t="e">
        <f>#REF!</f>
        <v>#REF!</v>
      </c>
      <c r="AM218" s="202"/>
      <c r="AN218" s="153" t="e">
        <f>#REF!</f>
        <v>#REF!</v>
      </c>
      <c r="AO218" s="202"/>
      <c r="AP218" s="152" t="e">
        <f>#REF!</f>
        <v>#REF!</v>
      </c>
      <c r="AQ218" s="202"/>
      <c r="AR218" s="154" t="e">
        <f>#REF!</f>
        <v>#REF!</v>
      </c>
      <c r="AS218" s="202"/>
      <c r="AT218" s="153" t="e">
        <f>#REF!</f>
        <v>#REF!</v>
      </c>
      <c r="AU218" s="202"/>
      <c r="AV218" s="152" t="e">
        <f>#REF!</f>
        <v>#REF!</v>
      </c>
      <c r="AW218" s="202"/>
      <c r="AX218" s="153" t="e">
        <f>#REF!</f>
        <v>#REF!</v>
      </c>
      <c r="AY218" s="202"/>
      <c r="AZ218" s="152" t="e">
        <f>#REF!</f>
        <v>#REF!</v>
      </c>
      <c r="BA218" s="202"/>
      <c r="BB218" s="154" t="e">
        <f>#REF!</f>
        <v>#REF!</v>
      </c>
      <c r="BC218" s="137"/>
    </row>
    <row r="219" spans="1:55" ht="30" hidden="1" customHeight="1">
      <c r="A219" s="203" t="e">
        <f>#REF!</f>
        <v>#REF!</v>
      </c>
      <c r="B219" s="204" t="e">
        <f xml:space="preserve"> IF(#REF!=0, "",#REF!)</f>
        <v>#REF!</v>
      </c>
      <c r="C219" s="369" t="e">
        <f>#REF!</f>
        <v>#REF!</v>
      </c>
      <c r="D219" s="369"/>
      <c r="E219" s="291" t="e">
        <f>#REF!</f>
        <v>#REF!</v>
      </c>
      <c r="F219" s="148" t="e">
        <f>#REF!</f>
        <v>#REF!</v>
      </c>
      <c r="G219" s="205" t="e">
        <f xml:space="preserve"> IF(#REF!="", "",#REF!)</f>
        <v>#REF!</v>
      </c>
      <c r="H219" s="205" t="e">
        <f xml:space="preserve"> IF(#REF!="", "",#REF!)</f>
        <v>#REF!</v>
      </c>
      <c r="I219" s="205" t="e">
        <f xml:space="preserve"> IF(#REF!="", "",#REF!)</f>
        <v>#REF!</v>
      </c>
      <c r="J219" s="298" t="e">
        <f>#REF!</f>
        <v>#REF!</v>
      </c>
      <c r="K219" s="149" t="e">
        <f>#REF!</f>
        <v>#REF!</v>
      </c>
      <c r="L219" s="149" t="e">
        <f>#REF!</f>
        <v>#REF!</v>
      </c>
      <c r="M219" s="150" t="e">
        <f>#REF!</f>
        <v>#REF!</v>
      </c>
      <c r="N219" s="364"/>
      <c r="O219" s="202"/>
      <c r="P219" s="151" t="e">
        <f>#REF!</f>
        <v>#REF!</v>
      </c>
      <c r="Q219" s="202"/>
      <c r="R219" s="152" t="e">
        <f>#REF!</f>
        <v>#REF!</v>
      </c>
      <c r="S219" s="202"/>
      <c r="T219" s="153" t="e">
        <f>#REF!</f>
        <v>#REF!</v>
      </c>
      <c r="U219" s="202"/>
      <c r="V219" s="153" t="e">
        <f>#REF!</f>
        <v>#REF!</v>
      </c>
      <c r="W219" s="202"/>
      <c r="X219" s="153" t="e">
        <f>#REF!</f>
        <v>#REF!</v>
      </c>
      <c r="Y219" s="202"/>
      <c r="Z219" s="152" t="e">
        <f>#REF!</f>
        <v>#REF!</v>
      </c>
      <c r="AA219" s="202"/>
      <c r="AB219" s="153" t="e">
        <f>#REF!</f>
        <v>#REF!</v>
      </c>
      <c r="AC219" s="202"/>
      <c r="AD219" s="152" t="e">
        <f>#REF!</f>
        <v>#REF!</v>
      </c>
      <c r="AE219" s="202"/>
      <c r="AF219" s="153" t="e">
        <f>#REF!</f>
        <v>#REF!</v>
      </c>
      <c r="AG219" s="202"/>
      <c r="AH219" s="152" t="e">
        <f>#REF!</f>
        <v>#REF!</v>
      </c>
      <c r="AI219" s="202"/>
      <c r="AJ219" s="153" t="e">
        <f>#REF!</f>
        <v>#REF!</v>
      </c>
      <c r="AK219" s="202"/>
      <c r="AL219" s="152" t="e">
        <f>#REF!</f>
        <v>#REF!</v>
      </c>
      <c r="AM219" s="202"/>
      <c r="AN219" s="153" t="e">
        <f>#REF!</f>
        <v>#REF!</v>
      </c>
      <c r="AO219" s="202"/>
      <c r="AP219" s="152" t="e">
        <f>#REF!</f>
        <v>#REF!</v>
      </c>
      <c r="AQ219" s="202"/>
      <c r="AR219" s="154" t="e">
        <f>#REF!</f>
        <v>#REF!</v>
      </c>
      <c r="AS219" s="202"/>
      <c r="AT219" s="153" t="e">
        <f>#REF!</f>
        <v>#REF!</v>
      </c>
      <c r="AU219" s="202"/>
      <c r="AV219" s="152" t="e">
        <f>#REF!</f>
        <v>#REF!</v>
      </c>
      <c r="AW219" s="202"/>
      <c r="AX219" s="153" t="e">
        <f>#REF!</f>
        <v>#REF!</v>
      </c>
      <c r="AY219" s="202"/>
      <c r="AZ219" s="152" t="e">
        <f>#REF!</f>
        <v>#REF!</v>
      </c>
      <c r="BA219" s="202"/>
      <c r="BB219" s="154" t="e">
        <f>#REF!</f>
        <v>#REF!</v>
      </c>
      <c r="BC219" s="137"/>
    </row>
    <row r="220" spans="1:55" ht="30" hidden="1" customHeight="1">
      <c r="A220" s="203" t="e">
        <f>#REF!</f>
        <v>#REF!</v>
      </c>
      <c r="B220" s="204" t="e">
        <f xml:space="preserve"> IF(#REF!=0, "",#REF!)</f>
        <v>#REF!</v>
      </c>
      <c r="C220" s="369" t="e">
        <f>#REF!</f>
        <v>#REF!</v>
      </c>
      <c r="D220" s="369"/>
      <c r="E220" s="291" t="e">
        <f>#REF!</f>
        <v>#REF!</v>
      </c>
      <c r="F220" s="148" t="e">
        <f>#REF!</f>
        <v>#REF!</v>
      </c>
      <c r="G220" s="205" t="e">
        <f xml:space="preserve"> IF(#REF!="", "",#REF!)</f>
        <v>#REF!</v>
      </c>
      <c r="H220" s="205" t="e">
        <f xml:space="preserve"> IF(#REF!="", "",#REF!)</f>
        <v>#REF!</v>
      </c>
      <c r="I220" s="205" t="e">
        <f xml:space="preserve"> IF(#REF!="", "",#REF!)</f>
        <v>#REF!</v>
      </c>
      <c r="J220" s="298" t="e">
        <f>#REF!</f>
        <v>#REF!</v>
      </c>
      <c r="K220" s="149" t="e">
        <f>#REF!</f>
        <v>#REF!</v>
      </c>
      <c r="L220" s="149" t="e">
        <f>#REF!</f>
        <v>#REF!</v>
      </c>
      <c r="M220" s="150" t="e">
        <f>#REF!</f>
        <v>#REF!</v>
      </c>
      <c r="N220" s="364"/>
      <c r="O220" s="202"/>
      <c r="P220" s="151" t="e">
        <f>#REF!</f>
        <v>#REF!</v>
      </c>
      <c r="Q220" s="202"/>
      <c r="R220" s="152" t="e">
        <f>#REF!</f>
        <v>#REF!</v>
      </c>
      <c r="S220" s="202"/>
      <c r="T220" s="153" t="e">
        <f>#REF!</f>
        <v>#REF!</v>
      </c>
      <c r="U220" s="202"/>
      <c r="V220" s="153" t="e">
        <f>#REF!</f>
        <v>#REF!</v>
      </c>
      <c r="W220" s="202"/>
      <c r="X220" s="153" t="e">
        <f>#REF!</f>
        <v>#REF!</v>
      </c>
      <c r="Y220" s="202"/>
      <c r="Z220" s="152" t="e">
        <f>#REF!</f>
        <v>#REF!</v>
      </c>
      <c r="AA220" s="202"/>
      <c r="AB220" s="153" t="e">
        <f>#REF!</f>
        <v>#REF!</v>
      </c>
      <c r="AC220" s="202"/>
      <c r="AD220" s="152" t="e">
        <f>#REF!</f>
        <v>#REF!</v>
      </c>
      <c r="AE220" s="202"/>
      <c r="AF220" s="153" t="e">
        <f>#REF!</f>
        <v>#REF!</v>
      </c>
      <c r="AG220" s="202"/>
      <c r="AH220" s="152" t="e">
        <f>#REF!</f>
        <v>#REF!</v>
      </c>
      <c r="AI220" s="202"/>
      <c r="AJ220" s="153" t="e">
        <f>#REF!</f>
        <v>#REF!</v>
      </c>
      <c r="AK220" s="202"/>
      <c r="AL220" s="152" t="e">
        <f>#REF!</f>
        <v>#REF!</v>
      </c>
      <c r="AM220" s="202"/>
      <c r="AN220" s="153" t="e">
        <f>#REF!</f>
        <v>#REF!</v>
      </c>
      <c r="AO220" s="202"/>
      <c r="AP220" s="152" t="e">
        <f>#REF!</f>
        <v>#REF!</v>
      </c>
      <c r="AQ220" s="202"/>
      <c r="AR220" s="154" t="e">
        <f>#REF!</f>
        <v>#REF!</v>
      </c>
      <c r="AS220" s="202"/>
      <c r="AT220" s="153" t="e">
        <f>#REF!</f>
        <v>#REF!</v>
      </c>
      <c r="AU220" s="202"/>
      <c r="AV220" s="152" t="e">
        <f>#REF!</f>
        <v>#REF!</v>
      </c>
      <c r="AW220" s="202"/>
      <c r="AX220" s="153" t="e">
        <f>#REF!</f>
        <v>#REF!</v>
      </c>
      <c r="AY220" s="202"/>
      <c r="AZ220" s="152" t="e">
        <f>#REF!</f>
        <v>#REF!</v>
      </c>
      <c r="BA220" s="202"/>
      <c r="BB220" s="154" t="e">
        <f>#REF!</f>
        <v>#REF!</v>
      </c>
      <c r="BC220" s="137"/>
    </row>
    <row r="221" spans="1:55" ht="30" hidden="1" customHeight="1">
      <c r="A221" s="203" t="e">
        <f>#REF!</f>
        <v>#REF!</v>
      </c>
      <c r="B221" s="204" t="e">
        <f xml:space="preserve"> IF(#REF!=0, "",#REF!)</f>
        <v>#REF!</v>
      </c>
      <c r="C221" s="369" t="e">
        <f>#REF!</f>
        <v>#REF!</v>
      </c>
      <c r="D221" s="369"/>
      <c r="E221" s="291" t="e">
        <f>#REF!</f>
        <v>#REF!</v>
      </c>
      <c r="F221" s="148" t="e">
        <f>#REF!</f>
        <v>#REF!</v>
      </c>
      <c r="G221" s="205" t="e">
        <f xml:space="preserve"> IF(#REF!="", "",#REF!)</f>
        <v>#REF!</v>
      </c>
      <c r="H221" s="205" t="e">
        <f xml:space="preserve"> IF(#REF!="", "",#REF!)</f>
        <v>#REF!</v>
      </c>
      <c r="I221" s="205" t="e">
        <f xml:space="preserve"> IF(#REF!="", "",#REF!)</f>
        <v>#REF!</v>
      </c>
      <c r="J221" s="298" t="e">
        <f>#REF!</f>
        <v>#REF!</v>
      </c>
      <c r="K221" s="149" t="e">
        <f>#REF!</f>
        <v>#REF!</v>
      </c>
      <c r="L221" s="149" t="e">
        <f>#REF!</f>
        <v>#REF!</v>
      </c>
      <c r="M221" s="150" t="e">
        <f>#REF!</f>
        <v>#REF!</v>
      </c>
      <c r="N221" s="364"/>
      <c r="O221" s="202"/>
      <c r="P221" s="151" t="e">
        <f>#REF!</f>
        <v>#REF!</v>
      </c>
      <c r="Q221" s="202"/>
      <c r="R221" s="152" t="e">
        <f>#REF!</f>
        <v>#REF!</v>
      </c>
      <c r="S221" s="202"/>
      <c r="T221" s="153" t="e">
        <f>#REF!</f>
        <v>#REF!</v>
      </c>
      <c r="U221" s="202"/>
      <c r="V221" s="153" t="e">
        <f>#REF!</f>
        <v>#REF!</v>
      </c>
      <c r="W221" s="202"/>
      <c r="X221" s="153" t="e">
        <f>#REF!</f>
        <v>#REF!</v>
      </c>
      <c r="Y221" s="202"/>
      <c r="Z221" s="152" t="e">
        <f>#REF!</f>
        <v>#REF!</v>
      </c>
      <c r="AA221" s="202"/>
      <c r="AB221" s="153" t="e">
        <f>#REF!</f>
        <v>#REF!</v>
      </c>
      <c r="AC221" s="202"/>
      <c r="AD221" s="152" t="e">
        <f>#REF!</f>
        <v>#REF!</v>
      </c>
      <c r="AE221" s="202"/>
      <c r="AF221" s="153" t="e">
        <f>#REF!</f>
        <v>#REF!</v>
      </c>
      <c r="AG221" s="202"/>
      <c r="AH221" s="152" t="e">
        <f>#REF!</f>
        <v>#REF!</v>
      </c>
      <c r="AI221" s="202"/>
      <c r="AJ221" s="153" t="e">
        <f>#REF!</f>
        <v>#REF!</v>
      </c>
      <c r="AK221" s="202"/>
      <c r="AL221" s="152" t="e">
        <f>#REF!</f>
        <v>#REF!</v>
      </c>
      <c r="AM221" s="202"/>
      <c r="AN221" s="153" t="e">
        <f>#REF!</f>
        <v>#REF!</v>
      </c>
      <c r="AO221" s="202"/>
      <c r="AP221" s="152" t="e">
        <f>#REF!</f>
        <v>#REF!</v>
      </c>
      <c r="AQ221" s="202"/>
      <c r="AR221" s="154" t="e">
        <f>#REF!</f>
        <v>#REF!</v>
      </c>
      <c r="AS221" s="202"/>
      <c r="AT221" s="153" t="e">
        <f>#REF!</f>
        <v>#REF!</v>
      </c>
      <c r="AU221" s="202"/>
      <c r="AV221" s="152" t="e">
        <f>#REF!</f>
        <v>#REF!</v>
      </c>
      <c r="AW221" s="202"/>
      <c r="AX221" s="153" t="e">
        <f>#REF!</f>
        <v>#REF!</v>
      </c>
      <c r="AY221" s="202"/>
      <c r="AZ221" s="152" t="e">
        <f>#REF!</f>
        <v>#REF!</v>
      </c>
      <c r="BA221" s="202"/>
      <c r="BB221" s="154" t="e">
        <f>#REF!</f>
        <v>#REF!</v>
      </c>
      <c r="BC221" s="137"/>
    </row>
    <row r="222" spans="1:55" ht="30" hidden="1" customHeight="1">
      <c r="A222" s="203" t="e">
        <f>#REF!</f>
        <v>#REF!</v>
      </c>
      <c r="B222" s="204" t="e">
        <f xml:space="preserve"> IF(#REF!=0, "",#REF!)</f>
        <v>#REF!</v>
      </c>
      <c r="C222" s="369" t="e">
        <f>#REF!</f>
        <v>#REF!</v>
      </c>
      <c r="D222" s="369"/>
      <c r="E222" s="291" t="e">
        <f>#REF!</f>
        <v>#REF!</v>
      </c>
      <c r="F222" s="148" t="e">
        <f>#REF!</f>
        <v>#REF!</v>
      </c>
      <c r="G222" s="205" t="e">
        <f xml:space="preserve"> IF(#REF!="", "",#REF!)</f>
        <v>#REF!</v>
      </c>
      <c r="H222" s="205" t="e">
        <f xml:space="preserve"> IF(#REF!="", "",#REF!)</f>
        <v>#REF!</v>
      </c>
      <c r="I222" s="205" t="e">
        <f xml:space="preserve"> IF(#REF!="", "",#REF!)</f>
        <v>#REF!</v>
      </c>
      <c r="J222" s="298" t="e">
        <f>#REF!</f>
        <v>#REF!</v>
      </c>
      <c r="K222" s="149" t="e">
        <f>#REF!</f>
        <v>#REF!</v>
      </c>
      <c r="L222" s="149" t="e">
        <f>#REF!</f>
        <v>#REF!</v>
      </c>
      <c r="M222" s="150" t="e">
        <f>#REF!</f>
        <v>#REF!</v>
      </c>
      <c r="N222" s="364"/>
      <c r="O222" s="202"/>
      <c r="P222" s="151" t="e">
        <f>#REF!</f>
        <v>#REF!</v>
      </c>
      <c r="Q222" s="202"/>
      <c r="R222" s="152" t="e">
        <f>#REF!</f>
        <v>#REF!</v>
      </c>
      <c r="S222" s="202"/>
      <c r="T222" s="153" t="e">
        <f>#REF!</f>
        <v>#REF!</v>
      </c>
      <c r="U222" s="202"/>
      <c r="V222" s="153" t="e">
        <f>#REF!</f>
        <v>#REF!</v>
      </c>
      <c r="W222" s="202"/>
      <c r="X222" s="153" t="e">
        <f>#REF!</f>
        <v>#REF!</v>
      </c>
      <c r="Y222" s="202"/>
      <c r="Z222" s="152" t="e">
        <f>#REF!</f>
        <v>#REF!</v>
      </c>
      <c r="AA222" s="202"/>
      <c r="AB222" s="153" t="e">
        <f>#REF!</f>
        <v>#REF!</v>
      </c>
      <c r="AC222" s="202"/>
      <c r="AD222" s="152" t="e">
        <f>#REF!</f>
        <v>#REF!</v>
      </c>
      <c r="AE222" s="202"/>
      <c r="AF222" s="153" t="e">
        <f>#REF!</f>
        <v>#REF!</v>
      </c>
      <c r="AG222" s="202"/>
      <c r="AH222" s="152" t="e">
        <f>#REF!</f>
        <v>#REF!</v>
      </c>
      <c r="AI222" s="202"/>
      <c r="AJ222" s="153" t="e">
        <f>#REF!</f>
        <v>#REF!</v>
      </c>
      <c r="AK222" s="202"/>
      <c r="AL222" s="152" t="e">
        <f>#REF!</f>
        <v>#REF!</v>
      </c>
      <c r="AM222" s="202"/>
      <c r="AN222" s="153" t="e">
        <f>#REF!</f>
        <v>#REF!</v>
      </c>
      <c r="AO222" s="202"/>
      <c r="AP222" s="152" t="e">
        <f>#REF!</f>
        <v>#REF!</v>
      </c>
      <c r="AQ222" s="202"/>
      <c r="AR222" s="154" t="e">
        <f>#REF!</f>
        <v>#REF!</v>
      </c>
      <c r="AS222" s="202"/>
      <c r="AT222" s="153" t="e">
        <f>#REF!</f>
        <v>#REF!</v>
      </c>
      <c r="AU222" s="202"/>
      <c r="AV222" s="152" t="e">
        <f>#REF!</f>
        <v>#REF!</v>
      </c>
      <c r="AW222" s="202"/>
      <c r="AX222" s="153" t="e">
        <f>#REF!</f>
        <v>#REF!</v>
      </c>
      <c r="AY222" s="202"/>
      <c r="AZ222" s="152" t="e">
        <f>#REF!</f>
        <v>#REF!</v>
      </c>
      <c r="BA222" s="202"/>
      <c r="BB222" s="154" t="e">
        <f>#REF!</f>
        <v>#REF!</v>
      </c>
      <c r="BC222" s="137"/>
    </row>
    <row r="223" spans="1:55" ht="30" hidden="1" customHeight="1">
      <c r="A223" s="203" t="e">
        <f>#REF!</f>
        <v>#REF!</v>
      </c>
      <c r="B223" s="204" t="e">
        <f xml:space="preserve"> IF(#REF!=0, "",#REF!)</f>
        <v>#REF!</v>
      </c>
      <c r="C223" s="369" t="e">
        <f>#REF!</f>
        <v>#REF!</v>
      </c>
      <c r="D223" s="369"/>
      <c r="E223" s="291" t="e">
        <f>#REF!</f>
        <v>#REF!</v>
      </c>
      <c r="F223" s="148" t="e">
        <f>#REF!</f>
        <v>#REF!</v>
      </c>
      <c r="G223" s="205" t="e">
        <f xml:space="preserve"> IF(#REF!="", "",#REF!)</f>
        <v>#REF!</v>
      </c>
      <c r="H223" s="205" t="e">
        <f xml:space="preserve"> IF(#REF!="", "",#REF!)</f>
        <v>#REF!</v>
      </c>
      <c r="I223" s="205" t="e">
        <f xml:space="preserve"> IF(#REF!="", "",#REF!)</f>
        <v>#REF!</v>
      </c>
      <c r="J223" s="298" t="e">
        <f>#REF!</f>
        <v>#REF!</v>
      </c>
      <c r="K223" s="149" t="e">
        <f>#REF!</f>
        <v>#REF!</v>
      </c>
      <c r="L223" s="149" t="e">
        <f>#REF!</f>
        <v>#REF!</v>
      </c>
      <c r="M223" s="150" t="e">
        <f>#REF!</f>
        <v>#REF!</v>
      </c>
      <c r="N223" s="364"/>
      <c r="O223" s="202"/>
      <c r="P223" s="151" t="e">
        <f>#REF!</f>
        <v>#REF!</v>
      </c>
      <c r="Q223" s="202"/>
      <c r="R223" s="152" t="e">
        <f>#REF!</f>
        <v>#REF!</v>
      </c>
      <c r="S223" s="202"/>
      <c r="T223" s="153" t="e">
        <f>#REF!</f>
        <v>#REF!</v>
      </c>
      <c r="U223" s="202"/>
      <c r="V223" s="153" t="e">
        <f>#REF!</f>
        <v>#REF!</v>
      </c>
      <c r="W223" s="202"/>
      <c r="X223" s="153" t="e">
        <f>#REF!</f>
        <v>#REF!</v>
      </c>
      <c r="Y223" s="202"/>
      <c r="Z223" s="152" t="e">
        <f>#REF!</f>
        <v>#REF!</v>
      </c>
      <c r="AA223" s="202"/>
      <c r="AB223" s="153" t="e">
        <f>#REF!</f>
        <v>#REF!</v>
      </c>
      <c r="AC223" s="202"/>
      <c r="AD223" s="152" t="e">
        <f>#REF!</f>
        <v>#REF!</v>
      </c>
      <c r="AE223" s="202"/>
      <c r="AF223" s="153" t="e">
        <f>#REF!</f>
        <v>#REF!</v>
      </c>
      <c r="AG223" s="202"/>
      <c r="AH223" s="152" t="e">
        <f>#REF!</f>
        <v>#REF!</v>
      </c>
      <c r="AI223" s="202"/>
      <c r="AJ223" s="153" t="e">
        <f>#REF!</f>
        <v>#REF!</v>
      </c>
      <c r="AK223" s="202"/>
      <c r="AL223" s="152" t="e">
        <f>#REF!</f>
        <v>#REF!</v>
      </c>
      <c r="AM223" s="202"/>
      <c r="AN223" s="153" t="e">
        <f>#REF!</f>
        <v>#REF!</v>
      </c>
      <c r="AO223" s="202"/>
      <c r="AP223" s="152" t="e">
        <f>#REF!</f>
        <v>#REF!</v>
      </c>
      <c r="AQ223" s="202"/>
      <c r="AR223" s="154" t="e">
        <f>#REF!</f>
        <v>#REF!</v>
      </c>
      <c r="AS223" s="202"/>
      <c r="AT223" s="153" t="e">
        <f>#REF!</f>
        <v>#REF!</v>
      </c>
      <c r="AU223" s="202"/>
      <c r="AV223" s="152" t="e">
        <f>#REF!</f>
        <v>#REF!</v>
      </c>
      <c r="AW223" s="202"/>
      <c r="AX223" s="153" t="e">
        <f>#REF!</f>
        <v>#REF!</v>
      </c>
      <c r="AY223" s="202"/>
      <c r="AZ223" s="152" t="e">
        <f>#REF!</f>
        <v>#REF!</v>
      </c>
      <c r="BA223" s="202"/>
      <c r="BB223" s="154" t="e">
        <f>#REF!</f>
        <v>#REF!</v>
      </c>
      <c r="BC223" s="137"/>
    </row>
    <row r="224" spans="1:55" ht="30" hidden="1" customHeight="1">
      <c r="A224" s="203" t="e">
        <f>#REF!</f>
        <v>#REF!</v>
      </c>
      <c r="B224" s="204" t="e">
        <f xml:space="preserve"> IF(#REF!=0, "",#REF!)</f>
        <v>#REF!</v>
      </c>
      <c r="C224" s="369" t="e">
        <f>#REF!</f>
        <v>#REF!</v>
      </c>
      <c r="D224" s="369"/>
      <c r="E224" s="291" t="e">
        <f>#REF!</f>
        <v>#REF!</v>
      </c>
      <c r="F224" s="148" t="e">
        <f>#REF!</f>
        <v>#REF!</v>
      </c>
      <c r="G224" s="205" t="e">
        <f xml:space="preserve"> IF(#REF!="", "",#REF!)</f>
        <v>#REF!</v>
      </c>
      <c r="H224" s="205" t="e">
        <f xml:space="preserve"> IF(#REF!="", "",#REF!)</f>
        <v>#REF!</v>
      </c>
      <c r="I224" s="205" t="e">
        <f xml:space="preserve"> IF(#REF!="", "",#REF!)</f>
        <v>#REF!</v>
      </c>
      <c r="J224" s="298" t="e">
        <f>#REF!</f>
        <v>#REF!</v>
      </c>
      <c r="K224" s="149" t="e">
        <f>#REF!</f>
        <v>#REF!</v>
      </c>
      <c r="L224" s="149" t="e">
        <f>#REF!</f>
        <v>#REF!</v>
      </c>
      <c r="M224" s="150" t="e">
        <f>#REF!</f>
        <v>#REF!</v>
      </c>
      <c r="N224" s="364"/>
      <c r="O224" s="202"/>
      <c r="P224" s="151" t="e">
        <f>#REF!</f>
        <v>#REF!</v>
      </c>
      <c r="Q224" s="202"/>
      <c r="R224" s="152" t="e">
        <f>#REF!</f>
        <v>#REF!</v>
      </c>
      <c r="S224" s="202"/>
      <c r="T224" s="153" t="e">
        <f>#REF!</f>
        <v>#REF!</v>
      </c>
      <c r="U224" s="202"/>
      <c r="V224" s="153" t="e">
        <f>#REF!</f>
        <v>#REF!</v>
      </c>
      <c r="W224" s="202"/>
      <c r="X224" s="153" t="e">
        <f>#REF!</f>
        <v>#REF!</v>
      </c>
      <c r="Y224" s="202"/>
      <c r="Z224" s="152" t="e">
        <f>#REF!</f>
        <v>#REF!</v>
      </c>
      <c r="AA224" s="202"/>
      <c r="AB224" s="153" t="e">
        <f>#REF!</f>
        <v>#REF!</v>
      </c>
      <c r="AC224" s="202"/>
      <c r="AD224" s="152" t="e">
        <f>#REF!</f>
        <v>#REF!</v>
      </c>
      <c r="AE224" s="202"/>
      <c r="AF224" s="153" t="e">
        <f>#REF!</f>
        <v>#REF!</v>
      </c>
      <c r="AG224" s="202"/>
      <c r="AH224" s="152" t="e">
        <f>#REF!</f>
        <v>#REF!</v>
      </c>
      <c r="AI224" s="202"/>
      <c r="AJ224" s="153" t="e">
        <f>#REF!</f>
        <v>#REF!</v>
      </c>
      <c r="AK224" s="202"/>
      <c r="AL224" s="152" t="e">
        <f>#REF!</f>
        <v>#REF!</v>
      </c>
      <c r="AM224" s="202"/>
      <c r="AN224" s="153" t="e">
        <f>#REF!</f>
        <v>#REF!</v>
      </c>
      <c r="AO224" s="202"/>
      <c r="AP224" s="152" t="e">
        <f>#REF!</f>
        <v>#REF!</v>
      </c>
      <c r="AQ224" s="202"/>
      <c r="AR224" s="154" t="e">
        <f>#REF!</f>
        <v>#REF!</v>
      </c>
      <c r="AS224" s="202"/>
      <c r="AT224" s="153" t="e">
        <f>#REF!</f>
        <v>#REF!</v>
      </c>
      <c r="AU224" s="202"/>
      <c r="AV224" s="152" t="e">
        <f>#REF!</f>
        <v>#REF!</v>
      </c>
      <c r="AW224" s="202"/>
      <c r="AX224" s="153" t="e">
        <f>#REF!</f>
        <v>#REF!</v>
      </c>
      <c r="AY224" s="202"/>
      <c r="AZ224" s="152" t="e">
        <f>#REF!</f>
        <v>#REF!</v>
      </c>
      <c r="BA224" s="202"/>
      <c r="BB224" s="154" t="e">
        <f>#REF!</f>
        <v>#REF!</v>
      </c>
      <c r="BC224" s="137"/>
    </row>
    <row r="225" spans="1:55" ht="30" hidden="1" customHeight="1">
      <c r="A225" s="203" t="e">
        <f>#REF!</f>
        <v>#REF!</v>
      </c>
      <c r="B225" s="204" t="e">
        <f xml:space="preserve"> IF(#REF!=0, "",#REF!)</f>
        <v>#REF!</v>
      </c>
      <c r="C225" s="369" t="e">
        <f>#REF!</f>
        <v>#REF!</v>
      </c>
      <c r="D225" s="369"/>
      <c r="E225" s="291" t="e">
        <f>#REF!</f>
        <v>#REF!</v>
      </c>
      <c r="F225" s="148" t="e">
        <f>#REF!</f>
        <v>#REF!</v>
      </c>
      <c r="G225" s="205" t="e">
        <f xml:space="preserve"> IF(#REF!="", "",#REF!)</f>
        <v>#REF!</v>
      </c>
      <c r="H225" s="205" t="e">
        <f xml:space="preserve"> IF(#REF!="", "",#REF!)</f>
        <v>#REF!</v>
      </c>
      <c r="I225" s="205" t="e">
        <f xml:space="preserve"> IF(#REF!="", "",#REF!)</f>
        <v>#REF!</v>
      </c>
      <c r="J225" s="298" t="e">
        <f>#REF!</f>
        <v>#REF!</v>
      </c>
      <c r="K225" s="149" t="e">
        <f>#REF!</f>
        <v>#REF!</v>
      </c>
      <c r="L225" s="149" t="e">
        <f>#REF!</f>
        <v>#REF!</v>
      </c>
      <c r="M225" s="150" t="e">
        <f>#REF!</f>
        <v>#REF!</v>
      </c>
      <c r="N225" s="364"/>
      <c r="O225" s="202"/>
      <c r="P225" s="151" t="e">
        <f>#REF!</f>
        <v>#REF!</v>
      </c>
      <c r="Q225" s="202"/>
      <c r="R225" s="152" t="e">
        <f>#REF!</f>
        <v>#REF!</v>
      </c>
      <c r="S225" s="202"/>
      <c r="T225" s="153" t="e">
        <f>#REF!</f>
        <v>#REF!</v>
      </c>
      <c r="U225" s="202"/>
      <c r="V225" s="153" t="e">
        <f>#REF!</f>
        <v>#REF!</v>
      </c>
      <c r="W225" s="202"/>
      <c r="X225" s="153" t="e">
        <f>#REF!</f>
        <v>#REF!</v>
      </c>
      <c r="Y225" s="202"/>
      <c r="Z225" s="152" t="e">
        <f>#REF!</f>
        <v>#REF!</v>
      </c>
      <c r="AA225" s="202"/>
      <c r="AB225" s="153" t="e">
        <f>#REF!</f>
        <v>#REF!</v>
      </c>
      <c r="AC225" s="202"/>
      <c r="AD225" s="152" t="e">
        <f>#REF!</f>
        <v>#REF!</v>
      </c>
      <c r="AE225" s="202"/>
      <c r="AF225" s="153" t="e">
        <f>#REF!</f>
        <v>#REF!</v>
      </c>
      <c r="AG225" s="202"/>
      <c r="AH225" s="152" t="e">
        <f>#REF!</f>
        <v>#REF!</v>
      </c>
      <c r="AI225" s="202"/>
      <c r="AJ225" s="153" t="e">
        <f>#REF!</f>
        <v>#REF!</v>
      </c>
      <c r="AK225" s="202"/>
      <c r="AL225" s="152" t="e">
        <f>#REF!</f>
        <v>#REF!</v>
      </c>
      <c r="AM225" s="202"/>
      <c r="AN225" s="153" t="e">
        <f>#REF!</f>
        <v>#REF!</v>
      </c>
      <c r="AO225" s="202"/>
      <c r="AP225" s="152" t="e">
        <f>#REF!</f>
        <v>#REF!</v>
      </c>
      <c r="AQ225" s="202"/>
      <c r="AR225" s="154" t="e">
        <f>#REF!</f>
        <v>#REF!</v>
      </c>
      <c r="AS225" s="202"/>
      <c r="AT225" s="153" t="e">
        <f>#REF!</f>
        <v>#REF!</v>
      </c>
      <c r="AU225" s="202"/>
      <c r="AV225" s="152" t="e">
        <f>#REF!</f>
        <v>#REF!</v>
      </c>
      <c r="AW225" s="202"/>
      <c r="AX225" s="153" t="e">
        <f>#REF!</f>
        <v>#REF!</v>
      </c>
      <c r="AY225" s="202"/>
      <c r="AZ225" s="152" t="e">
        <f>#REF!</f>
        <v>#REF!</v>
      </c>
      <c r="BA225" s="202"/>
      <c r="BB225" s="154" t="e">
        <f>#REF!</f>
        <v>#REF!</v>
      </c>
      <c r="BC225" s="137"/>
    </row>
    <row r="226" spans="1:55" ht="30" hidden="1" customHeight="1">
      <c r="A226" s="203" t="e">
        <f>#REF!</f>
        <v>#REF!</v>
      </c>
      <c r="B226" s="204" t="e">
        <f xml:space="preserve"> IF(#REF!=0, "",#REF!)</f>
        <v>#REF!</v>
      </c>
      <c r="C226" s="369" t="e">
        <f>#REF!</f>
        <v>#REF!</v>
      </c>
      <c r="D226" s="369"/>
      <c r="E226" s="291" t="e">
        <f>#REF!</f>
        <v>#REF!</v>
      </c>
      <c r="F226" s="148" t="e">
        <f>#REF!</f>
        <v>#REF!</v>
      </c>
      <c r="G226" s="205" t="e">
        <f xml:space="preserve"> IF(#REF!="", "",#REF!)</f>
        <v>#REF!</v>
      </c>
      <c r="H226" s="205" t="e">
        <f xml:space="preserve"> IF(#REF!="", "",#REF!)</f>
        <v>#REF!</v>
      </c>
      <c r="I226" s="205" t="e">
        <f xml:space="preserve"> IF(#REF!="", "",#REF!)</f>
        <v>#REF!</v>
      </c>
      <c r="J226" s="298" t="e">
        <f>#REF!</f>
        <v>#REF!</v>
      </c>
      <c r="K226" s="149" t="e">
        <f>#REF!</f>
        <v>#REF!</v>
      </c>
      <c r="L226" s="149" t="e">
        <f>#REF!</f>
        <v>#REF!</v>
      </c>
      <c r="M226" s="150" t="e">
        <f>#REF!</f>
        <v>#REF!</v>
      </c>
      <c r="N226" s="364"/>
      <c r="O226" s="202"/>
      <c r="P226" s="151" t="e">
        <f>#REF!</f>
        <v>#REF!</v>
      </c>
      <c r="Q226" s="202"/>
      <c r="R226" s="152" t="e">
        <f>#REF!</f>
        <v>#REF!</v>
      </c>
      <c r="S226" s="202"/>
      <c r="T226" s="153" t="e">
        <f>#REF!</f>
        <v>#REF!</v>
      </c>
      <c r="U226" s="202"/>
      <c r="V226" s="153" t="e">
        <f>#REF!</f>
        <v>#REF!</v>
      </c>
      <c r="W226" s="202"/>
      <c r="X226" s="153" t="e">
        <f>#REF!</f>
        <v>#REF!</v>
      </c>
      <c r="Y226" s="202"/>
      <c r="Z226" s="152" t="e">
        <f>#REF!</f>
        <v>#REF!</v>
      </c>
      <c r="AA226" s="202"/>
      <c r="AB226" s="153" t="e">
        <f>#REF!</f>
        <v>#REF!</v>
      </c>
      <c r="AC226" s="202"/>
      <c r="AD226" s="152" t="e">
        <f>#REF!</f>
        <v>#REF!</v>
      </c>
      <c r="AE226" s="202"/>
      <c r="AF226" s="153" t="e">
        <f>#REF!</f>
        <v>#REF!</v>
      </c>
      <c r="AG226" s="202"/>
      <c r="AH226" s="152" t="e">
        <f>#REF!</f>
        <v>#REF!</v>
      </c>
      <c r="AI226" s="202"/>
      <c r="AJ226" s="153" t="e">
        <f>#REF!</f>
        <v>#REF!</v>
      </c>
      <c r="AK226" s="202"/>
      <c r="AL226" s="152" t="e">
        <f>#REF!</f>
        <v>#REF!</v>
      </c>
      <c r="AM226" s="202"/>
      <c r="AN226" s="153" t="e">
        <f>#REF!</f>
        <v>#REF!</v>
      </c>
      <c r="AO226" s="202"/>
      <c r="AP226" s="152" t="e">
        <f>#REF!</f>
        <v>#REF!</v>
      </c>
      <c r="AQ226" s="202"/>
      <c r="AR226" s="154" t="e">
        <f>#REF!</f>
        <v>#REF!</v>
      </c>
      <c r="AS226" s="202"/>
      <c r="AT226" s="153" t="e">
        <f>#REF!</f>
        <v>#REF!</v>
      </c>
      <c r="AU226" s="202"/>
      <c r="AV226" s="152" t="e">
        <f>#REF!</f>
        <v>#REF!</v>
      </c>
      <c r="AW226" s="202"/>
      <c r="AX226" s="153" t="e">
        <f>#REF!</f>
        <v>#REF!</v>
      </c>
      <c r="AY226" s="202"/>
      <c r="AZ226" s="152" t="e">
        <f>#REF!</f>
        <v>#REF!</v>
      </c>
      <c r="BA226" s="202"/>
      <c r="BB226" s="154" t="e">
        <f>#REF!</f>
        <v>#REF!</v>
      </c>
      <c r="BC226" s="137"/>
    </row>
    <row r="227" spans="1:55" ht="30" hidden="1" customHeight="1">
      <c r="A227" s="203" t="e">
        <f>#REF!</f>
        <v>#REF!</v>
      </c>
      <c r="B227" s="204" t="e">
        <f xml:space="preserve"> IF(#REF!=0, "",#REF!)</f>
        <v>#REF!</v>
      </c>
      <c r="C227" s="369" t="e">
        <f>#REF!</f>
        <v>#REF!</v>
      </c>
      <c r="D227" s="369"/>
      <c r="E227" s="291" t="e">
        <f>#REF!</f>
        <v>#REF!</v>
      </c>
      <c r="F227" s="148" t="e">
        <f>#REF!</f>
        <v>#REF!</v>
      </c>
      <c r="G227" s="205" t="e">
        <f xml:space="preserve"> IF(#REF!="", "",#REF!)</f>
        <v>#REF!</v>
      </c>
      <c r="H227" s="205" t="e">
        <f xml:space="preserve"> IF(#REF!="", "",#REF!)</f>
        <v>#REF!</v>
      </c>
      <c r="I227" s="205" t="e">
        <f xml:space="preserve"> IF(#REF!="", "",#REF!)</f>
        <v>#REF!</v>
      </c>
      <c r="J227" s="298" t="e">
        <f>#REF!</f>
        <v>#REF!</v>
      </c>
      <c r="K227" s="149" t="e">
        <f>#REF!</f>
        <v>#REF!</v>
      </c>
      <c r="L227" s="149" t="e">
        <f>#REF!</f>
        <v>#REF!</v>
      </c>
      <c r="M227" s="150" t="e">
        <f>#REF!</f>
        <v>#REF!</v>
      </c>
      <c r="N227" s="364"/>
      <c r="O227" s="202"/>
      <c r="P227" s="151" t="e">
        <f>#REF!</f>
        <v>#REF!</v>
      </c>
      <c r="Q227" s="202"/>
      <c r="R227" s="152" t="e">
        <f>#REF!</f>
        <v>#REF!</v>
      </c>
      <c r="S227" s="202"/>
      <c r="T227" s="153" t="e">
        <f>#REF!</f>
        <v>#REF!</v>
      </c>
      <c r="U227" s="202"/>
      <c r="V227" s="153" t="e">
        <f>#REF!</f>
        <v>#REF!</v>
      </c>
      <c r="W227" s="202"/>
      <c r="X227" s="153" t="e">
        <f>#REF!</f>
        <v>#REF!</v>
      </c>
      <c r="Y227" s="202"/>
      <c r="Z227" s="152" t="e">
        <f>#REF!</f>
        <v>#REF!</v>
      </c>
      <c r="AA227" s="202"/>
      <c r="AB227" s="153" t="e">
        <f>#REF!</f>
        <v>#REF!</v>
      </c>
      <c r="AC227" s="202"/>
      <c r="AD227" s="152" t="e">
        <f>#REF!</f>
        <v>#REF!</v>
      </c>
      <c r="AE227" s="202"/>
      <c r="AF227" s="153" t="e">
        <f>#REF!</f>
        <v>#REF!</v>
      </c>
      <c r="AG227" s="202"/>
      <c r="AH227" s="152" t="e">
        <f>#REF!</f>
        <v>#REF!</v>
      </c>
      <c r="AI227" s="202"/>
      <c r="AJ227" s="153" t="e">
        <f>#REF!</f>
        <v>#REF!</v>
      </c>
      <c r="AK227" s="202"/>
      <c r="AL227" s="152" t="e">
        <f>#REF!</f>
        <v>#REF!</v>
      </c>
      <c r="AM227" s="202"/>
      <c r="AN227" s="153" t="e">
        <f>#REF!</f>
        <v>#REF!</v>
      </c>
      <c r="AO227" s="202"/>
      <c r="AP227" s="152" t="e">
        <f>#REF!</f>
        <v>#REF!</v>
      </c>
      <c r="AQ227" s="202"/>
      <c r="AR227" s="154" t="e">
        <f>#REF!</f>
        <v>#REF!</v>
      </c>
      <c r="AS227" s="202"/>
      <c r="AT227" s="153" t="e">
        <f>#REF!</f>
        <v>#REF!</v>
      </c>
      <c r="AU227" s="202"/>
      <c r="AV227" s="152" t="e">
        <f>#REF!</f>
        <v>#REF!</v>
      </c>
      <c r="AW227" s="202"/>
      <c r="AX227" s="153" t="e">
        <f>#REF!</f>
        <v>#REF!</v>
      </c>
      <c r="AY227" s="202"/>
      <c r="AZ227" s="152" t="e">
        <f>#REF!</f>
        <v>#REF!</v>
      </c>
      <c r="BA227" s="202"/>
      <c r="BB227" s="154" t="e">
        <f>#REF!</f>
        <v>#REF!</v>
      </c>
      <c r="BC227" s="137"/>
    </row>
    <row r="228" spans="1:55" ht="30" hidden="1" customHeight="1">
      <c r="A228" s="203" t="e">
        <f>#REF!</f>
        <v>#REF!</v>
      </c>
      <c r="B228" s="204" t="e">
        <f xml:space="preserve"> IF(#REF!=0, "",#REF!)</f>
        <v>#REF!</v>
      </c>
      <c r="C228" s="369" t="e">
        <f>#REF!</f>
        <v>#REF!</v>
      </c>
      <c r="D228" s="369"/>
      <c r="E228" s="291" t="e">
        <f>#REF!</f>
        <v>#REF!</v>
      </c>
      <c r="F228" s="148" t="e">
        <f>#REF!</f>
        <v>#REF!</v>
      </c>
      <c r="G228" s="205" t="e">
        <f xml:space="preserve"> IF(#REF!="", "",#REF!)</f>
        <v>#REF!</v>
      </c>
      <c r="H228" s="205" t="e">
        <f xml:space="preserve"> IF(#REF!="", "",#REF!)</f>
        <v>#REF!</v>
      </c>
      <c r="I228" s="205" t="e">
        <f xml:space="preserve"> IF(#REF!="", "",#REF!)</f>
        <v>#REF!</v>
      </c>
      <c r="J228" s="298" t="e">
        <f>#REF!</f>
        <v>#REF!</v>
      </c>
      <c r="K228" s="149" t="e">
        <f>#REF!</f>
        <v>#REF!</v>
      </c>
      <c r="L228" s="149" t="e">
        <f>#REF!</f>
        <v>#REF!</v>
      </c>
      <c r="M228" s="150" t="e">
        <f>#REF!</f>
        <v>#REF!</v>
      </c>
      <c r="N228" s="364"/>
      <c r="O228" s="202"/>
      <c r="P228" s="151" t="e">
        <f>#REF!</f>
        <v>#REF!</v>
      </c>
      <c r="Q228" s="202"/>
      <c r="R228" s="152" t="e">
        <f>#REF!</f>
        <v>#REF!</v>
      </c>
      <c r="S228" s="202"/>
      <c r="T228" s="153" t="e">
        <f>#REF!</f>
        <v>#REF!</v>
      </c>
      <c r="U228" s="202"/>
      <c r="V228" s="153" t="e">
        <f>#REF!</f>
        <v>#REF!</v>
      </c>
      <c r="W228" s="202"/>
      <c r="X228" s="153" t="e">
        <f>#REF!</f>
        <v>#REF!</v>
      </c>
      <c r="Y228" s="202"/>
      <c r="Z228" s="152" t="e">
        <f>#REF!</f>
        <v>#REF!</v>
      </c>
      <c r="AA228" s="202"/>
      <c r="AB228" s="153" t="e">
        <f>#REF!</f>
        <v>#REF!</v>
      </c>
      <c r="AC228" s="202"/>
      <c r="AD228" s="152" t="e">
        <f>#REF!</f>
        <v>#REF!</v>
      </c>
      <c r="AE228" s="202"/>
      <c r="AF228" s="153" t="e">
        <f>#REF!</f>
        <v>#REF!</v>
      </c>
      <c r="AG228" s="202"/>
      <c r="AH228" s="152" t="e">
        <f>#REF!</f>
        <v>#REF!</v>
      </c>
      <c r="AI228" s="202"/>
      <c r="AJ228" s="153" t="e">
        <f>#REF!</f>
        <v>#REF!</v>
      </c>
      <c r="AK228" s="202"/>
      <c r="AL228" s="152" t="e">
        <f>#REF!</f>
        <v>#REF!</v>
      </c>
      <c r="AM228" s="202"/>
      <c r="AN228" s="153" t="e">
        <f>#REF!</f>
        <v>#REF!</v>
      </c>
      <c r="AO228" s="202"/>
      <c r="AP228" s="152" t="e">
        <f>#REF!</f>
        <v>#REF!</v>
      </c>
      <c r="AQ228" s="202"/>
      <c r="AR228" s="154" t="e">
        <f>#REF!</f>
        <v>#REF!</v>
      </c>
      <c r="AS228" s="202"/>
      <c r="AT228" s="153" t="e">
        <f>#REF!</f>
        <v>#REF!</v>
      </c>
      <c r="AU228" s="202"/>
      <c r="AV228" s="152" t="e">
        <f>#REF!</f>
        <v>#REF!</v>
      </c>
      <c r="AW228" s="202"/>
      <c r="AX228" s="153" t="e">
        <f>#REF!</f>
        <v>#REF!</v>
      </c>
      <c r="AY228" s="202"/>
      <c r="AZ228" s="152" t="e">
        <f>#REF!</f>
        <v>#REF!</v>
      </c>
      <c r="BA228" s="202"/>
      <c r="BB228" s="154" t="e">
        <f>#REF!</f>
        <v>#REF!</v>
      </c>
      <c r="BC228" s="137"/>
    </row>
    <row r="229" spans="1:55" ht="30" hidden="1" customHeight="1">
      <c r="A229" s="203" t="e">
        <f>#REF!</f>
        <v>#REF!</v>
      </c>
      <c r="B229" s="204" t="e">
        <f xml:space="preserve"> IF(#REF!=0, "",#REF!)</f>
        <v>#REF!</v>
      </c>
      <c r="C229" s="369" t="e">
        <f>#REF!</f>
        <v>#REF!</v>
      </c>
      <c r="D229" s="369"/>
      <c r="E229" s="291" t="e">
        <f>#REF!</f>
        <v>#REF!</v>
      </c>
      <c r="F229" s="148" t="e">
        <f>#REF!</f>
        <v>#REF!</v>
      </c>
      <c r="G229" s="205" t="e">
        <f xml:space="preserve"> IF(#REF!="", "",#REF!)</f>
        <v>#REF!</v>
      </c>
      <c r="H229" s="205" t="e">
        <f xml:space="preserve"> IF(#REF!="", "",#REF!)</f>
        <v>#REF!</v>
      </c>
      <c r="I229" s="205" t="e">
        <f xml:space="preserve"> IF(#REF!="", "",#REF!)</f>
        <v>#REF!</v>
      </c>
      <c r="J229" s="298" t="e">
        <f>#REF!</f>
        <v>#REF!</v>
      </c>
      <c r="K229" s="149" t="e">
        <f>#REF!</f>
        <v>#REF!</v>
      </c>
      <c r="L229" s="149" t="e">
        <f>#REF!</f>
        <v>#REF!</v>
      </c>
      <c r="M229" s="150" t="e">
        <f>#REF!</f>
        <v>#REF!</v>
      </c>
      <c r="N229" s="364"/>
      <c r="O229" s="202"/>
      <c r="P229" s="151" t="e">
        <f>#REF!</f>
        <v>#REF!</v>
      </c>
      <c r="Q229" s="202"/>
      <c r="R229" s="152" t="e">
        <f>#REF!</f>
        <v>#REF!</v>
      </c>
      <c r="S229" s="202"/>
      <c r="T229" s="153" t="e">
        <f>#REF!</f>
        <v>#REF!</v>
      </c>
      <c r="U229" s="202"/>
      <c r="V229" s="153" t="e">
        <f>#REF!</f>
        <v>#REF!</v>
      </c>
      <c r="W229" s="202"/>
      <c r="X229" s="153" t="e">
        <f>#REF!</f>
        <v>#REF!</v>
      </c>
      <c r="Y229" s="202"/>
      <c r="Z229" s="152" t="e">
        <f>#REF!</f>
        <v>#REF!</v>
      </c>
      <c r="AA229" s="202"/>
      <c r="AB229" s="153" t="e">
        <f>#REF!</f>
        <v>#REF!</v>
      </c>
      <c r="AC229" s="202"/>
      <c r="AD229" s="152" t="e">
        <f>#REF!</f>
        <v>#REF!</v>
      </c>
      <c r="AE229" s="202"/>
      <c r="AF229" s="153" t="e">
        <f>#REF!</f>
        <v>#REF!</v>
      </c>
      <c r="AG229" s="202"/>
      <c r="AH229" s="152" t="e">
        <f>#REF!</f>
        <v>#REF!</v>
      </c>
      <c r="AI229" s="202"/>
      <c r="AJ229" s="153" t="e">
        <f>#REF!</f>
        <v>#REF!</v>
      </c>
      <c r="AK229" s="202"/>
      <c r="AL229" s="152" t="e">
        <f>#REF!</f>
        <v>#REF!</v>
      </c>
      <c r="AM229" s="202"/>
      <c r="AN229" s="153" t="e">
        <f>#REF!</f>
        <v>#REF!</v>
      </c>
      <c r="AO229" s="202"/>
      <c r="AP229" s="152" t="e">
        <f>#REF!</f>
        <v>#REF!</v>
      </c>
      <c r="AQ229" s="202"/>
      <c r="AR229" s="154" t="e">
        <f>#REF!</f>
        <v>#REF!</v>
      </c>
      <c r="AS229" s="202"/>
      <c r="AT229" s="153" t="e">
        <f>#REF!</f>
        <v>#REF!</v>
      </c>
      <c r="AU229" s="202"/>
      <c r="AV229" s="152" t="e">
        <f>#REF!</f>
        <v>#REF!</v>
      </c>
      <c r="AW229" s="202"/>
      <c r="AX229" s="153" t="e">
        <f>#REF!</f>
        <v>#REF!</v>
      </c>
      <c r="AY229" s="202"/>
      <c r="AZ229" s="152" t="e">
        <f>#REF!</f>
        <v>#REF!</v>
      </c>
      <c r="BA229" s="202"/>
      <c r="BB229" s="154" t="e">
        <f>#REF!</f>
        <v>#REF!</v>
      </c>
      <c r="BC229" s="137"/>
    </row>
    <row r="230" spans="1:55" ht="30" hidden="1" customHeight="1">
      <c r="A230" s="203" t="e">
        <f>#REF!</f>
        <v>#REF!</v>
      </c>
      <c r="B230" s="204" t="e">
        <f xml:space="preserve"> IF(#REF!=0, "",#REF!)</f>
        <v>#REF!</v>
      </c>
      <c r="C230" s="369" t="e">
        <f>#REF!</f>
        <v>#REF!</v>
      </c>
      <c r="D230" s="369"/>
      <c r="E230" s="291" t="e">
        <f>#REF!</f>
        <v>#REF!</v>
      </c>
      <c r="F230" s="148" t="e">
        <f>#REF!</f>
        <v>#REF!</v>
      </c>
      <c r="G230" s="205" t="e">
        <f xml:space="preserve"> IF(#REF!="", "",#REF!)</f>
        <v>#REF!</v>
      </c>
      <c r="H230" s="205" t="e">
        <f xml:space="preserve"> IF(#REF!="", "",#REF!)</f>
        <v>#REF!</v>
      </c>
      <c r="I230" s="205" t="e">
        <f xml:space="preserve"> IF(#REF!="", "",#REF!)</f>
        <v>#REF!</v>
      </c>
      <c r="J230" s="298" t="e">
        <f>#REF!</f>
        <v>#REF!</v>
      </c>
      <c r="K230" s="149" t="e">
        <f>#REF!</f>
        <v>#REF!</v>
      </c>
      <c r="L230" s="149" t="e">
        <f>#REF!</f>
        <v>#REF!</v>
      </c>
      <c r="M230" s="150" t="e">
        <f>#REF!</f>
        <v>#REF!</v>
      </c>
      <c r="N230" s="364"/>
      <c r="O230" s="202"/>
      <c r="P230" s="151" t="e">
        <f>#REF!</f>
        <v>#REF!</v>
      </c>
      <c r="Q230" s="202"/>
      <c r="R230" s="152" t="e">
        <f>#REF!</f>
        <v>#REF!</v>
      </c>
      <c r="S230" s="202"/>
      <c r="T230" s="153" t="e">
        <f>#REF!</f>
        <v>#REF!</v>
      </c>
      <c r="U230" s="202"/>
      <c r="V230" s="153" t="e">
        <f>#REF!</f>
        <v>#REF!</v>
      </c>
      <c r="W230" s="202"/>
      <c r="X230" s="153" t="e">
        <f>#REF!</f>
        <v>#REF!</v>
      </c>
      <c r="Y230" s="202"/>
      <c r="Z230" s="152" t="e">
        <f>#REF!</f>
        <v>#REF!</v>
      </c>
      <c r="AA230" s="202"/>
      <c r="AB230" s="153" t="e">
        <f>#REF!</f>
        <v>#REF!</v>
      </c>
      <c r="AC230" s="202"/>
      <c r="AD230" s="152" t="e">
        <f>#REF!</f>
        <v>#REF!</v>
      </c>
      <c r="AE230" s="202"/>
      <c r="AF230" s="153" t="e">
        <f>#REF!</f>
        <v>#REF!</v>
      </c>
      <c r="AG230" s="202"/>
      <c r="AH230" s="152" t="e">
        <f>#REF!</f>
        <v>#REF!</v>
      </c>
      <c r="AI230" s="202"/>
      <c r="AJ230" s="153" t="e">
        <f>#REF!</f>
        <v>#REF!</v>
      </c>
      <c r="AK230" s="202"/>
      <c r="AL230" s="152" t="e">
        <f>#REF!</f>
        <v>#REF!</v>
      </c>
      <c r="AM230" s="202"/>
      <c r="AN230" s="153" t="e">
        <f>#REF!</f>
        <v>#REF!</v>
      </c>
      <c r="AO230" s="202"/>
      <c r="AP230" s="152" t="e">
        <f>#REF!</f>
        <v>#REF!</v>
      </c>
      <c r="AQ230" s="202"/>
      <c r="AR230" s="154" t="e">
        <f>#REF!</f>
        <v>#REF!</v>
      </c>
      <c r="AS230" s="202"/>
      <c r="AT230" s="153" t="e">
        <f>#REF!</f>
        <v>#REF!</v>
      </c>
      <c r="AU230" s="202"/>
      <c r="AV230" s="152" t="e">
        <f>#REF!</f>
        <v>#REF!</v>
      </c>
      <c r="AW230" s="202"/>
      <c r="AX230" s="153" t="e">
        <f>#REF!</f>
        <v>#REF!</v>
      </c>
      <c r="AY230" s="202"/>
      <c r="AZ230" s="152" t="e">
        <f>#REF!</f>
        <v>#REF!</v>
      </c>
      <c r="BA230" s="202"/>
      <c r="BB230" s="154" t="e">
        <f>#REF!</f>
        <v>#REF!</v>
      </c>
      <c r="BC230" s="137"/>
    </row>
    <row r="231" spans="1:55" ht="30" hidden="1" customHeight="1">
      <c r="A231" s="203" t="e">
        <f>#REF!</f>
        <v>#REF!</v>
      </c>
      <c r="B231" s="204" t="e">
        <f xml:space="preserve"> IF(#REF!=0, "",#REF!)</f>
        <v>#REF!</v>
      </c>
      <c r="C231" s="369" t="e">
        <f>#REF!</f>
        <v>#REF!</v>
      </c>
      <c r="D231" s="369"/>
      <c r="E231" s="291" t="e">
        <f>#REF!</f>
        <v>#REF!</v>
      </c>
      <c r="F231" s="148" t="e">
        <f>#REF!</f>
        <v>#REF!</v>
      </c>
      <c r="G231" s="205" t="e">
        <f xml:space="preserve"> IF(#REF!="", "",#REF!)</f>
        <v>#REF!</v>
      </c>
      <c r="H231" s="205" t="e">
        <f xml:space="preserve"> IF(#REF!="", "",#REF!)</f>
        <v>#REF!</v>
      </c>
      <c r="I231" s="205" t="e">
        <f xml:space="preserve"> IF(#REF!="", "",#REF!)</f>
        <v>#REF!</v>
      </c>
      <c r="J231" s="298" t="e">
        <f>#REF!</f>
        <v>#REF!</v>
      </c>
      <c r="K231" s="149" t="e">
        <f>#REF!</f>
        <v>#REF!</v>
      </c>
      <c r="L231" s="149" t="e">
        <f>#REF!</f>
        <v>#REF!</v>
      </c>
      <c r="M231" s="150" t="e">
        <f>#REF!</f>
        <v>#REF!</v>
      </c>
      <c r="N231" s="364"/>
      <c r="O231" s="202"/>
      <c r="P231" s="151" t="e">
        <f>#REF!</f>
        <v>#REF!</v>
      </c>
      <c r="Q231" s="202"/>
      <c r="R231" s="152" t="e">
        <f>#REF!</f>
        <v>#REF!</v>
      </c>
      <c r="S231" s="202"/>
      <c r="T231" s="153" t="e">
        <f>#REF!</f>
        <v>#REF!</v>
      </c>
      <c r="U231" s="202"/>
      <c r="V231" s="153" t="e">
        <f>#REF!</f>
        <v>#REF!</v>
      </c>
      <c r="W231" s="202"/>
      <c r="X231" s="153" t="e">
        <f>#REF!</f>
        <v>#REF!</v>
      </c>
      <c r="Y231" s="202"/>
      <c r="Z231" s="152" t="e">
        <f>#REF!</f>
        <v>#REF!</v>
      </c>
      <c r="AA231" s="202"/>
      <c r="AB231" s="153" t="e">
        <f>#REF!</f>
        <v>#REF!</v>
      </c>
      <c r="AC231" s="202"/>
      <c r="AD231" s="152" t="e">
        <f>#REF!</f>
        <v>#REF!</v>
      </c>
      <c r="AE231" s="202"/>
      <c r="AF231" s="153" t="e">
        <f>#REF!</f>
        <v>#REF!</v>
      </c>
      <c r="AG231" s="202"/>
      <c r="AH231" s="152" t="e">
        <f>#REF!</f>
        <v>#REF!</v>
      </c>
      <c r="AI231" s="202"/>
      <c r="AJ231" s="153" t="e">
        <f>#REF!</f>
        <v>#REF!</v>
      </c>
      <c r="AK231" s="202"/>
      <c r="AL231" s="152" t="e">
        <f>#REF!</f>
        <v>#REF!</v>
      </c>
      <c r="AM231" s="202"/>
      <c r="AN231" s="153" t="e">
        <f>#REF!</f>
        <v>#REF!</v>
      </c>
      <c r="AO231" s="202"/>
      <c r="AP231" s="152" t="e">
        <f>#REF!</f>
        <v>#REF!</v>
      </c>
      <c r="AQ231" s="202"/>
      <c r="AR231" s="154" t="e">
        <f>#REF!</f>
        <v>#REF!</v>
      </c>
      <c r="AS231" s="202"/>
      <c r="AT231" s="153" t="e">
        <f>#REF!</f>
        <v>#REF!</v>
      </c>
      <c r="AU231" s="202"/>
      <c r="AV231" s="152" t="e">
        <f>#REF!</f>
        <v>#REF!</v>
      </c>
      <c r="AW231" s="202"/>
      <c r="AX231" s="153" t="e">
        <f>#REF!</f>
        <v>#REF!</v>
      </c>
      <c r="AY231" s="202"/>
      <c r="AZ231" s="152" t="e">
        <f>#REF!</f>
        <v>#REF!</v>
      </c>
      <c r="BA231" s="202"/>
      <c r="BB231" s="154" t="e">
        <f>#REF!</f>
        <v>#REF!</v>
      </c>
      <c r="BC231" s="137"/>
    </row>
    <row r="232" spans="1:55" ht="30" hidden="1" customHeight="1">
      <c r="A232" s="203" t="e">
        <f>#REF!</f>
        <v>#REF!</v>
      </c>
      <c r="B232" s="204" t="e">
        <f xml:space="preserve"> IF(#REF!=0, "",#REF!)</f>
        <v>#REF!</v>
      </c>
      <c r="C232" s="369" t="e">
        <f>#REF!</f>
        <v>#REF!</v>
      </c>
      <c r="D232" s="369"/>
      <c r="E232" s="291" t="e">
        <f>#REF!</f>
        <v>#REF!</v>
      </c>
      <c r="F232" s="148" t="e">
        <f>#REF!</f>
        <v>#REF!</v>
      </c>
      <c r="G232" s="205" t="e">
        <f xml:space="preserve"> IF(#REF!="", "",#REF!)</f>
        <v>#REF!</v>
      </c>
      <c r="H232" s="205" t="e">
        <f xml:space="preserve"> IF(#REF!="", "",#REF!)</f>
        <v>#REF!</v>
      </c>
      <c r="I232" s="205" t="e">
        <f xml:space="preserve"> IF(#REF!="", "",#REF!)</f>
        <v>#REF!</v>
      </c>
      <c r="J232" s="298" t="e">
        <f>#REF!</f>
        <v>#REF!</v>
      </c>
      <c r="K232" s="149" t="e">
        <f>#REF!</f>
        <v>#REF!</v>
      </c>
      <c r="L232" s="149" t="e">
        <f>#REF!</f>
        <v>#REF!</v>
      </c>
      <c r="M232" s="150" t="e">
        <f>#REF!</f>
        <v>#REF!</v>
      </c>
      <c r="N232" s="364"/>
      <c r="O232" s="202"/>
      <c r="P232" s="151" t="e">
        <f>#REF!</f>
        <v>#REF!</v>
      </c>
      <c r="Q232" s="202"/>
      <c r="R232" s="152" t="e">
        <f>#REF!</f>
        <v>#REF!</v>
      </c>
      <c r="S232" s="202"/>
      <c r="T232" s="153" t="e">
        <f>#REF!</f>
        <v>#REF!</v>
      </c>
      <c r="U232" s="202"/>
      <c r="V232" s="153" t="e">
        <f>#REF!</f>
        <v>#REF!</v>
      </c>
      <c r="W232" s="202"/>
      <c r="X232" s="153" t="e">
        <f>#REF!</f>
        <v>#REF!</v>
      </c>
      <c r="Y232" s="202"/>
      <c r="Z232" s="152" t="e">
        <f>#REF!</f>
        <v>#REF!</v>
      </c>
      <c r="AA232" s="202"/>
      <c r="AB232" s="153" t="e">
        <f>#REF!</f>
        <v>#REF!</v>
      </c>
      <c r="AC232" s="202"/>
      <c r="AD232" s="152" t="e">
        <f>#REF!</f>
        <v>#REF!</v>
      </c>
      <c r="AE232" s="202"/>
      <c r="AF232" s="153" t="e">
        <f>#REF!</f>
        <v>#REF!</v>
      </c>
      <c r="AG232" s="202"/>
      <c r="AH232" s="152" t="e">
        <f>#REF!</f>
        <v>#REF!</v>
      </c>
      <c r="AI232" s="202"/>
      <c r="AJ232" s="153" t="e">
        <f>#REF!</f>
        <v>#REF!</v>
      </c>
      <c r="AK232" s="202"/>
      <c r="AL232" s="152" t="e">
        <f>#REF!</f>
        <v>#REF!</v>
      </c>
      <c r="AM232" s="202"/>
      <c r="AN232" s="153" t="e">
        <f>#REF!</f>
        <v>#REF!</v>
      </c>
      <c r="AO232" s="202"/>
      <c r="AP232" s="152" t="e">
        <f>#REF!</f>
        <v>#REF!</v>
      </c>
      <c r="AQ232" s="202"/>
      <c r="AR232" s="154" t="e">
        <f>#REF!</f>
        <v>#REF!</v>
      </c>
      <c r="AS232" s="202"/>
      <c r="AT232" s="153" t="e">
        <f>#REF!</f>
        <v>#REF!</v>
      </c>
      <c r="AU232" s="202"/>
      <c r="AV232" s="152" t="e">
        <f>#REF!</f>
        <v>#REF!</v>
      </c>
      <c r="AW232" s="202"/>
      <c r="AX232" s="153" t="e">
        <f>#REF!</f>
        <v>#REF!</v>
      </c>
      <c r="AY232" s="202"/>
      <c r="AZ232" s="152" t="e">
        <f>#REF!</f>
        <v>#REF!</v>
      </c>
      <c r="BA232" s="202"/>
      <c r="BB232" s="154" t="e">
        <f>#REF!</f>
        <v>#REF!</v>
      </c>
      <c r="BC232" s="137"/>
    </row>
    <row r="233" spans="1:55" ht="30" hidden="1" customHeight="1">
      <c r="A233" s="203" t="e">
        <f>#REF!</f>
        <v>#REF!</v>
      </c>
      <c r="B233" s="204" t="e">
        <f xml:space="preserve"> IF(#REF!=0, "",#REF!)</f>
        <v>#REF!</v>
      </c>
      <c r="C233" s="369" t="e">
        <f>#REF!</f>
        <v>#REF!</v>
      </c>
      <c r="D233" s="369"/>
      <c r="E233" s="291" t="e">
        <f>#REF!</f>
        <v>#REF!</v>
      </c>
      <c r="F233" s="148" t="e">
        <f>#REF!</f>
        <v>#REF!</v>
      </c>
      <c r="G233" s="205" t="e">
        <f xml:space="preserve"> IF(#REF!="", "",#REF!)</f>
        <v>#REF!</v>
      </c>
      <c r="H233" s="205" t="e">
        <f xml:space="preserve"> IF(#REF!="", "",#REF!)</f>
        <v>#REF!</v>
      </c>
      <c r="I233" s="205" t="e">
        <f xml:space="preserve"> IF(#REF!="", "",#REF!)</f>
        <v>#REF!</v>
      </c>
      <c r="J233" s="298" t="e">
        <f>#REF!</f>
        <v>#REF!</v>
      </c>
      <c r="K233" s="149" t="e">
        <f>#REF!</f>
        <v>#REF!</v>
      </c>
      <c r="L233" s="149" t="e">
        <f>#REF!</f>
        <v>#REF!</v>
      </c>
      <c r="M233" s="150" t="e">
        <f>#REF!</f>
        <v>#REF!</v>
      </c>
      <c r="N233" s="364"/>
      <c r="O233" s="202"/>
      <c r="P233" s="151" t="e">
        <f>#REF!</f>
        <v>#REF!</v>
      </c>
      <c r="Q233" s="202"/>
      <c r="R233" s="152" t="e">
        <f>#REF!</f>
        <v>#REF!</v>
      </c>
      <c r="S233" s="202"/>
      <c r="T233" s="153" t="e">
        <f>#REF!</f>
        <v>#REF!</v>
      </c>
      <c r="U233" s="202"/>
      <c r="V233" s="153" t="e">
        <f>#REF!</f>
        <v>#REF!</v>
      </c>
      <c r="W233" s="202"/>
      <c r="X233" s="153" t="e">
        <f>#REF!</f>
        <v>#REF!</v>
      </c>
      <c r="Y233" s="202"/>
      <c r="Z233" s="152" t="e">
        <f>#REF!</f>
        <v>#REF!</v>
      </c>
      <c r="AA233" s="202"/>
      <c r="AB233" s="153" t="e">
        <f>#REF!</f>
        <v>#REF!</v>
      </c>
      <c r="AC233" s="202"/>
      <c r="AD233" s="152" t="e">
        <f>#REF!</f>
        <v>#REF!</v>
      </c>
      <c r="AE233" s="202"/>
      <c r="AF233" s="153" t="e">
        <f>#REF!</f>
        <v>#REF!</v>
      </c>
      <c r="AG233" s="202"/>
      <c r="AH233" s="152" t="e">
        <f>#REF!</f>
        <v>#REF!</v>
      </c>
      <c r="AI233" s="202"/>
      <c r="AJ233" s="153" t="e">
        <f>#REF!</f>
        <v>#REF!</v>
      </c>
      <c r="AK233" s="202"/>
      <c r="AL233" s="152" t="e">
        <f>#REF!</f>
        <v>#REF!</v>
      </c>
      <c r="AM233" s="202"/>
      <c r="AN233" s="153" t="e">
        <f>#REF!</f>
        <v>#REF!</v>
      </c>
      <c r="AO233" s="202"/>
      <c r="AP233" s="152" t="e">
        <f>#REF!</f>
        <v>#REF!</v>
      </c>
      <c r="AQ233" s="202"/>
      <c r="AR233" s="154" t="e">
        <f>#REF!</f>
        <v>#REF!</v>
      </c>
      <c r="AS233" s="202"/>
      <c r="AT233" s="153" t="e">
        <f>#REF!</f>
        <v>#REF!</v>
      </c>
      <c r="AU233" s="202"/>
      <c r="AV233" s="152" t="e">
        <f>#REF!</f>
        <v>#REF!</v>
      </c>
      <c r="AW233" s="202"/>
      <c r="AX233" s="153" t="e">
        <f>#REF!</f>
        <v>#REF!</v>
      </c>
      <c r="AY233" s="202"/>
      <c r="AZ233" s="152" t="e">
        <f>#REF!</f>
        <v>#REF!</v>
      </c>
      <c r="BA233" s="202"/>
      <c r="BB233" s="154" t="e">
        <f>#REF!</f>
        <v>#REF!</v>
      </c>
      <c r="BC233" s="137"/>
    </row>
    <row r="234" spans="1:55" ht="30" hidden="1" customHeight="1">
      <c r="A234" s="203" t="e">
        <f>#REF!</f>
        <v>#REF!</v>
      </c>
      <c r="B234" s="204" t="e">
        <f xml:space="preserve"> IF(#REF!=0, "",#REF!)</f>
        <v>#REF!</v>
      </c>
      <c r="C234" s="369" t="e">
        <f>#REF!</f>
        <v>#REF!</v>
      </c>
      <c r="D234" s="369"/>
      <c r="E234" s="291" t="e">
        <f>#REF!</f>
        <v>#REF!</v>
      </c>
      <c r="F234" s="148" t="e">
        <f>#REF!</f>
        <v>#REF!</v>
      </c>
      <c r="G234" s="205" t="e">
        <f xml:space="preserve"> IF(#REF!="", "",#REF!)</f>
        <v>#REF!</v>
      </c>
      <c r="H234" s="205" t="e">
        <f xml:space="preserve"> IF(#REF!="", "",#REF!)</f>
        <v>#REF!</v>
      </c>
      <c r="I234" s="205" t="e">
        <f xml:space="preserve"> IF(#REF!="", "",#REF!)</f>
        <v>#REF!</v>
      </c>
      <c r="J234" s="298" t="e">
        <f>#REF!</f>
        <v>#REF!</v>
      </c>
      <c r="K234" s="149" t="e">
        <f>#REF!</f>
        <v>#REF!</v>
      </c>
      <c r="L234" s="149" t="e">
        <f>#REF!</f>
        <v>#REF!</v>
      </c>
      <c r="M234" s="150" t="e">
        <f>#REF!</f>
        <v>#REF!</v>
      </c>
      <c r="N234" s="364"/>
      <c r="O234" s="202"/>
      <c r="P234" s="151" t="e">
        <f>#REF!</f>
        <v>#REF!</v>
      </c>
      <c r="Q234" s="202"/>
      <c r="R234" s="152" t="e">
        <f>#REF!</f>
        <v>#REF!</v>
      </c>
      <c r="S234" s="202"/>
      <c r="T234" s="153" t="e">
        <f>#REF!</f>
        <v>#REF!</v>
      </c>
      <c r="U234" s="202"/>
      <c r="V234" s="153" t="e">
        <f>#REF!</f>
        <v>#REF!</v>
      </c>
      <c r="W234" s="202"/>
      <c r="X234" s="153" t="e">
        <f>#REF!</f>
        <v>#REF!</v>
      </c>
      <c r="Y234" s="202"/>
      <c r="Z234" s="152" t="e">
        <f>#REF!</f>
        <v>#REF!</v>
      </c>
      <c r="AA234" s="202"/>
      <c r="AB234" s="153" t="e">
        <f>#REF!</f>
        <v>#REF!</v>
      </c>
      <c r="AC234" s="202"/>
      <c r="AD234" s="152" t="e">
        <f>#REF!</f>
        <v>#REF!</v>
      </c>
      <c r="AE234" s="202"/>
      <c r="AF234" s="153" t="e">
        <f>#REF!</f>
        <v>#REF!</v>
      </c>
      <c r="AG234" s="202"/>
      <c r="AH234" s="152" t="e">
        <f>#REF!</f>
        <v>#REF!</v>
      </c>
      <c r="AI234" s="202"/>
      <c r="AJ234" s="153" t="e">
        <f>#REF!</f>
        <v>#REF!</v>
      </c>
      <c r="AK234" s="202"/>
      <c r="AL234" s="152" t="e">
        <f>#REF!</f>
        <v>#REF!</v>
      </c>
      <c r="AM234" s="202"/>
      <c r="AN234" s="153" t="e">
        <f>#REF!</f>
        <v>#REF!</v>
      </c>
      <c r="AO234" s="202"/>
      <c r="AP234" s="152" t="e">
        <f>#REF!</f>
        <v>#REF!</v>
      </c>
      <c r="AQ234" s="202"/>
      <c r="AR234" s="154" t="e">
        <f>#REF!</f>
        <v>#REF!</v>
      </c>
      <c r="AS234" s="202"/>
      <c r="AT234" s="153" t="e">
        <f>#REF!</f>
        <v>#REF!</v>
      </c>
      <c r="AU234" s="202"/>
      <c r="AV234" s="152" t="e">
        <f>#REF!</f>
        <v>#REF!</v>
      </c>
      <c r="AW234" s="202"/>
      <c r="AX234" s="153" t="e">
        <f>#REF!</f>
        <v>#REF!</v>
      </c>
      <c r="AY234" s="202"/>
      <c r="AZ234" s="152" t="e">
        <f>#REF!</f>
        <v>#REF!</v>
      </c>
      <c r="BA234" s="202"/>
      <c r="BB234" s="154" t="e">
        <f>#REF!</f>
        <v>#REF!</v>
      </c>
      <c r="BC234" s="137"/>
    </row>
    <row r="235" spans="1:55" ht="30" hidden="1" customHeight="1">
      <c r="A235" s="203" t="e">
        <f>#REF!</f>
        <v>#REF!</v>
      </c>
      <c r="B235" s="204" t="e">
        <f xml:space="preserve"> IF(#REF!=0, "",#REF!)</f>
        <v>#REF!</v>
      </c>
      <c r="C235" s="369" t="e">
        <f>#REF!</f>
        <v>#REF!</v>
      </c>
      <c r="D235" s="369"/>
      <c r="E235" s="291" t="e">
        <f>#REF!</f>
        <v>#REF!</v>
      </c>
      <c r="F235" s="148" t="e">
        <f>#REF!</f>
        <v>#REF!</v>
      </c>
      <c r="G235" s="205" t="e">
        <f xml:space="preserve"> IF(#REF!="", "",#REF!)</f>
        <v>#REF!</v>
      </c>
      <c r="H235" s="205" t="e">
        <f xml:space="preserve"> IF(#REF!="", "",#REF!)</f>
        <v>#REF!</v>
      </c>
      <c r="I235" s="205" t="e">
        <f xml:space="preserve"> IF(#REF!="", "",#REF!)</f>
        <v>#REF!</v>
      </c>
      <c r="J235" s="298" t="e">
        <f>#REF!</f>
        <v>#REF!</v>
      </c>
      <c r="K235" s="149" t="e">
        <f>#REF!</f>
        <v>#REF!</v>
      </c>
      <c r="L235" s="149" t="e">
        <f>#REF!</f>
        <v>#REF!</v>
      </c>
      <c r="M235" s="150" t="e">
        <f>#REF!</f>
        <v>#REF!</v>
      </c>
      <c r="N235" s="364"/>
      <c r="O235" s="202"/>
      <c r="P235" s="151" t="e">
        <f>#REF!</f>
        <v>#REF!</v>
      </c>
      <c r="Q235" s="202"/>
      <c r="R235" s="152" t="e">
        <f>#REF!</f>
        <v>#REF!</v>
      </c>
      <c r="S235" s="202"/>
      <c r="T235" s="153" t="e">
        <f>#REF!</f>
        <v>#REF!</v>
      </c>
      <c r="U235" s="202"/>
      <c r="V235" s="153" t="e">
        <f>#REF!</f>
        <v>#REF!</v>
      </c>
      <c r="W235" s="202"/>
      <c r="X235" s="153" t="e">
        <f>#REF!</f>
        <v>#REF!</v>
      </c>
      <c r="Y235" s="202"/>
      <c r="Z235" s="152" t="e">
        <f>#REF!</f>
        <v>#REF!</v>
      </c>
      <c r="AA235" s="202"/>
      <c r="AB235" s="153" t="e">
        <f>#REF!</f>
        <v>#REF!</v>
      </c>
      <c r="AC235" s="202"/>
      <c r="AD235" s="152" t="e">
        <f>#REF!</f>
        <v>#REF!</v>
      </c>
      <c r="AE235" s="202"/>
      <c r="AF235" s="153" t="e">
        <f>#REF!</f>
        <v>#REF!</v>
      </c>
      <c r="AG235" s="202"/>
      <c r="AH235" s="152" t="e">
        <f>#REF!</f>
        <v>#REF!</v>
      </c>
      <c r="AI235" s="202"/>
      <c r="AJ235" s="153" t="e">
        <f>#REF!</f>
        <v>#REF!</v>
      </c>
      <c r="AK235" s="202"/>
      <c r="AL235" s="152" t="e">
        <f>#REF!</f>
        <v>#REF!</v>
      </c>
      <c r="AM235" s="202"/>
      <c r="AN235" s="153" t="e">
        <f>#REF!</f>
        <v>#REF!</v>
      </c>
      <c r="AO235" s="202"/>
      <c r="AP235" s="152" t="e">
        <f>#REF!</f>
        <v>#REF!</v>
      </c>
      <c r="AQ235" s="202"/>
      <c r="AR235" s="154" t="e">
        <f>#REF!</f>
        <v>#REF!</v>
      </c>
      <c r="AS235" s="202"/>
      <c r="AT235" s="153" t="e">
        <f>#REF!</f>
        <v>#REF!</v>
      </c>
      <c r="AU235" s="202"/>
      <c r="AV235" s="152" t="e">
        <f>#REF!</f>
        <v>#REF!</v>
      </c>
      <c r="AW235" s="202"/>
      <c r="AX235" s="153" t="e">
        <f>#REF!</f>
        <v>#REF!</v>
      </c>
      <c r="AY235" s="202"/>
      <c r="AZ235" s="152" t="e">
        <f>#REF!</f>
        <v>#REF!</v>
      </c>
      <c r="BA235" s="202"/>
      <c r="BB235" s="154" t="e">
        <f>#REF!</f>
        <v>#REF!</v>
      </c>
      <c r="BC235" s="137"/>
    </row>
    <row r="236" spans="1:55" ht="30" hidden="1" customHeight="1">
      <c r="A236" s="203" t="e">
        <f>#REF!</f>
        <v>#REF!</v>
      </c>
      <c r="B236" s="204" t="e">
        <f xml:space="preserve"> IF(#REF!=0, "",#REF!)</f>
        <v>#REF!</v>
      </c>
      <c r="C236" s="369" t="e">
        <f>#REF!</f>
        <v>#REF!</v>
      </c>
      <c r="D236" s="369"/>
      <c r="E236" s="291" t="e">
        <f>#REF!</f>
        <v>#REF!</v>
      </c>
      <c r="F236" s="148" t="e">
        <f>#REF!</f>
        <v>#REF!</v>
      </c>
      <c r="G236" s="205" t="e">
        <f xml:space="preserve"> IF(#REF!="", "",#REF!)</f>
        <v>#REF!</v>
      </c>
      <c r="H236" s="205" t="e">
        <f xml:space="preserve"> IF(#REF!="", "",#REF!)</f>
        <v>#REF!</v>
      </c>
      <c r="I236" s="205" t="e">
        <f xml:space="preserve"> IF(#REF!="", "",#REF!)</f>
        <v>#REF!</v>
      </c>
      <c r="J236" s="298" t="e">
        <f>#REF!</f>
        <v>#REF!</v>
      </c>
      <c r="K236" s="149" t="e">
        <f>#REF!</f>
        <v>#REF!</v>
      </c>
      <c r="L236" s="149" t="e">
        <f>#REF!</f>
        <v>#REF!</v>
      </c>
      <c r="M236" s="150" t="e">
        <f>#REF!</f>
        <v>#REF!</v>
      </c>
      <c r="N236" s="364"/>
      <c r="O236" s="202"/>
      <c r="P236" s="151" t="e">
        <f>#REF!</f>
        <v>#REF!</v>
      </c>
      <c r="Q236" s="202"/>
      <c r="R236" s="152" t="e">
        <f>#REF!</f>
        <v>#REF!</v>
      </c>
      <c r="S236" s="202"/>
      <c r="T236" s="153" t="e">
        <f>#REF!</f>
        <v>#REF!</v>
      </c>
      <c r="U236" s="202"/>
      <c r="V236" s="153" t="e">
        <f>#REF!</f>
        <v>#REF!</v>
      </c>
      <c r="W236" s="202"/>
      <c r="X236" s="153" t="e">
        <f>#REF!</f>
        <v>#REF!</v>
      </c>
      <c r="Y236" s="202"/>
      <c r="Z236" s="152" t="e">
        <f>#REF!</f>
        <v>#REF!</v>
      </c>
      <c r="AA236" s="202"/>
      <c r="AB236" s="153" t="e">
        <f>#REF!</f>
        <v>#REF!</v>
      </c>
      <c r="AC236" s="202"/>
      <c r="AD236" s="152" t="e">
        <f>#REF!</f>
        <v>#REF!</v>
      </c>
      <c r="AE236" s="202"/>
      <c r="AF236" s="153" t="e">
        <f>#REF!</f>
        <v>#REF!</v>
      </c>
      <c r="AG236" s="202"/>
      <c r="AH236" s="152" t="e">
        <f>#REF!</f>
        <v>#REF!</v>
      </c>
      <c r="AI236" s="202"/>
      <c r="AJ236" s="153" t="e">
        <f>#REF!</f>
        <v>#REF!</v>
      </c>
      <c r="AK236" s="202"/>
      <c r="AL236" s="152" t="e">
        <f>#REF!</f>
        <v>#REF!</v>
      </c>
      <c r="AM236" s="202"/>
      <c r="AN236" s="153" t="e">
        <f>#REF!</f>
        <v>#REF!</v>
      </c>
      <c r="AO236" s="202"/>
      <c r="AP236" s="152" t="e">
        <f>#REF!</f>
        <v>#REF!</v>
      </c>
      <c r="AQ236" s="202"/>
      <c r="AR236" s="154" t="e">
        <f>#REF!</f>
        <v>#REF!</v>
      </c>
      <c r="AS236" s="202"/>
      <c r="AT236" s="153" t="e">
        <f>#REF!</f>
        <v>#REF!</v>
      </c>
      <c r="AU236" s="202"/>
      <c r="AV236" s="152" t="e">
        <f>#REF!</f>
        <v>#REF!</v>
      </c>
      <c r="AW236" s="202"/>
      <c r="AX236" s="153" t="e">
        <f>#REF!</f>
        <v>#REF!</v>
      </c>
      <c r="AY236" s="202"/>
      <c r="AZ236" s="152" t="e">
        <f>#REF!</f>
        <v>#REF!</v>
      </c>
      <c r="BA236" s="202"/>
      <c r="BB236" s="154" t="e">
        <f>#REF!</f>
        <v>#REF!</v>
      </c>
      <c r="BC236" s="137"/>
    </row>
    <row r="237" spans="1:55" ht="30" hidden="1" customHeight="1">
      <c r="A237" s="203" t="e">
        <f>#REF!</f>
        <v>#REF!</v>
      </c>
      <c r="B237" s="204" t="e">
        <f xml:space="preserve"> IF(#REF!=0, "",#REF!)</f>
        <v>#REF!</v>
      </c>
      <c r="C237" s="369" t="e">
        <f>#REF!</f>
        <v>#REF!</v>
      </c>
      <c r="D237" s="369"/>
      <c r="E237" s="291" t="e">
        <f>#REF!</f>
        <v>#REF!</v>
      </c>
      <c r="F237" s="148" t="e">
        <f>#REF!</f>
        <v>#REF!</v>
      </c>
      <c r="G237" s="205" t="e">
        <f xml:space="preserve"> IF(#REF!="", "",#REF!)</f>
        <v>#REF!</v>
      </c>
      <c r="H237" s="205" t="e">
        <f xml:space="preserve"> IF(#REF!="", "",#REF!)</f>
        <v>#REF!</v>
      </c>
      <c r="I237" s="205" t="e">
        <f xml:space="preserve"> IF(#REF!="", "",#REF!)</f>
        <v>#REF!</v>
      </c>
      <c r="J237" s="298" t="e">
        <f>#REF!</f>
        <v>#REF!</v>
      </c>
      <c r="K237" s="149" t="e">
        <f>#REF!</f>
        <v>#REF!</v>
      </c>
      <c r="L237" s="149" t="e">
        <f>#REF!</f>
        <v>#REF!</v>
      </c>
      <c r="M237" s="150" t="e">
        <f>#REF!</f>
        <v>#REF!</v>
      </c>
      <c r="N237" s="364"/>
      <c r="O237" s="202"/>
      <c r="P237" s="151" t="e">
        <f>#REF!</f>
        <v>#REF!</v>
      </c>
      <c r="Q237" s="202"/>
      <c r="R237" s="152" t="e">
        <f>#REF!</f>
        <v>#REF!</v>
      </c>
      <c r="S237" s="202"/>
      <c r="T237" s="153" t="e">
        <f>#REF!</f>
        <v>#REF!</v>
      </c>
      <c r="U237" s="202"/>
      <c r="V237" s="153" t="e">
        <f>#REF!</f>
        <v>#REF!</v>
      </c>
      <c r="W237" s="202"/>
      <c r="X237" s="153" t="e">
        <f>#REF!</f>
        <v>#REF!</v>
      </c>
      <c r="Y237" s="202"/>
      <c r="Z237" s="152" t="e">
        <f>#REF!</f>
        <v>#REF!</v>
      </c>
      <c r="AA237" s="202"/>
      <c r="AB237" s="153" t="e">
        <f>#REF!</f>
        <v>#REF!</v>
      </c>
      <c r="AC237" s="202"/>
      <c r="AD237" s="152" t="e">
        <f>#REF!</f>
        <v>#REF!</v>
      </c>
      <c r="AE237" s="202"/>
      <c r="AF237" s="153" t="e">
        <f>#REF!</f>
        <v>#REF!</v>
      </c>
      <c r="AG237" s="202"/>
      <c r="AH237" s="152" t="e">
        <f>#REF!</f>
        <v>#REF!</v>
      </c>
      <c r="AI237" s="202"/>
      <c r="AJ237" s="153" t="e">
        <f>#REF!</f>
        <v>#REF!</v>
      </c>
      <c r="AK237" s="202"/>
      <c r="AL237" s="152" t="e">
        <f>#REF!</f>
        <v>#REF!</v>
      </c>
      <c r="AM237" s="202"/>
      <c r="AN237" s="153" t="e">
        <f>#REF!</f>
        <v>#REF!</v>
      </c>
      <c r="AO237" s="202"/>
      <c r="AP237" s="152" t="e">
        <f>#REF!</f>
        <v>#REF!</v>
      </c>
      <c r="AQ237" s="202"/>
      <c r="AR237" s="154" t="e">
        <f>#REF!</f>
        <v>#REF!</v>
      </c>
      <c r="AS237" s="202"/>
      <c r="AT237" s="153" t="e">
        <f>#REF!</f>
        <v>#REF!</v>
      </c>
      <c r="AU237" s="202"/>
      <c r="AV237" s="152" t="e">
        <f>#REF!</f>
        <v>#REF!</v>
      </c>
      <c r="AW237" s="202"/>
      <c r="AX237" s="153" t="e">
        <f>#REF!</f>
        <v>#REF!</v>
      </c>
      <c r="AY237" s="202"/>
      <c r="AZ237" s="152" t="e">
        <f>#REF!</f>
        <v>#REF!</v>
      </c>
      <c r="BA237" s="202"/>
      <c r="BB237" s="154" t="e">
        <f>#REF!</f>
        <v>#REF!</v>
      </c>
      <c r="BC237" s="137"/>
    </row>
    <row r="238" spans="1:55" ht="30" hidden="1" customHeight="1">
      <c r="A238" s="203" t="e">
        <f>#REF!</f>
        <v>#REF!</v>
      </c>
      <c r="B238" s="204" t="e">
        <f xml:space="preserve"> IF(#REF!=0, "",#REF!)</f>
        <v>#REF!</v>
      </c>
      <c r="C238" s="369" t="e">
        <f>#REF!</f>
        <v>#REF!</v>
      </c>
      <c r="D238" s="369"/>
      <c r="E238" s="291" t="e">
        <f>#REF!</f>
        <v>#REF!</v>
      </c>
      <c r="F238" s="148" t="e">
        <f>#REF!</f>
        <v>#REF!</v>
      </c>
      <c r="G238" s="205" t="e">
        <f xml:space="preserve"> IF(#REF!="", "",#REF!)</f>
        <v>#REF!</v>
      </c>
      <c r="H238" s="205" t="e">
        <f xml:space="preserve"> IF(#REF!="", "",#REF!)</f>
        <v>#REF!</v>
      </c>
      <c r="I238" s="205" t="e">
        <f xml:space="preserve"> IF(#REF!="", "",#REF!)</f>
        <v>#REF!</v>
      </c>
      <c r="J238" s="298" t="e">
        <f>#REF!</f>
        <v>#REF!</v>
      </c>
      <c r="K238" s="149" t="e">
        <f>#REF!</f>
        <v>#REF!</v>
      </c>
      <c r="L238" s="149" t="e">
        <f>#REF!</f>
        <v>#REF!</v>
      </c>
      <c r="M238" s="150" t="e">
        <f>#REF!</f>
        <v>#REF!</v>
      </c>
      <c r="N238" s="364"/>
      <c r="O238" s="202"/>
      <c r="P238" s="151" t="e">
        <f>#REF!</f>
        <v>#REF!</v>
      </c>
      <c r="Q238" s="202"/>
      <c r="R238" s="152" t="e">
        <f>#REF!</f>
        <v>#REF!</v>
      </c>
      <c r="S238" s="202"/>
      <c r="T238" s="153" t="e">
        <f>#REF!</f>
        <v>#REF!</v>
      </c>
      <c r="U238" s="202"/>
      <c r="V238" s="153" t="e">
        <f>#REF!</f>
        <v>#REF!</v>
      </c>
      <c r="W238" s="202"/>
      <c r="X238" s="153" t="e">
        <f>#REF!</f>
        <v>#REF!</v>
      </c>
      <c r="Y238" s="202"/>
      <c r="Z238" s="152" t="e">
        <f>#REF!</f>
        <v>#REF!</v>
      </c>
      <c r="AA238" s="202"/>
      <c r="AB238" s="153" t="e">
        <f>#REF!</f>
        <v>#REF!</v>
      </c>
      <c r="AC238" s="202"/>
      <c r="AD238" s="152" t="e">
        <f>#REF!</f>
        <v>#REF!</v>
      </c>
      <c r="AE238" s="202"/>
      <c r="AF238" s="153" t="e">
        <f>#REF!</f>
        <v>#REF!</v>
      </c>
      <c r="AG238" s="202"/>
      <c r="AH238" s="152" t="e">
        <f>#REF!</f>
        <v>#REF!</v>
      </c>
      <c r="AI238" s="202"/>
      <c r="AJ238" s="153" t="e">
        <f>#REF!</f>
        <v>#REF!</v>
      </c>
      <c r="AK238" s="202"/>
      <c r="AL238" s="152" t="e">
        <f>#REF!</f>
        <v>#REF!</v>
      </c>
      <c r="AM238" s="202"/>
      <c r="AN238" s="153" t="e">
        <f>#REF!</f>
        <v>#REF!</v>
      </c>
      <c r="AO238" s="202"/>
      <c r="AP238" s="152" t="e">
        <f>#REF!</f>
        <v>#REF!</v>
      </c>
      <c r="AQ238" s="202"/>
      <c r="AR238" s="154" t="e">
        <f>#REF!</f>
        <v>#REF!</v>
      </c>
      <c r="AS238" s="202"/>
      <c r="AT238" s="153" t="e">
        <f>#REF!</f>
        <v>#REF!</v>
      </c>
      <c r="AU238" s="202"/>
      <c r="AV238" s="152" t="e">
        <f>#REF!</f>
        <v>#REF!</v>
      </c>
      <c r="AW238" s="202"/>
      <c r="AX238" s="153" t="e">
        <f>#REF!</f>
        <v>#REF!</v>
      </c>
      <c r="AY238" s="202"/>
      <c r="AZ238" s="152" t="e">
        <f>#REF!</f>
        <v>#REF!</v>
      </c>
      <c r="BA238" s="202"/>
      <c r="BB238" s="154" t="e">
        <f>#REF!</f>
        <v>#REF!</v>
      </c>
      <c r="BC238" s="137"/>
    </row>
    <row r="239" spans="1:55" ht="30" hidden="1" customHeight="1">
      <c r="A239" s="203" t="e">
        <f>#REF!</f>
        <v>#REF!</v>
      </c>
      <c r="B239" s="204" t="e">
        <f xml:space="preserve"> IF(#REF!=0, "",#REF!)</f>
        <v>#REF!</v>
      </c>
      <c r="C239" s="369" t="e">
        <f>#REF!</f>
        <v>#REF!</v>
      </c>
      <c r="D239" s="369"/>
      <c r="E239" s="291" t="e">
        <f>#REF!</f>
        <v>#REF!</v>
      </c>
      <c r="F239" s="148" t="e">
        <f>#REF!</f>
        <v>#REF!</v>
      </c>
      <c r="G239" s="205" t="e">
        <f xml:space="preserve"> IF(#REF!="", "",#REF!)</f>
        <v>#REF!</v>
      </c>
      <c r="H239" s="205" t="e">
        <f xml:space="preserve"> IF(#REF!="", "",#REF!)</f>
        <v>#REF!</v>
      </c>
      <c r="I239" s="205" t="e">
        <f xml:space="preserve"> IF(#REF!="", "",#REF!)</f>
        <v>#REF!</v>
      </c>
      <c r="J239" s="298" t="e">
        <f>#REF!</f>
        <v>#REF!</v>
      </c>
      <c r="K239" s="149" t="e">
        <f>#REF!</f>
        <v>#REF!</v>
      </c>
      <c r="L239" s="149" t="e">
        <f>#REF!</f>
        <v>#REF!</v>
      </c>
      <c r="M239" s="150" t="e">
        <f>#REF!</f>
        <v>#REF!</v>
      </c>
      <c r="N239" s="364"/>
      <c r="O239" s="202"/>
      <c r="P239" s="151" t="e">
        <f>#REF!</f>
        <v>#REF!</v>
      </c>
      <c r="Q239" s="202"/>
      <c r="R239" s="152" t="e">
        <f>#REF!</f>
        <v>#REF!</v>
      </c>
      <c r="S239" s="202"/>
      <c r="T239" s="153" t="e">
        <f>#REF!</f>
        <v>#REF!</v>
      </c>
      <c r="U239" s="202"/>
      <c r="V239" s="153" t="e">
        <f>#REF!</f>
        <v>#REF!</v>
      </c>
      <c r="W239" s="202"/>
      <c r="X239" s="153" t="e">
        <f>#REF!</f>
        <v>#REF!</v>
      </c>
      <c r="Y239" s="202"/>
      <c r="Z239" s="152" t="e">
        <f>#REF!</f>
        <v>#REF!</v>
      </c>
      <c r="AA239" s="202"/>
      <c r="AB239" s="153" t="e">
        <f>#REF!</f>
        <v>#REF!</v>
      </c>
      <c r="AC239" s="202"/>
      <c r="AD239" s="152" t="e">
        <f>#REF!</f>
        <v>#REF!</v>
      </c>
      <c r="AE239" s="202"/>
      <c r="AF239" s="153" t="e">
        <f>#REF!</f>
        <v>#REF!</v>
      </c>
      <c r="AG239" s="202"/>
      <c r="AH239" s="152" t="e">
        <f>#REF!</f>
        <v>#REF!</v>
      </c>
      <c r="AI239" s="202"/>
      <c r="AJ239" s="153" t="e">
        <f>#REF!</f>
        <v>#REF!</v>
      </c>
      <c r="AK239" s="202"/>
      <c r="AL239" s="152" t="e">
        <f>#REF!</f>
        <v>#REF!</v>
      </c>
      <c r="AM239" s="202"/>
      <c r="AN239" s="153" t="e">
        <f>#REF!</f>
        <v>#REF!</v>
      </c>
      <c r="AO239" s="202"/>
      <c r="AP239" s="152" t="e">
        <f>#REF!</f>
        <v>#REF!</v>
      </c>
      <c r="AQ239" s="202"/>
      <c r="AR239" s="154" t="e">
        <f>#REF!</f>
        <v>#REF!</v>
      </c>
      <c r="AS239" s="202"/>
      <c r="AT239" s="153" t="e">
        <f>#REF!</f>
        <v>#REF!</v>
      </c>
      <c r="AU239" s="202"/>
      <c r="AV239" s="152" t="e">
        <f>#REF!</f>
        <v>#REF!</v>
      </c>
      <c r="AW239" s="202"/>
      <c r="AX239" s="153" t="e">
        <f>#REF!</f>
        <v>#REF!</v>
      </c>
      <c r="AY239" s="202"/>
      <c r="AZ239" s="152" t="e">
        <f>#REF!</f>
        <v>#REF!</v>
      </c>
      <c r="BA239" s="202"/>
      <c r="BB239" s="154" t="e">
        <f>#REF!</f>
        <v>#REF!</v>
      </c>
      <c r="BC239" s="137"/>
    </row>
    <row r="240" spans="1:55" ht="30" hidden="1" customHeight="1">
      <c r="A240" s="203" t="e">
        <f>#REF!</f>
        <v>#REF!</v>
      </c>
      <c r="B240" s="204" t="e">
        <f xml:space="preserve"> IF(#REF!=0, "",#REF!)</f>
        <v>#REF!</v>
      </c>
      <c r="C240" s="369" t="e">
        <f>#REF!</f>
        <v>#REF!</v>
      </c>
      <c r="D240" s="369"/>
      <c r="E240" s="291" t="e">
        <f>#REF!</f>
        <v>#REF!</v>
      </c>
      <c r="F240" s="148" t="e">
        <f>#REF!</f>
        <v>#REF!</v>
      </c>
      <c r="G240" s="205" t="e">
        <f xml:space="preserve"> IF(#REF!="", "",#REF!)</f>
        <v>#REF!</v>
      </c>
      <c r="H240" s="205" t="e">
        <f xml:space="preserve"> IF(#REF!="", "",#REF!)</f>
        <v>#REF!</v>
      </c>
      <c r="I240" s="205" t="e">
        <f xml:space="preserve"> IF(#REF!="", "",#REF!)</f>
        <v>#REF!</v>
      </c>
      <c r="J240" s="298" t="e">
        <f>#REF!</f>
        <v>#REF!</v>
      </c>
      <c r="K240" s="149" t="e">
        <f>#REF!</f>
        <v>#REF!</v>
      </c>
      <c r="L240" s="149" t="e">
        <f>#REF!</f>
        <v>#REF!</v>
      </c>
      <c r="M240" s="150" t="e">
        <f>#REF!</f>
        <v>#REF!</v>
      </c>
      <c r="N240" s="364"/>
      <c r="O240" s="202"/>
      <c r="P240" s="151" t="e">
        <f>#REF!</f>
        <v>#REF!</v>
      </c>
      <c r="Q240" s="202"/>
      <c r="R240" s="152" t="e">
        <f>#REF!</f>
        <v>#REF!</v>
      </c>
      <c r="S240" s="202"/>
      <c r="T240" s="153" t="e">
        <f>#REF!</f>
        <v>#REF!</v>
      </c>
      <c r="U240" s="202"/>
      <c r="V240" s="153" t="e">
        <f>#REF!</f>
        <v>#REF!</v>
      </c>
      <c r="W240" s="202"/>
      <c r="X240" s="153" t="e">
        <f>#REF!</f>
        <v>#REF!</v>
      </c>
      <c r="Y240" s="202"/>
      <c r="Z240" s="152" t="e">
        <f>#REF!</f>
        <v>#REF!</v>
      </c>
      <c r="AA240" s="202"/>
      <c r="AB240" s="153" t="e">
        <f>#REF!</f>
        <v>#REF!</v>
      </c>
      <c r="AC240" s="202"/>
      <c r="AD240" s="152" t="e">
        <f>#REF!</f>
        <v>#REF!</v>
      </c>
      <c r="AE240" s="202"/>
      <c r="AF240" s="153" t="e">
        <f>#REF!</f>
        <v>#REF!</v>
      </c>
      <c r="AG240" s="202"/>
      <c r="AH240" s="152" t="e">
        <f>#REF!</f>
        <v>#REF!</v>
      </c>
      <c r="AI240" s="202"/>
      <c r="AJ240" s="153" t="e">
        <f>#REF!</f>
        <v>#REF!</v>
      </c>
      <c r="AK240" s="202"/>
      <c r="AL240" s="152" t="e">
        <f>#REF!</f>
        <v>#REF!</v>
      </c>
      <c r="AM240" s="202"/>
      <c r="AN240" s="153" t="e">
        <f>#REF!</f>
        <v>#REF!</v>
      </c>
      <c r="AO240" s="202"/>
      <c r="AP240" s="152" t="e">
        <f>#REF!</f>
        <v>#REF!</v>
      </c>
      <c r="AQ240" s="202"/>
      <c r="AR240" s="154" t="e">
        <f>#REF!</f>
        <v>#REF!</v>
      </c>
      <c r="AS240" s="202"/>
      <c r="AT240" s="153" t="e">
        <f>#REF!</f>
        <v>#REF!</v>
      </c>
      <c r="AU240" s="202"/>
      <c r="AV240" s="152" t="e">
        <f>#REF!</f>
        <v>#REF!</v>
      </c>
      <c r="AW240" s="202"/>
      <c r="AX240" s="153" t="e">
        <f>#REF!</f>
        <v>#REF!</v>
      </c>
      <c r="AY240" s="202"/>
      <c r="AZ240" s="152" t="e">
        <f>#REF!</f>
        <v>#REF!</v>
      </c>
      <c r="BA240" s="202"/>
      <c r="BB240" s="154" t="e">
        <f>#REF!</f>
        <v>#REF!</v>
      </c>
      <c r="BC240" s="137"/>
    </row>
    <row r="241" spans="1:55" ht="30" hidden="1" customHeight="1">
      <c r="A241" s="203" t="e">
        <f>#REF!</f>
        <v>#REF!</v>
      </c>
      <c r="B241" s="204" t="e">
        <f xml:space="preserve"> IF(#REF!=0, "",#REF!)</f>
        <v>#REF!</v>
      </c>
      <c r="C241" s="369" t="e">
        <f>#REF!</f>
        <v>#REF!</v>
      </c>
      <c r="D241" s="369"/>
      <c r="E241" s="291" t="e">
        <f>#REF!</f>
        <v>#REF!</v>
      </c>
      <c r="F241" s="148" t="e">
        <f>#REF!</f>
        <v>#REF!</v>
      </c>
      <c r="G241" s="205" t="e">
        <f xml:space="preserve"> IF(#REF!="", "",#REF!)</f>
        <v>#REF!</v>
      </c>
      <c r="H241" s="205" t="e">
        <f xml:space="preserve"> IF(#REF!="", "",#REF!)</f>
        <v>#REF!</v>
      </c>
      <c r="I241" s="205" t="e">
        <f xml:space="preserve"> IF(#REF!="", "",#REF!)</f>
        <v>#REF!</v>
      </c>
      <c r="J241" s="298" t="e">
        <f>#REF!</f>
        <v>#REF!</v>
      </c>
      <c r="K241" s="149" t="e">
        <f>#REF!</f>
        <v>#REF!</v>
      </c>
      <c r="L241" s="149" t="e">
        <f>#REF!</f>
        <v>#REF!</v>
      </c>
      <c r="M241" s="150" t="e">
        <f>#REF!</f>
        <v>#REF!</v>
      </c>
      <c r="N241" s="364"/>
      <c r="O241" s="202"/>
      <c r="P241" s="151" t="e">
        <f>#REF!</f>
        <v>#REF!</v>
      </c>
      <c r="Q241" s="202"/>
      <c r="R241" s="152" t="e">
        <f>#REF!</f>
        <v>#REF!</v>
      </c>
      <c r="S241" s="202"/>
      <c r="T241" s="153" t="e">
        <f>#REF!</f>
        <v>#REF!</v>
      </c>
      <c r="U241" s="202"/>
      <c r="V241" s="153" t="e">
        <f>#REF!</f>
        <v>#REF!</v>
      </c>
      <c r="W241" s="202"/>
      <c r="X241" s="153" t="e">
        <f>#REF!</f>
        <v>#REF!</v>
      </c>
      <c r="Y241" s="202"/>
      <c r="Z241" s="152" t="e">
        <f>#REF!</f>
        <v>#REF!</v>
      </c>
      <c r="AA241" s="202"/>
      <c r="AB241" s="153" t="e">
        <f>#REF!</f>
        <v>#REF!</v>
      </c>
      <c r="AC241" s="202"/>
      <c r="AD241" s="152" t="e">
        <f>#REF!</f>
        <v>#REF!</v>
      </c>
      <c r="AE241" s="202"/>
      <c r="AF241" s="153" t="e">
        <f>#REF!</f>
        <v>#REF!</v>
      </c>
      <c r="AG241" s="202"/>
      <c r="AH241" s="152" t="e">
        <f>#REF!</f>
        <v>#REF!</v>
      </c>
      <c r="AI241" s="202"/>
      <c r="AJ241" s="153" t="e">
        <f>#REF!</f>
        <v>#REF!</v>
      </c>
      <c r="AK241" s="202"/>
      <c r="AL241" s="152" t="e">
        <f>#REF!</f>
        <v>#REF!</v>
      </c>
      <c r="AM241" s="202"/>
      <c r="AN241" s="153" t="e">
        <f>#REF!</f>
        <v>#REF!</v>
      </c>
      <c r="AO241" s="202"/>
      <c r="AP241" s="152" t="e">
        <f>#REF!</f>
        <v>#REF!</v>
      </c>
      <c r="AQ241" s="202"/>
      <c r="AR241" s="154" t="e">
        <f>#REF!</f>
        <v>#REF!</v>
      </c>
      <c r="AS241" s="202"/>
      <c r="AT241" s="153" t="e">
        <f>#REF!</f>
        <v>#REF!</v>
      </c>
      <c r="AU241" s="202"/>
      <c r="AV241" s="152" t="e">
        <f>#REF!</f>
        <v>#REF!</v>
      </c>
      <c r="AW241" s="202"/>
      <c r="AX241" s="153" t="e">
        <f>#REF!</f>
        <v>#REF!</v>
      </c>
      <c r="AY241" s="202"/>
      <c r="AZ241" s="152" t="e">
        <f>#REF!</f>
        <v>#REF!</v>
      </c>
      <c r="BA241" s="202"/>
      <c r="BB241" s="154" t="e">
        <f>#REF!</f>
        <v>#REF!</v>
      </c>
      <c r="BC241" s="137"/>
    </row>
    <row r="242" spans="1:55" ht="30" hidden="1" customHeight="1">
      <c r="A242" s="203" t="e">
        <f>#REF!</f>
        <v>#REF!</v>
      </c>
      <c r="B242" s="204" t="e">
        <f xml:space="preserve"> IF(#REF!=0, "",#REF!)</f>
        <v>#REF!</v>
      </c>
      <c r="C242" s="369" t="e">
        <f>#REF!</f>
        <v>#REF!</v>
      </c>
      <c r="D242" s="369"/>
      <c r="E242" s="291" t="e">
        <f>#REF!</f>
        <v>#REF!</v>
      </c>
      <c r="F242" s="148" t="e">
        <f>#REF!</f>
        <v>#REF!</v>
      </c>
      <c r="G242" s="205" t="e">
        <f xml:space="preserve"> IF(#REF!="", "",#REF!)</f>
        <v>#REF!</v>
      </c>
      <c r="H242" s="205" t="e">
        <f xml:space="preserve"> IF(#REF!="", "",#REF!)</f>
        <v>#REF!</v>
      </c>
      <c r="I242" s="205" t="e">
        <f xml:space="preserve"> IF(#REF!="", "",#REF!)</f>
        <v>#REF!</v>
      </c>
      <c r="J242" s="298" t="e">
        <f>#REF!</f>
        <v>#REF!</v>
      </c>
      <c r="K242" s="149" t="e">
        <f>#REF!</f>
        <v>#REF!</v>
      </c>
      <c r="L242" s="149" t="e">
        <f>#REF!</f>
        <v>#REF!</v>
      </c>
      <c r="M242" s="150" t="e">
        <f>#REF!</f>
        <v>#REF!</v>
      </c>
      <c r="N242" s="364"/>
      <c r="O242" s="202"/>
      <c r="P242" s="151" t="e">
        <f>#REF!</f>
        <v>#REF!</v>
      </c>
      <c r="Q242" s="202"/>
      <c r="R242" s="152" t="e">
        <f>#REF!</f>
        <v>#REF!</v>
      </c>
      <c r="S242" s="202"/>
      <c r="T242" s="153" t="e">
        <f>#REF!</f>
        <v>#REF!</v>
      </c>
      <c r="U242" s="202"/>
      <c r="V242" s="153" t="e">
        <f>#REF!</f>
        <v>#REF!</v>
      </c>
      <c r="W242" s="202"/>
      <c r="X242" s="153" t="e">
        <f>#REF!</f>
        <v>#REF!</v>
      </c>
      <c r="Y242" s="202"/>
      <c r="Z242" s="152" t="e">
        <f>#REF!</f>
        <v>#REF!</v>
      </c>
      <c r="AA242" s="202"/>
      <c r="AB242" s="153" t="e">
        <f>#REF!</f>
        <v>#REF!</v>
      </c>
      <c r="AC242" s="202"/>
      <c r="AD242" s="152" t="e">
        <f>#REF!</f>
        <v>#REF!</v>
      </c>
      <c r="AE242" s="202"/>
      <c r="AF242" s="153" t="e">
        <f>#REF!</f>
        <v>#REF!</v>
      </c>
      <c r="AG242" s="202"/>
      <c r="AH242" s="152" t="e">
        <f>#REF!</f>
        <v>#REF!</v>
      </c>
      <c r="AI242" s="202"/>
      <c r="AJ242" s="153" t="e">
        <f>#REF!</f>
        <v>#REF!</v>
      </c>
      <c r="AK242" s="202"/>
      <c r="AL242" s="152" t="e">
        <f>#REF!</f>
        <v>#REF!</v>
      </c>
      <c r="AM242" s="202"/>
      <c r="AN242" s="153" t="e">
        <f>#REF!</f>
        <v>#REF!</v>
      </c>
      <c r="AO242" s="202"/>
      <c r="AP242" s="152" t="e">
        <f>#REF!</f>
        <v>#REF!</v>
      </c>
      <c r="AQ242" s="202"/>
      <c r="AR242" s="154" t="e">
        <f>#REF!</f>
        <v>#REF!</v>
      </c>
      <c r="AS242" s="202"/>
      <c r="AT242" s="153" t="e">
        <f>#REF!</f>
        <v>#REF!</v>
      </c>
      <c r="AU242" s="202"/>
      <c r="AV242" s="152" t="e">
        <f>#REF!</f>
        <v>#REF!</v>
      </c>
      <c r="AW242" s="202"/>
      <c r="AX242" s="153" t="e">
        <f>#REF!</f>
        <v>#REF!</v>
      </c>
      <c r="AY242" s="202"/>
      <c r="AZ242" s="152" t="e">
        <f>#REF!</f>
        <v>#REF!</v>
      </c>
      <c r="BA242" s="202"/>
      <c r="BB242" s="154" t="e">
        <f>#REF!</f>
        <v>#REF!</v>
      </c>
      <c r="BC242" s="137"/>
    </row>
    <row r="243" spans="1:55" ht="30" hidden="1" customHeight="1">
      <c r="A243" s="203" t="e">
        <f>#REF!</f>
        <v>#REF!</v>
      </c>
      <c r="B243" s="204" t="e">
        <f xml:space="preserve"> IF(#REF!=0, "",#REF!)</f>
        <v>#REF!</v>
      </c>
      <c r="C243" s="369" t="e">
        <f>#REF!</f>
        <v>#REF!</v>
      </c>
      <c r="D243" s="369"/>
      <c r="E243" s="291" t="e">
        <f>#REF!</f>
        <v>#REF!</v>
      </c>
      <c r="F243" s="148" t="e">
        <f>#REF!</f>
        <v>#REF!</v>
      </c>
      <c r="G243" s="205" t="e">
        <f xml:space="preserve"> IF(#REF!="", "",#REF!)</f>
        <v>#REF!</v>
      </c>
      <c r="H243" s="205" t="e">
        <f xml:space="preserve"> IF(#REF!="", "",#REF!)</f>
        <v>#REF!</v>
      </c>
      <c r="I243" s="205" t="e">
        <f xml:space="preserve"> IF(#REF!="", "",#REF!)</f>
        <v>#REF!</v>
      </c>
      <c r="J243" s="298" t="e">
        <f>#REF!</f>
        <v>#REF!</v>
      </c>
      <c r="K243" s="149" t="e">
        <f>#REF!</f>
        <v>#REF!</v>
      </c>
      <c r="L243" s="149" t="e">
        <f>#REF!</f>
        <v>#REF!</v>
      </c>
      <c r="M243" s="150" t="e">
        <f>#REF!</f>
        <v>#REF!</v>
      </c>
      <c r="N243" s="364"/>
      <c r="O243" s="202"/>
      <c r="P243" s="151" t="e">
        <f>#REF!</f>
        <v>#REF!</v>
      </c>
      <c r="Q243" s="202"/>
      <c r="R243" s="152" t="e">
        <f>#REF!</f>
        <v>#REF!</v>
      </c>
      <c r="S243" s="202"/>
      <c r="T243" s="153" t="e">
        <f>#REF!</f>
        <v>#REF!</v>
      </c>
      <c r="U243" s="202"/>
      <c r="V243" s="153" t="e">
        <f>#REF!</f>
        <v>#REF!</v>
      </c>
      <c r="W243" s="202"/>
      <c r="X243" s="153" t="e">
        <f>#REF!</f>
        <v>#REF!</v>
      </c>
      <c r="Y243" s="202"/>
      <c r="Z243" s="152" t="e">
        <f>#REF!</f>
        <v>#REF!</v>
      </c>
      <c r="AA243" s="202"/>
      <c r="AB243" s="153" t="e">
        <f>#REF!</f>
        <v>#REF!</v>
      </c>
      <c r="AC243" s="202"/>
      <c r="AD243" s="152" t="e">
        <f>#REF!</f>
        <v>#REF!</v>
      </c>
      <c r="AE243" s="202"/>
      <c r="AF243" s="153" t="e">
        <f>#REF!</f>
        <v>#REF!</v>
      </c>
      <c r="AG243" s="202"/>
      <c r="AH243" s="152" t="e">
        <f>#REF!</f>
        <v>#REF!</v>
      </c>
      <c r="AI243" s="202"/>
      <c r="AJ243" s="153" t="e">
        <f>#REF!</f>
        <v>#REF!</v>
      </c>
      <c r="AK243" s="202"/>
      <c r="AL243" s="152" t="e">
        <f>#REF!</f>
        <v>#REF!</v>
      </c>
      <c r="AM243" s="202"/>
      <c r="AN243" s="153" t="e">
        <f>#REF!</f>
        <v>#REF!</v>
      </c>
      <c r="AO243" s="202"/>
      <c r="AP243" s="152" t="e">
        <f>#REF!</f>
        <v>#REF!</v>
      </c>
      <c r="AQ243" s="202"/>
      <c r="AR243" s="154" t="e">
        <f>#REF!</f>
        <v>#REF!</v>
      </c>
      <c r="AS243" s="202"/>
      <c r="AT243" s="153" t="e">
        <f>#REF!</f>
        <v>#REF!</v>
      </c>
      <c r="AU243" s="202"/>
      <c r="AV243" s="152" t="e">
        <f>#REF!</f>
        <v>#REF!</v>
      </c>
      <c r="AW243" s="202"/>
      <c r="AX243" s="153" t="e">
        <f>#REF!</f>
        <v>#REF!</v>
      </c>
      <c r="AY243" s="202"/>
      <c r="AZ243" s="152" t="e">
        <f>#REF!</f>
        <v>#REF!</v>
      </c>
      <c r="BA243" s="202"/>
      <c r="BB243" s="154" t="e">
        <f>#REF!</f>
        <v>#REF!</v>
      </c>
      <c r="BC243" s="137"/>
    </row>
    <row r="244" spans="1:55" ht="30" hidden="1" customHeight="1">
      <c r="A244" s="203" t="e">
        <f>#REF!</f>
        <v>#REF!</v>
      </c>
      <c r="B244" s="204" t="e">
        <f xml:space="preserve"> IF(#REF!=0, "",#REF!)</f>
        <v>#REF!</v>
      </c>
      <c r="C244" s="369" t="e">
        <f>#REF!</f>
        <v>#REF!</v>
      </c>
      <c r="D244" s="369"/>
      <c r="E244" s="291" t="e">
        <f>#REF!</f>
        <v>#REF!</v>
      </c>
      <c r="F244" s="148" t="e">
        <f>#REF!</f>
        <v>#REF!</v>
      </c>
      <c r="G244" s="205" t="e">
        <f xml:space="preserve"> IF(#REF!="", "",#REF!)</f>
        <v>#REF!</v>
      </c>
      <c r="H244" s="205" t="e">
        <f xml:space="preserve"> IF(#REF!="", "",#REF!)</f>
        <v>#REF!</v>
      </c>
      <c r="I244" s="205" t="e">
        <f xml:space="preserve"> IF(#REF!="", "",#REF!)</f>
        <v>#REF!</v>
      </c>
      <c r="J244" s="298" t="e">
        <f>#REF!</f>
        <v>#REF!</v>
      </c>
      <c r="K244" s="149" t="e">
        <f>#REF!</f>
        <v>#REF!</v>
      </c>
      <c r="L244" s="149" t="e">
        <f>#REF!</f>
        <v>#REF!</v>
      </c>
      <c r="M244" s="150" t="e">
        <f>#REF!</f>
        <v>#REF!</v>
      </c>
      <c r="N244" s="364"/>
      <c r="O244" s="202"/>
      <c r="P244" s="151" t="e">
        <f>#REF!</f>
        <v>#REF!</v>
      </c>
      <c r="Q244" s="202"/>
      <c r="R244" s="152" t="e">
        <f>#REF!</f>
        <v>#REF!</v>
      </c>
      <c r="S244" s="202"/>
      <c r="T244" s="153" t="e">
        <f>#REF!</f>
        <v>#REF!</v>
      </c>
      <c r="U244" s="202"/>
      <c r="V244" s="153" t="e">
        <f>#REF!</f>
        <v>#REF!</v>
      </c>
      <c r="W244" s="202"/>
      <c r="X244" s="153" t="e">
        <f>#REF!</f>
        <v>#REF!</v>
      </c>
      <c r="Y244" s="202"/>
      <c r="Z244" s="152" t="e">
        <f>#REF!</f>
        <v>#REF!</v>
      </c>
      <c r="AA244" s="202"/>
      <c r="AB244" s="153" t="e">
        <f>#REF!</f>
        <v>#REF!</v>
      </c>
      <c r="AC244" s="202"/>
      <c r="AD244" s="152" t="e">
        <f>#REF!</f>
        <v>#REF!</v>
      </c>
      <c r="AE244" s="202"/>
      <c r="AF244" s="153" t="e">
        <f>#REF!</f>
        <v>#REF!</v>
      </c>
      <c r="AG244" s="202"/>
      <c r="AH244" s="152" t="e">
        <f>#REF!</f>
        <v>#REF!</v>
      </c>
      <c r="AI244" s="202"/>
      <c r="AJ244" s="153" t="e">
        <f>#REF!</f>
        <v>#REF!</v>
      </c>
      <c r="AK244" s="202"/>
      <c r="AL244" s="152" t="e">
        <f>#REF!</f>
        <v>#REF!</v>
      </c>
      <c r="AM244" s="202"/>
      <c r="AN244" s="153" t="e">
        <f>#REF!</f>
        <v>#REF!</v>
      </c>
      <c r="AO244" s="202"/>
      <c r="AP244" s="152" t="e">
        <f>#REF!</f>
        <v>#REF!</v>
      </c>
      <c r="AQ244" s="202"/>
      <c r="AR244" s="154" t="e">
        <f>#REF!</f>
        <v>#REF!</v>
      </c>
      <c r="AS244" s="202"/>
      <c r="AT244" s="153" t="e">
        <f>#REF!</f>
        <v>#REF!</v>
      </c>
      <c r="AU244" s="202"/>
      <c r="AV244" s="152" t="e">
        <f>#REF!</f>
        <v>#REF!</v>
      </c>
      <c r="AW244" s="202"/>
      <c r="AX244" s="153" t="e">
        <f>#REF!</f>
        <v>#REF!</v>
      </c>
      <c r="AY244" s="202"/>
      <c r="AZ244" s="152" t="e">
        <f>#REF!</f>
        <v>#REF!</v>
      </c>
      <c r="BA244" s="202"/>
      <c r="BB244" s="154" t="e">
        <f>#REF!</f>
        <v>#REF!</v>
      </c>
      <c r="BC244" s="137"/>
    </row>
    <row r="245" spans="1:55" ht="30" hidden="1" customHeight="1">
      <c r="A245" s="203" t="e">
        <f>#REF!</f>
        <v>#REF!</v>
      </c>
      <c r="B245" s="204" t="e">
        <f xml:space="preserve"> IF(#REF!=0, "",#REF!)</f>
        <v>#REF!</v>
      </c>
      <c r="C245" s="369" t="e">
        <f>#REF!</f>
        <v>#REF!</v>
      </c>
      <c r="D245" s="369"/>
      <c r="E245" s="291" t="e">
        <f>#REF!</f>
        <v>#REF!</v>
      </c>
      <c r="F245" s="148" t="e">
        <f>#REF!</f>
        <v>#REF!</v>
      </c>
      <c r="G245" s="205" t="e">
        <f xml:space="preserve"> IF(#REF!="", "",#REF!)</f>
        <v>#REF!</v>
      </c>
      <c r="H245" s="205" t="e">
        <f xml:space="preserve"> IF(#REF!="", "",#REF!)</f>
        <v>#REF!</v>
      </c>
      <c r="I245" s="205" t="e">
        <f xml:space="preserve"> IF(#REF!="", "",#REF!)</f>
        <v>#REF!</v>
      </c>
      <c r="J245" s="298" t="e">
        <f>#REF!</f>
        <v>#REF!</v>
      </c>
      <c r="K245" s="149" t="e">
        <f>#REF!</f>
        <v>#REF!</v>
      </c>
      <c r="L245" s="149" t="e">
        <f>#REF!</f>
        <v>#REF!</v>
      </c>
      <c r="M245" s="150" t="e">
        <f>#REF!</f>
        <v>#REF!</v>
      </c>
      <c r="N245" s="364"/>
      <c r="O245" s="202"/>
      <c r="P245" s="151" t="e">
        <f>#REF!</f>
        <v>#REF!</v>
      </c>
      <c r="Q245" s="202"/>
      <c r="R245" s="152" t="e">
        <f>#REF!</f>
        <v>#REF!</v>
      </c>
      <c r="S245" s="202"/>
      <c r="T245" s="153" t="e">
        <f>#REF!</f>
        <v>#REF!</v>
      </c>
      <c r="U245" s="202"/>
      <c r="V245" s="153" t="e">
        <f>#REF!</f>
        <v>#REF!</v>
      </c>
      <c r="W245" s="202"/>
      <c r="X245" s="153" t="e">
        <f>#REF!</f>
        <v>#REF!</v>
      </c>
      <c r="Y245" s="202"/>
      <c r="Z245" s="152" t="e">
        <f>#REF!</f>
        <v>#REF!</v>
      </c>
      <c r="AA245" s="202"/>
      <c r="AB245" s="153" t="e">
        <f>#REF!</f>
        <v>#REF!</v>
      </c>
      <c r="AC245" s="202"/>
      <c r="AD245" s="152" t="e">
        <f>#REF!</f>
        <v>#REF!</v>
      </c>
      <c r="AE245" s="202"/>
      <c r="AF245" s="153" t="e">
        <f>#REF!</f>
        <v>#REF!</v>
      </c>
      <c r="AG245" s="202"/>
      <c r="AH245" s="152" t="e">
        <f>#REF!</f>
        <v>#REF!</v>
      </c>
      <c r="AI245" s="202"/>
      <c r="AJ245" s="153" t="e">
        <f>#REF!</f>
        <v>#REF!</v>
      </c>
      <c r="AK245" s="202"/>
      <c r="AL245" s="152" t="e">
        <f>#REF!</f>
        <v>#REF!</v>
      </c>
      <c r="AM245" s="202"/>
      <c r="AN245" s="153" t="e">
        <f>#REF!</f>
        <v>#REF!</v>
      </c>
      <c r="AO245" s="202"/>
      <c r="AP245" s="152" t="e">
        <f>#REF!</f>
        <v>#REF!</v>
      </c>
      <c r="AQ245" s="202"/>
      <c r="AR245" s="154" t="e">
        <f>#REF!</f>
        <v>#REF!</v>
      </c>
      <c r="AS245" s="202"/>
      <c r="AT245" s="153" t="e">
        <f>#REF!</f>
        <v>#REF!</v>
      </c>
      <c r="AU245" s="202"/>
      <c r="AV245" s="152" t="e">
        <f>#REF!</f>
        <v>#REF!</v>
      </c>
      <c r="AW245" s="202"/>
      <c r="AX245" s="153" t="e">
        <f>#REF!</f>
        <v>#REF!</v>
      </c>
      <c r="AY245" s="202"/>
      <c r="AZ245" s="152" t="e">
        <f>#REF!</f>
        <v>#REF!</v>
      </c>
      <c r="BA245" s="202"/>
      <c r="BB245" s="154" t="e">
        <f>#REF!</f>
        <v>#REF!</v>
      </c>
      <c r="BC245" s="137"/>
    </row>
    <row r="246" spans="1:55" ht="30" hidden="1" customHeight="1">
      <c r="A246" s="203" t="e">
        <f>#REF!</f>
        <v>#REF!</v>
      </c>
      <c r="B246" s="204" t="e">
        <f xml:space="preserve"> IF(#REF!=0, "",#REF!)</f>
        <v>#REF!</v>
      </c>
      <c r="C246" s="369" t="e">
        <f>#REF!</f>
        <v>#REF!</v>
      </c>
      <c r="D246" s="369"/>
      <c r="E246" s="291" t="e">
        <f>#REF!</f>
        <v>#REF!</v>
      </c>
      <c r="F246" s="148" t="e">
        <f>#REF!</f>
        <v>#REF!</v>
      </c>
      <c r="G246" s="205" t="e">
        <f xml:space="preserve"> IF(#REF!="", "",#REF!)</f>
        <v>#REF!</v>
      </c>
      <c r="H246" s="205" t="e">
        <f xml:space="preserve"> IF(#REF!="", "",#REF!)</f>
        <v>#REF!</v>
      </c>
      <c r="I246" s="205" t="e">
        <f xml:space="preserve"> IF(#REF!="", "",#REF!)</f>
        <v>#REF!</v>
      </c>
      <c r="J246" s="298" t="e">
        <f>#REF!</f>
        <v>#REF!</v>
      </c>
      <c r="K246" s="149" t="e">
        <f>#REF!</f>
        <v>#REF!</v>
      </c>
      <c r="L246" s="149" t="e">
        <f>#REF!</f>
        <v>#REF!</v>
      </c>
      <c r="M246" s="150" t="e">
        <f>#REF!</f>
        <v>#REF!</v>
      </c>
      <c r="N246" s="364"/>
      <c r="O246" s="202"/>
      <c r="P246" s="151" t="e">
        <f>#REF!</f>
        <v>#REF!</v>
      </c>
      <c r="Q246" s="202"/>
      <c r="R246" s="152" t="e">
        <f>#REF!</f>
        <v>#REF!</v>
      </c>
      <c r="S246" s="202"/>
      <c r="T246" s="153" t="e">
        <f>#REF!</f>
        <v>#REF!</v>
      </c>
      <c r="U246" s="202"/>
      <c r="V246" s="153" t="e">
        <f>#REF!</f>
        <v>#REF!</v>
      </c>
      <c r="W246" s="202"/>
      <c r="X246" s="153" t="e">
        <f>#REF!</f>
        <v>#REF!</v>
      </c>
      <c r="Y246" s="202"/>
      <c r="Z246" s="152" t="e">
        <f>#REF!</f>
        <v>#REF!</v>
      </c>
      <c r="AA246" s="202"/>
      <c r="AB246" s="153" t="e">
        <f>#REF!</f>
        <v>#REF!</v>
      </c>
      <c r="AC246" s="202"/>
      <c r="AD246" s="152" t="e">
        <f>#REF!</f>
        <v>#REF!</v>
      </c>
      <c r="AE246" s="202"/>
      <c r="AF246" s="153" t="e">
        <f>#REF!</f>
        <v>#REF!</v>
      </c>
      <c r="AG246" s="202"/>
      <c r="AH246" s="152" t="e">
        <f>#REF!</f>
        <v>#REF!</v>
      </c>
      <c r="AI246" s="202"/>
      <c r="AJ246" s="153" t="e">
        <f>#REF!</f>
        <v>#REF!</v>
      </c>
      <c r="AK246" s="202"/>
      <c r="AL246" s="152" t="e">
        <f>#REF!</f>
        <v>#REF!</v>
      </c>
      <c r="AM246" s="202"/>
      <c r="AN246" s="153" t="e">
        <f>#REF!</f>
        <v>#REF!</v>
      </c>
      <c r="AO246" s="202"/>
      <c r="AP246" s="152" t="e">
        <f>#REF!</f>
        <v>#REF!</v>
      </c>
      <c r="AQ246" s="202"/>
      <c r="AR246" s="154" t="e">
        <f>#REF!</f>
        <v>#REF!</v>
      </c>
      <c r="AS246" s="202"/>
      <c r="AT246" s="153" t="e">
        <f>#REF!</f>
        <v>#REF!</v>
      </c>
      <c r="AU246" s="202"/>
      <c r="AV246" s="152" t="e">
        <f>#REF!</f>
        <v>#REF!</v>
      </c>
      <c r="AW246" s="202"/>
      <c r="AX246" s="153" t="e">
        <f>#REF!</f>
        <v>#REF!</v>
      </c>
      <c r="AY246" s="202"/>
      <c r="AZ246" s="152" t="e">
        <f>#REF!</f>
        <v>#REF!</v>
      </c>
      <c r="BA246" s="202"/>
      <c r="BB246" s="154" t="e">
        <f>#REF!</f>
        <v>#REF!</v>
      </c>
      <c r="BC246" s="137"/>
    </row>
    <row r="247" spans="1:55" ht="30" hidden="1" customHeight="1">
      <c r="A247" s="203" t="e">
        <f>#REF!</f>
        <v>#REF!</v>
      </c>
      <c r="B247" s="204" t="e">
        <f xml:space="preserve"> IF(#REF!=0, "",#REF!)</f>
        <v>#REF!</v>
      </c>
      <c r="C247" s="369" t="e">
        <f>#REF!</f>
        <v>#REF!</v>
      </c>
      <c r="D247" s="369"/>
      <c r="E247" s="291" t="e">
        <f>#REF!</f>
        <v>#REF!</v>
      </c>
      <c r="F247" s="148" t="e">
        <f>#REF!</f>
        <v>#REF!</v>
      </c>
      <c r="G247" s="205" t="e">
        <f xml:space="preserve"> IF(#REF!="", "",#REF!)</f>
        <v>#REF!</v>
      </c>
      <c r="H247" s="205" t="e">
        <f xml:space="preserve"> IF(#REF!="", "",#REF!)</f>
        <v>#REF!</v>
      </c>
      <c r="I247" s="205" t="e">
        <f xml:space="preserve"> IF(#REF!="", "",#REF!)</f>
        <v>#REF!</v>
      </c>
      <c r="J247" s="298" t="e">
        <f>#REF!</f>
        <v>#REF!</v>
      </c>
      <c r="K247" s="149" t="e">
        <f>#REF!</f>
        <v>#REF!</v>
      </c>
      <c r="L247" s="149" t="e">
        <f>#REF!</f>
        <v>#REF!</v>
      </c>
      <c r="M247" s="150" t="e">
        <f>#REF!</f>
        <v>#REF!</v>
      </c>
      <c r="N247" s="364"/>
      <c r="O247" s="202"/>
      <c r="P247" s="151" t="e">
        <f>#REF!</f>
        <v>#REF!</v>
      </c>
      <c r="Q247" s="202"/>
      <c r="R247" s="152" t="e">
        <f>#REF!</f>
        <v>#REF!</v>
      </c>
      <c r="S247" s="202"/>
      <c r="T247" s="153" t="e">
        <f>#REF!</f>
        <v>#REF!</v>
      </c>
      <c r="U247" s="202"/>
      <c r="V247" s="153" t="e">
        <f>#REF!</f>
        <v>#REF!</v>
      </c>
      <c r="W247" s="202"/>
      <c r="X247" s="153" t="e">
        <f>#REF!</f>
        <v>#REF!</v>
      </c>
      <c r="Y247" s="202"/>
      <c r="Z247" s="152" t="e">
        <f>#REF!</f>
        <v>#REF!</v>
      </c>
      <c r="AA247" s="202"/>
      <c r="AB247" s="153" t="e">
        <f>#REF!</f>
        <v>#REF!</v>
      </c>
      <c r="AC247" s="202"/>
      <c r="AD247" s="152" t="e">
        <f>#REF!</f>
        <v>#REF!</v>
      </c>
      <c r="AE247" s="202"/>
      <c r="AF247" s="153" t="e">
        <f>#REF!</f>
        <v>#REF!</v>
      </c>
      <c r="AG247" s="202"/>
      <c r="AH247" s="152" t="e">
        <f>#REF!</f>
        <v>#REF!</v>
      </c>
      <c r="AI247" s="202"/>
      <c r="AJ247" s="153" t="e">
        <f>#REF!</f>
        <v>#REF!</v>
      </c>
      <c r="AK247" s="202"/>
      <c r="AL247" s="152" t="e">
        <f>#REF!</f>
        <v>#REF!</v>
      </c>
      <c r="AM247" s="202"/>
      <c r="AN247" s="153" t="e">
        <f>#REF!</f>
        <v>#REF!</v>
      </c>
      <c r="AO247" s="202"/>
      <c r="AP247" s="152" t="e">
        <f>#REF!</f>
        <v>#REF!</v>
      </c>
      <c r="AQ247" s="202"/>
      <c r="AR247" s="154" t="e">
        <f>#REF!</f>
        <v>#REF!</v>
      </c>
      <c r="AS247" s="202"/>
      <c r="AT247" s="153" t="e">
        <f>#REF!</f>
        <v>#REF!</v>
      </c>
      <c r="AU247" s="202"/>
      <c r="AV247" s="152" t="e">
        <f>#REF!</f>
        <v>#REF!</v>
      </c>
      <c r="AW247" s="202"/>
      <c r="AX247" s="153" t="e">
        <f>#REF!</f>
        <v>#REF!</v>
      </c>
      <c r="AY247" s="202"/>
      <c r="AZ247" s="152" t="e">
        <f>#REF!</f>
        <v>#REF!</v>
      </c>
      <c r="BA247" s="202"/>
      <c r="BB247" s="154" t="e">
        <f>#REF!</f>
        <v>#REF!</v>
      </c>
      <c r="BC247" s="137"/>
    </row>
    <row r="248" spans="1:55" ht="30" hidden="1" customHeight="1">
      <c r="A248" s="203" t="e">
        <f>#REF!</f>
        <v>#REF!</v>
      </c>
      <c r="B248" s="204" t="e">
        <f xml:space="preserve"> IF(#REF!=0, "",#REF!)</f>
        <v>#REF!</v>
      </c>
      <c r="C248" s="369" t="e">
        <f>#REF!</f>
        <v>#REF!</v>
      </c>
      <c r="D248" s="369"/>
      <c r="E248" s="291" t="e">
        <f>#REF!</f>
        <v>#REF!</v>
      </c>
      <c r="F248" s="148" t="e">
        <f>#REF!</f>
        <v>#REF!</v>
      </c>
      <c r="G248" s="205" t="e">
        <f xml:space="preserve"> IF(#REF!="", "",#REF!)</f>
        <v>#REF!</v>
      </c>
      <c r="H248" s="205" t="e">
        <f xml:space="preserve"> IF(#REF!="", "",#REF!)</f>
        <v>#REF!</v>
      </c>
      <c r="I248" s="205" t="e">
        <f xml:space="preserve"> IF(#REF!="", "",#REF!)</f>
        <v>#REF!</v>
      </c>
      <c r="J248" s="298" t="e">
        <f>#REF!</f>
        <v>#REF!</v>
      </c>
      <c r="K248" s="149" t="e">
        <f>#REF!</f>
        <v>#REF!</v>
      </c>
      <c r="L248" s="149" t="e">
        <f>#REF!</f>
        <v>#REF!</v>
      </c>
      <c r="M248" s="150" t="e">
        <f>#REF!</f>
        <v>#REF!</v>
      </c>
      <c r="N248" s="364"/>
      <c r="O248" s="202"/>
      <c r="P248" s="151" t="e">
        <f>#REF!</f>
        <v>#REF!</v>
      </c>
      <c r="Q248" s="202"/>
      <c r="R248" s="152" t="e">
        <f>#REF!</f>
        <v>#REF!</v>
      </c>
      <c r="S248" s="202"/>
      <c r="T248" s="153" t="e">
        <f>#REF!</f>
        <v>#REF!</v>
      </c>
      <c r="U248" s="202"/>
      <c r="V248" s="153" t="e">
        <f>#REF!</f>
        <v>#REF!</v>
      </c>
      <c r="W248" s="202"/>
      <c r="X248" s="153" t="e">
        <f>#REF!</f>
        <v>#REF!</v>
      </c>
      <c r="Y248" s="202"/>
      <c r="Z248" s="152" t="e">
        <f>#REF!</f>
        <v>#REF!</v>
      </c>
      <c r="AA248" s="202"/>
      <c r="AB248" s="153" t="e">
        <f>#REF!</f>
        <v>#REF!</v>
      </c>
      <c r="AC248" s="202"/>
      <c r="AD248" s="152" t="e">
        <f>#REF!</f>
        <v>#REF!</v>
      </c>
      <c r="AE248" s="202"/>
      <c r="AF248" s="153" t="e">
        <f>#REF!</f>
        <v>#REF!</v>
      </c>
      <c r="AG248" s="202"/>
      <c r="AH248" s="152" t="e">
        <f>#REF!</f>
        <v>#REF!</v>
      </c>
      <c r="AI248" s="202"/>
      <c r="AJ248" s="153" t="e">
        <f>#REF!</f>
        <v>#REF!</v>
      </c>
      <c r="AK248" s="202"/>
      <c r="AL248" s="152" t="e">
        <f>#REF!</f>
        <v>#REF!</v>
      </c>
      <c r="AM248" s="202"/>
      <c r="AN248" s="153" t="e">
        <f>#REF!</f>
        <v>#REF!</v>
      </c>
      <c r="AO248" s="202"/>
      <c r="AP248" s="152" t="e">
        <f>#REF!</f>
        <v>#REF!</v>
      </c>
      <c r="AQ248" s="202"/>
      <c r="AR248" s="154" t="e">
        <f>#REF!</f>
        <v>#REF!</v>
      </c>
      <c r="AS248" s="202"/>
      <c r="AT248" s="153" t="e">
        <f>#REF!</f>
        <v>#REF!</v>
      </c>
      <c r="AU248" s="202"/>
      <c r="AV248" s="152" t="e">
        <f>#REF!</f>
        <v>#REF!</v>
      </c>
      <c r="AW248" s="202"/>
      <c r="AX248" s="153" t="e">
        <f>#REF!</f>
        <v>#REF!</v>
      </c>
      <c r="AY248" s="202"/>
      <c r="AZ248" s="152" t="e">
        <f>#REF!</f>
        <v>#REF!</v>
      </c>
      <c r="BA248" s="202"/>
      <c r="BB248" s="154" t="e">
        <f>#REF!</f>
        <v>#REF!</v>
      </c>
      <c r="BC248" s="137"/>
    </row>
    <row r="249" spans="1:55" ht="30" hidden="1" customHeight="1">
      <c r="A249" s="203" t="e">
        <f>#REF!</f>
        <v>#REF!</v>
      </c>
      <c r="B249" s="204" t="e">
        <f xml:space="preserve"> IF(#REF!=0, "",#REF!)</f>
        <v>#REF!</v>
      </c>
      <c r="C249" s="369" t="e">
        <f>#REF!</f>
        <v>#REF!</v>
      </c>
      <c r="D249" s="369"/>
      <c r="E249" s="291" t="e">
        <f>#REF!</f>
        <v>#REF!</v>
      </c>
      <c r="F249" s="148" t="e">
        <f>#REF!</f>
        <v>#REF!</v>
      </c>
      <c r="G249" s="205" t="e">
        <f xml:space="preserve"> IF(#REF!="", "",#REF!)</f>
        <v>#REF!</v>
      </c>
      <c r="H249" s="205" t="e">
        <f xml:space="preserve"> IF(#REF!="", "",#REF!)</f>
        <v>#REF!</v>
      </c>
      <c r="I249" s="205" t="e">
        <f xml:space="preserve"> IF(#REF!="", "",#REF!)</f>
        <v>#REF!</v>
      </c>
      <c r="J249" s="298" t="e">
        <f>#REF!</f>
        <v>#REF!</v>
      </c>
      <c r="K249" s="149" t="e">
        <f>#REF!</f>
        <v>#REF!</v>
      </c>
      <c r="L249" s="149" t="e">
        <f>#REF!</f>
        <v>#REF!</v>
      </c>
      <c r="M249" s="150" t="e">
        <f>#REF!</f>
        <v>#REF!</v>
      </c>
      <c r="N249" s="364"/>
      <c r="O249" s="202"/>
      <c r="P249" s="151" t="e">
        <f>#REF!</f>
        <v>#REF!</v>
      </c>
      <c r="Q249" s="202"/>
      <c r="R249" s="152" t="e">
        <f>#REF!</f>
        <v>#REF!</v>
      </c>
      <c r="S249" s="202"/>
      <c r="T249" s="153" t="e">
        <f>#REF!</f>
        <v>#REF!</v>
      </c>
      <c r="U249" s="202"/>
      <c r="V249" s="153" t="e">
        <f>#REF!</f>
        <v>#REF!</v>
      </c>
      <c r="W249" s="202"/>
      <c r="X249" s="153" t="e">
        <f>#REF!</f>
        <v>#REF!</v>
      </c>
      <c r="Y249" s="202"/>
      <c r="Z249" s="152" t="e">
        <f>#REF!</f>
        <v>#REF!</v>
      </c>
      <c r="AA249" s="202"/>
      <c r="AB249" s="153" t="e">
        <f>#REF!</f>
        <v>#REF!</v>
      </c>
      <c r="AC249" s="202"/>
      <c r="AD249" s="152" t="e">
        <f>#REF!</f>
        <v>#REF!</v>
      </c>
      <c r="AE249" s="202"/>
      <c r="AF249" s="153" t="e">
        <f>#REF!</f>
        <v>#REF!</v>
      </c>
      <c r="AG249" s="202"/>
      <c r="AH249" s="152" t="e">
        <f>#REF!</f>
        <v>#REF!</v>
      </c>
      <c r="AI249" s="202"/>
      <c r="AJ249" s="153" t="e">
        <f>#REF!</f>
        <v>#REF!</v>
      </c>
      <c r="AK249" s="202"/>
      <c r="AL249" s="152" t="e">
        <f>#REF!</f>
        <v>#REF!</v>
      </c>
      <c r="AM249" s="202"/>
      <c r="AN249" s="153" t="e">
        <f>#REF!</f>
        <v>#REF!</v>
      </c>
      <c r="AO249" s="202"/>
      <c r="AP249" s="152" t="e">
        <f>#REF!</f>
        <v>#REF!</v>
      </c>
      <c r="AQ249" s="202"/>
      <c r="AR249" s="154" t="e">
        <f>#REF!</f>
        <v>#REF!</v>
      </c>
      <c r="AS249" s="202"/>
      <c r="AT249" s="153" t="e">
        <f>#REF!</f>
        <v>#REF!</v>
      </c>
      <c r="AU249" s="202"/>
      <c r="AV249" s="152" t="e">
        <f>#REF!</f>
        <v>#REF!</v>
      </c>
      <c r="AW249" s="202"/>
      <c r="AX249" s="153" t="e">
        <f>#REF!</f>
        <v>#REF!</v>
      </c>
      <c r="AY249" s="202"/>
      <c r="AZ249" s="152" t="e">
        <f>#REF!</f>
        <v>#REF!</v>
      </c>
      <c r="BA249" s="202"/>
      <c r="BB249" s="154" t="e">
        <f>#REF!</f>
        <v>#REF!</v>
      </c>
      <c r="BC249" s="137"/>
    </row>
    <row r="250" spans="1:55" ht="30" hidden="1" customHeight="1">
      <c r="A250" s="203" t="e">
        <f>#REF!</f>
        <v>#REF!</v>
      </c>
      <c r="B250" s="204" t="e">
        <f xml:space="preserve"> IF(#REF!=0, "",#REF!)</f>
        <v>#REF!</v>
      </c>
      <c r="C250" s="369" t="e">
        <f>#REF!</f>
        <v>#REF!</v>
      </c>
      <c r="D250" s="369"/>
      <c r="E250" s="291" t="e">
        <f>#REF!</f>
        <v>#REF!</v>
      </c>
      <c r="F250" s="148" t="e">
        <f>#REF!</f>
        <v>#REF!</v>
      </c>
      <c r="G250" s="205" t="e">
        <f xml:space="preserve"> IF(#REF!="", "",#REF!)</f>
        <v>#REF!</v>
      </c>
      <c r="H250" s="205" t="e">
        <f xml:space="preserve"> IF(#REF!="", "",#REF!)</f>
        <v>#REF!</v>
      </c>
      <c r="I250" s="205" t="e">
        <f xml:space="preserve"> IF(#REF!="", "",#REF!)</f>
        <v>#REF!</v>
      </c>
      <c r="J250" s="298" t="e">
        <f>#REF!</f>
        <v>#REF!</v>
      </c>
      <c r="K250" s="149" t="e">
        <f>#REF!</f>
        <v>#REF!</v>
      </c>
      <c r="L250" s="149" t="e">
        <f>#REF!</f>
        <v>#REF!</v>
      </c>
      <c r="M250" s="150" t="e">
        <f>#REF!</f>
        <v>#REF!</v>
      </c>
      <c r="N250" s="364"/>
      <c r="O250" s="202"/>
      <c r="P250" s="151" t="e">
        <f>#REF!</f>
        <v>#REF!</v>
      </c>
      <c r="Q250" s="202"/>
      <c r="R250" s="152" t="e">
        <f>#REF!</f>
        <v>#REF!</v>
      </c>
      <c r="S250" s="202"/>
      <c r="T250" s="153" t="e">
        <f>#REF!</f>
        <v>#REF!</v>
      </c>
      <c r="U250" s="202"/>
      <c r="V250" s="153" t="e">
        <f>#REF!</f>
        <v>#REF!</v>
      </c>
      <c r="W250" s="202"/>
      <c r="X250" s="153" t="e">
        <f>#REF!</f>
        <v>#REF!</v>
      </c>
      <c r="Y250" s="202"/>
      <c r="Z250" s="152" t="e">
        <f>#REF!</f>
        <v>#REF!</v>
      </c>
      <c r="AA250" s="202"/>
      <c r="AB250" s="153" t="e">
        <f>#REF!</f>
        <v>#REF!</v>
      </c>
      <c r="AC250" s="202"/>
      <c r="AD250" s="152" t="e">
        <f>#REF!</f>
        <v>#REF!</v>
      </c>
      <c r="AE250" s="202"/>
      <c r="AF250" s="153" t="e">
        <f>#REF!</f>
        <v>#REF!</v>
      </c>
      <c r="AG250" s="202"/>
      <c r="AH250" s="152" t="e">
        <f>#REF!</f>
        <v>#REF!</v>
      </c>
      <c r="AI250" s="202"/>
      <c r="AJ250" s="153" t="e">
        <f>#REF!</f>
        <v>#REF!</v>
      </c>
      <c r="AK250" s="202"/>
      <c r="AL250" s="152" t="e">
        <f>#REF!</f>
        <v>#REF!</v>
      </c>
      <c r="AM250" s="202"/>
      <c r="AN250" s="153" t="e">
        <f>#REF!</f>
        <v>#REF!</v>
      </c>
      <c r="AO250" s="202"/>
      <c r="AP250" s="152" t="e">
        <f>#REF!</f>
        <v>#REF!</v>
      </c>
      <c r="AQ250" s="202"/>
      <c r="AR250" s="154" t="e">
        <f>#REF!</f>
        <v>#REF!</v>
      </c>
      <c r="AS250" s="202"/>
      <c r="AT250" s="153" t="e">
        <f>#REF!</f>
        <v>#REF!</v>
      </c>
      <c r="AU250" s="202"/>
      <c r="AV250" s="152" t="e">
        <f>#REF!</f>
        <v>#REF!</v>
      </c>
      <c r="AW250" s="202"/>
      <c r="AX250" s="153" t="e">
        <f>#REF!</f>
        <v>#REF!</v>
      </c>
      <c r="AY250" s="202"/>
      <c r="AZ250" s="152" t="e">
        <f>#REF!</f>
        <v>#REF!</v>
      </c>
      <c r="BA250" s="202"/>
      <c r="BB250" s="154" t="e">
        <f>#REF!</f>
        <v>#REF!</v>
      </c>
      <c r="BC250" s="137"/>
    </row>
    <row r="251" spans="1:55" ht="30" hidden="1" customHeight="1">
      <c r="A251" s="203" t="e">
        <f>#REF!</f>
        <v>#REF!</v>
      </c>
      <c r="B251" s="204" t="e">
        <f xml:space="preserve"> IF(#REF!=0, "",#REF!)</f>
        <v>#REF!</v>
      </c>
      <c r="C251" s="369" t="e">
        <f>#REF!</f>
        <v>#REF!</v>
      </c>
      <c r="D251" s="369"/>
      <c r="E251" s="291" t="e">
        <f>#REF!</f>
        <v>#REF!</v>
      </c>
      <c r="F251" s="148" t="e">
        <f>#REF!</f>
        <v>#REF!</v>
      </c>
      <c r="G251" s="205" t="e">
        <f xml:space="preserve"> IF(#REF!="", "",#REF!)</f>
        <v>#REF!</v>
      </c>
      <c r="H251" s="205" t="e">
        <f xml:space="preserve"> IF(#REF!="", "",#REF!)</f>
        <v>#REF!</v>
      </c>
      <c r="I251" s="205" t="e">
        <f xml:space="preserve"> IF(#REF!="", "",#REF!)</f>
        <v>#REF!</v>
      </c>
      <c r="J251" s="298" t="e">
        <f>#REF!</f>
        <v>#REF!</v>
      </c>
      <c r="K251" s="149" t="e">
        <f>#REF!</f>
        <v>#REF!</v>
      </c>
      <c r="L251" s="149" t="e">
        <f>#REF!</f>
        <v>#REF!</v>
      </c>
      <c r="M251" s="150" t="e">
        <f>#REF!</f>
        <v>#REF!</v>
      </c>
      <c r="N251" s="364"/>
      <c r="O251" s="202"/>
      <c r="P251" s="151" t="e">
        <f>#REF!</f>
        <v>#REF!</v>
      </c>
      <c r="Q251" s="202"/>
      <c r="R251" s="152" t="e">
        <f>#REF!</f>
        <v>#REF!</v>
      </c>
      <c r="S251" s="202"/>
      <c r="T251" s="153" t="e">
        <f>#REF!</f>
        <v>#REF!</v>
      </c>
      <c r="U251" s="202"/>
      <c r="V251" s="153" t="e">
        <f>#REF!</f>
        <v>#REF!</v>
      </c>
      <c r="W251" s="202"/>
      <c r="X251" s="153" t="e">
        <f>#REF!</f>
        <v>#REF!</v>
      </c>
      <c r="Y251" s="202"/>
      <c r="Z251" s="152" t="e">
        <f>#REF!</f>
        <v>#REF!</v>
      </c>
      <c r="AA251" s="202"/>
      <c r="AB251" s="153" t="e">
        <f>#REF!</f>
        <v>#REF!</v>
      </c>
      <c r="AC251" s="202"/>
      <c r="AD251" s="152" t="e">
        <f>#REF!</f>
        <v>#REF!</v>
      </c>
      <c r="AE251" s="202"/>
      <c r="AF251" s="153" t="e">
        <f>#REF!</f>
        <v>#REF!</v>
      </c>
      <c r="AG251" s="202"/>
      <c r="AH251" s="152" t="e">
        <f>#REF!</f>
        <v>#REF!</v>
      </c>
      <c r="AI251" s="202"/>
      <c r="AJ251" s="153" t="e">
        <f>#REF!</f>
        <v>#REF!</v>
      </c>
      <c r="AK251" s="202"/>
      <c r="AL251" s="152" t="e">
        <f>#REF!</f>
        <v>#REF!</v>
      </c>
      <c r="AM251" s="202"/>
      <c r="AN251" s="153" t="e">
        <f>#REF!</f>
        <v>#REF!</v>
      </c>
      <c r="AO251" s="202"/>
      <c r="AP251" s="152" t="e">
        <f>#REF!</f>
        <v>#REF!</v>
      </c>
      <c r="AQ251" s="202"/>
      <c r="AR251" s="154" t="e">
        <f>#REF!</f>
        <v>#REF!</v>
      </c>
      <c r="AS251" s="202"/>
      <c r="AT251" s="153" t="e">
        <f>#REF!</f>
        <v>#REF!</v>
      </c>
      <c r="AU251" s="202"/>
      <c r="AV251" s="152" t="e">
        <f>#REF!</f>
        <v>#REF!</v>
      </c>
      <c r="AW251" s="202"/>
      <c r="AX251" s="153" t="e">
        <f>#REF!</f>
        <v>#REF!</v>
      </c>
      <c r="AY251" s="202"/>
      <c r="AZ251" s="152" t="e">
        <f>#REF!</f>
        <v>#REF!</v>
      </c>
      <c r="BA251" s="202"/>
      <c r="BB251" s="154" t="e">
        <f>#REF!</f>
        <v>#REF!</v>
      </c>
      <c r="BC251" s="137"/>
    </row>
    <row r="252" spans="1:55" ht="30" hidden="1" customHeight="1">
      <c r="A252" s="203" t="e">
        <f>#REF!</f>
        <v>#REF!</v>
      </c>
      <c r="B252" s="204" t="e">
        <f xml:space="preserve"> IF(#REF!=0, "",#REF!)</f>
        <v>#REF!</v>
      </c>
      <c r="C252" s="369" t="e">
        <f>#REF!</f>
        <v>#REF!</v>
      </c>
      <c r="D252" s="369"/>
      <c r="E252" s="291" t="e">
        <f>#REF!</f>
        <v>#REF!</v>
      </c>
      <c r="F252" s="148" t="e">
        <f>#REF!</f>
        <v>#REF!</v>
      </c>
      <c r="G252" s="205" t="e">
        <f xml:space="preserve"> IF(#REF!="", "",#REF!)</f>
        <v>#REF!</v>
      </c>
      <c r="H252" s="205" t="e">
        <f xml:space="preserve"> IF(#REF!="", "",#REF!)</f>
        <v>#REF!</v>
      </c>
      <c r="I252" s="205" t="e">
        <f xml:space="preserve"> IF(#REF!="", "",#REF!)</f>
        <v>#REF!</v>
      </c>
      <c r="J252" s="298" t="e">
        <f>#REF!</f>
        <v>#REF!</v>
      </c>
      <c r="K252" s="149" t="e">
        <f>#REF!</f>
        <v>#REF!</v>
      </c>
      <c r="L252" s="149" t="e">
        <f>#REF!</f>
        <v>#REF!</v>
      </c>
      <c r="M252" s="150" t="e">
        <f>#REF!</f>
        <v>#REF!</v>
      </c>
      <c r="N252" s="364"/>
      <c r="O252" s="202"/>
      <c r="P252" s="151" t="e">
        <f>#REF!</f>
        <v>#REF!</v>
      </c>
      <c r="Q252" s="202"/>
      <c r="R252" s="152" t="e">
        <f>#REF!</f>
        <v>#REF!</v>
      </c>
      <c r="S252" s="202"/>
      <c r="T252" s="153" t="e">
        <f>#REF!</f>
        <v>#REF!</v>
      </c>
      <c r="U252" s="202"/>
      <c r="V252" s="153" t="e">
        <f>#REF!</f>
        <v>#REF!</v>
      </c>
      <c r="W252" s="202"/>
      <c r="X252" s="153" t="e">
        <f>#REF!</f>
        <v>#REF!</v>
      </c>
      <c r="Y252" s="202"/>
      <c r="Z252" s="152" t="e">
        <f>#REF!</f>
        <v>#REF!</v>
      </c>
      <c r="AA252" s="202"/>
      <c r="AB252" s="153" t="e">
        <f>#REF!</f>
        <v>#REF!</v>
      </c>
      <c r="AC252" s="202"/>
      <c r="AD252" s="152" t="e">
        <f>#REF!</f>
        <v>#REF!</v>
      </c>
      <c r="AE252" s="202"/>
      <c r="AF252" s="153" t="e">
        <f>#REF!</f>
        <v>#REF!</v>
      </c>
      <c r="AG252" s="202"/>
      <c r="AH252" s="152" t="e">
        <f>#REF!</f>
        <v>#REF!</v>
      </c>
      <c r="AI252" s="202"/>
      <c r="AJ252" s="153" t="e">
        <f>#REF!</f>
        <v>#REF!</v>
      </c>
      <c r="AK252" s="202"/>
      <c r="AL252" s="152" t="e">
        <f>#REF!</f>
        <v>#REF!</v>
      </c>
      <c r="AM252" s="202"/>
      <c r="AN252" s="153" t="e">
        <f>#REF!</f>
        <v>#REF!</v>
      </c>
      <c r="AO252" s="202"/>
      <c r="AP252" s="152" t="e">
        <f>#REF!</f>
        <v>#REF!</v>
      </c>
      <c r="AQ252" s="202"/>
      <c r="AR252" s="154" t="e">
        <f>#REF!</f>
        <v>#REF!</v>
      </c>
      <c r="AS252" s="202"/>
      <c r="AT252" s="153" t="e">
        <f>#REF!</f>
        <v>#REF!</v>
      </c>
      <c r="AU252" s="202"/>
      <c r="AV252" s="152" t="e">
        <f>#REF!</f>
        <v>#REF!</v>
      </c>
      <c r="AW252" s="202"/>
      <c r="AX252" s="153" t="e">
        <f>#REF!</f>
        <v>#REF!</v>
      </c>
      <c r="AY252" s="202"/>
      <c r="AZ252" s="152" t="e">
        <f>#REF!</f>
        <v>#REF!</v>
      </c>
      <c r="BA252" s="202"/>
      <c r="BB252" s="154" t="e">
        <f>#REF!</f>
        <v>#REF!</v>
      </c>
      <c r="BC252" s="137"/>
    </row>
    <row r="253" spans="1:55" ht="30" hidden="1" customHeight="1">
      <c r="A253" s="203" t="e">
        <f>#REF!</f>
        <v>#REF!</v>
      </c>
      <c r="B253" s="204" t="e">
        <f xml:space="preserve"> IF(#REF!=0, "",#REF!)</f>
        <v>#REF!</v>
      </c>
      <c r="C253" s="369" t="e">
        <f>#REF!</f>
        <v>#REF!</v>
      </c>
      <c r="D253" s="369"/>
      <c r="E253" s="291" t="e">
        <f>#REF!</f>
        <v>#REF!</v>
      </c>
      <c r="F253" s="148" t="e">
        <f>#REF!</f>
        <v>#REF!</v>
      </c>
      <c r="G253" s="205" t="e">
        <f xml:space="preserve"> IF(#REF!="", "",#REF!)</f>
        <v>#REF!</v>
      </c>
      <c r="H253" s="205" t="e">
        <f xml:space="preserve"> IF(#REF!="", "",#REF!)</f>
        <v>#REF!</v>
      </c>
      <c r="I253" s="205" t="e">
        <f xml:space="preserve"> IF(#REF!="", "",#REF!)</f>
        <v>#REF!</v>
      </c>
      <c r="J253" s="298" t="e">
        <f>#REF!</f>
        <v>#REF!</v>
      </c>
      <c r="K253" s="149" t="e">
        <f>#REF!</f>
        <v>#REF!</v>
      </c>
      <c r="L253" s="149" t="e">
        <f>#REF!</f>
        <v>#REF!</v>
      </c>
      <c r="M253" s="150" t="e">
        <f>#REF!</f>
        <v>#REF!</v>
      </c>
      <c r="N253" s="364"/>
      <c r="O253" s="202"/>
      <c r="P253" s="151" t="e">
        <f>#REF!</f>
        <v>#REF!</v>
      </c>
      <c r="Q253" s="202"/>
      <c r="R253" s="152" t="e">
        <f>#REF!</f>
        <v>#REF!</v>
      </c>
      <c r="S253" s="202"/>
      <c r="T253" s="153" t="e">
        <f>#REF!</f>
        <v>#REF!</v>
      </c>
      <c r="U253" s="202"/>
      <c r="V253" s="153" t="e">
        <f>#REF!</f>
        <v>#REF!</v>
      </c>
      <c r="W253" s="202"/>
      <c r="X253" s="153" t="e">
        <f>#REF!</f>
        <v>#REF!</v>
      </c>
      <c r="Y253" s="202"/>
      <c r="Z253" s="152" t="e">
        <f>#REF!</f>
        <v>#REF!</v>
      </c>
      <c r="AA253" s="202"/>
      <c r="AB253" s="153" t="e">
        <f>#REF!</f>
        <v>#REF!</v>
      </c>
      <c r="AC253" s="202"/>
      <c r="AD253" s="152" t="e">
        <f>#REF!</f>
        <v>#REF!</v>
      </c>
      <c r="AE253" s="202"/>
      <c r="AF253" s="153" t="e">
        <f>#REF!</f>
        <v>#REF!</v>
      </c>
      <c r="AG253" s="202"/>
      <c r="AH253" s="152" t="e">
        <f>#REF!</f>
        <v>#REF!</v>
      </c>
      <c r="AI253" s="202"/>
      <c r="AJ253" s="153" t="e">
        <f>#REF!</f>
        <v>#REF!</v>
      </c>
      <c r="AK253" s="202"/>
      <c r="AL253" s="152" t="e">
        <f>#REF!</f>
        <v>#REF!</v>
      </c>
      <c r="AM253" s="202"/>
      <c r="AN253" s="153" t="e">
        <f>#REF!</f>
        <v>#REF!</v>
      </c>
      <c r="AO253" s="202"/>
      <c r="AP253" s="152" t="e">
        <f>#REF!</f>
        <v>#REF!</v>
      </c>
      <c r="AQ253" s="202"/>
      <c r="AR253" s="154" t="e">
        <f>#REF!</f>
        <v>#REF!</v>
      </c>
      <c r="AS253" s="202"/>
      <c r="AT253" s="153" t="e">
        <f>#REF!</f>
        <v>#REF!</v>
      </c>
      <c r="AU253" s="202"/>
      <c r="AV253" s="152" t="e">
        <f>#REF!</f>
        <v>#REF!</v>
      </c>
      <c r="AW253" s="202"/>
      <c r="AX253" s="153" t="e">
        <f>#REF!</f>
        <v>#REF!</v>
      </c>
      <c r="AY253" s="202"/>
      <c r="AZ253" s="152" t="e">
        <f>#REF!</f>
        <v>#REF!</v>
      </c>
      <c r="BA253" s="202"/>
      <c r="BB253" s="154" t="e">
        <f>#REF!</f>
        <v>#REF!</v>
      </c>
      <c r="BC253" s="137"/>
    </row>
    <row r="254" spans="1:55" ht="30" hidden="1" customHeight="1">
      <c r="A254" s="203" t="e">
        <f>#REF!</f>
        <v>#REF!</v>
      </c>
      <c r="B254" s="204" t="e">
        <f xml:space="preserve"> IF(#REF!=0, "",#REF!)</f>
        <v>#REF!</v>
      </c>
      <c r="C254" s="369" t="e">
        <f>#REF!</f>
        <v>#REF!</v>
      </c>
      <c r="D254" s="369"/>
      <c r="E254" s="291" t="e">
        <f>#REF!</f>
        <v>#REF!</v>
      </c>
      <c r="F254" s="148" t="e">
        <f>#REF!</f>
        <v>#REF!</v>
      </c>
      <c r="G254" s="205" t="e">
        <f xml:space="preserve"> IF(#REF!="", "",#REF!)</f>
        <v>#REF!</v>
      </c>
      <c r="H254" s="205" t="e">
        <f xml:space="preserve"> IF(#REF!="", "",#REF!)</f>
        <v>#REF!</v>
      </c>
      <c r="I254" s="205" t="e">
        <f xml:space="preserve"> IF(#REF!="", "",#REF!)</f>
        <v>#REF!</v>
      </c>
      <c r="J254" s="298" t="e">
        <f>#REF!</f>
        <v>#REF!</v>
      </c>
      <c r="K254" s="149" t="e">
        <f>#REF!</f>
        <v>#REF!</v>
      </c>
      <c r="L254" s="149" t="e">
        <f>#REF!</f>
        <v>#REF!</v>
      </c>
      <c r="M254" s="150" t="e">
        <f>#REF!</f>
        <v>#REF!</v>
      </c>
      <c r="N254" s="364"/>
      <c r="O254" s="202"/>
      <c r="P254" s="151" t="e">
        <f>#REF!</f>
        <v>#REF!</v>
      </c>
      <c r="Q254" s="202"/>
      <c r="R254" s="152" t="e">
        <f>#REF!</f>
        <v>#REF!</v>
      </c>
      <c r="S254" s="202"/>
      <c r="T254" s="153" t="e">
        <f>#REF!</f>
        <v>#REF!</v>
      </c>
      <c r="U254" s="202"/>
      <c r="V254" s="153" t="e">
        <f>#REF!</f>
        <v>#REF!</v>
      </c>
      <c r="W254" s="202"/>
      <c r="X254" s="153" t="e">
        <f>#REF!</f>
        <v>#REF!</v>
      </c>
      <c r="Y254" s="202"/>
      <c r="Z254" s="152" t="e">
        <f>#REF!</f>
        <v>#REF!</v>
      </c>
      <c r="AA254" s="202"/>
      <c r="AB254" s="153" t="e">
        <f>#REF!</f>
        <v>#REF!</v>
      </c>
      <c r="AC254" s="202"/>
      <c r="AD254" s="152" t="e">
        <f>#REF!</f>
        <v>#REF!</v>
      </c>
      <c r="AE254" s="202"/>
      <c r="AF254" s="153" t="e">
        <f>#REF!</f>
        <v>#REF!</v>
      </c>
      <c r="AG254" s="202"/>
      <c r="AH254" s="152" t="e">
        <f>#REF!</f>
        <v>#REF!</v>
      </c>
      <c r="AI254" s="202"/>
      <c r="AJ254" s="153" t="e">
        <f>#REF!</f>
        <v>#REF!</v>
      </c>
      <c r="AK254" s="202"/>
      <c r="AL254" s="152" t="e">
        <f>#REF!</f>
        <v>#REF!</v>
      </c>
      <c r="AM254" s="202"/>
      <c r="AN254" s="153" t="e">
        <f>#REF!</f>
        <v>#REF!</v>
      </c>
      <c r="AO254" s="202"/>
      <c r="AP254" s="152" t="e">
        <f>#REF!</f>
        <v>#REF!</v>
      </c>
      <c r="AQ254" s="202"/>
      <c r="AR254" s="154" t="e">
        <f>#REF!</f>
        <v>#REF!</v>
      </c>
      <c r="AS254" s="202"/>
      <c r="AT254" s="153" t="e">
        <f>#REF!</f>
        <v>#REF!</v>
      </c>
      <c r="AU254" s="202"/>
      <c r="AV254" s="152" t="e">
        <f>#REF!</f>
        <v>#REF!</v>
      </c>
      <c r="AW254" s="202"/>
      <c r="AX254" s="153" t="e">
        <f>#REF!</f>
        <v>#REF!</v>
      </c>
      <c r="AY254" s="202"/>
      <c r="AZ254" s="152" t="e">
        <f>#REF!</f>
        <v>#REF!</v>
      </c>
      <c r="BA254" s="202"/>
      <c r="BB254" s="154" t="e">
        <f>#REF!</f>
        <v>#REF!</v>
      </c>
      <c r="BC254" s="137"/>
    </row>
    <row r="255" spans="1:55" ht="30" hidden="1" customHeight="1">
      <c r="A255" s="203" t="e">
        <f>#REF!</f>
        <v>#REF!</v>
      </c>
      <c r="B255" s="204" t="e">
        <f xml:space="preserve"> IF(#REF!=0, "",#REF!)</f>
        <v>#REF!</v>
      </c>
      <c r="C255" s="369" t="e">
        <f>#REF!</f>
        <v>#REF!</v>
      </c>
      <c r="D255" s="369"/>
      <c r="E255" s="291" t="e">
        <f>#REF!</f>
        <v>#REF!</v>
      </c>
      <c r="F255" s="148" t="e">
        <f>#REF!</f>
        <v>#REF!</v>
      </c>
      <c r="G255" s="205" t="e">
        <f xml:space="preserve"> IF(#REF!="", "",#REF!)</f>
        <v>#REF!</v>
      </c>
      <c r="H255" s="205" t="e">
        <f xml:space="preserve"> IF(#REF!="", "",#REF!)</f>
        <v>#REF!</v>
      </c>
      <c r="I255" s="205" t="e">
        <f xml:space="preserve"> IF(#REF!="", "",#REF!)</f>
        <v>#REF!</v>
      </c>
      <c r="J255" s="298" t="e">
        <f>#REF!</f>
        <v>#REF!</v>
      </c>
      <c r="K255" s="149" t="e">
        <f>#REF!</f>
        <v>#REF!</v>
      </c>
      <c r="L255" s="149" t="e">
        <f>#REF!</f>
        <v>#REF!</v>
      </c>
      <c r="M255" s="150" t="e">
        <f>#REF!</f>
        <v>#REF!</v>
      </c>
      <c r="N255" s="364"/>
      <c r="O255" s="202"/>
      <c r="P255" s="151" t="e">
        <f>#REF!</f>
        <v>#REF!</v>
      </c>
      <c r="Q255" s="202"/>
      <c r="R255" s="152" t="e">
        <f>#REF!</f>
        <v>#REF!</v>
      </c>
      <c r="S255" s="202"/>
      <c r="T255" s="153" t="e">
        <f>#REF!</f>
        <v>#REF!</v>
      </c>
      <c r="U255" s="202"/>
      <c r="V255" s="153" t="e">
        <f>#REF!</f>
        <v>#REF!</v>
      </c>
      <c r="W255" s="202"/>
      <c r="X255" s="153" t="e">
        <f>#REF!</f>
        <v>#REF!</v>
      </c>
      <c r="Y255" s="202"/>
      <c r="Z255" s="152" t="e">
        <f>#REF!</f>
        <v>#REF!</v>
      </c>
      <c r="AA255" s="202"/>
      <c r="AB255" s="153" t="e">
        <f>#REF!</f>
        <v>#REF!</v>
      </c>
      <c r="AC255" s="202"/>
      <c r="AD255" s="152" t="e">
        <f>#REF!</f>
        <v>#REF!</v>
      </c>
      <c r="AE255" s="202"/>
      <c r="AF255" s="153" t="e">
        <f>#REF!</f>
        <v>#REF!</v>
      </c>
      <c r="AG255" s="202"/>
      <c r="AH255" s="152" t="e">
        <f>#REF!</f>
        <v>#REF!</v>
      </c>
      <c r="AI255" s="202"/>
      <c r="AJ255" s="153" t="e">
        <f>#REF!</f>
        <v>#REF!</v>
      </c>
      <c r="AK255" s="202"/>
      <c r="AL255" s="152" t="e">
        <f>#REF!</f>
        <v>#REF!</v>
      </c>
      <c r="AM255" s="202"/>
      <c r="AN255" s="153" t="e">
        <f>#REF!</f>
        <v>#REF!</v>
      </c>
      <c r="AO255" s="202"/>
      <c r="AP255" s="152" t="e">
        <f>#REF!</f>
        <v>#REF!</v>
      </c>
      <c r="AQ255" s="202"/>
      <c r="AR255" s="154" t="e">
        <f>#REF!</f>
        <v>#REF!</v>
      </c>
      <c r="AS255" s="202"/>
      <c r="AT255" s="153" t="e">
        <f>#REF!</f>
        <v>#REF!</v>
      </c>
      <c r="AU255" s="202"/>
      <c r="AV255" s="152" t="e">
        <f>#REF!</f>
        <v>#REF!</v>
      </c>
      <c r="AW255" s="202"/>
      <c r="AX255" s="153" t="e">
        <f>#REF!</f>
        <v>#REF!</v>
      </c>
      <c r="AY255" s="202"/>
      <c r="AZ255" s="152" t="e">
        <f>#REF!</f>
        <v>#REF!</v>
      </c>
      <c r="BA255" s="202"/>
      <c r="BB255" s="154" t="e">
        <f>#REF!</f>
        <v>#REF!</v>
      </c>
      <c r="BC255" s="137"/>
    </row>
    <row r="256" spans="1:55" ht="30" hidden="1" customHeight="1">
      <c r="A256" s="203" t="e">
        <f>#REF!</f>
        <v>#REF!</v>
      </c>
      <c r="B256" s="204" t="e">
        <f xml:space="preserve"> IF(#REF!=0, "",#REF!)</f>
        <v>#REF!</v>
      </c>
      <c r="C256" s="369" t="e">
        <f>#REF!</f>
        <v>#REF!</v>
      </c>
      <c r="D256" s="369"/>
      <c r="E256" s="291" t="e">
        <f>#REF!</f>
        <v>#REF!</v>
      </c>
      <c r="F256" s="148" t="e">
        <f>#REF!</f>
        <v>#REF!</v>
      </c>
      <c r="G256" s="205" t="e">
        <f xml:space="preserve"> IF(#REF!="", "",#REF!)</f>
        <v>#REF!</v>
      </c>
      <c r="H256" s="205" t="e">
        <f xml:space="preserve"> IF(#REF!="", "",#REF!)</f>
        <v>#REF!</v>
      </c>
      <c r="I256" s="205" t="e">
        <f xml:space="preserve"> IF(#REF!="", "",#REF!)</f>
        <v>#REF!</v>
      </c>
      <c r="J256" s="298" t="e">
        <f>#REF!</f>
        <v>#REF!</v>
      </c>
      <c r="K256" s="149" t="e">
        <f>#REF!</f>
        <v>#REF!</v>
      </c>
      <c r="L256" s="149" t="e">
        <f>#REF!</f>
        <v>#REF!</v>
      </c>
      <c r="M256" s="150" t="e">
        <f>#REF!</f>
        <v>#REF!</v>
      </c>
      <c r="N256" s="364"/>
      <c r="O256" s="202"/>
      <c r="P256" s="151" t="e">
        <f>#REF!</f>
        <v>#REF!</v>
      </c>
      <c r="Q256" s="202"/>
      <c r="R256" s="152" t="e">
        <f>#REF!</f>
        <v>#REF!</v>
      </c>
      <c r="S256" s="202"/>
      <c r="T256" s="153" t="e">
        <f>#REF!</f>
        <v>#REF!</v>
      </c>
      <c r="U256" s="202"/>
      <c r="V256" s="153" t="e">
        <f>#REF!</f>
        <v>#REF!</v>
      </c>
      <c r="W256" s="202"/>
      <c r="X256" s="153" t="e">
        <f>#REF!</f>
        <v>#REF!</v>
      </c>
      <c r="Y256" s="202"/>
      <c r="Z256" s="152" t="e">
        <f>#REF!</f>
        <v>#REF!</v>
      </c>
      <c r="AA256" s="202"/>
      <c r="AB256" s="153" t="e">
        <f>#REF!</f>
        <v>#REF!</v>
      </c>
      <c r="AC256" s="202"/>
      <c r="AD256" s="152" t="e">
        <f>#REF!</f>
        <v>#REF!</v>
      </c>
      <c r="AE256" s="202"/>
      <c r="AF256" s="153" t="e">
        <f>#REF!</f>
        <v>#REF!</v>
      </c>
      <c r="AG256" s="202"/>
      <c r="AH256" s="152" t="e">
        <f>#REF!</f>
        <v>#REF!</v>
      </c>
      <c r="AI256" s="202"/>
      <c r="AJ256" s="153" t="e">
        <f>#REF!</f>
        <v>#REF!</v>
      </c>
      <c r="AK256" s="202"/>
      <c r="AL256" s="152" t="e">
        <f>#REF!</f>
        <v>#REF!</v>
      </c>
      <c r="AM256" s="202"/>
      <c r="AN256" s="153" t="e">
        <f>#REF!</f>
        <v>#REF!</v>
      </c>
      <c r="AO256" s="202"/>
      <c r="AP256" s="152" t="e">
        <f>#REF!</f>
        <v>#REF!</v>
      </c>
      <c r="AQ256" s="202"/>
      <c r="AR256" s="154" t="e">
        <f>#REF!</f>
        <v>#REF!</v>
      </c>
      <c r="AS256" s="202"/>
      <c r="AT256" s="153" t="e">
        <f>#REF!</f>
        <v>#REF!</v>
      </c>
      <c r="AU256" s="202"/>
      <c r="AV256" s="152" t="e">
        <f>#REF!</f>
        <v>#REF!</v>
      </c>
      <c r="AW256" s="202"/>
      <c r="AX256" s="153" t="e">
        <f>#REF!</f>
        <v>#REF!</v>
      </c>
      <c r="AY256" s="202"/>
      <c r="AZ256" s="152" t="e">
        <f>#REF!</f>
        <v>#REF!</v>
      </c>
      <c r="BA256" s="202"/>
      <c r="BB256" s="154" t="e">
        <f>#REF!</f>
        <v>#REF!</v>
      </c>
      <c r="BC256" s="137"/>
    </row>
    <row r="257" spans="1:55" ht="30" hidden="1" customHeight="1">
      <c r="A257" s="203" t="e">
        <f>#REF!</f>
        <v>#REF!</v>
      </c>
      <c r="B257" s="204" t="e">
        <f xml:space="preserve"> IF(#REF!=0, "",#REF!)</f>
        <v>#REF!</v>
      </c>
      <c r="C257" s="369" t="e">
        <f>#REF!</f>
        <v>#REF!</v>
      </c>
      <c r="D257" s="369"/>
      <c r="E257" s="291" t="e">
        <f>#REF!</f>
        <v>#REF!</v>
      </c>
      <c r="F257" s="148" t="e">
        <f>#REF!</f>
        <v>#REF!</v>
      </c>
      <c r="G257" s="205" t="e">
        <f xml:space="preserve"> IF(#REF!="", "",#REF!)</f>
        <v>#REF!</v>
      </c>
      <c r="H257" s="205" t="e">
        <f xml:space="preserve"> IF(#REF!="", "",#REF!)</f>
        <v>#REF!</v>
      </c>
      <c r="I257" s="205" t="e">
        <f xml:space="preserve"> IF(#REF!="", "",#REF!)</f>
        <v>#REF!</v>
      </c>
      <c r="J257" s="298" t="e">
        <f>#REF!</f>
        <v>#REF!</v>
      </c>
      <c r="K257" s="149" t="e">
        <f>#REF!</f>
        <v>#REF!</v>
      </c>
      <c r="L257" s="149" t="e">
        <f>#REF!</f>
        <v>#REF!</v>
      </c>
      <c r="M257" s="150" t="e">
        <f>#REF!</f>
        <v>#REF!</v>
      </c>
      <c r="N257" s="364"/>
      <c r="O257" s="202"/>
      <c r="P257" s="151" t="e">
        <f>#REF!</f>
        <v>#REF!</v>
      </c>
      <c r="Q257" s="202"/>
      <c r="R257" s="152" t="e">
        <f>#REF!</f>
        <v>#REF!</v>
      </c>
      <c r="S257" s="202"/>
      <c r="T257" s="153" t="e">
        <f>#REF!</f>
        <v>#REF!</v>
      </c>
      <c r="U257" s="202"/>
      <c r="V257" s="153" t="e">
        <f>#REF!</f>
        <v>#REF!</v>
      </c>
      <c r="W257" s="202"/>
      <c r="X257" s="153" t="e">
        <f>#REF!</f>
        <v>#REF!</v>
      </c>
      <c r="Y257" s="202"/>
      <c r="Z257" s="152" t="e">
        <f>#REF!</f>
        <v>#REF!</v>
      </c>
      <c r="AA257" s="202"/>
      <c r="AB257" s="153" t="e">
        <f>#REF!</f>
        <v>#REF!</v>
      </c>
      <c r="AC257" s="202"/>
      <c r="AD257" s="152" t="e">
        <f>#REF!</f>
        <v>#REF!</v>
      </c>
      <c r="AE257" s="202"/>
      <c r="AF257" s="153" t="e">
        <f>#REF!</f>
        <v>#REF!</v>
      </c>
      <c r="AG257" s="202"/>
      <c r="AH257" s="152" t="e">
        <f>#REF!</f>
        <v>#REF!</v>
      </c>
      <c r="AI257" s="202"/>
      <c r="AJ257" s="153" t="e">
        <f>#REF!</f>
        <v>#REF!</v>
      </c>
      <c r="AK257" s="202"/>
      <c r="AL257" s="152" t="e">
        <f>#REF!</f>
        <v>#REF!</v>
      </c>
      <c r="AM257" s="202"/>
      <c r="AN257" s="153" t="e">
        <f>#REF!</f>
        <v>#REF!</v>
      </c>
      <c r="AO257" s="202"/>
      <c r="AP257" s="152" t="e">
        <f>#REF!</f>
        <v>#REF!</v>
      </c>
      <c r="AQ257" s="202"/>
      <c r="AR257" s="154" t="e">
        <f>#REF!</f>
        <v>#REF!</v>
      </c>
      <c r="AS257" s="202"/>
      <c r="AT257" s="153" t="e">
        <f>#REF!</f>
        <v>#REF!</v>
      </c>
      <c r="AU257" s="202"/>
      <c r="AV257" s="152" t="e">
        <f>#REF!</f>
        <v>#REF!</v>
      </c>
      <c r="AW257" s="202"/>
      <c r="AX257" s="153" t="e">
        <f>#REF!</f>
        <v>#REF!</v>
      </c>
      <c r="AY257" s="202"/>
      <c r="AZ257" s="152" t="e">
        <f>#REF!</f>
        <v>#REF!</v>
      </c>
      <c r="BA257" s="202"/>
      <c r="BB257" s="154" t="e">
        <f>#REF!</f>
        <v>#REF!</v>
      </c>
      <c r="BC257" s="137"/>
    </row>
    <row r="258" spans="1:55" ht="30" hidden="1" customHeight="1">
      <c r="A258" s="203" t="e">
        <f>#REF!</f>
        <v>#REF!</v>
      </c>
      <c r="B258" s="204" t="e">
        <f xml:space="preserve"> IF(#REF!=0, "",#REF!)</f>
        <v>#REF!</v>
      </c>
      <c r="C258" s="369" t="e">
        <f>#REF!</f>
        <v>#REF!</v>
      </c>
      <c r="D258" s="369"/>
      <c r="E258" s="291" t="e">
        <f>#REF!</f>
        <v>#REF!</v>
      </c>
      <c r="F258" s="148" t="e">
        <f>#REF!</f>
        <v>#REF!</v>
      </c>
      <c r="G258" s="205" t="e">
        <f xml:space="preserve"> IF(#REF!="", "",#REF!)</f>
        <v>#REF!</v>
      </c>
      <c r="H258" s="205" t="e">
        <f xml:space="preserve"> IF(#REF!="", "",#REF!)</f>
        <v>#REF!</v>
      </c>
      <c r="I258" s="205" t="e">
        <f xml:space="preserve"> IF(#REF!="", "",#REF!)</f>
        <v>#REF!</v>
      </c>
      <c r="J258" s="298" t="e">
        <f>#REF!</f>
        <v>#REF!</v>
      </c>
      <c r="K258" s="149" t="e">
        <f>#REF!</f>
        <v>#REF!</v>
      </c>
      <c r="L258" s="149" t="e">
        <f>#REF!</f>
        <v>#REF!</v>
      </c>
      <c r="M258" s="150" t="e">
        <f>#REF!</f>
        <v>#REF!</v>
      </c>
      <c r="N258" s="364"/>
      <c r="O258" s="202"/>
      <c r="P258" s="151" t="e">
        <f>#REF!</f>
        <v>#REF!</v>
      </c>
      <c r="Q258" s="202"/>
      <c r="R258" s="152" t="e">
        <f>#REF!</f>
        <v>#REF!</v>
      </c>
      <c r="S258" s="202"/>
      <c r="T258" s="153" t="e">
        <f>#REF!</f>
        <v>#REF!</v>
      </c>
      <c r="U258" s="202"/>
      <c r="V258" s="153" t="e">
        <f>#REF!</f>
        <v>#REF!</v>
      </c>
      <c r="W258" s="202"/>
      <c r="X258" s="153" t="e">
        <f>#REF!</f>
        <v>#REF!</v>
      </c>
      <c r="Y258" s="202"/>
      <c r="Z258" s="152" t="e">
        <f>#REF!</f>
        <v>#REF!</v>
      </c>
      <c r="AA258" s="202"/>
      <c r="AB258" s="153" t="e">
        <f>#REF!</f>
        <v>#REF!</v>
      </c>
      <c r="AC258" s="202"/>
      <c r="AD258" s="152" t="e">
        <f>#REF!</f>
        <v>#REF!</v>
      </c>
      <c r="AE258" s="202"/>
      <c r="AF258" s="153" t="e">
        <f>#REF!</f>
        <v>#REF!</v>
      </c>
      <c r="AG258" s="202"/>
      <c r="AH258" s="152" t="e">
        <f>#REF!</f>
        <v>#REF!</v>
      </c>
      <c r="AI258" s="202"/>
      <c r="AJ258" s="153" t="e">
        <f>#REF!</f>
        <v>#REF!</v>
      </c>
      <c r="AK258" s="202"/>
      <c r="AL258" s="152" t="e">
        <f>#REF!</f>
        <v>#REF!</v>
      </c>
      <c r="AM258" s="202"/>
      <c r="AN258" s="153" t="e">
        <f>#REF!</f>
        <v>#REF!</v>
      </c>
      <c r="AO258" s="202"/>
      <c r="AP258" s="152" t="e">
        <f>#REF!</f>
        <v>#REF!</v>
      </c>
      <c r="AQ258" s="202"/>
      <c r="AR258" s="154" t="e">
        <f>#REF!</f>
        <v>#REF!</v>
      </c>
      <c r="AS258" s="202"/>
      <c r="AT258" s="153" t="e">
        <f>#REF!</f>
        <v>#REF!</v>
      </c>
      <c r="AU258" s="202"/>
      <c r="AV258" s="152" t="e">
        <f>#REF!</f>
        <v>#REF!</v>
      </c>
      <c r="AW258" s="202"/>
      <c r="AX258" s="153" t="e">
        <f>#REF!</f>
        <v>#REF!</v>
      </c>
      <c r="AY258" s="202"/>
      <c r="AZ258" s="152" t="e">
        <f>#REF!</f>
        <v>#REF!</v>
      </c>
      <c r="BA258" s="202"/>
      <c r="BB258" s="154" t="e">
        <f>#REF!</f>
        <v>#REF!</v>
      </c>
      <c r="BC258" s="137"/>
    </row>
    <row r="259" spans="1:55" ht="30" hidden="1" customHeight="1">
      <c r="A259" s="203" t="e">
        <f>#REF!</f>
        <v>#REF!</v>
      </c>
      <c r="B259" s="204" t="e">
        <f xml:space="preserve"> IF(#REF!=0, "",#REF!)</f>
        <v>#REF!</v>
      </c>
      <c r="C259" s="369" t="e">
        <f>#REF!</f>
        <v>#REF!</v>
      </c>
      <c r="D259" s="369"/>
      <c r="E259" s="291" t="e">
        <f>#REF!</f>
        <v>#REF!</v>
      </c>
      <c r="F259" s="148" t="e">
        <f>#REF!</f>
        <v>#REF!</v>
      </c>
      <c r="G259" s="205" t="e">
        <f xml:space="preserve"> IF(#REF!="", "",#REF!)</f>
        <v>#REF!</v>
      </c>
      <c r="H259" s="205" t="e">
        <f xml:space="preserve"> IF(#REF!="", "",#REF!)</f>
        <v>#REF!</v>
      </c>
      <c r="I259" s="205" t="e">
        <f xml:space="preserve"> IF(#REF!="", "",#REF!)</f>
        <v>#REF!</v>
      </c>
      <c r="J259" s="298" t="e">
        <f>#REF!</f>
        <v>#REF!</v>
      </c>
      <c r="K259" s="149" t="e">
        <f>#REF!</f>
        <v>#REF!</v>
      </c>
      <c r="L259" s="149" t="e">
        <f>#REF!</f>
        <v>#REF!</v>
      </c>
      <c r="M259" s="150" t="e">
        <f>#REF!</f>
        <v>#REF!</v>
      </c>
      <c r="N259" s="364"/>
      <c r="O259" s="202"/>
      <c r="P259" s="151" t="e">
        <f>#REF!</f>
        <v>#REF!</v>
      </c>
      <c r="Q259" s="202"/>
      <c r="R259" s="152" t="e">
        <f>#REF!</f>
        <v>#REF!</v>
      </c>
      <c r="S259" s="202"/>
      <c r="T259" s="153" t="e">
        <f>#REF!</f>
        <v>#REF!</v>
      </c>
      <c r="U259" s="202"/>
      <c r="V259" s="153" t="e">
        <f>#REF!</f>
        <v>#REF!</v>
      </c>
      <c r="W259" s="202"/>
      <c r="X259" s="153" t="e">
        <f>#REF!</f>
        <v>#REF!</v>
      </c>
      <c r="Y259" s="202"/>
      <c r="Z259" s="152" t="e">
        <f>#REF!</f>
        <v>#REF!</v>
      </c>
      <c r="AA259" s="202"/>
      <c r="AB259" s="153" t="e">
        <f>#REF!</f>
        <v>#REF!</v>
      </c>
      <c r="AC259" s="202"/>
      <c r="AD259" s="152" t="e">
        <f>#REF!</f>
        <v>#REF!</v>
      </c>
      <c r="AE259" s="202"/>
      <c r="AF259" s="153" t="e">
        <f>#REF!</f>
        <v>#REF!</v>
      </c>
      <c r="AG259" s="202"/>
      <c r="AH259" s="152" t="e">
        <f>#REF!</f>
        <v>#REF!</v>
      </c>
      <c r="AI259" s="202"/>
      <c r="AJ259" s="153" t="e">
        <f>#REF!</f>
        <v>#REF!</v>
      </c>
      <c r="AK259" s="202"/>
      <c r="AL259" s="152" t="e">
        <f>#REF!</f>
        <v>#REF!</v>
      </c>
      <c r="AM259" s="202"/>
      <c r="AN259" s="153" t="e">
        <f>#REF!</f>
        <v>#REF!</v>
      </c>
      <c r="AO259" s="202"/>
      <c r="AP259" s="152" t="e">
        <f>#REF!</f>
        <v>#REF!</v>
      </c>
      <c r="AQ259" s="202"/>
      <c r="AR259" s="154" t="e">
        <f>#REF!</f>
        <v>#REF!</v>
      </c>
      <c r="AS259" s="202"/>
      <c r="AT259" s="153" t="e">
        <f>#REF!</f>
        <v>#REF!</v>
      </c>
      <c r="AU259" s="202"/>
      <c r="AV259" s="152" t="e">
        <f>#REF!</f>
        <v>#REF!</v>
      </c>
      <c r="AW259" s="202"/>
      <c r="AX259" s="153" t="e">
        <f>#REF!</f>
        <v>#REF!</v>
      </c>
      <c r="AY259" s="202"/>
      <c r="AZ259" s="152" t="e">
        <f>#REF!</f>
        <v>#REF!</v>
      </c>
      <c r="BA259" s="202"/>
      <c r="BB259" s="154" t="e">
        <f>#REF!</f>
        <v>#REF!</v>
      </c>
      <c r="BC259" s="137"/>
    </row>
    <row r="260" spans="1:55" ht="30" hidden="1" customHeight="1">
      <c r="A260" s="203" t="e">
        <f>#REF!</f>
        <v>#REF!</v>
      </c>
      <c r="B260" s="204" t="e">
        <f xml:space="preserve"> IF(#REF!=0, "",#REF!)</f>
        <v>#REF!</v>
      </c>
      <c r="C260" s="369" t="e">
        <f>#REF!</f>
        <v>#REF!</v>
      </c>
      <c r="D260" s="369"/>
      <c r="E260" s="291" t="e">
        <f>#REF!</f>
        <v>#REF!</v>
      </c>
      <c r="F260" s="148" t="e">
        <f>#REF!</f>
        <v>#REF!</v>
      </c>
      <c r="G260" s="205" t="e">
        <f xml:space="preserve"> IF(#REF!="", "",#REF!)</f>
        <v>#REF!</v>
      </c>
      <c r="H260" s="205" t="e">
        <f xml:space="preserve"> IF(#REF!="", "",#REF!)</f>
        <v>#REF!</v>
      </c>
      <c r="I260" s="205" t="e">
        <f xml:space="preserve"> IF(#REF!="", "",#REF!)</f>
        <v>#REF!</v>
      </c>
      <c r="J260" s="298" t="e">
        <f>#REF!</f>
        <v>#REF!</v>
      </c>
      <c r="K260" s="149" t="e">
        <f>#REF!</f>
        <v>#REF!</v>
      </c>
      <c r="L260" s="149" t="e">
        <f>#REF!</f>
        <v>#REF!</v>
      </c>
      <c r="M260" s="150" t="e">
        <f>#REF!</f>
        <v>#REF!</v>
      </c>
      <c r="N260" s="364"/>
      <c r="O260" s="202"/>
      <c r="P260" s="151" t="e">
        <f>#REF!</f>
        <v>#REF!</v>
      </c>
      <c r="Q260" s="202"/>
      <c r="R260" s="152" t="e">
        <f>#REF!</f>
        <v>#REF!</v>
      </c>
      <c r="S260" s="202"/>
      <c r="T260" s="153" t="e">
        <f>#REF!</f>
        <v>#REF!</v>
      </c>
      <c r="U260" s="202"/>
      <c r="V260" s="153" t="e">
        <f>#REF!</f>
        <v>#REF!</v>
      </c>
      <c r="W260" s="202"/>
      <c r="X260" s="153" t="e">
        <f>#REF!</f>
        <v>#REF!</v>
      </c>
      <c r="Y260" s="202"/>
      <c r="Z260" s="152" t="e">
        <f>#REF!</f>
        <v>#REF!</v>
      </c>
      <c r="AA260" s="202"/>
      <c r="AB260" s="153" t="e">
        <f>#REF!</f>
        <v>#REF!</v>
      </c>
      <c r="AC260" s="202"/>
      <c r="AD260" s="152" t="e">
        <f>#REF!</f>
        <v>#REF!</v>
      </c>
      <c r="AE260" s="202"/>
      <c r="AF260" s="153" t="e">
        <f>#REF!</f>
        <v>#REF!</v>
      </c>
      <c r="AG260" s="202"/>
      <c r="AH260" s="152" t="e">
        <f>#REF!</f>
        <v>#REF!</v>
      </c>
      <c r="AI260" s="202"/>
      <c r="AJ260" s="153" t="e">
        <f>#REF!</f>
        <v>#REF!</v>
      </c>
      <c r="AK260" s="202"/>
      <c r="AL260" s="152" t="e">
        <f>#REF!</f>
        <v>#REF!</v>
      </c>
      <c r="AM260" s="202"/>
      <c r="AN260" s="153" t="e">
        <f>#REF!</f>
        <v>#REF!</v>
      </c>
      <c r="AO260" s="202"/>
      <c r="AP260" s="152" t="e">
        <f>#REF!</f>
        <v>#REF!</v>
      </c>
      <c r="AQ260" s="202"/>
      <c r="AR260" s="154" t="e">
        <f>#REF!</f>
        <v>#REF!</v>
      </c>
      <c r="AS260" s="202"/>
      <c r="AT260" s="153" t="e">
        <f>#REF!</f>
        <v>#REF!</v>
      </c>
      <c r="AU260" s="202"/>
      <c r="AV260" s="152" t="e">
        <f>#REF!</f>
        <v>#REF!</v>
      </c>
      <c r="AW260" s="202"/>
      <c r="AX260" s="153" t="e">
        <f>#REF!</f>
        <v>#REF!</v>
      </c>
      <c r="AY260" s="202"/>
      <c r="AZ260" s="152" t="e">
        <f>#REF!</f>
        <v>#REF!</v>
      </c>
      <c r="BA260" s="202"/>
      <c r="BB260" s="154" t="e">
        <f>#REF!</f>
        <v>#REF!</v>
      </c>
      <c r="BC260" s="137"/>
    </row>
    <row r="261" spans="1:55" ht="30" hidden="1" customHeight="1">
      <c r="A261" s="203" t="e">
        <f>#REF!</f>
        <v>#REF!</v>
      </c>
      <c r="B261" s="204" t="e">
        <f xml:space="preserve"> IF(#REF!=0, "",#REF!)</f>
        <v>#REF!</v>
      </c>
      <c r="C261" s="369" t="e">
        <f>#REF!</f>
        <v>#REF!</v>
      </c>
      <c r="D261" s="369"/>
      <c r="E261" s="291" t="e">
        <f>#REF!</f>
        <v>#REF!</v>
      </c>
      <c r="F261" s="148" t="e">
        <f>#REF!</f>
        <v>#REF!</v>
      </c>
      <c r="G261" s="205" t="e">
        <f xml:space="preserve"> IF(#REF!="", "",#REF!)</f>
        <v>#REF!</v>
      </c>
      <c r="H261" s="205" t="e">
        <f xml:space="preserve"> IF(#REF!="", "",#REF!)</f>
        <v>#REF!</v>
      </c>
      <c r="I261" s="205" t="e">
        <f xml:space="preserve"> IF(#REF!="", "",#REF!)</f>
        <v>#REF!</v>
      </c>
      <c r="J261" s="298" t="e">
        <f>#REF!</f>
        <v>#REF!</v>
      </c>
      <c r="K261" s="149" t="e">
        <f>#REF!</f>
        <v>#REF!</v>
      </c>
      <c r="L261" s="149" t="e">
        <f>#REF!</f>
        <v>#REF!</v>
      </c>
      <c r="M261" s="150" t="e">
        <f>#REF!</f>
        <v>#REF!</v>
      </c>
      <c r="N261" s="364"/>
      <c r="O261" s="202"/>
      <c r="P261" s="151" t="e">
        <f>#REF!</f>
        <v>#REF!</v>
      </c>
      <c r="Q261" s="202"/>
      <c r="R261" s="152" t="e">
        <f>#REF!</f>
        <v>#REF!</v>
      </c>
      <c r="S261" s="202"/>
      <c r="T261" s="153" t="e">
        <f>#REF!</f>
        <v>#REF!</v>
      </c>
      <c r="U261" s="202"/>
      <c r="V261" s="153" t="e">
        <f>#REF!</f>
        <v>#REF!</v>
      </c>
      <c r="W261" s="202"/>
      <c r="X261" s="153" t="e">
        <f>#REF!</f>
        <v>#REF!</v>
      </c>
      <c r="Y261" s="202"/>
      <c r="Z261" s="152" t="e">
        <f>#REF!</f>
        <v>#REF!</v>
      </c>
      <c r="AA261" s="202"/>
      <c r="AB261" s="153" t="e">
        <f>#REF!</f>
        <v>#REF!</v>
      </c>
      <c r="AC261" s="202"/>
      <c r="AD261" s="152" t="e">
        <f>#REF!</f>
        <v>#REF!</v>
      </c>
      <c r="AE261" s="202"/>
      <c r="AF261" s="153" t="e">
        <f>#REF!</f>
        <v>#REF!</v>
      </c>
      <c r="AG261" s="202"/>
      <c r="AH261" s="152" t="e">
        <f>#REF!</f>
        <v>#REF!</v>
      </c>
      <c r="AI261" s="202"/>
      <c r="AJ261" s="153" t="e">
        <f>#REF!</f>
        <v>#REF!</v>
      </c>
      <c r="AK261" s="202"/>
      <c r="AL261" s="152" t="e">
        <f>#REF!</f>
        <v>#REF!</v>
      </c>
      <c r="AM261" s="202"/>
      <c r="AN261" s="153" t="e">
        <f>#REF!</f>
        <v>#REF!</v>
      </c>
      <c r="AO261" s="202"/>
      <c r="AP261" s="152" t="e">
        <f>#REF!</f>
        <v>#REF!</v>
      </c>
      <c r="AQ261" s="202"/>
      <c r="AR261" s="154" t="e">
        <f>#REF!</f>
        <v>#REF!</v>
      </c>
      <c r="AS261" s="202"/>
      <c r="AT261" s="153" t="e">
        <f>#REF!</f>
        <v>#REF!</v>
      </c>
      <c r="AU261" s="202"/>
      <c r="AV261" s="152" t="e">
        <f>#REF!</f>
        <v>#REF!</v>
      </c>
      <c r="AW261" s="202"/>
      <c r="AX261" s="153" t="e">
        <f>#REF!</f>
        <v>#REF!</v>
      </c>
      <c r="AY261" s="202"/>
      <c r="AZ261" s="152" t="e">
        <f>#REF!</f>
        <v>#REF!</v>
      </c>
      <c r="BA261" s="202"/>
      <c r="BB261" s="154" t="e">
        <f>#REF!</f>
        <v>#REF!</v>
      </c>
      <c r="BC261" s="137"/>
    </row>
    <row r="262" spans="1:55" ht="15.75">
      <c r="A262" s="159"/>
      <c r="B262" s="160"/>
      <c r="C262" s="155"/>
      <c r="D262" s="113"/>
      <c r="E262" s="113"/>
      <c r="F262" s="112"/>
      <c r="G262" s="112"/>
      <c r="H262" s="112"/>
      <c r="I262" s="112"/>
      <c r="J262" s="112"/>
      <c r="K262" s="112"/>
      <c r="L262" s="112"/>
      <c r="M262" s="113"/>
      <c r="N262" s="113"/>
      <c r="O262" s="126"/>
      <c r="P262" s="127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8"/>
      <c r="AD262" s="126"/>
      <c r="AE262" s="128"/>
      <c r="AF262" s="126"/>
      <c r="AG262" s="128"/>
      <c r="AH262" s="126"/>
      <c r="AI262" s="128"/>
      <c r="AJ262" s="126"/>
      <c r="AK262" s="128"/>
      <c r="AL262" s="126"/>
      <c r="AM262" s="128"/>
      <c r="AN262" s="126"/>
      <c r="AO262" s="128"/>
      <c r="AP262" s="126"/>
      <c r="AQ262" s="128"/>
      <c r="AR262" s="129"/>
      <c r="AS262" s="128"/>
      <c r="AT262" s="126"/>
      <c r="AU262" s="128"/>
      <c r="AV262" s="126"/>
      <c r="AW262" s="128"/>
      <c r="AX262" s="126"/>
      <c r="AY262" s="128"/>
      <c r="AZ262" s="126"/>
      <c r="BA262" s="128"/>
      <c r="BB262" s="129"/>
      <c r="BC262" s="137"/>
    </row>
    <row r="263" spans="1:55" hidden="1">
      <c r="A263" s="113"/>
      <c r="B263" s="112"/>
      <c r="O263" s="157"/>
      <c r="P263" s="113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M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AZ263" s="112"/>
      <c r="BA263" s="112"/>
      <c r="BB263" s="112"/>
    </row>
  </sheetData>
  <sheetProtection autoFilter="0"/>
  <autoFilter ref="A11:M261" xr:uid="{EED43031-AAAB-4BEF-B61B-D1E25C428E9B}">
    <filterColumn colId="2" showButton="0">
      <filters>
        <filter val="Açaï en poudre iofilisée BIO (env. 250g)"/>
        <filter val="Ail blanc ou violet BIO"/>
        <filter val="Algue Chlorella en poudre BIO (env. 1kg)"/>
        <filter val="Algue Chlorella en poudre BIO (env. 500g)"/>
        <filter val="Algue Dulse déshydratée BIO (env. 1kg)"/>
        <filter val="Algue Dulse déshydratée BIO (env. 500g)"/>
        <filter val="Algue Kombu déshydratées BIO (env. 1kg)"/>
        <filter val="Algue Kombu déshydratées BIO (env. 500g)"/>
        <filter val="Algue Nori entière déshydratées BIO (env. 1kg)"/>
        <filter val="Algue Nori entière déshydratées BIO (env. 500g)"/>
        <filter val="Aloe Vera (feuille fraîche) BIO"/>
        <filter val="Amande Desmayo avec coque"/>
        <filter val="Amande Lauren avec coque (saveur sucrée)"/>
        <filter val="Amande Romera avec coque"/>
        <filter val="Amande sans coque CRU BIO (env. 1kg)"/>
        <filter val="Ananas (mûri sur plante, env. 2kg)_x000a_Super bon, couleur intense, très aromatique"/>
        <filter val="Ananas deshydraté BIO (env. 1kg)"/>
        <filter val="Arachides crues avec coque"/>
        <filter val="Arachides sans coque pelé CRU BIO"/>
        <filter val="Aubergine"/>
        <filter val="Avocat Bacon (grand)"/>
        <filter val="Avocat Bacon BIO"/>
        <filter val="Avocat Bacon Cocktail (petit calibre)"/>
        <filter val="Avocat Bacon médium BIO"/>
        <filter val="Avocat Fuerte"/>
        <filter val="Avocat Fuerte BIO"/>
        <filter val="Baie de Goji BIO (env. 1kg)"/>
        <filter val="Baie de Goji BIO (envi. 500g)"/>
        <filter val="Banane Cavendish (mûri sur plante)"/>
        <filter val="Banane Cavendish BIO/RECO_x000a_    - (robuste et ferme)"/>
        <filter val="Banane deshydratée BIO semi-sèche_x000a_    - (Production Rufino, env. 200g)"/>
        <filter val="Bâtons de cannelle BIO (env. 100g)"/>
        <filter val="Betterave BIO"/>
        <filter val="Betterave en poudre BIO (env. 1kg)"/>
        <filter val="Betterave en poudre BIO (env. 500g)"/>
        <filter val="Beurre de cacao BIO (env. 1kg)"/>
        <filter val="Blette BIO"/>
        <filter val="Cacao en poudre CRU BIO (env. 1 kg)"/>
        <filter val="Camu Camu en poudre BIO (env. 250g)"/>
        <filter val="Carambole / fruit étoilé"/>
        <filter val="Carotte avec fane"/>
        <filter val="Carotte sans fane"/>
        <filter val="Carotte sans fane BIO"/>
        <filter val="Caroube de l'Alpujarra BIO (env 400g)"/>
        <filter val="Céleri vert"/>
        <filter val="Céleri vert BIO"/>
        <filter val="Chia BIO (env. 1kg)"/>
        <filter val="Chips de coco CRU BIO (env. 1kg)"/>
        <filter val="Chirimoya (grand)"/>
        <filter val="Chirimoya BIO (production Rufino)"/>
        <filter val="Chou Kale BIO (production Rufino)"/>
        <filter val="Chou Kale Winterbor Crespa BIO baby (Production de Rufino)"/>
        <filter val="Chou vert BIO"/>
        <filter val="Citron Caviar (culture naturelle, plateau 200g)"/>
        <filter val="Citron Caviar (culture naturelle, plateau 500g)"/>
        <filter val="Citron Caviar BIO_x000a_    - (plateau de 200g)"/>
        <filter val="Citron Caviar BIO_x000a_    - (plateau de 500g)"/>
        <filter val="Citron jaune (mûri sur plante)"/>
        <filter val="Citron jaune BIO (seconde catégorie)"/>
        <filter val="Citron jaune Verna BIO (mûri sur arbre)_x000a_    - (grand/moyen)"/>
        <filter val="Citron vert"/>
        <filter val="Citronnelle BIO_x000a_    - (bouquet de 5 tiges)"/>
        <filter val="Coco Pagode fraîche"/>
        <filter val="Coing"/>
        <filter val="Concombre mini gourmet"/>
        <filter val="Courge Butternut BIO"/>
        <filter val="Courgette BIO (2nd catégorie)"/>
        <filter val="Crackers déshydratés CRU BIO (env. 200g)_x000a_    - (tomate, tournesol, sarrasin, lin, oignons, ...)"/>
        <filter val="Curcuma frais BIO (paquet 500g)"/>
        <filter val="Dattes Deglet Nour en rame BIO"/>
        <filter val="Dattes Deglet Nour sans rame BIO"/>
        <filter val="Dattes Deglet sans noyau BIO"/>
        <filter val="Dattes Mazafati de Bam BIO (env. 250g)"/>
        <filter val="Dattes Medjool Jumbo semi-sèche BIO"/>
        <filter val="Eau de mer micro-filtrée hypertonique_x000a_    - (n°1 : box 3L)"/>
        <filter val="Eau de mer micro-filtrée hypertonique_x000a_    - (n°2 : box 11L)"/>
        <filter val="Eau de mer micro-filtrée hypertonique_x000a_    - (n°3 : box 20L)"/>
        <filter val="Epi de maïs doux frais"/>
        <filter val="Extracteur de jus ANGEL 5500"/>
        <filter val="Fane de Betterave Baby BIO_x000a_    - (Production de Rufino)"/>
        <filter val="Fane de betterave BIO (production Rufino)"/>
        <filter val="Farine de coco (env. 1kg)"/>
        <filter val="Fenugrec en graines BIO (env. 500g)"/>
        <filter val="Fève de Cacao entière CRU BIO (env. 1kg)"/>
        <filter val="Figue de Barbarie"/>
        <filter val="Figues sèches BIO"/>
        <filter val="Fruits du Baobab en poudre BIO"/>
        <filter val="Gingembre BIO"/>
        <filter val="Goyave"/>
        <filter val="Graines de chanvre pelées CRU BIO_x000a_    - (env. 1 kg)"/>
        <filter val="Graines de tournesol sans coque CRU BIO_x000a_    - (env. 1kg)"/>
        <filter val="Graines de tournesol sans coque CRU BIO_x000a_    - (env. 500g)"/>
        <filter val="Grenade"/>
        <filter val="Grenade BIO"/>
        <filter val="Grenade Purple Queen BIO"/>
        <filter val="Huile d'olive Alorena 1L BIO"/>
        <filter val="Huile d'olive Aloreña 5L BIO"/>
        <filter val="Kaki différentes variétés_x000a_    - (persimon, rouge brillant, tomatero)"/>
        <filter val="Kaki Fuyu"/>
        <filter val="Kiwi"/>
        <filter val="Kiwi  BIO"/>
        <filter val="Kiwi Sun Gold"/>
        <filter val="Lait de coco en poudre CRU BIO (1kg)"/>
        <filter val="Lait de coco en poudre CRU BIO (500g)"/>
        <filter val="Lima-Limon BIO (entre citron vert et jaune)_x000a_    - (Variété indienne)"/>
        <filter val="Lucuma cru en poudre CRU BIO (env. 1 kg)"/>
        <filter val="Maca brute en poudre CRU BIO (env. 1kg)"/>
        <filter val="Maca brute en poudre CRU BIO (env. 500g)"/>
        <filter val="Maca noire BIO (env. 1kg)"/>
        <filter val="Maca noire BIO (env. 500g)"/>
        <filter val="Maïs doux frais (plateau de 2 pièces)"/>
        <filter val="Mangue déshydratée Irwin gourmet (à basse température, tranches)"/>
        <filter val="Mangue déshydratée rouge Palmer (semi-sèche  de fabrication artisanale, env. 500g)"/>
        <filter val="Mangue Irwin (grande)"/>
        <filter val="Mangue Keitt"/>
        <filter val="Mangue Keitt BIO"/>
        <filter val="Mangue Keitt BIO (légères brûlures superficielles à côté du pédoncule causées par le soleil)"/>
        <filter val="Mangue Keitt BIO (petit)"/>
        <filter val="Mangue Kent (moyen) murie sur l'arbre"/>
        <filter val="Mangue Kent Bio (légères brûlures superficielles à côté de la tige produites par le soleil)"/>
        <filter val="Mangue Lipens"/>
        <filter val="Mangue Osteen"/>
        <filter val="Mangue Osteen (Ferme Eparadise, mûrie sur plante, récoltée quotidiennement)"/>
        <filter val="Mangue Osteen BIO (Qualité supérieure, mûrie sur plante)"/>
        <filter val="Mangue Osteen mini gourmet"/>
        <filter val="Mangue Palmer Rouge BIO (Grand)"/>
        <filter val="Mangue Palmer rouge gourmet BIO"/>
        <filter val="Mangue plusieurs variétés_x000a_    - (Haden, Irwin, Lipens, Osteen, Tommy Atkins)"/>
        <filter val="Melon peau de crapaud"/>
        <filter val="Melon peau de crapaud BIO"/>
        <filter val="Miel d'avocat (Bocal en verre 1kg)"/>
        <filter val="Miel de Fleur d'oranger (Bocal en verre 1kg)"/>
        <filter val="Miel de Huelva multifleurs sans filtration CRU BIO  _x000a_    - (Bocal en verre 1kg)"/>
        <filter val="Miel de montagne (Bocal en verre 1kg)"/>
        <filter val="Miel de Romarin (Bocal en verre 1kg)"/>
        <filter val="Miel d'eucalyptus BIO (Bocal en verre 1kg)"/>
        <filter val="Miel Multi-fleurs (Bocal en verre 1kg)"/>
        <filter val="Néfle d'hiver"/>
        <filter val="Noisette sans coque CRU BIO (env. 1kg)"/>
        <filter val="Noix de cajou BIO (env. 1kg)"/>
        <filter val="Noix de Macadamia sans coque BIO_x000a_    - (env. 1kg)"/>
        <filter val="Noix de Macadamia sans coque BIO_x000a_    - (env. 500g)"/>
        <filter val="Noix de Pécan sans coque BIO (env. 1kg)"/>
        <filter val="Noix de Pécan sans coque BIO (env. 500g)"/>
        <filter val="Oignon blanc BIO"/>
        <filter val="Oignon rouge BIO"/>
        <filter val="Olives Aloreña BIO non pasteurisées (Bocal 800g)"/>
        <filter val="Olives fermentées BIO non pasteurisées (env. 450g, Fraîches, semi-sèches, sèches, au choix, sans sel, sans eau et sans autres ajouts)"/>
        <filter val="Olives noires BIO (bocal 500g, sans noyau, semi-séchées, non pasteurisées)"/>
        <filter val="Olives vertes Gordal Manzanilla fraîches"/>
        <filter val="Orange Valencialate"/>
        <filter val="Paprika épicé de la Vera BIO (env. 1kg)"/>
        <filter val="Patate douce BIO (Grande)"/>
        <filter val="Patate douce BIO (Moyenne)"/>
        <filter val="Patate Douce Violette BIO (Moyenne, grande) Nouvelle récolte"/>
        <filter val="Pistache avec coque CRU (env. 1kg)"/>
        <filter val="Pistache avec coque CRU (env. 500g)"/>
        <filter val="Pitaya (fruit du dragon, jaune à l'extérieur et pulpe blanche)"/>
        <filter val="Pitaya rouge BIO"/>
        <filter val="Poire Conférence"/>
        <filter val="Poire Conférence BIO"/>
        <filter val="Poireau BIO"/>
        <filter val="Poivron mini en couleur"/>
        <filter val="Poivron rouge Ramiro BIO"/>
        <filter val="Polen Frais BIO (bocal 500g)"/>
        <filter val="Polen sec BIO (bocal 500g)"/>
        <filter val="Pomme de terre Lucinda blanche BIO"/>
        <filter val="Pomme de terre rouge BIO"/>
        <filter val="Pomme Golden"/>
        <filter val="Pomme Granny Smith"/>
        <filter val="Pomme Reineta"/>
        <filter val="Pomme rouge Starky"/>
        <filter val="Pomme rouge Top Red"/>
        <filter val="Pomme verte Doncella"/>
        <filter val="Radis Daikon"/>
        <filter val="Raisin sec Sultana BIO_x000a_    - (env. 1kg)"/>
        <filter val="Raisins secs Muscat en grains_x000a_    - (env. 500g)"/>
        <filter val="Sel rose de l'Himalaya moulu_x000a_    - (sous vide, env. 1kg)"/>
        <filter val="Sésame CRU BIO (env. 1kg)"/>
        <filter val="Souchet BIO (env. 1kg)"/>
        <filter val="Spaguetti de mer déshydraté BIO (env. 1kg)"/>
        <filter val="Spaguetti de mer déshydraté BIO (env. 500g)"/>
        <filter val="Spiruline en poudre"/>
        <filter val="Sucre de coco BIO (env. 1kg)"/>
        <filter val="Tomate déshydratée CRU BIO (env. 1kg, à basse température 35º, qualité supérieure)"/>
        <filter val="Tomate déshydratée CRU BIO (env. 200g, à basse température 35º, qualité supérieure)"/>
        <filter val="Xylitol (sucre de bouleau) (env. 1kg)"/>
      </filters>
    </filterColumn>
  </autoFilter>
  <mergeCells count="333">
    <mergeCell ref="O3:P4"/>
    <mergeCell ref="AS8:AT8"/>
    <mergeCell ref="AU8:AV8"/>
    <mergeCell ref="AW8:AX8"/>
    <mergeCell ref="AY8:AZ8"/>
    <mergeCell ref="BA8:BB8"/>
    <mergeCell ref="AS5:AT6"/>
    <mergeCell ref="AU5:AV6"/>
    <mergeCell ref="AW5:AX6"/>
    <mergeCell ref="AY5:AZ6"/>
    <mergeCell ref="BA5:BB6"/>
    <mergeCell ref="AS7:AT7"/>
    <mergeCell ref="AU7:AV7"/>
    <mergeCell ref="AW7:AX7"/>
    <mergeCell ref="AY7:AZ7"/>
    <mergeCell ref="BA7:BB7"/>
    <mergeCell ref="AA8:AB8"/>
    <mergeCell ref="AC8:AD8"/>
    <mergeCell ref="AE8:AF8"/>
    <mergeCell ref="O7:P7"/>
    <mergeCell ref="O5:P6"/>
    <mergeCell ref="AM5:AN6"/>
    <mergeCell ref="AO5:AP6"/>
    <mergeCell ref="AQ5:AR6"/>
    <mergeCell ref="S5:T6"/>
    <mergeCell ref="AG5:AH6"/>
    <mergeCell ref="AI5:AJ6"/>
    <mergeCell ref="AK5:AL6"/>
    <mergeCell ref="AG7:AH7"/>
    <mergeCell ref="AI7:AJ7"/>
    <mergeCell ref="AK7:AL7"/>
    <mergeCell ref="AM7:AN7"/>
    <mergeCell ref="AO7:AP7"/>
    <mergeCell ref="AG8:AH8"/>
    <mergeCell ref="AI8:AJ8"/>
    <mergeCell ref="AK8:AL8"/>
    <mergeCell ref="AM8:AN8"/>
    <mergeCell ref="AO8:AP8"/>
    <mergeCell ref="C225:D225"/>
    <mergeCell ref="C226:D226"/>
    <mergeCell ref="C227:D227"/>
    <mergeCell ref="C25:D25"/>
    <mergeCell ref="C41:D41"/>
    <mergeCell ref="C30:D30"/>
    <mergeCell ref="C31:D31"/>
    <mergeCell ref="C32:D32"/>
    <mergeCell ref="C33:D33"/>
    <mergeCell ref="C34:D34"/>
    <mergeCell ref="C35:D35"/>
    <mergeCell ref="C206:D206"/>
    <mergeCell ref="C207:D207"/>
    <mergeCell ref="C203:D203"/>
    <mergeCell ref="C204:D204"/>
    <mergeCell ref="C205:D205"/>
    <mergeCell ref="C40:D40"/>
    <mergeCell ref="C58:D58"/>
    <mergeCell ref="C48:D48"/>
    <mergeCell ref="C228:D228"/>
    <mergeCell ref="C229:D229"/>
    <mergeCell ref="C230:D230"/>
    <mergeCell ref="C231:D231"/>
    <mergeCell ref="A2:B10"/>
    <mergeCell ref="C3:C7"/>
    <mergeCell ref="C8:C10"/>
    <mergeCell ref="C26:D26"/>
    <mergeCell ref="C27:D27"/>
    <mergeCell ref="C28:D28"/>
    <mergeCell ref="C29:D29"/>
    <mergeCell ref="C13:D13"/>
    <mergeCell ref="C14:D14"/>
    <mergeCell ref="C15:D15"/>
    <mergeCell ref="C16:D16"/>
    <mergeCell ref="C202:D202"/>
    <mergeCell ref="C21:D21"/>
    <mergeCell ref="C22:D22"/>
    <mergeCell ref="C23:D23"/>
    <mergeCell ref="C20:D20"/>
    <mergeCell ref="C18:D18"/>
    <mergeCell ref="C19:D19"/>
    <mergeCell ref="C11:D11"/>
    <mergeCell ref="C12:D12"/>
    <mergeCell ref="C261:D261"/>
    <mergeCell ref="C236:D236"/>
    <mergeCell ref="C237:D237"/>
    <mergeCell ref="C238:D238"/>
    <mergeCell ref="C239:D239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6:D256"/>
    <mergeCell ref="C257:D257"/>
    <mergeCell ref="C258:D258"/>
    <mergeCell ref="C259:D259"/>
    <mergeCell ref="C260:D260"/>
    <mergeCell ref="C253:D253"/>
    <mergeCell ref="C254:D254"/>
    <mergeCell ref="C49:D49"/>
    <mergeCell ref="C50:D50"/>
    <mergeCell ref="C51:D51"/>
    <mergeCell ref="C52:D52"/>
    <mergeCell ref="E6:J6"/>
    <mergeCell ref="E7:F7"/>
    <mergeCell ref="G7:H7"/>
    <mergeCell ref="C24:D24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E2:J2"/>
    <mergeCell ref="E3:J3"/>
    <mergeCell ref="E4:J4"/>
    <mergeCell ref="E5:J5"/>
    <mergeCell ref="K1:M1"/>
    <mergeCell ref="C17:D17"/>
    <mergeCell ref="I7:J7"/>
    <mergeCell ref="A1:J1"/>
    <mergeCell ref="E8:J8"/>
    <mergeCell ref="E9:J9"/>
    <mergeCell ref="E10:J10"/>
    <mergeCell ref="K7:K8"/>
    <mergeCell ref="K2:M6"/>
    <mergeCell ref="K9:L9"/>
    <mergeCell ref="K10:L10"/>
    <mergeCell ref="C215:D215"/>
    <mergeCell ref="C216:D216"/>
    <mergeCell ref="C217:D217"/>
    <mergeCell ref="C218:D218"/>
    <mergeCell ref="C210:D210"/>
    <mergeCell ref="C211:D211"/>
    <mergeCell ref="C212:D212"/>
    <mergeCell ref="C213:D213"/>
    <mergeCell ref="C214:D214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59:D59"/>
    <mergeCell ref="C54:D54"/>
    <mergeCell ref="C55:D55"/>
    <mergeCell ref="C56:D56"/>
    <mergeCell ref="C57:D57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68:D168"/>
    <mergeCell ref="C169:D169"/>
    <mergeCell ref="C170:D170"/>
    <mergeCell ref="C171:D171"/>
    <mergeCell ref="C172:D172"/>
    <mergeCell ref="C173:D173"/>
    <mergeCell ref="C185:D185"/>
    <mergeCell ref="C174:D174"/>
    <mergeCell ref="C175:D175"/>
    <mergeCell ref="C176:D176"/>
    <mergeCell ref="C177:D177"/>
    <mergeCell ref="C178:D178"/>
    <mergeCell ref="C179:D179"/>
    <mergeCell ref="C191:D191"/>
    <mergeCell ref="C180:D180"/>
    <mergeCell ref="C181:D181"/>
    <mergeCell ref="C182:D182"/>
    <mergeCell ref="C183:D183"/>
    <mergeCell ref="C184:D184"/>
    <mergeCell ref="C188:D188"/>
    <mergeCell ref="C189:D189"/>
    <mergeCell ref="C190:D190"/>
    <mergeCell ref="C186:D186"/>
    <mergeCell ref="C187:D187"/>
    <mergeCell ref="C255:D255"/>
    <mergeCell ref="C198:D198"/>
    <mergeCell ref="C199:D199"/>
    <mergeCell ref="C200:D200"/>
    <mergeCell ref="C201:D201"/>
    <mergeCell ref="C235:D235"/>
    <mergeCell ref="C252:D252"/>
    <mergeCell ref="C192:D192"/>
    <mergeCell ref="C193:D193"/>
    <mergeCell ref="C194:D194"/>
    <mergeCell ref="C195:D195"/>
    <mergeCell ref="C196:D196"/>
    <mergeCell ref="C197:D197"/>
    <mergeCell ref="C219:D219"/>
    <mergeCell ref="C220:D220"/>
    <mergeCell ref="C208:D208"/>
    <mergeCell ref="C209:D209"/>
    <mergeCell ref="C221:D221"/>
    <mergeCell ref="C222:D222"/>
    <mergeCell ref="C232:D232"/>
    <mergeCell ref="C233:D233"/>
    <mergeCell ref="C234:D234"/>
    <mergeCell ref="C223:D223"/>
    <mergeCell ref="C224:D224"/>
    <mergeCell ref="O2:P2"/>
    <mergeCell ref="AQ8:AR8"/>
    <mergeCell ref="Q7:R7"/>
    <mergeCell ref="S7:T7"/>
    <mergeCell ref="U7:V7"/>
    <mergeCell ref="W7:X7"/>
    <mergeCell ref="N1:N261"/>
    <mergeCell ref="U5:V6"/>
    <mergeCell ref="W5:X6"/>
    <mergeCell ref="Y5:Z6"/>
    <mergeCell ref="AA5:AB6"/>
    <mergeCell ref="AC5:AD6"/>
    <mergeCell ref="AE5:AF6"/>
    <mergeCell ref="Q5:R6"/>
    <mergeCell ref="Y7:Z7"/>
    <mergeCell ref="AA7:AB7"/>
    <mergeCell ref="AC7:AD7"/>
    <mergeCell ref="AE7:AF7"/>
    <mergeCell ref="Q8:R8"/>
    <mergeCell ref="S8:T8"/>
    <mergeCell ref="U8:V8"/>
    <mergeCell ref="W8:X8"/>
    <mergeCell ref="Y8:Z8"/>
    <mergeCell ref="AQ7:AR7"/>
  </mergeCells>
  <conditionalFormatting sqref="Q2:S2">
    <cfRule type="cellIs" dxfId="31" priority="139" operator="equal">
      <formula>"""À REMPLIR"""</formula>
    </cfRule>
  </conditionalFormatting>
  <conditionalFormatting sqref="Q3:S3">
    <cfRule type="cellIs" dxfId="30" priority="138" operator="equal">
      <formula>"""À REMPLIR"""</formula>
    </cfRule>
  </conditionalFormatting>
  <conditionalFormatting sqref="Q4:S4">
    <cfRule type="cellIs" dxfId="29" priority="137" operator="equal">
      <formula>"""À REMPLIR"""</formula>
    </cfRule>
  </conditionalFormatting>
  <conditionalFormatting sqref="E9:J9">
    <cfRule type="expression" dxfId="28" priority="121">
      <formula>COUNTIF($E$9,"*REMPLIR*")&gt;0</formula>
    </cfRule>
  </conditionalFormatting>
  <conditionalFormatting sqref="I7:J7">
    <cfRule type="expression" dxfId="27" priority="119">
      <formula>COUNTIF($I$7,"*REMPLIR*")&gt;0</formula>
    </cfRule>
  </conditionalFormatting>
  <conditionalFormatting sqref="E7:F7">
    <cfRule type="expression" dxfId="26" priority="118">
      <formula>COUNTIF($E$7,"*REMPLIR*")&gt;0</formula>
    </cfRule>
  </conditionalFormatting>
  <conditionalFormatting sqref="M12:M261">
    <cfRule type="cellIs" dxfId="25" priority="104" operator="greaterThan">
      <formula>0</formula>
    </cfRule>
  </conditionalFormatting>
  <conditionalFormatting sqref="E2:J2">
    <cfRule type="expression" dxfId="24" priority="101">
      <formula>COUNTIF($E$2,"*REMPLIR*")&gt;0</formula>
    </cfRule>
  </conditionalFormatting>
  <conditionalFormatting sqref="B12:J261">
    <cfRule type="expression" dxfId="23" priority="97">
      <formula>COUNTIF($C12,"*BIO*")=0</formula>
    </cfRule>
    <cfRule type="expression" dxfId="22" priority="98">
      <formula>COUNTIF($C12,"*BIO*")&gt;0</formula>
    </cfRule>
  </conditionalFormatting>
  <conditionalFormatting sqref="Q7:BB7">
    <cfRule type="expression" dxfId="21" priority="22711">
      <formula>COUNTIF(Q$7,"*Prénom*")&gt;0</formula>
    </cfRule>
  </conditionalFormatting>
  <conditionalFormatting sqref="Q8:BB8">
    <cfRule type="expression" dxfId="20" priority="20">
      <formula>COUNTIF(Q$8,"*Email*")&gt;0</formula>
    </cfRule>
  </conditionalFormatting>
  <conditionalFormatting sqref="K10">
    <cfRule type="cellIs" dxfId="19" priority="18" operator="lessThan">
      <formula>70</formula>
    </cfRule>
  </conditionalFormatting>
  <conditionalFormatting sqref="A12:A261">
    <cfRule type="expression" dxfId="18" priority="17">
      <formula>$K12&gt;0</formula>
    </cfRule>
  </conditionalFormatting>
  <conditionalFormatting sqref="P8">
    <cfRule type="cellIs" dxfId="17" priority="10" operator="equal">
      <formula>"""À REMPLIR"""</formula>
    </cfRule>
  </conditionalFormatting>
  <conditionalFormatting sqref="O7:P7">
    <cfRule type="expression" dxfId="16" priority="9">
      <formula>COUNTIF(O$7,"*Prénom*")&gt;0</formula>
    </cfRule>
  </conditionalFormatting>
  <conditionalFormatting sqref="E8:J8">
    <cfRule type="expression" dxfId="15" priority="6">
      <formula>COUNTIF($E$9,"*REMPLIR*")&gt;0</formula>
    </cfRule>
  </conditionalFormatting>
  <conditionalFormatting sqref="E10:J10">
    <cfRule type="expression" dxfId="14" priority="5">
      <formula>COUNTIF($E$9,"*REMPLIR*")&gt;0</formula>
    </cfRule>
  </conditionalFormatting>
  <conditionalFormatting sqref="E6:J6">
    <cfRule type="expression" dxfId="13" priority="4">
      <formula>COUNTIF($E$9,"*REMPLIR*")&gt;0</formula>
    </cfRule>
  </conditionalFormatting>
  <conditionalFormatting sqref="E5:J5">
    <cfRule type="expression" dxfId="12" priority="3">
      <formula>COUNTIF($E$9,"*REMPLIR*")&gt;0</formula>
    </cfRule>
  </conditionalFormatting>
  <conditionalFormatting sqref="E4:J4">
    <cfRule type="expression" dxfId="11" priority="2">
      <formula>COUNTIF($E$9,"*REMPLIR*")&gt;0</formula>
    </cfRule>
  </conditionalFormatting>
  <conditionalFormatting sqref="E3:J3">
    <cfRule type="expression" dxfId="10" priority="1">
      <formula>COUNTIF($E$9,"*REMPLIR*")&gt;0</formula>
    </cfRule>
  </conditionalFormatting>
  <dataValidations count="1">
    <dataValidation type="whole" allowBlank="1" showErrorMessage="1" error="Veuillez saisir un nombre entier entre 1 et 500" sqref="AC12:AC261 O12:O261 Q12:Q261 S12:S261 U12:U261 Y12:Y261 AA12:AA261 AQ12:AQ261 AG12:AG261 AE12:AE261 AI12:AI261 AK12:AK261 AM12:AM261 AO12:AO261 W12:W261 BA12:BA261 AS12:AS261 AU12:AU261 AW12:AW261 AY12:AY261" xr:uid="{EEBCFC1B-B4C3-5149-B522-545157A353D6}">
      <formula1>1</formula1>
      <formula2>500</formula2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C7C7FA57-A334-47B6-BF9F-856096FD1D06}">
            <xm:f>AND(BDD!$L2&lt;&gt;"", $K12&gt;=3, $K12&lt;=4.99)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99" id="{00000000-000E-0000-0100-00004E000000}">
            <xm:f>AND(BDD!$L2&lt;&gt;"", AND($K12&gt;0, $K12&lt;3))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0" id="{1F046356-3F0A-4E8E-BCFA-1F12628040ED}">
            <xm:f>OR(AND(BDD!$L2&lt;&gt;"", $K12&gt;4.99),  AND( BDD!$L2="", $K12&gt;0))</xm:f>
            <x14:dxf>
              <fill>
                <patternFill>
                  <bgColor theme="0" tint="-0.14996795556505021"/>
                </patternFill>
              </fill>
            </x14:dxf>
          </x14:cfRule>
          <xm:sqref>K12:L261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6634B5-FE11-46D4-A9A0-BEA2935CDBF2}">
          <x14:formula1>
            <xm:f>POIDS!$B$3:$B$111</xm:f>
          </x14:formula1>
          <xm:sqref>E2:J2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I14" sqref="I14"/>
    </sheetView>
  </sheetViews>
  <sheetFormatPr baseColWidth="10" defaultColWidth="10.85546875" defaultRowHeight="15" outlineLevelCol="1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>
      <c r="A1" s="425" t="s">
        <v>86</v>
      </c>
      <c r="B1" s="426"/>
      <c r="C1" s="54"/>
      <c r="D1" s="432" t="s">
        <v>87</v>
      </c>
      <c r="E1" s="6" t="s">
        <v>88</v>
      </c>
      <c r="F1" s="7">
        <v>2.12E-2</v>
      </c>
    </row>
    <row r="2" spans="1:8" ht="15.75" thickBot="1">
      <c r="A2" s="107">
        <v>-0.1</v>
      </c>
      <c r="B2" s="76">
        <v>0.9</v>
      </c>
      <c r="C2" s="53"/>
      <c r="D2" s="433"/>
      <c r="E2" s="9" t="s">
        <v>89</v>
      </c>
      <c r="F2" s="8">
        <v>5</v>
      </c>
    </row>
    <row r="3" spans="1:8" ht="16.5" thickTop="1" thickBot="1">
      <c r="A3" s="107">
        <v>-0.2</v>
      </c>
      <c r="B3" s="76">
        <v>0.8</v>
      </c>
      <c r="C3" s="53"/>
      <c r="D3" s="433"/>
      <c r="E3" s="9" t="s">
        <v>90</v>
      </c>
      <c r="F3" s="8">
        <v>0.6</v>
      </c>
      <c r="G3" s="427" t="s">
        <v>91</v>
      </c>
      <c r="H3" s="428"/>
    </row>
    <row r="4" spans="1:8" ht="16.5" thickTop="1" thickBot="1">
      <c r="A4" s="108">
        <v>-0.3</v>
      </c>
      <c r="B4" s="77">
        <v>0.7</v>
      </c>
      <c r="C4" s="53"/>
      <c r="D4" s="433"/>
      <c r="E4" s="9" t="s">
        <v>92</v>
      </c>
      <c r="F4" s="58" t="e">
        <f>ROUNDUP(QTE_CMD, -1)</f>
        <v>#REF!</v>
      </c>
      <c r="G4" s="55" t="s">
        <v>87</v>
      </c>
      <c r="H4" s="10" t="s">
        <v>93</v>
      </c>
    </row>
    <row r="5" spans="1:8" ht="15.75" thickTop="1">
      <c r="A5" s="11"/>
      <c r="B5" s="5"/>
      <c r="C5" s="52"/>
      <c r="D5" s="433"/>
      <c r="E5" s="9" t="s">
        <v>94</v>
      </c>
      <c r="F5" s="65" t="e">
        <f>VLOOKUP(DEPT,Tableau1[[DPT]:[1 à 100 kg]],2,FALSE)</f>
        <v>#REF!</v>
      </c>
      <c r="G5" s="62" t="e">
        <f>IF(OR(DEPT="2A",DEPT="CH10",DEPT="CH12"), FDP_1, SUM(FDP_1,IND_GAZ*FDP_1,FRS_ADM,RDV_SAN))</f>
        <v>#REF!</v>
      </c>
      <c r="H5" s="62" t="e">
        <f>IF(OR(DEPT="2A",DEPT="CH10",DEPT="CH12"), FDP_1, SUM(FDP_1, IND_GAZ*FDP_1, FRS_ADM, RDV_SAN))</f>
        <v>#REF!</v>
      </c>
    </row>
    <row r="6" spans="1:8">
      <c r="B6" s="12"/>
      <c r="C6" s="73"/>
      <c r="D6" s="433"/>
      <c r="E6" s="9" t="s">
        <v>95</v>
      </c>
      <c r="F6" s="65" t="e">
        <f>VLOOKUP(DEPT,Tableau1[[DPT]:[101 à 200 kg]],3,FALSE)</f>
        <v>#REF!</v>
      </c>
      <c r="G6" s="62" t="e">
        <f>IF(OR(DEPT="2A",DEPT="CH10",DEPT="CH12"), FDP_2, SUM(PDS_CMD_ARR*FDP_2/1000, IND_GAZ*(PDS_CMD_ARR*FDP_2/1000), FRS_ADM, RDV_SAN))</f>
        <v>#REF!</v>
      </c>
      <c r="H6" s="62" t="e">
        <f>IF(OR(DEPT="2A",DEPT="CH10",DEPT="CH12"), FDP_2, SUM(PDS_FACT_ARR*FDP_2/1000, IND_GAZ*(PDS_FACT_ARR*FDP_2/1000), FRS_ADM, RDV_SAN))</f>
        <v>#REF!</v>
      </c>
    </row>
    <row r="7" spans="1:8" ht="15.75" thickBot="1">
      <c r="D7" s="433"/>
      <c r="E7" s="13" t="s">
        <v>96</v>
      </c>
      <c r="F7" s="66" t="e">
        <f>VLOOKUP(DEPT,Tableau2[[DPT]:[1 à 1 pal]],2,FALSE)</f>
        <v>#REF!</v>
      </c>
      <c r="G7" s="63" t="e">
        <f>IF(OR(DEPT="2A",DEPT="CH10",DEPT="CH12"), FDP_3, SUM(FDP_3, IND_GAZ*FDP_3, FRS_ADM, RDV_SAN))</f>
        <v>#REF!</v>
      </c>
      <c r="H7" s="64" t="e">
        <f>IF(OR(DEPT="2A",DEPT="CH10",DEPT="CH12"), FDP_3, SUM(FDP_3, IND_GAZ*FDP_3, FRS_ADM, RDV_SAN))</f>
        <v>#REF!</v>
      </c>
    </row>
    <row r="8" spans="1:8" ht="15.75" thickTop="1">
      <c r="D8" s="433"/>
      <c r="E8" s="74" t="s">
        <v>82</v>
      </c>
      <c r="F8" s="65" t="e">
        <f>_xlfn.IFS(COUNTIF(DEPT, "*À REMPLIR*")&gt;0, "",     PDS_CMD_ARR&lt;101, TOT_FDP_1,    AND(PDS_CMD_ARR&gt;100, PDS_CMD_ARR&lt;201), TOT_FDP_2,    PDS_CMD_ARR&gt;200, TOT_FDP_3,    TRUE, 0)</f>
        <v>#REF!</v>
      </c>
    </row>
    <row r="9" spans="1:8" ht="15.75" thickBot="1">
      <c r="D9" s="434"/>
      <c r="E9" s="50" t="s">
        <v>97</v>
      </c>
      <c r="F9" s="59" t="e">
        <f>IF(QTE_CMD&gt;70, FDP_CMD/QTE_CMD, FDP_CMD/70)</f>
        <v>#REF!</v>
      </c>
      <c r="G9" s="53"/>
    </row>
    <row r="10" spans="1:8" ht="15.75" thickTop="1">
      <c r="D10" s="429" t="s">
        <v>93</v>
      </c>
      <c r="E10" s="6" t="s">
        <v>92</v>
      </c>
      <c r="F10" s="75" t="e">
        <f>ROUNDUP(QTE_FACT, -1)</f>
        <v>#REF!</v>
      </c>
      <c r="G10" s="54"/>
    </row>
    <row r="11" spans="1:8">
      <c r="D11" s="430"/>
      <c r="E11" s="56" t="s">
        <v>98</v>
      </c>
      <c r="F11" s="57" t="e">
        <f>_xlfn.IFS(PDS_FACT_ARR&lt;101, TOT_FDP_4,    AND(PDS_FACT_ARR&gt;100, PDS_FACT_ARR&lt;201), TOT_FDP_5,    PDS_FACT_ARR&gt;200, TOT_FDP_6,    TRUE, 0)</f>
        <v>#REF!</v>
      </c>
      <c r="G11" s="52"/>
    </row>
    <row r="12" spans="1:8">
      <c r="D12" s="430"/>
      <c r="E12" s="56" t="s">
        <v>99</v>
      </c>
      <c r="F12" s="225"/>
      <c r="G12" s="52"/>
    </row>
    <row r="13" spans="1:8">
      <c r="D13" s="430"/>
      <c r="E13" s="60" t="s">
        <v>81</v>
      </c>
      <c r="F13" s="61" t="e">
        <f>IF(FDP_FACT_MAN&gt;0, FDP_FACT_MAN/QTE_FACT, FDP_FACT_AUT/QTE_FACT)</f>
        <v>#REF!</v>
      </c>
    </row>
    <row r="14" spans="1:8" ht="15.75" thickBot="1">
      <c r="D14" s="431"/>
      <c r="E14" s="14" t="s">
        <v>100</v>
      </c>
      <c r="F14" s="67" t="e">
        <f>IF(FDP_FACT_MAN&gt;0, TOT_FACT-FDP_FACT_MAN, TOT_FACT-FDP_FACT_AUT)</f>
        <v>#REF!</v>
      </c>
    </row>
    <row r="15" spans="1:8" ht="16.5" thickTop="1" thickBot="1"/>
    <row r="16" spans="1:8">
      <c r="D16" s="435" t="s">
        <v>101</v>
      </c>
      <c r="E16" s="436"/>
      <c r="F16" s="437"/>
    </row>
    <row r="17" spans="4:6">
      <c r="D17" s="105"/>
      <c r="E17" s="421" t="s">
        <v>102</v>
      </c>
      <c r="F17" s="422"/>
    </row>
    <row r="18" spans="4:6" ht="15.75" thickBot="1">
      <c r="D18" s="106"/>
      <c r="E18" s="423" t="s">
        <v>103</v>
      </c>
      <c r="F18" s="424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/>
  <cols>
    <col min="1" max="1" width="9.28515625" style="109" customWidth="1" outlineLevel="1"/>
    <col min="2" max="2" width="12.7109375" style="110" customWidth="1"/>
    <col min="3" max="3" width="39" style="110" customWidth="1"/>
    <col min="4" max="4" width="6.85546875" style="110" customWidth="1"/>
    <col min="5" max="24" width="5.7109375" style="111" customWidth="1"/>
    <col min="25" max="25" width="3.42578125" style="110" customWidth="1"/>
    <col min="26" max="16384" width="11.42578125" style="110" hidden="1"/>
  </cols>
  <sheetData>
    <row r="1" spans="1:24" ht="35.1" customHeight="1">
      <c r="B1" s="438" t="s">
        <v>104</v>
      </c>
      <c r="C1" s="438"/>
      <c r="D1" s="438"/>
      <c r="E1" s="438"/>
      <c r="F1" s="438"/>
      <c r="G1" s="438"/>
      <c r="H1" s="438"/>
      <c r="I1" s="438"/>
      <c r="J1" s="43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</row>
    <row r="2" spans="1:24" ht="12.75">
      <c r="B2" s="269" t="s">
        <v>105</v>
      </c>
      <c r="C2" s="270" t="e">
        <f>#REF!</f>
        <v>#REF!</v>
      </c>
      <c r="D2" s="439" t="e">
        <f>#REF!</f>
        <v>#REF!</v>
      </c>
      <c r="E2" s="440"/>
      <c r="F2" s="440"/>
      <c r="G2" s="440"/>
      <c r="H2" s="440"/>
      <c r="I2" s="440"/>
      <c r="J2" s="440"/>
    </row>
    <row r="3" spans="1:24" ht="12.75">
      <c r="B3" s="271" t="s">
        <v>106</v>
      </c>
      <c r="C3" s="272" t="s">
        <v>107</v>
      </c>
      <c r="D3" s="439" t="e">
        <f>#REF!</f>
        <v>#REF!</v>
      </c>
      <c r="E3" s="441"/>
      <c r="F3" s="441"/>
      <c r="G3" s="441"/>
      <c r="H3" s="441"/>
      <c r="I3" s="441"/>
      <c r="J3" s="441"/>
    </row>
    <row r="4" spans="1:24" ht="104.25" customHeight="1">
      <c r="A4" s="282"/>
      <c r="B4" s="283" t="s">
        <v>112</v>
      </c>
      <c r="C4" s="442"/>
      <c r="D4" s="443"/>
      <c r="E4" s="285" t="e">
        <f>#REF!</f>
        <v>#REF!</v>
      </c>
      <c r="F4" s="285" t="e">
        <f>#REF!</f>
        <v>#REF!</v>
      </c>
      <c r="G4" s="285" t="e">
        <f>#REF!</f>
        <v>#REF!</v>
      </c>
      <c r="H4" s="285" t="e">
        <f>#REF!</f>
        <v>#REF!</v>
      </c>
      <c r="I4" s="285" t="e">
        <f>#REF!</f>
        <v>#REF!</v>
      </c>
      <c r="J4" s="285" t="e">
        <f>#REF!</f>
        <v>#REF!</v>
      </c>
      <c r="K4" s="285" t="e">
        <f>#REF!</f>
        <v>#REF!</v>
      </c>
      <c r="L4" s="285" t="e">
        <f>#REF!</f>
        <v>#REF!</v>
      </c>
      <c r="M4" s="285" t="e">
        <f>#REF!</f>
        <v>#REF!</v>
      </c>
      <c r="N4" s="285" t="e">
        <f>#REF!</f>
        <v>#REF!</v>
      </c>
      <c r="O4" s="285" t="e">
        <f>#REF!</f>
        <v>#REF!</v>
      </c>
      <c r="P4" s="285" t="e">
        <f>#REF!</f>
        <v>#REF!</v>
      </c>
      <c r="Q4" s="285" t="e">
        <f>#REF!</f>
        <v>#REF!</v>
      </c>
      <c r="R4" s="285" t="e">
        <f>#REF!</f>
        <v>#REF!</v>
      </c>
      <c r="S4" s="285" t="e">
        <f>#REF!</f>
        <v>#REF!</v>
      </c>
      <c r="T4" s="285" t="e">
        <f>#REF!</f>
        <v>#REF!</v>
      </c>
      <c r="U4" s="285" t="e">
        <f>#REF!</f>
        <v>#REF!</v>
      </c>
      <c r="V4" s="285" t="e">
        <f>#REF!</f>
        <v>#REF!</v>
      </c>
      <c r="W4" s="285" t="e">
        <f>#REF!</f>
        <v>#REF!</v>
      </c>
      <c r="X4" s="285" t="e">
        <f>#REF!</f>
        <v>#REF!</v>
      </c>
    </row>
    <row r="5" spans="1:24" s="111" customFormat="1" ht="48" customHeight="1">
      <c r="A5" s="273" t="s">
        <v>84</v>
      </c>
      <c r="B5" s="278" t="s">
        <v>71</v>
      </c>
      <c r="C5" s="279" t="s">
        <v>73</v>
      </c>
      <c r="D5" s="280" t="s">
        <v>79</v>
      </c>
      <c r="E5" s="284">
        <v>1</v>
      </c>
      <c r="F5" s="284">
        <v>2</v>
      </c>
      <c r="G5" s="284">
        <v>3</v>
      </c>
      <c r="H5" s="284">
        <v>4</v>
      </c>
      <c r="I5" s="284">
        <v>5</v>
      </c>
      <c r="J5" s="284">
        <v>6</v>
      </c>
      <c r="K5" s="284">
        <v>7</v>
      </c>
      <c r="L5" s="284">
        <v>8</v>
      </c>
      <c r="M5" s="284">
        <v>9</v>
      </c>
      <c r="N5" s="284">
        <v>10</v>
      </c>
      <c r="O5" s="284">
        <v>11</v>
      </c>
      <c r="P5" s="284">
        <v>12</v>
      </c>
      <c r="Q5" s="284">
        <v>13</v>
      </c>
      <c r="R5" s="284">
        <v>14</v>
      </c>
      <c r="S5" s="284">
        <v>15</v>
      </c>
      <c r="T5" s="284">
        <v>16</v>
      </c>
      <c r="U5" s="284">
        <v>17</v>
      </c>
      <c r="V5" s="284">
        <v>18</v>
      </c>
      <c r="W5" s="284">
        <v>19</v>
      </c>
      <c r="X5" s="284">
        <v>20</v>
      </c>
    </row>
    <row r="6" spans="1:24" ht="24.95" customHeight="1">
      <c r="A6" s="274" t="e">
        <f>#REF!</f>
        <v>#REF!</v>
      </c>
      <c r="B6" s="275" t="e">
        <f>#REF!</f>
        <v>#REF!</v>
      </c>
      <c r="C6" s="276" t="e">
        <f>#REF!</f>
        <v>#REF!</v>
      </c>
      <c r="D6" s="277" t="e">
        <f>#REF!</f>
        <v>#REF!</v>
      </c>
      <c r="E6" s="281" t="e">
        <f>#REF!</f>
        <v>#REF!</v>
      </c>
      <c r="F6" s="281" t="e">
        <f>#REF!</f>
        <v>#REF!</v>
      </c>
      <c r="G6" s="281" t="e">
        <f>#REF!</f>
        <v>#REF!</v>
      </c>
      <c r="H6" s="281" t="e">
        <f>#REF!</f>
        <v>#REF!</v>
      </c>
      <c r="I6" s="281" t="e">
        <f>#REF!</f>
        <v>#REF!</v>
      </c>
      <c r="J6" s="281" t="e">
        <f>#REF!</f>
        <v>#REF!</v>
      </c>
      <c r="K6" s="281" t="e">
        <f>#REF!</f>
        <v>#REF!</v>
      </c>
      <c r="L6" s="281" t="e">
        <f>#REF!</f>
        <v>#REF!</v>
      </c>
      <c r="M6" s="281" t="e">
        <f>#REF!</f>
        <v>#REF!</v>
      </c>
      <c r="N6" s="281" t="e">
        <f>#REF!</f>
        <v>#REF!</v>
      </c>
      <c r="O6" s="281" t="e">
        <f>#REF!</f>
        <v>#REF!</v>
      </c>
      <c r="P6" s="281" t="e">
        <f>#REF!</f>
        <v>#REF!</v>
      </c>
      <c r="Q6" s="281" t="e">
        <f>#REF!</f>
        <v>#REF!</v>
      </c>
      <c r="R6" s="281" t="e">
        <f>#REF!</f>
        <v>#REF!</v>
      </c>
      <c r="S6" s="281" t="e">
        <f>#REF!</f>
        <v>#REF!</v>
      </c>
      <c r="T6" s="281" t="e">
        <f>#REF!</f>
        <v>#REF!</v>
      </c>
      <c r="U6" s="281" t="e">
        <f>#REF!</f>
        <v>#REF!</v>
      </c>
      <c r="V6" s="281" t="e">
        <f>#REF!</f>
        <v>#REF!</v>
      </c>
      <c r="W6" s="281" t="e">
        <f>#REF!</f>
        <v>#REF!</v>
      </c>
      <c r="X6" s="281" t="e">
        <f>#REF!</f>
        <v>#REF!</v>
      </c>
    </row>
    <row r="7" spans="1:24" ht="24.95" customHeight="1">
      <c r="A7" s="274" t="e">
        <f>#REF!</f>
        <v>#REF!</v>
      </c>
      <c r="B7" s="275" t="e">
        <f>#REF!</f>
        <v>#REF!</v>
      </c>
      <c r="C7" s="276" t="e">
        <f>#REF!</f>
        <v>#REF!</v>
      </c>
      <c r="D7" s="277" t="e">
        <f>#REF!</f>
        <v>#REF!</v>
      </c>
      <c r="E7" s="277" t="e">
        <f>#REF!</f>
        <v>#REF!</v>
      </c>
      <c r="F7" s="277" t="e">
        <f>#REF!</f>
        <v>#REF!</v>
      </c>
      <c r="G7" s="277" t="e">
        <f>#REF!</f>
        <v>#REF!</v>
      </c>
      <c r="H7" s="277" t="e">
        <f>#REF!</f>
        <v>#REF!</v>
      </c>
      <c r="I7" s="277" t="e">
        <f>#REF!</f>
        <v>#REF!</v>
      </c>
      <c r="J7" s="277" t="e">
        <f>#REF!</f>
        <v>#REF!</v>
      </c>
      <c r="K7" s="277" t="e">
        <f>#REF!</f>
        <v>#REF!</v>
      </c>
      <c r="L7" s="277" t="e">
        <f>#REF!</f>
        <v>#REF!</v>
      </c>
      <c r="M7" s="277" t="e">
        <f>#REF!</f>
        <v>#REF!</v>
      </c>
      <c r="N7" s="277" t="e">
        <f>#REF!</f>
        <v>#REF!</v>
      </c>
      <c r="O7" s="277" t="e">
        <f>#REF!</f>
        <v>#REF!</v>
      </c>
      <c r="P7" s="277" t="e">
        <f>#REF!</f>
        <v>#REF!</v>
      </c>
      <c r="Q7" s="277" t="e">
        <f>#REF!</f>
        <v>#REF!</v>
      </c>
      <c r="R7" s="277" t="e">
        <f>#REF!</f>
        <v>#REF!</v>
      </c>
      <c r="S7" s="277" t="e">
        <f>#REF!</f>
        <v>#REF!</v>
      </c>
      <c r="T7" s="281" t="e">
        <f>#REF!</f>
        <v>#REF!</v>
      </c>
      <c r="U7" s="281" t="e">
        <f>#REF!</f>
        <v>#REF!</v>
      </c>
      <c r="V7" s="281" t="e">
        <f>#REF!</f>
        <v>#REF!</v>
      </c>
      <c r="W7" s="281" t="e">
        <f>#REF!</f>
        <v>#REF!</v>
      </c>
      <c r="X7" s="281" t="e">
        <f>#REF!</f>
        <v>#REF!</v>
      </c>
    </row>
    <row r="8" spans="1:24" ht="24.95" customHeight="1">
      <c r="A8" s="274" t="e">
        <f>#REF!</f>
        <v>#REF!</v>
      </c>
      <c r="B8" s="275" t="e">
        <f>#REF!</f>
        <v>#REF!</v>
      </c>
      <c r="C8" s="276" t="e">
        <f>#REF!</f>
        <v>#REF!</v>
      </c>
      <c r="D8" s="277" t="e">
        <f>#REF!</f>
        <v>#REF!</v>
      </c>
      <c r="E8" s="277" t="e">
        <f>#REF!</f>
        <v>#REF!</v>
      </c>
      <c r="F8" s="277" t="e">
        <f>#REF!</f>
        <v>#REF!</v>
      </c>
      <c r="G8" s="277" t="e">
        <f>#REF!</f>
        <v>#REF!</v>
      </c>
      <c r="H8" s="277" t="e">
        <f>#REF!</f>
        <v>#REF!</v>
      </c>
      <c r="I8" s="277" t="e">
        <f>#REF!</f>
        <v>#REF!</v>
      </c>
      <c r="J8" s="277" t="e">
        <f>#REF!</f>
        <v>#REF!</v>
      </c>
      <c r="K8" s="277" t="e">
        <f>#REF!</f>
        <v>#REF!</v>
      </c>
      <c r="L8" s="277" t="e">
        <f>#REF!</f>
        <v>#REF!</v>
      </c>
      <c r="M8" s="277" t="e">
        <f>#REF!</f>
        <v>#REF!</v>
      </c>
      <c r="N8" s="277" t="e">
        <f>#REF!</f>
        <v>#REF!</v>
      </c>
      <c r="O8" s="277" t="e">
        <f>#REF!</f>
        <v>#REF!</v>
      </c>
      <c r="P8" s="277" t="e">
        <f>#REF!</f>
        <v>#REF!</v>
      </c>
      <c r="Q8" s="277" t="e">
        <f>#REF!</f>
        <v>#REF!</v>
      </c>
      <c r="R8" s="277" t="e">
        <f>#REF!</f>
        <v>#REF!</v>
      </c>
      <c r="S8" s="277" t="e">
        <f>#REF!</f>
        <v>#REF!</v>
      </c>
      <c r="T8" s="281" t="e">
        <f>#REF!</f>
        <v>#REF!</v>
      </c>
      <c r="U8" s="281" t="e">
        <f>#REF!</f>
        <v>#REF!</v>
      </c>
      <c r="V8" s="281" t="e">
        <f>#REF!</f>
        <v>#REF!</v>
      </c>
      <c r="W8" s="281" t="e">
        <f>#REF!</f>
        <v>#REF!</v>
      </c>
      <c r="X8" s="281" t="e">
        <f>#REF!</f>
        <v>#REF!</v>
      </c>
    </row>
    <row r="9" spans="1:24" ht="24.95" customHeight="1">
      <c r="A9" s="274" t="e">
        <f>#REF!</f>
        <v>#REF!</v>
      </c>
      <c r="B9" s="275" t="e">
        <f>#REF!</f>
        <v>#REF!</v>
      </c>
      <c r="C9" s="276" t="e">
        <f>#REF!</f>
        <v>#REF!</v>
      </c>
      <c r="D9" s="277" t="e">
        <f>#REF!</f>
        <v>#REF!</v>
      </c>
      <c r="E9" s="277" t="e">
        <f>#REF!</f>
        <v>#REF!</v>
      </c>
      <c r="F9" s="277" t="e">
        <f>#REF!</f>
        <v>#REF!</v>
      </c>
      <c r="G9" s="277" t="e">
        <f>#REF!</f>
        <v>#REF!</v>
      </c>
      <c r="H9" s="277" t="e">
        <f>#REF!</f>
        <v>#REF!</v>
      </c>
      <c r="I9" s="277" t="e">
        <f>#REF!</f>
        <v>#REF!</v>
      </c>
      <c r="J9" s="277" t="e">
        <f>#REF!</f>
        <v>#REF!</v>
      </c>
      <c r="K9" s="277" t="e">
        <f>#REF!</f>
        <v>#REF!</v>
      </c>
      <c r="L9" s="277" t="e">
        <f>#REF!</f>
        <v>#REF!</v>
      </c>
      <c r="M9" s="277" t="e">
        <f>#REF!</f>
        <v>#REF!</v>
      </c>
      <c r="N9" s="277" t="e">
        <f>#REF!</f>
        <v>#REF!</v>
      </c>
      <c r="O9" s="277" t="e">
        <f>#REF!</f>
        <v>#REF!</v>
      </c>
      <c r="P9" s="277" t="e">
        <f>#REF!</f>
        <v>#REF!</v>
      </c>
      <c r="Q9" s="277" t="e">
        <f>#REF!</f>
        <v>#REF!</v>
      </c>
      <c r="R9" s="277" t="e">
        <f>#REF!</f>
        <v>#REF!</v>
      </c>
      <c r="S9" s="277" t="e">
        <f>#REF!</f>
        <v>#REF!</v>
      </c>
      <c r="T9" s="281" t="e">
        <f>#REF!</f>
        <v>#REF!</v>
      </c>
      <c r="U9" s="281" t="e">
        <f>#REF!</f>
        <v>#REF!</v>
      </c>
      <c r="V9" s="281" t="e">
        <f>#REF!</f>
        <v>#REF!</v>
      </c>
      <c r="W9" s="281" t="e">
        <f>#REF!</f>
        <v>#REF!</v>
      </c>
      <c r="X9" s="281" t="e">
        <f>#REF!</f>
        <v>#REF!</v>
      </c>
    </row>
    <row r="10" spans="1:24" ht="24.95" customHeight="1">
      <c r="A10" s="274" t="e">
        <f>#REF!</f>
        <v>#REF!</v>
      </c>
      <c r="B10" s="275" t="e">
        <f>#REF!</f>
        <v>#REF!</v>
      </c>
      <c r="C10" s="276" t="e">
        <f>#REF!</f>
        <v>#REF!</v>
      </c>
      <c r="D10" s="277" t="e">
        <f>#REF!</f>
        <v>#REF!</v>
      </c>
      <c r="E10" s="277" t="e">
        <f>#REF!</f>
        <v>#REF!</v>
      </c>
      <c r="F10" s="277" t="e">
        <f>#REF!</f>
        <v>#REF!</v>
      </c>
      <c r="G10" s="277" t="e">
        <f>#REF!</f>
        <v>#REF!</v>
      </c>
      <c r="H10" s="277" t="e">
        <f>#REF!</f>
        <v>#REF!</v>
      </c>
      <c r="I10" s="277" t="e">
        <f>#REF!</f>
        <v>#REF!</v>
      </c>
      <c r="J10" s="277" t="e">
        <f>#REF!</f>
        <v>#REF!</v>
      </c>
      <c r="K10" s="277" t="e">
        <f>#REF!</f>
        <v>#REF!</v>
      </c>
      <c r="L10" s="277" t="e">
        <f>#REF!</f>
        <v>#REF!</v>
      </c>
      <c r="M10" s="277" t="e">
        <f>#REF!</f>
        <v>#REF!</v>
      </c>
      <c r="N10" s="277" t="e">
        <f>#REF!</f>
        <v>#REF!</v>
      </c>
      <c r="O10" s="277" t="e">
        <f>#REF!</f>
        <v>#REF!</v>
      </c>
      <c r="P10" s="277" t="e">
        <f>#REF!</f>
        <v>#REF!</v>
      </c>
      <c r="Q10" s="277" t="e">
        <f>#REF!</f>
        <v>#REF!</v>
      </c>
      <c r="R10" s="277" t="e">
        <f>#REF!</f>
        <v>#REF!</v>
      </c>
      <c r="S10" s="277" t="e">
        <f>#REF!</f>
        <v>#REF!</v>
      </c>
      <c r="T10" s="281" t="e">
        <f>#REF!</f>
        <v>#REF!</v>
      </c>
      <c r="U10" s="281" t="e">
        <f>#REF!</f>
        <v>#REF!</v>
      </c>
      <c r="V10" s="281" t="e">
        <f>#REF!</f>
        <v>#REF!</v>
      </c>
      <c r="W10" s="281" t="e">
        <f>#REF!</f>
        <v>#REF!</v>
      </c>
      <c r="X10" s="281" t="e">
        <f>#REF!</f>
        <v>#REF!</v>
      </c>
    </row>
    <row r="11" spans="1:24" ht="24.95" customHeight="1">
      <c r="A11" s="274" t="e">
        <f>#REF!</f>
        <v>#REF!</v>
      </c>
      <c r="B11" s="275" t="e">
        <f>#REF!</f>
        <v>#REF!</v>
      </c>
      <c r="C11" s="276" t="e">
        <f>#REF!</f>
        <v>#REF!</v>
      </c>
      <c r="D11" s="277" t="e">
        <f>#REF!</f>
        <v>#REF!</v>
      </c>
      <c r="E11" s="277" t="e">
        <f>#REF!</f>
        <v>#REF!</v>
      </c>
      <c r="F11" s="277" t="e">
        <f>#REF!</f>
        <v>#REF!</v>
      </c>
      <c r="G11" s="277" t="e">
        <f>#REF!</f>
        <v>#REF!</v>
      </c>
      <c r="H11" s="277" t="e">
        <f>#REF!</f>
        <v>#REF!</v>
      </c>
      <c r="I11" s="277" t="e">
        <f>#REF!</f>
        <v>#REF!</v>
      </c>
      <c r="J11" s="277" t="e">
        <f>#REF!</f>
        <v>#REF!</v>
      </c>
      <c r="K11" s="277" t="e">
        <f>#REF!</f>
        <v>#REF!</v>
      </c>
      <c r="L11" s="277" t="e">
        <f>#REF!</f>
        <v>#REF!</v>
      </c>
      <c r="M11" s="277" t="e">
        <f>#REF!</f>
        <v>#REF!</v>
      </c>
      <c r="N11" s="277" t="e">
        <f>#REF!</f>
        <v>#REF!</v>
      </c>
      <c r="O11" s="277" t="e">
        <f>#REF!</f>
        <v>#REF!</v>
      </c>
      <c r="P11" s="277" t="e">
        <f>#REF!</f>
        <v>#REF!</v>
      </c>
      <c r="Q11" s="277" t="e">
        <f>#REF!</f>
        <v>#REF!</v>
      </c>
      <c r="R11" s="277" t="e">
        <f>#REF!</f>
        <v>#REF!</v>
      </c>
      <c r="S11" s="277" t="e">
        <f>#REF!</f>
        <v>#REF!</v>
      </c>
      <c r="T11" s="281" t="e">
        <f>#REF!</f>
        <v>#REF!</v>
      </c>
      <c r="U11" s="281" t="e">
        <f>#REF!</f>
        <v>#REF!</v>
      </c>
      <c r="V11" s="281" t="e">
        <f>#REF!</f>
        <v>#REF!</v>
      </c>
      <c r="W11" s="281" t="e">
        <f>#REF!</f>
        <v>#REF!</v>
      </c>
      <c r="X11" s="281" t="e">
        <f>#REF!</f>
        <v>#REF!</v>
      </c>
    </row>
    <row r="12" spans="1:24" ht="24.95" customHeight="1">
      <c r="A12" s="274" t="e">
        <f>#REF!</f>
        <v>#REF!</v>
      </c>
      <c r="B12" s="275" t="e">
        <f>#REF!</f>
        <v>#REF!</v>
      </c>
      <c r="C12" s="276" t="e">
        <f>#REF!</f>
        <v>#REF!</v>
      </c>
      <c r="D12" s="277" t="e">
        <f>#REF!</f>
        <v>#REF!</v>
      </c>
      <c r="E12" s="277" t="e">
        <f>#REF!</f>
        <v>#REF!</v>
      </c>
      <c r="F12" s="277" t="e">
        <f>#REF!</f>
        <v>#REF!</v>
      </c>
      <c r="G12" s="277" t="e">
        <f>#REF!</f>
        <v>#REF!</v>
      </c>
      <c r="H12" s="277" t="e">
        <f>#REF!</f>
        <v>#REF!</v>
      </c>
      <c r="I12" s="277" t="e">
        <f>#REF!</f>
        <v>#REF!</v>
      </c>
      <c r="J12" s="277" t="e">
        <f>#REF!</f>
        <v>#REF!</v>
      </c>
      <c r="K12" s="277" t="e">
        <f>#REF!</f>
        <v>#REF!</v>
      </c>
      <c r="L12" s="277" t="e">
        <f>#REF!</f>
        <v>#REF!</v>
      </c>
      <c r="M12" s="277" t="e">
        <f>#REF!</f>
        <v>#REF!</v>
      </c>
      <c r="N12" s="277" t="e">
        <f>#REF!</f>
        <v>#REF!</v>
      </c>
      <c r="O12" s="277" t="e">
        <f>#REF!</f>
        <v>#REF!</v>
      </c>
      <c r="P12" s="277" t="e">
        <f>#REF!</f>
        <v>#REF!</v>
      </c>
      <c r="Q12" s="277" t="e">
        <f>#REF!</f>
        <v>#REF!</v>
      </c>
      <c r="R12" s="277" t="e">
        <f>#REF!</f>
        <v>#REF!</v>
      </c>
      <c r="S12" s="277" t="e">
        <f>#REF!</f>
        <v>#REF!</v>
      </c>
      <c r="T12" s="281" t="e">
        <f>#REF!</f>
        <v>#REF!</v>
      </c>
      <c r="U12" s="281" t="e">
        <f>#REF!</f>
        <v>#REF!</v>
      </c>
      <c r="V12" s="281" t="e">
        <f>#REF!</f>
        <v>#REF!</v>
      </c>
      <c r="W12" s="281" t="e">
        <f>#REF!</f>
        <v>#REF!</v>
      </c>
      <c r="X12" s="281" t="e">
        <f>#REF!</f>
        <v>#REF!</v>
      </c>
    </row>
    <row r="13" spans="1:24" ht="24.95" customHeight="1">
      <c r="A13" s="274" t="e">
        <f>#REF!</f>
        <v>#REF!</v>
      </c>
      <c r="B13" s="275" t="e">
        <f>#REF!</f>
        <v>#REF!</v>
      </c>
      <c r="C13" s="276" t="e">
        <f>#REF!</f>
        <v>#REF!</v>
      </c>
      <c r="D13" s="277" t="e">
        <f>#REF!</f>
        <v>#REF!</v>
      </c>
      <c r="E13" s="277" t="e">
        <f>#REF!</f>
        <v>#REF!</v>
      </c>
      <c r="F13" s="277" t="e">
        <f>#REF!</f>
        <v>#REF!</v>
      </c>
      <c r="G13" s="277" t="e">
        <f>#REF!</f>
        <v>#REF!</v>
      </c>
      <c r="H13" s="277" t="e">
        <f>#REF!</f>
        <v>#REF!</v>
      </c>
      <c r="I13" s="277" t="e">
        <f>#REF!</f>
        <v>#REF!</v>
      </c>
      <c r="J13" s="277" t="e">
        <f>#REF!</f>
        <v>#REF!</v>
      </c>
      <c r="K13" s="277" t="e">
        <f>#REF!</f>
        <v>#REF!</v>
      </c>
      <c r="L13" s="277" t="e">
        <f>#REF!</f>
        <v>#REF!</v>
      </c>
      <c r="M13" s="277" t="e">
        <f>#REF!</f>
        <v>#REF!</v>
      </c>
      <c r="N13" s="277" t="e">
        <f>#REF!</f>
        <v>#REF!</v>
      </c>
      <c r="O13" s="277" t="e">
        <f>#REF!</f>
        <v>#REF!</v>
      </c>
      <c r="P13" s="277" t="e">
        <f>#REF!</f>
        <v>#REF!</v>
      </c>
      <c r="Q13" s="277" t="e">
        <f>#REF!</f>
        <v>#REF!</v>
      </c>
      <c r="R13" s="277" t="e">
        <f>#REF!</f>
        <v>#REF!</v>
      </c>
      <c r="S13" s="277" t="e">
        <f>#REF!</f>
        <v>#REF!</v>
      </c>
      <c r="T13" s="281" t="e">
        <f>#REF!</f>
        <v>#REF!</v>
      </c>
      <c r="U13" s="281" t="e">
        <f>#REF!</f>
        <v>#REF!</v>
      </c>
      <c r="V13" s="281" t="e">
        <f>#REF!</f>
        <v>#REF!</v>
      </c>
      <c r="W13" s="281" t="e">
        <f>#REF!</f>
        <v>#REF!</v>
      </c>
      <c r="X13" s="281" t="e">
        <f>#REF!</f>
        <v>#REF!</v>
      </c>
    </row>
    <row r="14" spans="1:24" ht="24.95" customHeight="1">
      <c r="A14" s="274" t="e">
        <f>#REF!</f>
        <v>#REF!</v>
      </c>
      <c r="B14" s="275" t="e">
        <f>#REF!</f>
        <v>#REF!</v>
      </c>
      <c r="C14" s="276" t="e">
        <f>#REF!</f>
        <v>#REF!</v>
      </c>
      <c r="D14" s="277" t="e">
        <f>#REF!</f>
        <v>#REF!</v>
      </c>
      <c r="E14" s="277" t="e">
        <f>#REF!</f>
        <v>#REF!</v>
      </c>
      <c r="F14" s="277" t="e">
        <f>#REF!</f>
        <v>#REF!</v>
      </c>
      <c r="G14" s="277" t="e">
        <f>#REF!</f>
        <v>#REF!</v>
      </c>
      <c r="H14" s="277" t="e">
        <f>#REF!</f>
        <v>#REF!</v>
      </c>
      <c r="I14" s="277" t="e">
        <f>#REF!</f>
        <v>#REF!</v>
      </c>
      <c r="J14" s="277" t="e">
        <f>#REF!</f>
        <v>#REF!</v>
      </c>
      <c r="K14" s="277" t="e">
        <f>#REF!</f>
        <v>#REF!</v>
      </c>
      <c r="L14" s="277" t="e">
        <f>#REF!</f>
        <v>#REF!</v>
      </c>
      <c r="M14" s="277" t="e">
        <f>#REF!</f>
        <v>#REF!</v>
      </c>
      <c r="N14" s="277" t="e">
        <f>#REF!</f>
        <v>#REF!</v>
      </c>
      <c r="O14" s="277" t="e">
        <f>#REF!</f>
        <v>#REF!</v>
      </c>
      <c r="P14" s="277" t="e">
        <f>#REF!</f>
        <v>#REF!</v>
      </c>
      <c r="Q14" s="277" t="e">
        <f>#REF!</f>
        <v>#REF!</v>
      </c>
      <c r="R14" s="277" t="e">
        <f>#REF!</f>
        <v>#REF!</v>
      </c>
      <c r="S14" s="277" t="e">
        <f>#REF!</f>
        <v>#REF!</v>
      </c>
      <c r="T14" s="281" t="e">
        <f>#REF!</f>
        <v>#REF!</v>
      </c>
      <c r="U14" s="281" t="e">
        <f>#REF!</f>
        <v>#REF!</v>
      </c>
      <c r="V14" s="281" t="e">
        <f>#REF!</f>
        <v>#REF!</v>
      </c>
      <c r="W14" s="281" t="e">
        <f>#REF!</f>
        <v>#REF!</v>
      </c>
      <c r="X14" s="281" t="e">
        <f>#REF!</f>
        <v>#REF!</v>
      </c>
    </row>
    <row r="15" spans="1:24" ht="24.95" customHeight="1">
      <c r="A15" s="274" t="e">
        <f>#REF!</f>
        <v>#REF!</v>
      </c>
      <c r="B15" s="275" t="e">
        <f>#REF!</f>
        <v>#REF!</v>
      </c>
      <c r="C15" s="276" t="e">
        <f>#REF!</f>
        <v>#REF!</v>
      </c>
      <c r="D15" s="277" t="e">
        <f>#REF!</f>
        <v>#REF!</v>
      </c>
      <c r="E15" s="277" t="e">
        <f>#REF!</f>
        <v>#REF!</v>
      </c>
      <c r="F15" s="277" t="e">
        <f>#REF!</f>
        <v>#REF!</v>
      </c>
      <c r="G15" s="277" t="e">
        <f>#REF!</f>
        <v>#REF!</v>
      </c>
      <c r="H15" s="277" t="e">
        <f>#REF!</f>
        <v>#REF!</v>
      </c>
      <c r="I15" s="277" t="e">
        <f>#REF!</f>
        <v>#REF!</v>
      </c>
      <c r="J15" s="277" t="e">
        <f>#REF!</f>
        <v>#REF!</v>
      </c>
      <c r="K15" s="277" t="e">
        <f>#REF!</f>
        <v>#REF!</v>
      </c>
      <c r="L15" s="277" t="e">
        <f>#REF!</f>
        <v>#REF!</v>
      </c>
      <c r="M15" s="277" t="e">
        <f>#REF!</f>
        <v>#REF!</v>
      </c>
      <c r="N15" s="277" t="e">
        <f>#REF!</f>
        <v>#REF!</v>
      </c>
      <c r="O15" s="277" t="e">
        <f>#REF!</f>
        <v>#REF!</v>
      </c>
      <c r="P15" s="277" t="e">
        <f>#REF!</f>
        <v>#REF!</v>
      </c>
      <c r="Q15" s="277" t="e">
        <f>#REF!</f>
        <v>#REF!</v>
      </c>
      <c r="R15" s="277" t="e">
        <f>#REF!</f>
        <v>#REF!</v>
      </c>
      <c r="S15" s="277" t="e">
        <f>#REF!</f>
        <v>#REF!</v>
      </c>
      <c r="T15" s="281" t="e">
        <f>#REF!</f>
        <v>#REF!</v>
      </c>
      <c r="U15" s="281" t="e">
        <f>#REF!</f>
        <v>#REF!</v>
      </c>
      <c r="V15" s="281" t="e">
        <f>#REF!</f>
        <v>#REF!</v>
      </c>
      <c r="W15" s="281" t="e">
        <f>#REF!</f>
        <v>#REF!</v>
      </c>
      <c r="X15" s="281" t="e">
        <f>#REF!</f>
        <v>#REF!</v>
      </c>
    </row>
    <row r="16" spans="1:24" ht="24.95" customHeight="1">
      <c r="A16" s="274" t="e">
        <f>#REF!</f>
        <v>#REF!</v>
      </c>
      <c r="B16" s="275" t="e">
        <f>#REF!</f>
        <v>#REF!</v>
      </c>
      <c r="C16" s="276" t="e">
        <f>#REF!</f>
        <v>#REF!</v>
      </c>
      <c r="D16" s="277" t="e">
        <f>#REF!</f>
        <v>#REF!</v>
      </c>
      <c r="E16" s="277" t="e">
        <f>#REF!</f>
        <v>#REF!</v>
      </c>
      <c r="F16" s="277" t="e">
        <f>#REF!</f>
        <v>#REF!</v>
      </c>
      <c r="G16" s="277" t="e">
        <f>#REF!</f>
        <v>#REF!</v>
      </c>
      <c r="H16" s="277" t="e">
        <f>#REF!</f>
        <v>#REF!</v>
      </c>
      <c r="I16" s="277" t="e">
        <f>#REF!</f>
        <v>#REF!</v>
      </c>
      <c r="J16" s="277" t="e">
        <f>#REF!</f>
        <v>#REF!</v>
      </c>
      <c r="K16" s="277" t="e">
        <f>#REF!</f>
        <v>#REF!</v>
      </c>
      <c r="L16" s="277" t="e">
        <f>#REF!</f>
        <v>#REF!</v>
      </c>
      <c r="M16" s="277" t="e">
        <f>#REF!</f>
        <v>#REF!</v>
      </c>
      <c r="N16" s="277" t="e">
        <f>#REF!</f>
        <v>#REF!</v>
      </c>
      <c r="O16" s="277" t="e">
        <f>#REF!</f>
        <v>#REF!</v>
      </c>
      <c r="P16" s="277" t="e">
        <f>#REF!</f>
        <v>#REF!</v>
      </c>
      <c r="Q16" s="277" t="e">
        <f>#REF!</f>
        <v>#REF!</v>
      </c>
      <c r="R16" s="277" t="e">
        <f>#REF!</f>
        <v>#REF!</v>
      </c>
      <c r="S16" s="277" t="e">
        <f>#REF!</f>
        <v>#REF!</v>
      </c>
      <c r="T16" s="281" t="e">
        <f>#REF!</f>
        <v>#REF!</v>
      </c>
      <c r="U16" s="281" t="e">
        <f>#REF!</f>
        <v>#REF!</v>
      </c>
      <c r="V16" s="281" t="e">
        <f>#REF!</f>
        <v>#REF!</v>
      </c>
      <c r="W16" s="281" t="e">
        <f>#REF!</f>
        <v>#REF!</v>
      </c>
      <c r="X16" s="281" t="e">
        <f>#REF!</f>
        <v>#REF!</v>
      </c>
    </row>
    <row r="17" spans="1:24" ht="24.95" customHeight="1">
      <c r="A17" s="274" t="e">
        <f>#REF!</f>
        <v>#REF!</v>
      </c>
      <c r="B17" s="275" t="e">
        <f>#REF!</f>
        <v>#REF!</v>
      </c>
      <c r="C17" s="276" t="e">
        <f>#REF!</f>
        <v>#REF!</v>
      </c>
      <c r="D17" s="277" t="e">
        <f>#REF!</f>
        <v>#REF!</v>
      </c>
      <c r="E17" s="277" t="e">
        <f>#REF!</f>
        <v>#REF!</v>
      </c>
      <c r="F17" s="277" t="e">
        <f>#REF!</f>
        <v>#REF!</v>
      </c>
      <c r="G17" s="277" t="e">
        <f>#REF!</f>
        <v>#REF!</v>
      </c>
      <c r="H17" s="277" t="e">
        <f>#REF!</f>
        <v>#REF!</v>
      </c>
      <c r="I17" s="277" t="e">
        <f>#REF!</f>
        <v>#REF!</v>
      </c>
      <c r="J17" s="277" t="e">
        <f>#REF!</f>
        <v>#REF!</v>
      </c>
      <c r="K17" s="277" t="e">
        <f>#REF!</f>
        <v>#REF!</v>
      </c>
      <c r="L17" s="277" t="e">
        <f>#REF!</f>
        <v>#REF!</v>
      </c>
      <c r="M17" s="277" t="e">
        <f>#REF!</f>
        <v>#REF!</v>
      </c>
      <c r="N17" s="277" t="e">
        <f>#REF!</f>
        <v>#REF!</v>
      </c>
      <c r="O17" s="277" t="e">
        <f>#REF!</f>
        <v>#REF!</v>
      </c>
      <c r="P17" s="277" t="e">
        <f>#REF!</f>
        <v>#REF!</v>
      </c>
      <c r="Q17" s="277" t="e">
        <f>#REF!</f>
        <v>#REF!</v>
      </c>
      <c r="R17" s="277" t="e">
        <f>#REF!</f>
        <v>#REF!</v>
      </c>
      <c r="S17" s="277" t="e">
        <f>#REF!</f>
        <v>#REF!</v>
      </c>
      <c r="T17" s="281" t="e">
        <f>#REF!</f>
        <v>#REF!</v>
      </c>
      <c r="U17" s="281" t="e">
        <f>#REF!</f>
        <v>#REF!</v>
      </c>
      <c r="V17" s="281" t="e">
        <f>#REF!</f>
        <v>#REF!</v>
      </c>
      <c r="W17" s="281" t="e">
        <f>#REF!</f>
        <v>#REF!</v>
      </c>
      <c r="X17" s="281" t="e">
        <f>#REF!</f>
        <v>#REF!</v>
      </c>
    </row>
    <row r="18" spans="1:24" ht="24.95" customHeight="1">
      <c r="A18" s="274" t="e">
        <f>#REF!</f>
        <v>#REF!</v>
      </c>
      <c r="B18" s="275" t="e">
        <f>#REF!</f>
        <v>#REF!</v>
      </c>
      <c r="C18" s="276" t="e">
        <f>#REF!</f>
        <v>#REF!</v>
      </c>
      <c r="D18" s="277" t="e">
        <f>#REF!</f>
        <v>#REF!</v>
      </c>
      <c r="E18" s="277" t="e">
        <f>#REF!</f>
        <v>#REF!</v>
      </c>
      <c r="F18" s="277" t="e">
        <f>#REF!</f>
        <v>#REF!</v>
      </c>
      <c r="G18" s="277" t="e">
        <f>#REF!</f>
        <v>#REF!</v>
      </c>
      <c r="H18" s="277" t="e">
        <f>#REF!</f>
        <v>#REF!</v>
      </c>
      <c r="I18" s="277" t="e">
        <f>#REF!</f>
        <v>#REF!</v>
      </c>
      <c r="J18" s="277" t="e">
        <f>#REF!</f>
        <v>#REF!</v>
      </c>
      <c r="K18" s="277" t="e">
        <f>#REF!</f>
        <v>#REF!</v>
      </c>
      <c r="L18" s="277" t="e">
        <f>#REF!</f>
        <v>#REF!</v>
      </c>
      <c r="M18" s="277" t="e">
        <f>#REF!</f>
        <v>#REF!</v>
      </c>
      <c r="N18" s="277" t="e">
        <f>#REF!</f>
        <v>#REF!</v>
      </c>
      <c r="O18" s="277" t="e">
        <f>#REF!</f>
        <v>#REF!</v>
      </c>
      <c r="P18" s="277" t="e">
        <f>#REF!</f>
        <v>#REF!</v>
      </c>
      <c r="Q18" s="277" t="e">
        <f>#REF!</f>
        <v>#REF!</v>
      </c>
      <c r="R18" s="277" t="e">
        <f>#REF!</f>
        <v>#REF!</v>
      </c>
      <c r="S18" s="277" t="e">
        <f>#REF!</f>
        <v>#REF!</v>
      </c>
      <c r="T18" s="281" t="e">
        <f>#REF!</f>
        <v>#REF!</v>
      </c>
      <c r="U18" s="281" t="e">
        <f>#REF!</f>
        <v>#REF!</v>
      </c>
      <c r="V18" s="281" t="e">
        <f>#REF!</f>
        <v>#REF!</v>
      </c>
      <c r="W18" s="281" t="e">
        <f>#REF!</f>
        <v>#REF!</v>
      </c>
      <c r="X18" s="281" t="e">
        <f>#REF!</f>
        <v>#REF!</v>
      </c>
    </row>
    <row r="19" spans="1:24" ht="24.95" customHeight="1">
      <c r="A19" s="274" t="e">
        <f>#REF!</f>
        <v>#REF!</v>
      </c>
      <c r="B19" s="275" t="e">
        <f>#REF!</f>
        <v>#REF!</v>
      </c>
      <c r="C19" s="276" t="e">
        <f>#REF!</f>
        <v>#REF!</v>
      </c>
      <c r="D19" s="277" t="e">
        <f>#REF!</f>
        <v>#REF!</v>
      </c>
      <c r="E19" s="277" t="e">
        <f>#REF!</f>
        <v>#REF!</v>
      </c>
      <c r="F19" s="277" t="e">
        <f>#REF!</f>
        <v>#REF!</v>
      </c>
      <c r="G19" s="277" t="e">
        <f>#REF!</f>
        <v>#REF!</v>
      </c>
      <c r="H19" s="277" t="e">
        <f>#REF!</f>
        <v>#REF!</v>
      </c>
      <c r="I19" s="277" t="e">
        <f>#REF!</f>
        <v>#REF!</v>
      </c>
      <c r="J19" s="277" t="e">
        <f>#REF!</f>
        <v>#REF!</v>
      </c>
      <c r="K19" s="277" t="e">
        <f>#REF!</f>
        <v>#REF!</v>
      </c>
      <c r="L19" s="277" t="e">
        <f>#REF!</f>
        <v>#REF!</v>
      </c>
      <c r="M19" s="277" t="e">
        <f>#REF!</f>
        <v>#REF!</v>
      </c>
      <c r="N19" s="277" t="e">
        <f>#REF!</f>
        <v>#REF!</v>
      </c>
      <c r="O19" s="277" t="e">
        <f>#REF!</f>
        <v>#REF!</v>
      </c>
      <c r="P19" s="277" t="e">
        <f>#REF!</f>
        <v>#REF!</v>
      </c>
      <c r="Q19" s="277" t="e">
        <f>#REF!</f>
        <v>#REF!</v>
      </c>
      <c r="R19" s="277" t="e">
        <f>#REF!</f>
        <v>#REF!</v>
      </c>
      <c r="S19" s="277" t="e">
        <f>#REF!</f>
        <v>#REF!</v>
      </c>
      <c r="T19" s="281" t="e">
        <f>#REF!</f>
        <v>#REF!</v>
      </c>
      <c r="U19" s="281" t="e">
        <f>#REF!</f>
        <v>#REF!</v>
      </c>
      <c r="V19" s="281" t="e">
        <f>#REF!</f>
        <v>#REF!</v>
      </c>
      <c r="W19" s="281" t="e">
        <f>#REF!</f>
        <v>#REF!</v>
      </c>
      <c r="X19" s="281" t="e">
        <f>#REF!</f>
        <v>#REF!</v>
      </c>
    </row>
    <row r="20" spans="1:24" ht="24.95" customHeight="1">
      <c r="A20" s="274" t="e">
        <f>#REF!</f>
        <v>#REF!</v>
      </c>
      <c r="B20" s="275" t="e">
        <f>#REF!</f>
        <v>#REF!</v>
      </c>
      <c r="C20" s="276" t="e">
        <f>#REF!</f>
        <v>#REF!</v>
      </c>
      <c r="D20" s="277" t="e">
        <f>#REF!</f>
        <v>#REF!</v>
      </c>
      <c r="E20" s="277" t="e">
        <f>#REF!</f>
        <v>#REF!</v>
      </c>
      <c r="F20" s="277" t="e">
        <f>#REF!</f>
        <v>#REF!</v>
      </c>
      <c r="G20" s="277" t="e">
        <f>#REF!</f>
        <v>#REF!</v>
      </c>
      <c r="H20" s="277" t="e">
        <f>#REF!</f>
        <v>#REF!</v>
      </c>
      <c r="I20" s="277" t="e">
        <f>#REF!</f>
        <v>#REF!</v>
      </c>
      <c r="J20" s="277" t="e">
        <f>#REF!</f>
        <v>#REF!</v>
      </c>
      <c r="K20" s="277" t="e">
        <f>#REF!</f>
        <v>#REF!</v>
      </c>
      <c r="L20" s="277" t="e">
        <f>#REF!</f>
        <v>#REF!</v>
      </c>
      <c r="M20" s="277" t="e">
        <f>#REF!</f>
        <v>#REF!</v>
      </c>
      <c r="N20" s="277" t="e">
        <f>#REF!</f>
        <v>#REF!</v>
      </c>
      <c r="O20" s="277" t="e">
        <f>#REF!</f>
        <v>#REF!</v>
      </c>
      <c r="P20" s="277" t="e">
        <f>#REF!</f>
        <v>#REF!</v>
      </c>
      <c r="Q20" s="277" t="e">
        <f>#REF!</f>
        <v>#REF!</v>
      </c>
      <c r="R20" s="277" t="e">
        <f>#REF!</f>
        <v>#REF!</v>
      </c>
      <c r="S20" s="277" t="e">
        <f>#REF!</f>
        <v>#REF!</v>
      </c>
      <c r="T20" s="281" t="e">
        <f>#REF!</f>
        <v>#REF!</v>
      </c>
      <c r="U20" s="281" t="e">
        <f>#REF!</f>
        <v>#REF!</v>
      </c>
      <c r="V20" s="281" t="e">
        <f>#REF!</f>
        <v>#REF!</v>
      </c>
      <c r="W20" s="281" t="e">
        <f>#REF!</f>
        <v>#REF!</v>
      </c>
      <c r="X20" s="281" t="e">
        <f>#REF!</f>
        <v>#REF!</v>
      </c>
    </row>
    <row r="21" spans="1:24" ht="24.95" customHeight="1">
      <c r="A21" s="274" t="e">
        <f>#REF!</f>
        <v>#REF!</v>
      </c>
      <c r="B21" s="275" t="e">
        <f>#REF!</f>
        <v>#REF!</v>
      </c>
      <c r="C21" s="276" t="e">
        <f>#REF!</f>
        <v>#REF!</v>
      </c>
      <c r="D21" s="277" t="e">
        <f>#REF!</f>
        <v>#REF!</v>
      </c>
      <c r="E21" s="277" t="e">
        <f>#REF!</f>
        <v>#REF!</v>
      </c>
      <c r="F21" s="277" t="e">
        <f>#REF!</f>
        <v>#REF!</v>
      </c>
      <c r="G21" s="277" t="e">
        <f>#REF!</f>
        <v>#REF!</v>
      </c>
      <c r="H21" s="277" t="e">
        <f>#REF!</f>
        <v>#REF!</v>
      </c>
      <c r="I21" s="277" t="e">
        <f>#REF!</f>
        <v>#REF!</v>
      </c>
      <c r="J21" s="277" t="e">
        <f>#REF!</f>
        <v>#REF!</v>
      </c>
      <c r="K21" s="277" t="e">
        <f>#REF!</f>
        <v>#REF!</v>
      </c>
      <c r="L21" s="277" t="e">
        <f>#REF!</f>
        <v>#REF!</v>
      </c>
      <c r="M21" s="277" t="e">
        <f>#REF!</f>
        <v>#REF!</v>
      </c>
      <c r="N21" s="277" t="e">
        <f>#REF!</f>
        <v>#REF!</v>
      </c>
      <c r="O21" s="277" t="e">
        <f>#REF!</f>
        <v>#REF!</v>
      </c>
      <c r="P21" s="277" t="e">
        <f>#REF!</f>
        <v>#REF!</v>
      </c>
      <c r="Q21" s="277" t="e">
        <f>#REF!</f>
        <v>#REF!</v>
      </c>
      <c r="R21" s="277" t="e">
        <f>#REF!</f>
        <v>#REF!</v>
      </c>
      <c r="S21" s="277" t="e">
        <f>#REF!</f>
        <v>#REF!</v>
      </c>
      <c r="T21" s="281" t="e">
        <f>#REF!</f>
        <v>#REF!</v>
      </c>
      <c r="U21" s="281" t="e">
        <f>#REF!</f>
        <v>#REF!</v>
      </c>
      <c r="V21" s="281" t="e">
        <f>#REF!</f>
        <v>#REF!</v>
      </c>
      <c r="W21" s="281" t="e">
        <f>#REF!</f>
        <v>#REF!</v>
      </c>
      <c r="X21" s="281" t="e">
        <f>#REF!</f>
        <v>#REF!</v>
      </c>
    </row>
    <row r="22" spans="1:24" ht="24.95" customHeight="1">
      <c r="A22" s="274" t="e">
        <f>#REF!</f>
        <v>#REF!</v>
      </c>
      <c r="B22" s="275" t="e">
        <f>#REF!</f>
        <v>#REF!</v>
      </c>
      <c r="C22" s="276" t="e">
        <f>#REF!</f>
        <v>#REF!</v>
      </c>
      <c r="D22" s="277" t="e">
        <f>#REF!</f>
        <v>#REF!</v>
      </c>
      <c r="E22" s="277" t="e">
        <f>#REF!</f>
        <v>#REF!</v>
      </c>
      <c r="F22" s="277" t="e">
        <f>#REF!</f>
        <v>#REF!</v>
      </c>
      <c r="G22" s="277" t="e">
        <f>#REF!</f>
        <v>#REF!</v>
      </c>
      <c r="H22" s="277" t="e">
        <f>#REF!</f>
        <v>#REF!</v>
      </c>
      <c r="I22" s="277" t="e">
        <f>#REF!</f>
        <v>#REF!</v>
      </c>
      <c r="J22" s="277" t="e">
        <f>#REF!</f>
        <v>#REF!</v>
      </c>
      <c r="K22" s="277" t="e">
        <f>#REF!</f>
        <v>#REF!</v>
      </c>
      <c r="L22" s="277" t="e">
        <f>#REF!</f>
        <v>#REF!</v>
      </c>
      <c r="M22" s="277" t="e">
        <f>#REF!</f>
        <v>#REF!</v>
      </c>
      <c r="N22" s="277" t="e">
        <f>#REF!</f>
        <v>#REF!</v>
      </c>
      <c r="O22" s="277" t="e">
        <f>#REF!</f>
        <v>#REF!</v>
      </c>
      <c r="P22" s="277" t="e">
        <f>#REF!</f>
        <v>#REF!</v>
      </c>
      <c r="Q22" s="277" t="e">
        <f>#REF!</f>
        <v>#REF!</v>
      </c>
      <c r="R22" s="277" t="e">
        <f>#REF!</f>
        <v>#REF!</v>
      </c>
      <c r="S22" s="277" t="e">
        <f>#REF!</f>
        <v>#REF!</v>
      </c>
      <c r="T22" s="281" t="e">
        <f>#REF!</f>
        <v>#REF!</v>
      </c>
      <c r="U22" s="281" t="e">
        <f>#REF!</f>
        <v>#REF!</v>
      </c>
      <c r="V22" s="281" t="e">
        <f>#REF!</f>
        <v>#REF!</v>
      </c>
      <c r="W22" s="281" t="e">
        <f>#REF!</f>
        <v>#REF!</v>
      </c>
      <c r="X22" s="281" t="e">
        <f>#REF!</f>
        <v>#REF!</v>
      </c>
    </row>
    <row r="23" spans="1:24" ht="24.95" customHeight="1">
      <c r="A23" s="274" t="e">
        <f>#REF!</f>
        <v>#REF!</v>
      </c>
      <c r="B23" s="275" t="e">
        <f>#REF!</f>
        <v>#REF!</v>
      </c>
      <c r="C23" s="276" t="e">
        <f>#REF!</f>
        <v>#REF!</v>
      </c>
      <c r="D23" s="277" t="e">
        <f>#REF!</f>
        <v>#REF!</v>
      </c>
      <c r="E23" s="277" t="e">
        <f>#REF!</f>
        <v>#REF!</v>
      </c>
      <c r="F23" s="277" t="e">
        <f>#REF!</f>
        <v>#REF!</v>
      </c>
      <c r="G23" s="277" t="e">
        <f>#REF!</f>
        <v>#REF!</v>
      </c>
      <c r="H23" s="277" t="e">
        <f>#REF!</f>
        <v>#REF!</v>
      </c>
      <c r="I23" s="277" t="e">
        <f>#REF!</f>
        <v>#REF!</v>
      </c>
      <c r="J23" s="277" t="e">
        <f>#REF!</f>
        <v>#REF!</v>
      </c>
      <c r="K23" s="277" t="e">
        <f>#REF!</f>
        <v>#REF!</v>
      </c>
      <c r="L23" s="277" t="e">
        <f>#REF!</f>
        <v>#REF!</v>
      </c>
      <c r="M23" s="277" t="e">
        <f>#REF!</f>
        <v>#REF!</v>
      </c>
      <c r="N23" s="277" t="e">
        <f>#REF!</f>
        <v>#REF!</v>
      </c>
      <c r="O23" s="277" t="e">
        <f>#REF!</f>
        <v>#REF!</v>
      </c>
      <c r="P23" s="277" t="e">
        <f>#REF!</f>
        <v>#REF!</v>
      </c>
      <c r="Q23" s="277" t="e">
        <f>#REF!</f>
        <v>#REF!</v>
      </c>
      <c r="R23" s="277" t="e">
        <f>#REF!</f>
        <v>#REF!</v>
      </c>
      <c r="S23" s="277" t="e">
        <f>#REF!</f>
        <v>#REF!</v>
      </c>
      <c r="T23" s="281" t="e">
        <f>#REF!</f>
        <v>#REF!</v>
      </c>
      <c r="U23" s="281" t="e">
        <f>#REF!</f>
        <v>#REF!</v>
      </c>
      <c r="V23" s="281" t="e">
        <f>#REF!</f>
        <v>#REF!</v>
      </c>
      <c r="W23" s="281" t="e">
        <f>#REF!</f>
        <v>#REF!</v>
      </c>
      <c r="X23" s="281" t="e">
        <f>#REF!</f>
        <v>#REF!</v>
      </c>
    </row>
    <row r="24" spans="1:24" ht="24.95" customHeight="1">
      <c r="A24" s="274" t="e">
        <f>#REF!</f>
        <v>#REF!</v>
      </c>
      <c r="B24" s="275" t="e">
        <f>#REF!</f>
        <v>#REF!</v>
      </c>
      <c r="C24" s="276" t="e">
        <f>#REF!</f>
        <v>#REF!</v>
      </c>
      <c r="D24" s="277" t="e">
        <f>#REF!</f>
        <v>#REF!</v>
      </c>
      <c r="E24" s="277" t="e">
        <f>#REF!</f>
        <v>#REF!</v>
      </c>
      <c r="F24" s="277" t="e">
        <f>#REF!</f>
        <v>#REF!</v>
      </c>
      <c r="G24" s="277" t="e">
        <f>#REF!</f>
        <v>#REF!</v>
      </c>
      <c r="H24" s="277" t="e">
        <f>#REF!</f>
        <v>#REF!</v>
      </c>
      <c r="I24" s="277" t="e">
        <f>#REF!</f>
        <v>#REF!</v>
      </c>
      <c r="J24" s="277" t="e">
        <f>#REF!</f>
        <v>#REF!</v>
      </c>
      <c r="K24" s="277" t="e">
        <f>#REF!</f>
        <v>#REF!</v>
      </c>
      <c r="L24" s="277" t="e">
        <f>#REF!</f>
        <v>#REF!</v>
      </c>
      <c r="M24" s="277" t="e">
        <f>#REF!</f>
        <v>#REF!</v>
      </c>
      <c r="N24" s="277" t="e">
        <f>#REF!</f>
        <v>#REF!</v>
      </c>
      <c r="O24" s="277" t="e">
        <f>#REF!</f>
        <v>#REF!</v>
      </c>
      <c r="P24" s="277" t="e">
        <f>#REF!</f>
        <v>#REF!</v>
      </c>
      <c r="Q24" s="277" t="e">
        <f>#REF!</f>
        <v>#REF!</v>
      </c>
      <c r="R24" s="277" t="e">
        <f>#REF!</f>
        <v>#REF!</v>
      </c>
      <c r="S24" s="277" t="e">
        <f>#REF!</f>
        <v>#REF!</v>
      </c>
      <c r="T24" s="281" t="e">
        <f>#REF!</f>
        <v>#REF!</v>
      </c>
      <c r="U24" s="281" t="e">
        <f>#REF!</f>
        <v>#REF!</v>
      </c>
      <c r="V24" s="281" t="e">
        <f>#REF!</f>
        <v>#REF!</v>
      </c>
      <c r="W24" s="281" t="e">
        <f>#REF!</f>
        <v>#REF!</v>
      </c>
      <c r="X24" s="281" t="e">
        <f>#REF!</f>
        <v>#REF!</v>
      </c>
    </row>
    <row r="25" spans="1:24" ht="24.95" customHeight="1">
      <c r="A25" s="274" t="e">
        <f>#REF!</f>
        <v>#REF!</v>
      </c>
      <c r="B25" s="275" t="e">
        <f>#REF!</f>
        <v>#REF!</v>
      </c>
      <c r="C25" s="276" t="e">
        <f>#REF!</f>
        <v>#REF!</v>
      </c>
      <c r="D25" s="277" t="e">
        <f>#REF!</f>
        <v>#REF!</v>
      </c>
      <c r="E25" s="277" t="e">
        <f>#REF!</f>
        <v>#REF!</v>
      </c>
      <c r="F25" s="277" t="e">
        <f>#REF!</f>
        <v>#REF!</v>
      </c>
      <c r="G25" s="277" t="e">
        <f>#REF!</f>
        <v>#REF!</v>
      </c>
      <c r="H25" s="277" t="e">
        <f>#REF!</f>
        <v>#REF!</v>
      </c>
      <c r="I25" s="277" t="e">
        <f>#REF!</f>
        <v>#REF!</v>
      </c>
      <c r="J25" s="277" t="e">
        <f>#REF!</f>
        <v>#REF!</v>
      </c>
      <c r="K25" s="277" t="e">
        <f>#REF!</f>
        <v>#REF!</v>
      </c>
      <c r="L25" s="277" t="e">
        <f>#REF!</f>
        <v>#REF!</v>
      </c>
      <c r="M25" s="277" t="e">
        <f>#REF!</f>
        <v>#REF!</v>
      </c>
      <c r="N25" s="277" t="e">
        <f>#REF!</f>
        <v>#REF!</v>
      </c>
      <c r="O25" s="277" t="e">
        <f>#REF!</f>
        <v>#REF!</v>
      </c>
      <c r="P25" s="277" t="e">
        <f>#REF!</f>
        <v>#REF!</v>
      </c>
      <c r="Q25" s="277" t="e">
        <f>#REF!</f>
        <v>#REF!</v>
      </c>
      <c r="R25" s="277" t="e">
        <f>#REF!</f>
        <v>#REF!</v>
      </c>
      <c r="S25" s="277" t="e">
        <f>#REF!</f>
        <v>#REF!</v>
      </c>
      <c r="T25" s="281" t="e">
        <f>#REF!</f>
        <v>#REF!</v>
      </c>
      <c r="U25" s="281" t="e">
        <f>#REF!</f>
        <v>#REF!</v>
      </c>
      <c r="V25" s="281" t="e">
        <f>#REF!</f>
        <v>#REF!</v>
      </c>
      <c r="W25" s="281" t="e">
        <f>#REF!</f>
        <v>#REF!</v>
      </c>
      <c r="X25" s="281" t="e">
        <f>#REF!</f>
        <v>#REF!</v>
      </c>
    </row>
    <row r="26" spans="1:24" ht="24.95" customHeight="1">
      <c r="A26" s="274" t="e">
        <f>#REF!</f>
        <v>#REF!</v>
      </c>
      <c r="B26" s="275" t="e">
        <f>#REF!</f>
        <v>#REF!</v>
      </c>
      <c r="C26" s="276" t="e">
        <f>#REF!</f>
        <v>#REF!</v>
      </c>
      <c r="D26" s="277" t="e">
        <f>#REF!</f>
        <v>#REF!</v>
      </c>
      <c r="E26" s="277" t="e">
        <f>#REF!</f>
        <v>#REF!</v>
      </c>
      <c r="F26" s="277" t="e">
        <f>#REF!</f>
        <v>#REF!</v>
      </c>
      <c r="G26" s="277" t="e">
        <f>#REF!</f>
        <v>#REF!</v>
      </c>
      <c r="H26" s="277" t="e">
        <f>#REF!</f>
        <v>#REF!</v>
      </c>
      <c r="I26" s="277" t="e">
        <f>#REF!</f>
        <v>#REF!</v>
      </c>
      <c r="J26" s="277" t="e">
        <f>#REF!</f>
        <v>#REF!</v>
      </c>
      <c r="K26" s="277" t="e">
        <f>#REF!</f>
        <v>#REF!</v>
      </c>
      <c r="L26" s="277" t="e">
        <f>#REF!</f>
        <v>#REF!</v>
      </c>
      <c r="M26" s="277" t="e">
        <f>#REF!</f>
        <v>#REF!</v>
      </c>
      <c r="N26" s="277" t="e">
        <f>#REF!</f>
        <v>#REF!</v>
      </c>
      <c r="O26" s="277" t="e">
        <f>#REF!</f>
        <v>#REF!</v>
      </c>
      <c r="P26" s="277" t="e">
        <f>#REF!</f>
        <v>#REF!</v>
      </c>
      <c r="Q26" s="277" t="e">
        <f>#REF!</f>
        <v>#REF!</v>
      </c>
      <c r="R26" s="277" t="e">
        <f>#REF!</f>
        <v>#REF!</v>
      </c>
      <c r="S26" s="277" t="e">
        <f>#REF!</f>
        <v>#REF!</v>
      </c>
      <c r="T26" s="281" t="e">
        <f>#REF!</f>
        <v>#REF!</v>
      </c>
      <c r="U26" s="281" t="e">
        <f>#REF!</f>
        <v>#REF!</v>
      </c>
      <c r="V26" s="281" t="e">
        <f>#REF!</f>
        <v>#REF!</v>
      </c>
      <c r="W26" s="281" t="e">
        <f>#REF!</f>
        <v>#REF!</v>
      </c>
      <c r="X26" s="281" t="e">
        <f>#REF!</f>
        <v>#REF!</v>
      </c>
    </row>
    <row r="27" spans="1:24" ht="24.95" customHeight="1">
      <c r="A27" s="274" t="e">
        <f>#REF!</f>
        <v>#REF!</v>
      </c>
      <c r="B27" s="275" t="e">
        <f>#REF!</f>
        <v>#REF!</v>
      </c>
      <c r="C27" s="276" t="e">
        <f>#REF!</f>
        <v>#REF!</v>
      </c>
      <c r="D27" s="277" t="e">
        <f>#REF!</f>
        <v>#REF!</v>
      </c>
      <c r="E27" s="277" t="e">
        <f>#REF!</f>
        <v>#REF!</v>
      </c>
      <c r="F27" s="277" t="e">
        <f>#REF!</f>
        <v>#REF!</v>
      </c>
      <c r="G27" s="277" t="e">
        <f>#REF!</f>
        <v>#REF!</v>
      </c>
      <c r="H27" s="277" t="e">
        <f>#REF!</f>
        <v>#REF!</v>
      </c>
      <c r="I27" s="277" t="e">
        <f>#REF!</f>
        <v>#REF!</v>
      </c>
      <c r="J27" s="277" t="e">
        <f>#REF!</f>
        <v>#REF!</v>
      </c>
      <c r="K27" s="277" t="e">
        <f>#REF!</f>
        <v>#REF!</v>
      </c>
      <c r="L27" s="277" t="e">
        <f>#REF!</f>
        <v>#REF!</v>
      </c>
      <c r="M27" s="277" t="e">
        <f>#REF!</f>
        <v>#REF!</v>
      </c>
      <c r="N27" s="277" t="e">
        <f>#REF!</f>
        <v>#REF!</v>
      </c>
      <c r="O27" s="277" t="e">
        <f>#REF!</f>
        <v>#REF!</v>
      </c>
      <c r="P27" s="277" t="e">
        <f>#REF!</f>
        <v>#REF!</v>
      </c>
      <c r="Q27" s="277" t="e">
        <f>#REF!</f>
        <v>#REF!</v>
      </c>
      <c r="R27" s="277" t="e">
        <f>#REF!</f>
        <v>#REF!</v>
      </c>
      <c r="S27" s="277" t="e">
        <f>#REF!</f>
        <v>#REF!</v>
      </c>
      <c r="T27" s="281" t="e">
        <f>#REF!</f>
        <v>#REF!</v>
      </c>
      <c r="U27" s="281" t="e">
        <f>#REF!</f>
        <v>#REF!</v>
      </c>
      <c r="V27" s="281" t="e">
        <f>#REF!</f>
        <v>#REF!</v>
      </c>
      <c r="W27" s="281" t="e">
        <f>#REF!</f>
        <v>#REF!</v>
      </c>
      <c r="X27" s="281" t="e">
        <f>#REF!</f>
        <v>#REF!</v>
      </c>
    </row>
    <row r="28" spans="1:24" ht="24.95" customHeight="1">
      <c r="A28" s="274" t="e">
        <f>#REF!</f>
        <v>#REF!</v>
      </c>
      <c r="B28" s="275" t="e">
        <f>#REF!</f>
        <v>#REF!</v>
      </c>
      <c r="C28" s="276" t="e">
        <f>#REF!</f>
        <v>#REF!</v>
      </c>
      <c r="D28" s="277" t="e">
        <f>#REF!</f>
        <v>#REF!</v>
      </c>
      <c r="E28" s="277" t="e">
        <f>#REF!</f>
        <v>#REF!</v>
      </c>
      <c r="F28" s="277" t="e">
        <f>#REF!</f>
        <v>#REF!</v>
      </c>
      <c r="G28" s="277" t="e">
        <f>#REF!</f>
        <v>#REF!</v>
      </c>
      <c r="H28" s="277" t="e">
        <f>#REF!</f>
        <v>#REF!</v>
      </c>
      <c r="I28" s="277" t="e">
        <f>#REF!</f>
        <v>#REF!</v>
      </c>
      <c r="J28" s="277" t="e">
        <f>#REF!</f>
        <v>#REF!</v>
      </c>
      <c r="K28" s="277" t="e">
        <f>#REF!</f>
        <v>#REF!</v>
      </c>
      <c r="L28" s="277" t="e">
        <f>#REF!</f>
        <v>#REF!</v>
      </c>
      <c r="M28" s="277" t="e">
        <f>#REF!</f>
        <v>#REF!</v>
      </c>
      <c r="N28" s="277" t="e">
        <f>#REF!</f>
        <v>#REF!</v>
      </c>
      <c r="O28" s="277" t="e">
        <f>#REF!</f>
        <v>#REF!</v>
      </c>
      <c r="P28" s="277" t="e">
        <f>#REF!</f>
        <v>#REF!</v>
      </c>
      <c r="Q28" s="277" t="e">
        <f>#REF!</f>
        <v>#REF!</v>
      </c>
      <c r="R28" s="277" t="e">
        <f>#REF!</f>
        <v>#REF!</v>
      </c>
      <c r="S28" s="277" t="e">
        <f>#REF!</f>
        <v>#REF!</v>
      </c>
      <c r="T28" s="281" t="e">
        <f>#REF!</f>
        <v>#REF!</v>
      </c>
      <c r="U28" s="281" t="e">
        <f>#REF!</f>
        <v>#REF!</v>
      </c>
      <c r="V28" s="281" t="e">
        <f>#REF!</f>
        <v>#REF!</v>
      </c>
      <c r="W28" s="281" t="e">
        <f>#REF!</f>
        <v>#REF!</v>
      </c>
      <c r="X28" s="281" t="e">
        <f>#REF!</f>
        <v>#REF!</v>
      </c>
    </row>
    <row r="29" spans="1:24" ht="24.95" customHeight="1">
      <c r="A29" s="274" t="e">
        <f>#REF!</f>
        <v>#REF!</v>
      </c>
      <c r="B29" s="275" t="e">
        <f>#REF!</f>
        <v>#REF!</v>
      </c>
      <c r="C29" s="276" t="e">
        <f>#REF!</f>
        <v>#REF!</v>
      </c>
      <c r="D29" s="277" t="e">
        <f>#REF!</f>
        <v>#REF!</v>
      </c>
      <c r="E29" s="277" t="e">
        <f>#REF!</f>
        <v>#REF!</v>
      </c>
      <c r="F29" s="277" t="e">
        <f>#REF!</f>
        <v>#REF!</v>
      </c>
      <c r="G29" s="277" t="e">
        <f>#REF!</f>
        <v>#REF!</v>
      </c>
      <c r="H29" s="277" t="e">
        <f>#REF!</f>
        <v>#REF!</v>
      </c>
      <c r="I29" s="277" t="e">
        <f>#REF!</f>
        <v>#REF!</v>
      </c>
      <c r="J29" s="277" t="e">
        <f>#REF!</f>
        <v>#REF!</v>
      </c>
      <c r="K29" s="277" t="e">
        <f>#REF!</f>
        <v>#REF!</v>
      </c>
      <c r="L29" s="277" t="e">
        <f>#REF!</f>
        <v>#REF!</v>
      </c>
      <c r="M29" s="277" t="e">
        <f>#REF!</f>
        <v>#REF!</v>
      </c>
      <c r="N29" s="277" t="e">
        <f>#REF!</f>
        <v>#REF!</v>
      </c>
      <c r="O29" s="277" t="e">
        <f>#REF!</f>
        <v>#REF!</v>
      </c>
      <c r="P29" s="277" t="e">
        <f>#REF!</f>
        <v>#REF!</v>
      </c>
      <c r="Q29" s="277" t="e">
        <f>#REF!</f>
        <v>#REF!</v>
      </c>
      <c r="R29" s="277" t="e">
        <f>#REF!</f>
        <v>#REF!</v>
      </c>
      <c r="S29" s="277" t="e">
        <f>#REF!</f>
        <v>#REF!</v>
      </c>
      <c r="T29" s="281" t="e">
        <f>#REF!</f>
        <v>#REF!</v>
      </c>
      <c r="U29" s="281" t="e">
        <f>#REF!</f>
        <v>#REF!</v>
      </c>
      <c r="V29" s="281" t="e">
        <f>#REF!</f>
        <v>#REF!</v>
      </c>
      <c r="W29" s="281" t="e">
        <f>#REF!</f>
        <v>#REF!</v>
      </c>
      <c r="X29" s="281" t="e">
        <f>#REF!</f>
        <v>#REF!</v>
      </c>
    </row>
    <row r="30" spans="1:24" ht="24.95" customHeight="1">
      <c r="A30" s="274" t="e">
        <f>#REF!</f>
        <v>#REF!</v>
      </c>
      <c r="B30" s="275" t="e">
        <f>#REF!</f>
        <v>#REF!</v>
      </c>
      <c r="C30" s="276" t="e">
        <f>#REF!</f>
        <v>#REF!</v>
      </c>
      <c r="D30" s="277" t="e">
        <f>#REF!</f>
        <v>#REF!</v>
      </c>
      <c r="E30" s="277" t="e">
        <f>#REF!</f>
        <v>#REF!</v>
      </c>
      <c r="F30" s="277" t="e">
        <f>#REF!</f>
        <v>#REF!</v>
      </c>
      <c r="G30" s="277" t="e">
        <f>#REF!</f>
        <v>#REF!</v>
      </c>
      <c r="H30" s="277" t="e">
        <f>#REF!</f>
        <v>#REF!</v>
      </c>
      <c r="I30" s="277" t="e">
        <f>#REF!</f>
        <v>#REF!</v>
      </c>
      <c r="J30" s="277" t="e">
        <f>#REF!</f>
        <v>#REF!</v>
      </c>
      <c r="K30" s="277" t="e">
        <f>#REF!</f>
        <v>#REF!</v>
      </c>
      <c r="L30" s="277" t="e">
        <f>#REF!</f>
        <v>#REF!</v>
      </c>
      <c r="M30" s="277" t="e">
        <f>#REF!</f>
        <v>#REF!</v>
      </c>
      <c r="N30" s="277" t="e">
        <f>#REF!</f>
        <v>#REF!</v>
      </c>
      <c r="O30" s="277" t="e">
        <f>#REF!</f>
        <v>#REF!</v>
      </c>
      <c r="P30" s="277" t="e">
        <f>#REF!</f>
        <v>#REF!</v>
      </c>
      <c r="Q30" s="277" t="e">
        <f>#REF!</f>
        <v>#REF!</v>
      </c>
      <c r="R30" s="277" t="e">
        <f>#REF!</f>
        <v>#REF!</v>
      </c>
      <c r="S30" s="277" t="e">
        <f>#REF!</f>
        <v>#REF!</v>
      </c>
      <c r="T30" s="281" t="e">
        <f>#REF!</f>
        <v>#REF!</v>
      </c>
      <c r="U30" s="281" t="e">
        <f>#REF!</f>
        <v>#REF!</v>
      </c>
      <c r="V30" s="281" t="e">
        <f>#REF!</f>
        <v>#REF!</v>
      </c>
      <c r="W30" s="281" t="e">
        <f>#REF!</f>
        <v>#REF!</v>
      </c>
      <c r="X30" s="281" t="e">
        <f>#REF!</f>
        <v>#REF!</v>
      </c>
    </row>
    <row r="31" spans="1:24" ht="24.95" customHeight="1">
      <c r="A31" s="274" t="e">
        <f>#REF!</f>
        <v>#REF!</v>
      </c>
      <c r="B31" s="275" t="e">
        <f>#REF!</f>
        <v>#REF!</v>
      </c>
      <c r="C31" s="276" t="e">
        <f>#REF!</f>
        <v>#REF!</v>
      </c>
      <c r="D31" s="277" t="e">
        <f>#REF!</f>
        <v>#REF!</v>
      </c>
      <c r="E31" s="277" t="e">
        <f>#REF!</f>
        <v>#REF!</v>
      </c>
      <c r="F31" s="277" t="e">
        <f>#REF!</f>
        <v>#REF!</v>
      </c>
      <c r="G31" s="277" t="e">
        <f>#REF!</f>
        <v>#REF!</v>
      </c>
      <c r="H31" s="277" t="e">
        <f>#REF!</f>
        <v>#REF!</v>
      </c>
      <c r="I31" s="277" t="e">
        <f>#REF!</f>
        <v>#REF!</v>
      </c>
      <c r="J31" s="277" t="e">
        <f>#REF!</f>
        <v>#REF!</v>
      </c>
      <c r="K31" s="277" t="e">
        <f>#REF!</f>
        <v>#REF!</v>
      </c>
      <c r="L31" s="277" t="e">
        <f>#REF!</f>
        <v>#REF!</v>
      </c>
      <c r="M31" s="277" t="e">
        <f>#REF!</f>
        <v>#REF!</v>
      </c>
      <c r="N31" s="277" t="e">
        <f>#REF!</f>
        <v>#REF!</v>
      </c>
      <c r="O31" s="277" t="e">
        <f>#REF!</f>
        <v>#REF!</v>
      </c>
      <c r="P31" s="277" t="e">
        <f>#REF!</f>
        <v>#REF!</v>
      </c>
      <c r="Q31" s="277" t="e">
        <f>#REF!</f>
        <v>#REF!</v>
      </c>
      <c r="R31" s="277" t="e">
        <f>#REF!</f>
        <v>#REF!</v>
      </c>
      <c r="S31" s="277" t="e">
        <f>#REF!</f>
        <v>#REF!</v>
      </c>
      <c r="T31" s="281" t="e">
        <f>#REF!</f>
        <v>#REF!</v>
      </c>
      <c r="U31" s="281" t="e">
        <f>#REF!</f>
        <v>#REF!</v>
      </c>
      <c r="V31" s="281" t="e">
        <f>#REF!</f>
        <v>#REF!</v>
      </c>
      <c r="W31" s="281" t="e">
        <f>#REF!</f>
        <v>#REF!</v>
      </c>
      <c r="X31" s="281" t="e">
        <f>#REF!</f>
        <v>#REF!</v>
      </c>
    </row>
    <row r="32" spans="1:24" ht="24.95" customHeight="1">
      <c r="A32" s="274" t="e">
        <f>#REF!</f>
        <v>#REF!</v>
      </c>
      <c r="B32" s="275" t="e">
        <f>#REF!</f>
        <v>#REF!</v>
      </c>
      <c r="C32" s="276" t="e">
        <f>#REF!</f>
        <v>#REF!</v>
      </c>
      <c r="D32" s="277" t="e">
        <f>#REF!</f>
        <v>#REF!</v>
      </c>
      <c r="E32" s="277" t="e">
        <f>#REF!</f>
        <v>#REF!</v>
      </c>
      <c r="F32" s="277" t="e">
        <f>#REF!</f>
        <v>#REF!</v>
      </c>
      <c r="G32" s="277" t="e">
        <f>#REF!</f>
        <v>#REF!</v>
      </c>
      <c r="H32" s="277" t="e">
        <f>#REF!</f>
        <v>#REF!</v>
      </c>
      <c r="I32" s="277" t="e">
        <f>#REF!</f>
        <v>#REF!</v>
      </c>
      <c r="J32" s="277" t="e">
        <f>#REF!</f>
        <v>#REF!</v>
      </c>
      <c r="K32" s="277" t="e">
        <f>#REF!</f>
        <v>#REF!</v>
      </c>
      <c r="L32" s="277" t="e">
        <f>#REF!</f>
        <v>#REF!</v>
      </c>
      <c r="M32" s="277" t="e">
        <f>#REF!</f>
        <v>#REF!</v>
      </c>
      <c r="N32" s="277" t="e">
        <f>#REF!</f>
        <v>#REF!</v>
      </c>
      <c r="O32" s="277" t="e">
        <f>#REF!</f>
        <v>#REF!</v>
      </c>
      <c r="P32" s="277" t="e">
        <f>#REF!</f>
        <v>#REF!</v>
      </c>
      <c r="Q32" s="277" t="e">
        <f>#REF!</f>
        <v>#REF!</v>
      </c>
      <c r="R32" s="277" t="e">
        <f>#REF!</f>
        <v>#REF!</v>
      </c>
      <c r="S32" s="277" t="e">
        <f>#REF!</f>
        <v>#REF!</v>
      </c>
      <c r="T32" s="281" t="e">
        <f>#REF!</f>
        <v>#REF!</v>
      </c>
      <c r="U32" s="281" t="e">
        <f>#REF!</f>
        <v>#REF!</v>
      </c>
      <c r="V32" s="281" t="e">
        <f>#REF!</f>
        <v>#REF!</v>
      </c>
      <c r="W32" s="281" t="e">
        <f>#REF!</f>
        <v>#REF!</v>
      </c>
      <c r="X32" s="281" t="e">
        <f>#REF!</f>
        <v>#REF!</v>
      </c>
    </row>
    <row r="33" spans="1:24" ht="24.95" customHeight="1">
      <c r="A33" s="274" t="e">
        <f>#REF!</f>
        <v>#REF!</v>
      </c>
      <c r="B33" s="275" t="e">
        <f>#REF!</f>
        <v>#REF!</v>
      </c>
      <c r="C33" s="276" t="e">
        <f>#REF!</f>
        <v>#REF!</v>
      </c>
      <c r="D33" s="277" t="e">
        <f>#REF!</f>
        <v>#REF!</v>
      </c>
      <c r="E33" s="277" t="e">
        <f>#REF!</f>
        <v>#REF!</v>
      </c>
      <c r="F33" s="277" t="e">
        <f>#REF!</f>
        <v>#REF!</v>
      </c>
      <c r="G33" s="277" t="e">
        <f>#REF!</f>
        <v>#REF!</v>
      </c>
      <c r="H33" s="277" t="e">
        <f>#REF!</f>
        <v>#REF!</v>
      </c>
      <c r="I33" s="277" t="e">
        <f>#REF!</f>
        <v>#REF!</v>
      </c>
      <c r="J33" s="277" t="e">
        <f>#REF!</f>
        <v>#REF!</v>
      </c>
      <c r="K33" s="277" t="e">
        <f>#REF!</f>
        <v>#REF!</v>
      </c>
      <c r="L33" s="277" t="e">
        <f>#REF!</f>
        <v>#REF!</v>
      </c>
      <c r="M33" s="277" t="e">
        <f>#REF!</f>
        <v>#REF!</v>
      </c>
      <c r="N33" s="277" t="e">
        <f>#REF!</f>
        <v>#REF!</v>
      </c>
      <c r="O33" s="277" t="e">
        <f>#REF!</f>
        <v>#REF!</v>
      </c>
      <c r="P33" s="277" t="e">
        <f>#REF!</f>
        <v>#REF!</v>
      </c>
      <c r="Q33" s="277" t="e">
        <f>#REF!</f>
        <v>#REF!</v>
      </c>
      <c r="R33" s="277" t="e">
        <f>#REF!</f>
        <v>#REF!</v>
      </c>
      <c r="S33" s="277" t="e">
        <f>#REF!</f>
        <v>#REF!</v>
      </c>
      <c r="T33" s="281" t="e">
        <f>#REF!</f>
        <v>#REF!</v>
      </c>
      <c r="U33" s="281" t="e">
        <f>#REF!</f>
        <v>#REF!</v>
      </c>
      <c r="V33" s="281" t="e">
        <f>#REF!</f>
        <v>#REF!</v>
      </c>
      <c r="W33" s="281" t="e">
        <f>#REF!</f>
        <v>#REF!</v>
      </c>
      <c r="X33" s="281" t="e">
        <f>#REF!</f>
        <v>#REF!</v>
      </c>
    </row>
    <row r="34" spans="1:24" ht="24.95" customHeight="1">
      <c r="A34" s="274" t="e">
        <f>#REF!</f>
        <v>#REF!</v>
      </c>
      <c r="B34" s="275" t="e">
        <f>#REF!</f>
        <v>#REF!</v>
      </c>
      <c r="C34" s="276" t="e">
        <f>#REF!</f>
        <v>#REF!</v>
      </c>
      <c r="D34" s="277" t="e">
        <f>#REF!</f>
        <v>#REF!</v>
      </c>
      <c r="E34" s="277" t="e">
        <f>#REF!</f>
        <v>#REF!</v>
      </c>
      <c r="F34" s="277" t="e">
        <f>#REF!</f>
        <v>#REF!</v>
      </c>
      <c r="G34" s="277" t="e">
        <f>#REF!</f>
        <v>#REF!</v>
      </c>
      <c r="H34" s="277" t="e">
        <f>#REF!</f>
        <v>#REF!</v>
      </c>
      <c r="I34" s="277" t="e">
        <f>#REF!</f>
        <v>#REF!</v>
      </c>
      <c r="J34" s="277" t="e">
        <f>#REF!</f>
        <v>#REF!</v>
      </c>
      <c r="K34" s="277" t="e">
        <f>#REF!</f>
        <v>#REF!</v>
      </c>
      <c r="L34" s="277" t="e">
        <f>#REF!</f>
        <v>#REF!</v>
      </c>
      <c r="M34" s="277" t="e">
        <f>#REF!</f>
        <v>#REF!</v>
      </c>
      <c r="N34" s="277" t="e">
        <f>#REF!</f>
        <v>#REF!</v>
      </c>
      <c r="O34" s="277" t="e">
        <f>#REF!</f>
        <v>#REF!</v>
      </c>
      <c r="P34" s="277" t="e">
        <f>#REF!</f>
        <v>#REF!</v>
      </c>
      <c r="Q34" s="277" t="e">
        <f>#REF!</f>
        <v>#REF!</v>
      </c>
      <c r="R34" s="277" t="e">
        <f>#REF!</f>
        <v>#REF!</v>
      </c>
      <c r="S34" s="277" t="e">
        <f>#REF!</f>
        <v>#REF!</v>
      </c>
      <c r="T34" s="281" t="e">
        <f>#REF!</f>
        <v>#REF!</v>
      </c>
      <c r="U34" s="281" t="e">
        <f>#REF!</f>
        <v>#REF!</v>
      </c>
      <c r="V34" s="281" t="e">
        <f>#REF!</f>
        <v>#REF!</v>
      </c>
      <c r="W34" s="281" t="e">
        <f>#REF!</f>
        <v>#REF!</v>
      </c>
      <c r="X34" s="281" t="e">
        <f>#REF!</f>
        <v>#REF!</v>
      </c>
    </row>
    <row r="35" spans="1:24" ht="24.95" customHeight="1">
      <c r="A35" s="274" t="e">
        <f>#REF!</f>
        <v>#REF!</v>
      </c>
      <c r="B35" s="275" t="e">
        <f>#REF!</f>
        <v>#REF!</v>
      </c>
      <c r="C35" s="276" t="e">
        <f>#REF!</f>
        <v>#REF!</v>
      </c>
      <c r="D35" s="277" t="e">
        <f>#REF!</f>
        <v>#REF!</v>
      </c>
      <c r="E35" s="277" t="e">
        <f>#REF!</f>
        <v>#REF!</v>
      </c>
      <c r="F35" s="277" t="e">
        <f>#REF!</f>
        <v>#REF!</v>
      </c>
      <c r="G35" s="277" t="e">
        <f>#REF!</f>
        <v>#REF!</v>
      </c>
      <c r="H35" s="277" t="e">
        <f>#REF!</f>
        <v>#REF!</v>
      </c>
      <c r="I35" s="277" t="e">
        <f>#REF!</f>
        <v>#REF!</v>
      </c>
      <c r="J35" s="277" t="e">
        <f>#REF!</f>
        <v>#REF!</v>
      </c>
      <c r="K35" s="277" t="e">
        <f>#REF!</f>
        <v>#REF!</v>
      </c>
      <c r="L35" s="277" t="e">
        <f>#REF!</f>
        <v>#REF!</v>
      </c>
      <c r="M35" s="277" t="e">
        <f>#REF!</f>
        <v>#REF!</v>
      </c>
      <c r="N35" s="277" t="e">
        <f>#REF!</f>
        <v>#REF!</v>
      </c>
      <c r="O35" s="277" t="e">
        <f>#REF!</f>
        <v>#REF!</v>
      </c>
      <c r="P35" s="277" t="e">
        <f>#REF!</f>
        <v>#REF!</v>
      </c>
      <c r="Q35" s="277" t="e">
        <f>#REF!</f>
        <v>#REF!</v>
      </c>
      <c r="R35" s="277" t="e">
        <f>#REF!</f>
        <v>#REF!</v>
      </c>
      <c r="S35" s="277" t="e">
        <f>#REF!</f>
        <v>#REF!</v>
      </c>
      <c r="T35" s="281" t="e">
        <f>#REF!</f>
        <v>#REF!</v>
      </c>
      <c r="U35" s="281" t="e">
        <f>#REF!</f>
        <v>#REF!</v>
      </c>
      <c r="V35" s="281" t="e">
        <f>#REF!</f>
        <v>#REF!</v>
      </c>
      <c r="W35" s="281" t="e">
        <f>#REF!</f>
        <v>#REF!</v>
      </c>
      <c r="X35" s="281" t="e">
        <f>#REF!</f>
        <v>#REF!</v>
      </c>
    </row>
    <row r="36" spans="1:24" ht="24.95" customHeight="1">
      <c r="A36" s="274" t="e">
        <f>#REF!</f>
        <v>#REF!</v>
      </c>
      <c r="B36" s="275" t="e">
        <f>#REF!</f>
        <v>#REF!</v>
      </c>
      <c r="C36" s="276" t="e">
        <f>#REF!</f>
        <v>#REF!</v>
      </c>
      <c r="D36" s="277" t="e">
        <f>#REF!</f>
        <v>#REF!</v>
      </c>
      <c r="E36" s="277" t="e">
        <f>#REF!</f>
        <v>#REF!</v>
      </c>
      <c r="F36" s="277" t="e">
        <f>#REF!</f>
        <v>#REF!</v>
      </c>
      <c r="G36" s="277" t="e">
        <f>#REF!</f>
        <v>#REF!</v>
      </c>
      <c r="H36" s="277" t="e">
        <f>#REF!</f>
        <v>#REF!</v>
      </c>
      <c r="I36" s="277" t="e">
        <f>#REF!</f>
        <v>#REF!</v>
      </c>
      <c r="J36" s="277" t="e">
        <f>#REF!</f>
        <v>#REF!</v>
      </c>
      <c r="K36" s="277" t="e">
        <f>#REF!</f>
        <v>#REF!</v>
      </c>
      <c r="L36" s="277" t="e">
        <f>#REF!</f>
        <v>#REF!</v>
      </c>
      <c r="M36" s="277" t="e">
        <f>#REF!</f>
        <v>#REF!</v>
      </c>
      <c r="N36" s="277" t="e">
        <f>#REF!</f>
        <v>#REF!</v>
      </c>
      <c r="O36" s="277" t="e">
        <f>#REF!</f>
        <v>#REF!</v>
      </c>
      <c r="P36" s="277" t="e">
        <f>#REF!</f>
        <v>#REF!</v>
      </c>
      <c r="Q36" s="277" t="e">
        <f>#REF!</f>
        <v>#REF!</v>
      </c>
      <c r="R36" s="277" t="e">
        <f>#REF!</f>
        <v>#REF!</v>
      </c>
      <c r="S36" s="277" t="e">
        <f>#REF!</f>
        <v>#REF!</v>
      </c>
      <c r="T36" s="281" t="e">
        <f>#REF!</f>
        <v>#REF!</v>
      </c>
      <c r="U36" s="281" t="e">
        <f>#REF!</f>
        <v>#REF!</v>
      </c>
      <c r="V36" s="281" t="e">
        <f>#REF!</f>
        <v>#REF!</v>
      </c>
      <c r="W36" s="281" t="e">
        <f>#REF!</f>
        <v>#REF!</v>
      </c>
      <c r="X36" s="281" t="e">
        <f>#REF!</f>
        <v>#REF!</v>
      </c>
    </row>
    <row r="37" spans="1:24" ht="24.95" customHeight="1">
      <c r="A37" s="274" t="e">
        <f>#REF!</f>
        <v>#REF!</v>
      </c>
      <c r="B37" s="275" t="e">
        <f>#REF!</f>
        <v>#REF!</v>
      </c>
      <c r="C37" s="276" t="e">
        <f>#REF!</f>
        <v>#REF!</v>
      </c>
      <c r="D37" s="277" t="e">
        <f>#REF!</f>
        <v>#REF!</v>
      </c>
      <c r="E37" s="277" t="e">
        <f>#REF!</f>
        <v>#REF!</v>
      </c>
      <c r="F37" s="277" t="e">
        <f>#REF!</f>
        <v>#REF!</v>
      </c>
      <c r="G37" s="277" t="e">
        <f>#REF!</f>
        <v>#REF!</v>
      </c>
      <c r="H37" s="277" t="e">
        <f>#REF!</f>
        <v>#REF!</v>
      </c>
      <c r="I37" s="277" t="e">
        <f>#REF!</f>
        <v>#REF!</v>
      </c>
      <c r="J37" s="277" t="e">
        <f>#REF!</f>
        <v>#REF!</v>
      </c>
      <c r="K37" s="277" t="e">
        <f>#REF!</f>
        <v>#REF!</v>
      </c>
      <c r="L37" s="277" t="e">
        <f>#REF!</f>
        <v>#REF!</v>
      </c>
      <c r="M37" s="277" t="e">
        <f>#REF!</f>
        <v>#REF!</v>
      </c>
      <c r="N37" s="277" t="e">
        <f>#REF!</f>
        <v>#REF!</v>
      </c>
      <c r="O37" s="277" t="e">
        <f>#REF!</f>
        <v>#REF!</v>
      </c>
      <c r="P37" s="277" t="e">
        <f>#REF!</f>
        <v>#REF!</v>
      </c>
      <c r="Q37" s="277" t="e">
        <f>#REF!</f>
        <v>#REF!</v>
      </c>
      <c r="R37" s="277" t="e">
        <f>#REF!</f>
        <v>#REF!</v>
      </c>
      <c r="S37" s="277" t="e">
        <f>#REF!</f>
        <v>#REF!</v>
      </c>
      <c r="T37" s="281" t="e">
        <f>#REF!</f>
        <v>#REF!</v>
      </c>
      <c r="U37" s="281" t="e">
        <f>#REF!</f>
        <v>#REF!</v>
      </c>
      <c r="V37" s="281" t="e">
        <f>#REF!</f>
        <v>#REF!</v>
      </c>
      <c r="W37" s="281" t="e">
        <f>#REF!</f>
        <v>#REF!</v>
      </c>
      <c r="X37" s="281" t="e">
        <f>#REF!</f>
        <v>#REF!</v>
      </c>
    </row>
    <row r="38" spans="1:24" ht="24.95" customHeight="1">
      <c r="A38" s="274" t="e">
        <f>#REF!</f>
        <v>#REF!</v>
      </c>
      <c r="B38" s="275" t="e">
        <f>#REF!</f>
        <v>#REF!</v>
      </c>
      <c r="C38" s="276" t="e">
        <f>#REF!</f>
        <v>#REF!</v>
      </c>
      <c r="D38" s="277" t="e">
        <f>#REF!</f>
        <v>#REF!</v>
      </c>
      <c r="E38" s="277" t="e">
        <f>#REF!</f>
        <v>#REF!</v>
      </c>
      <c r="F38" s="277" t="e">
        <f>#REF!</f>
        <v>#REF!</v>
      </c>
      <c r="G38" s="277" t="e">
        <f>#REF!</f>
        <v>#REF!</v>
      </c>
      <c r="H38" s="277" t="e">
        <f>#REF!</f>
        <v>#REF!</v>
      </c>
      <c r="I38" s="277" t="e">
        <f>#REF!</f>
        <v>#REF!</v>
      </c>
      <c r="J38" s="277" t="e">
        <f>#REF!</f>
        <v>#REF!</v>
      </c>
      <c r="K38" s="277" t="e">
        <f>#REF!</f>
        <v>#REF!</v>
      </c>
      <c r="L38" s="277" t="e">
        <f>#REF!</f>
        <v>#REF!</v>
      </c>
      <c r="M38" s="277" t="e">
        <f>#REF!</f>
        <v>#REF!</v>
      </c>
      <c r="N38" s="277" t="e">
        <f>#REF!</f>
        <v>#REF!</v>
      </c>
      <c r="O38" s="277" t="e">
        <f>#REF!</f>
        <v>#REF!</v>
      </c>
      <c r="P38" s="277" t="e">
        <f>#REF!</f>
        <v>#REF!</v>
      </c>
      <c r="Q38" s="277" t="e">
        <f>#REF!</f>
        <v>#REF!</v>
      </c>
      <c r="R38" s="277" t="e">
        <f>#REF!</f>
        <v>#REF!</v>
      </c>
      <c r="S38" s="277" t="e">
        <f>#REF!</f>
        <v>#REF!</v>
      </c>
      <c r="T38" s="281" t="e">
        <f>#REF!</f>
        <v>#REF!</v>
      </c>
      <c r="U38" s="281" t="e">
        <f>#REF!</f>
        <v>#REF!</v>
      </c>
      <c r="V38" s="281" t="e">
        <f>#REF!</f>
        <v>#REF!</v>
      </c>
      <c r="W38" s="281" t="e">
        <f>#REF!</f>
        <v>#REF!</v>
      </c>
      <c r="X38" s="281" t="e">
        <f>#REF!</f>
        <v>#REF!</v>
      </c>
    </row>
    <row r="39" spans="1:24" ht="24.95" customHeight="1">
      <c r="A39" s="274" t="e">
        <f>#REF!</f>
        <v>#REF!</v>
      </c>
      <c r="B39" s="275" t="e">
        <f>#REF!</f>
        <v>#REF!</v>
      </c>
      <c r="C39" s="276" t="e">
        <f>#REF!</f>
        <v>#REF!</v>
      </c>
      <c r="D39" s="277" t="e">
        <f>#REF!</f>
        <v>#REF!</v>
      </c>
      <c r="E39" s="277" t="e">
        <f>#REF!</f>
        <v>#REF!</v>
      </c>
      <c r="F39" s="277" t="e">
        <f>#REF!</f>
        <v>#REF!</v>
      </c>
      <c r="G39" s="277" t="e">
        <f>#REF!</f>
        <v>#REF!</v>
      </c>
      <c r="H39" s="277" t="e">
        <f>#REF!</f>
        <v>#REF!</v>
      </c>
      <c r="I39" s="277" t="e">
        <f>#REF!</f>
        <v>#REF!</v>
      </c>
      <c r="J39" s="277" t="e">
        <f>#REF!</f>
        <v>#REF!</v>
      </c>
      <c r="K39" s="277" t="e">
        <f>#REF!</f>
        <v>#REF!</v>
      </c>
      <c r="L39" s="277" t="e">
        <f>#REF!</f>
        <v>#REF!</v>
      </c>
      <c r="M39" s="277" t="e">
        <f>#REF!</f>
        <v>#REF!</v>
      </c>
      <c r="N39" s="277" t="e">
        <f>#REF!</f>
        <v>#REF!</v>
      </c>
      <c r="O39" s="277" t="e">
        <f>#REF!</f>
        <v>#REF!</v>
      </c>
      <c r="P39" s="277" t="e">
        <f>#REF!</f>
        <v>#REF!</v>
      </c>
      <c r="Q39" s="277" t="e">
        <f>#REF!</f>
        <v>#REF!</v>
      </c>
      <c r="R39" s="277" t="e">
        <f>#REF!</f>
        <v>#REF!</v>
      </c>
      <c r="S39" s="277" t="e">
        <f>#REF!</f>
        <v>#REF!</v>
      </c>
      <c r="T39" s="281" t="e">
        <f>#REF!</f>
        <v>#REF!</v>
      </c>
      <c r="U39" s="281" t="e">
        <f>#REF!</f>
        <v>#REF!</v>
      </c>
      <c r="V39" s="281" t="e">
        <f>#REF!</f>
        <v>#REF!</v>
      </c>
      <c r="W39" s="281" t="e">
        <f>#REF!</f>
        <v>#REF!</v>
      </c>
      <c r="X39" s="281" t="e">
        <f>#REF!</f>
        <v>#REF!</v>
      </c>
    </row>
    <row r="40" spans="1:24" ht="24.95" customHeight="1">
      <c r="A40" s="274" t="e">
        <f>#REF!</f>
        <v>#REF!</v>
      </c>
      <c r="B40" s="275" t="e">
        <f>#REF!</f>
        <v>#REF!</v>
      </c>
      <c r="C40" s="276" t="e">
        <f>#REF!</f>
        <v>#REF!</v>
      </c>
      <c r="D40" s="277" t="e">
        <f>#REF!</f>
        <v>#REF!</v>
      </c>
      <c r="E40" s="277" t="e">
        <f>#REF!</f>
        <v>#REF!</v>
      </c>
      <c r="F40" s="277" t="e">
        <f>#REF!</f>
        <v>#REF!</v>
      </c>
      <c r="G40" s="277" t="e">
        <f>#REF!</f>
        <v>#REF!</v>
      </c>
      <c r="H40" s="277" t="e">
        <f>#REF!</f>
        <v>#REF!</v>
      </c>
      <c r="I40" s="277" t="e">
        <f>#REF!</f>
        <v>#REF!</v>
      </c>
      <c r="J40" s="277" t="e">
        <f>#REF!</f>
        <v>#REF!</v>
      </c>
      <c r="K40" s="277" t="e">
        <f>#REF!</f>
        <v>#REF!</v>
      </c>
      <c r="L40" s="277" t="e">
        <f>#REF!</f>
        <v>#REF!</v>
      </c>
      <c r="M40" s="277" t="e">
        <f>#REF!</f>
        <v>#REF!</v>
      </c>
      <c r="N40" s="277" t="e">
        <f>#REF!</f>
        <v>#REF!</v>
      </c>
      <c r="O40" s="277" t="e">
        <f>#REF!</f>
        <v>#REF!</v>
      </c>
      <c r="P40" s="277" t="e">
        <f>#REF!</f>
        <v>#REF!</v>
      </c>
      <c r="Q40" s="277" t="e">
        <f>#REF!</f>
        <v>#REF!</v>
      </c>
      <c r="R40" s="277" t="e">
        <f>#REF!</f>
        <v>#REF!</v>
      </c>
      <c r="S40" s="277" t="e">
        <f>#REF!</f>
        <v>#REF!</v>
      </c>
      <c r="T40" s="281" t="e">
        <f>#REF!</f>
        <v>#REF!</v>
      </c>
      <c r="U40" s="281" t="e">
        <f>#REF!</f>
        <v>#REF!</v>
      </c>
      <c r="V40" s="281" t="e">
        <f>#REF!</f>
        <v>#REF!</v>
      </c>
      <c r="W40" s="281" t="e">
        <f>#REF!</f>
        <v>#REF!</v>
      </c>
      <c r="X40" s="281" t="e">
        <f>#REF!</f>
        <v>#REF!</v>
      </c>
    </row>
    <row r="41" spans="1:24" ht="24.95" customHeight="1">
      <c r="A41" s="274" t="e">
        <f>#REF!</f>
        <v>#REF!</v>
      </c>
      <c r="B41" s="275" t="e">
        <f>#REF!</f>
        <v>#REF!</v>
      </c>
      <c r="C41" s="276" t="e">
        <f>#REF!</f>
        <v>#REF!</v>
      </c>
      <c r="D41" s="277" t="e">
        <f>#REF!</f>
        <v>#REF!</v>
      </c>
      <c r="E41" s="277" t="e">
        <f>#REF!</f>
        <v>#REF!</v>
      </c>
      <c r="F41" s="277" t="e">
        <f>#REF!</f>
        <v>#REF!</v>
      </c>
      <c r="G41" s="277" t="e">
        <f>#REF!</f>
        <v>#REF!</v>
      </c>
      <c r="H41" s="277" t="e">
        <f>#REF!</f>
        <v>#REF!</v>
      </c>
      <c r="I41" s="277" t="e">
        <f>#REF!</f>
        <v>#REF!</v>
      </c>
      <c r="J41" s="277" t="e">
        <f>#REF!</f>
        <v>#REF!</v>
      </c>
      <c r="K41" s="277" t="e">
        <f>#REF!</f>
        <v>#REF!</v>
      </c>
      <c r="L41" s="277" t="e">
        <f>#REF!</f>
        <v>#REF!</v>
      </c>
      <c r="M41" s="277" t="e">
        <f>#REF!</f>
        <v>#REF!</v>
      </c>
      <c r="N41" s="277" t="e">
        <f>#REF!</f>
        <v>#REF!</v>
      </c>
      <c r="O41" s="277" t="e">
        <f>#REF!</f>
        <v>#REF!</v>
      </c>
      <c r="P41" s="277" t="e">
        <f>#REF!</f>
        <v>#REF!</v>
      </c>
      <c r="Q41" s="277" t="e">
        <f>#REF!</f>
        <v>#REF!</v>
      </c>
      <c r="R41" s="277" t="e">
        <f>#REF!</f>
        <v>#REF!</v>
      </c>
      <c r="S41" s="277" t="e">
        <f>#REF!</f>
        <v>#REF!</v>
      </c>
      <c r="T41" s="281" t="e">
        <f>#REF!</f>
        <v>#REF!</v>
      </c>
      <c r="U41" s="281" t="e">
        <f>#REF!</f>
        <v>#REF!</v>
      </c>
      <c r="V41" s="281" t="e">
        <f>#REF!</f>
        <v>#REF!</v>
      </c>
      <c r="W41" s="281" t="e">
        <f>#REF!</f>
        <v>#REF!</v>
      </c>
      <c r="X41" s="281" t="e">
        <f>#REF!</f>
        <v>#REF!</v>
      </c>
    </row>
    <row r="42" spans="1:24" ht="24.95" customHeight="1">
      <c r="A42" s="274" t="e">
        <f>#REF!</f>
        <v>#REF!</v>
      </c>
      <c r="B42" s="275" t="e">
        <f>#REF!</f>
        <v>#REF!</v>
      </c>
      <c r="C42" s="276" t="e">
        <f>#REF!</f>
        <v>#REF!</v>
      </c>
      <c r="D42" s="277" t="e">
        <f>#REF!</f>
        <v>#REF!</v>
      </c>
      <c r="E42" s="277" t="e">
        <f>#REF!</f>
        <v>#REF!</v>
      </c>
      <c r="F42" s="277" t="e">
        <f>#REF!</f>
        <v>#REF!</v>
      </c>
      <c r="G42" s="277" t="e">
        <f>#REF!</f>
        <v>#REF!</v>
      </c>
      <c r="H42" s="277" t="e">
        <f>#REF!</f>
        <v>#REF!</v>
      </c>
      <c r="I42" s="277" t="e">
        <f>#REF!</f>
        <v>#REF!</v>
      </c>
      <c r="J42" s="277" t="e">
        <f>#REF!</f>
        <v>#REF!</v>
      </c>
      <c r="K42" s="277" t="e">
        <f>#REF!</f>
        <v>#REF!</v>
      </c>
      <c r="L42" s="277" t="e">
        <f>#REF!</f>
        <v>#REF!</v>
      </c>
      <c r="M42" s="277" t="e">
        <f>#REF!</f>
        <v>#REF!</v>
      </c>
      <c r="N42" s="277" t="e">
        <f>#REF!</f>
        <v>#REF!</v>
      </c>
      <c r="O42" s="277" t="e">
        <f>#REF!</f>
        <v>#REF!</v>
      </c>
      <c r="P42" s="277" t="e">
        <f>#REF!</f>
        <v>#REF!</v>
      </c>
      <c r="Q42" s="277" t="e">
        <f>#REF!</f>
        <v>#REF!</v>
      </c>
      <c r="R42" s="277" t="e">
        <f>#REF!</f>
        <v>#REF!</v>
      </c>
      <c r="S42" s="277" t="e">
        <f>#REF!</f>
        <v>#REF!</v>
      </c>
      <c r="T42" s="281" t="e">
        <f>#REF!</f>
        <v>#REF!</v>
      </c>
      <c r="U42" s="281" t="e">
        <f>#REF!</f>
        <v>#REF!</v>
      </c>
      <c r="V42" s="281" t="e">
        <f>#REF!</f>
        <v>#REF!</v>
      </c>
      <c r="W42" s="281" t="e">
        <f>#REF!</f>
        <v>#REF!</v>
      </c>
      <c r="X42" s="281" t="e">
        <f>#REF!</f>
        <v>#REF!</v>
      </c>
    </row>
    <row r="43" spans="1:24" ht="24.95" customHeight="1">
      <c r="A43" s="274" t="e">
        <f>#REF!</f>
        <v>#REF!</v>
      </c>
      <c r="B43" s="275" t="e">
        <f>#REF!</f>
        <v>#REF!</v>
      </c>
      <c r="C43" s="276" t="e">
        <f>#REF!</f>
        <v>#REF!</v>
      </c>
      <c r="D43" s="277" t="e">
        <f>#REF!</f>
        <v>#REF!</v>
      </c>
      <c r="E43" s="277" t="e">
        <f>#REF!</f>
        <v>#REF!</v>
      </c>
      <c r="F43" s="277" t="e">
        <f>#REF!</f>
        <v>#REF!</v>
      </c>
      <c r="G43" s="277" t="e">
        <f>#REF!</f>
        <v>#REF!</v>
      </c>
      <c r="H43" s="277" t="e">
        <f>#REF!</f>
        <v>#REF!</v>
      </c>
      <c r="I43" s="277" t="e">
        <f>#REF!</f>
        <v>#REF!</v>
      </c>
      <c r="J43" s="277" t="e">
        <f>#REF!</f>
        <v>#REF!</v>
      </c>
      <c r="K43" s="277" t="e">
        <f>#REF!</f>
        <v>#REF!</v>
      </c>
      <c r="L43" s="277" t="e">
        <f>#REF!</f>
        <v>#REF!</v>
      </c>
      <c r="M43" s="277" t="e">
        <f>#REF!</f>
        <v>#REF!</v>
      </c>
      <c r="N43" s="277" t="e">
        <f>#REF!</f>
        <v>#REF!</v>
      </c>
      <c r="O43" s="277" t="e">
        <f>#REF!</f>
        <v>#REF!</v>
      </c>
      <c r="P43" s="277" t="e">
        <f>#REF!</f>
        <v>#REF!</v>
      </c>
      <c r="Q43" s="277" t="e">
        <f>#REF!</f>
        <v>#REF!</v>
      </c>
      <c r="R43" s="277" t="e">
        <f>#REF!</f>
        <v>#REF!</v>
      </c>
      <c r="S43" s="277" t="e">
        <f>#REF!</f>
        <v>#REF!</v>
      </c>
      <c r="T43" s="281" t="e">
        <f>#REF!</f>
        <v>#REF!</v>
      </c>
      <c r="U43" s="281" t="e">
        <f>#REF!</f>
        <v>#REF!</v>
      </c>
      <c r="V43" s="281" t="e">
        <f>#REF!</f>
        <v>#REF!</v>
      </c>
      <c r="W43" s="281" t="e">
        <f>#REF!</f>
        <v>#REF!</v>
      </c>
      <c r="X43" s="281" t="e">
        <f>#REF!</f>
        <v>#REF!</v>
      </c>
    </row>
    <row r="44" spans="1:24" ht="24.95" customHeight="1">
      <c r="A44" s="274" t="e">
        <f>#REF!</f>
        <v>#REF!</v>
      </c>
      <c r="B44" s="275" t="e">
        <f>#REF!</f>
        <v>#REF!</v>
      </c>
      <c r="C44" s="276" t="e">
        <f>#REF!</f>
        <v>#REF!</v>
      </c>
      <c r="D44" s="277" t="e">
        <f>#REF!</f>
        <v>#REF!</v>
      </c>
      <c r="E44" s="277" t="e">
        <f>#REF!</f>
        <v>#REF!</v>
      </c>
      <c r="F44" s="277" t="e">
        <f>#REF!</f>
        <v>#REF!</v>
      </c>
      <c r="G44" s="277" t="e">
        <f>#REF!</f>
        <v>#REF!</v>
      </c>
      <c r="H44" s="277" t="e">
        <f>#REF!</f>
        <v>#REF!</v>
      </c>
      <c r="I44" s="277" t="e">
        <f>#REF!</f>
        <v>#REF!</v>
      </c>
      <c r="J44" s="277" t="e">
        <f>#REF!</f>
        <v>#REF!</v>
      </c>
      <c r="K44" s="277" t="e">
        <f>#REF!</f>
        <v>#REF!</v>
      </c>
      <c r="L44" s="277" t="e">
        <f>#REF!</f>
        <v>#REF!</v>
      </c>
      <c r="M44" s="277" t="e">
        <f>#REF!</f>
        <v>#REF!</v>
      </c>
      <c r="N44" s="277" t="e">
        <f>#REF!</f>
        <v>#REF!</v>
      </c>
      <c r="O44" s="277" t="e">
        <f>#REF!</f>
        <v>#REF!</v>
      </c>
      <c r="P44" s="277" t="e">
        <f>#REF!</f>
        <v>#REF!</v>
      </c>
      <c r="Q44" s="277" t="e">
        <f>#REF!</f>
        <v>#REF!</v>
      </c>
      <c r="R44" s="277" t="e">
        <f>#REF!</f>
        <v>#REF!</v>
      </c>
      <c r="S44" s="277" t="e">
        <f>#REF!</f>
        <v>#REF!</v>
      </c>
      <c r="T44" s="281" t="e">
        <f>#REF!</f>
        <v>#REF!</v>
      </c>
      <c r="U44" s="281" t="e">
        <f>#REF!</f>
        <v>#REF!</v>
      </c>
      <c r="V44" s="281" t="e">
        <f>#REF!</f>
        <v>#REF!</v>
      </c>
      <c r="W44" s="281" t="e">
        <f>#REF!</f>
        <v>#REF!</v>
      </c>
      <c r="X44" s="281" t="e">
        <f>#REF!</f>
        <v>#REF!</v>
      </c>
    </row>
    <row r="45" spans="1:24" ht="24.95" customHeight="1">
      <c r="A45" s="274" t="e">
        <f>#REF!</f>
        <v>#REF!</v>
      </c>
      <c r="B45" s="275" t="e">
        <f>#REF!</f>
        <v>#REF!</v>
      </c>
      <c r="C45" s="276" t="e">
        <f>#REF!</f>
        <v>#REF!</v>
      </c>
      <c r="D45" s="277" t="e">
        <f>#REF!</f>
        <v>#REF!</v>
      </c>
      <c r="E45" s="277" t="e">
        <f>#REF!</f>
        <v>#REF!</v>
      </c>
      <c r="F45" s="277" t="e">
        <f>#REF!</f>
        <v>#REF!</v>
      </c>
      <c r="G45" s="277" t="e">
        <f>#REF!</f>
        <v>#REF!</v>
      </c>
      <c r="H45" s="277" t="e">
        <f>#REF!</f>
        <v>#REF!</v>
      </c>
      <c r="I45" s="277" t="e">
        <f>#REF!</f>
        <v>#REF!</v>
      </c>
      <c r="J45" s="277" t="e">
        <f>#REF!</f>
        <v>#REF!</v>
      </c>
      <c r="K45" s="277" t="e">
        <f>#REF!</f>
        <v>#REF!</v>
      </c>
      <c r="L45" s="277" t="e">
        <f>#REF!</f>
        <v>#REF!</v>
      </c>
      <c r="M45" s="277" t="e">
        <f>#REF!</f>
        <v>#REF!</v>
      </c>
      <c r="N45" s="277" t="e">
        <f>#REF!</f>
        <v>#REF!</v>
      </c>
      <c r="O45" s="277" t="e">
        <f>#REF!</f>
        <v>#REF!</v>
      </c>
      <c r="P45" s="277" t="e">
        <f>#REF!</f>
        <v>#REF!</v>
      </c>
      <c r="Q45" s="277" t="e">
        <f>#REF!</f>
        <v>#REF!</v>
      </c>
      <c r="R45" s="277" t="e">
        <f>#REF!</f>
        <v>#REF!</v>
      </c>
      <c r="S45" s="277" t="e">
        <f>#REF!</f>
        <v>#REF!</v>
      </c>
      <c r="T45" s="281" t="e">
        <f>#REF!</f>
        <v>#REF!</v>
      </c>
      <c r="U45" s="281" t="e">
        <f>#REF!</f>
        <v>#REF!</v>
      </c>
      <c r="V45" s="281" t="e">
        <f>#REF!</f>
        <v>#REF!</v>
      </c>
      <c r="W45" s="281" t="e">
        <f>#REF!</f>
        <v>#REF!</v>
      </c>
      <c r="X45" s="281" t="e">
        <f>#REF!</f>
        <v>#REF!</v>
      </c>
    </row>
    <row r="46" spans="1:24" ht="24.95" customHeight="1">
      <c r="A46" s="274" t="e">
        <f>#REF!</f>
        <v>#REF!</v>
      </c>
      <c r="B46" s="275" t="e">
        <f>#REF!</f>
        <v>#REF!</v>
      </c>
      <c r="C46" s="276" t="e">
        <f>#REF!</f>
        <v>#REF!</v>
      </c>
      <c r="D46" s="277" t="e">
        <f>#REF!</f>
        <v>#REF!</v>
      </c>
      <c r="E46" s="277" t="e">
        <f>#REF!</f>
        <v>#REF!</v>
      </c>
      <c r="F46" s="277" t="e">
        <f>#REF!</f>
        <v>#REF!</v>
      </c>
      <c r="G46" s="277" t="e">
        <f>#REF!</f>
        <v>#REF!</v>
      </c>
      <c r="H46" s="277" t="e">
        <f>#REF!</f>
        <v>#REF!</v>
      </c>
      <c r="I46" s="277" t="e">
        <f>#REF!</f>
        <v>#REF!</v>
      </c>
      <c r="J46" s="277" t="e">
        <f>#REF!</f>
        <v>#REF!</v>
      </c>
      <c r="K46" s="277" t="e">
        <f>#REF!</f>
        <v>#REF!</v>
      </c>
      <c r="L46" s="277" t="e">
        <f>#REF!</f>
        <v>#REF!</v>
      </c>
      <c r="M46" s="277" t="e">
        <f>#REF!</f>
        <v>#REF!</v>
      </c>
      <c r="N46" s="277" t="e">
        <f>#REF!</f>
        <v>#REF!</v>
      </c>
      <c r="O46" s="277" t="e">
        <f>#REF!</f>
        <v>#REF!</v>
      </c>
      <c r="P46" s="277" t="e">
        <f>#REF!</f>
        <v>#REF!</v>
      </c>
      <c r="Q46" s="277" t="e">
        <f>#REF!</f>
        <v>#REF!</v>
      </c>
      <c r="R46" s="277" t="e">
        <f>#REF!</f>
        <v>#REF!</v>
      </c>
      <c r="S46" s="277" t="e">
        <f>#REF!</f>
        <v>#REF!</v>
      </c>
      <c r="T46" s="281" t="e">
        <f>#REF!</f>
        <v>#REF!</v>
      </c>
      <c r="U46" s="281" t="e">
        <f>#REF!</f>
        <v>#REF!</v>
      </c>
      <c r="V46" s="281" t="e">
        <f>#REF!</f>
        <v>#REF!</v>
      </c>
      <c r="W46" s="281" t="e">
        <f>#REF!</f>
        <v>#REF!</v>
      </c>
      <c r="X46" s="281" t="e">
        <f>#REF!</f>
        <v>#REF!</v>
      </c>
    </row>
    <row r="47" spans="1:24" ht="24.95" customHeight="1">
      <c r="A47" s="274" t="e">
        <f>#REF!</f>
        <v>#REF!</v>
      </c>
      <c r="B47" s="275" t="e">
        <f>#REF!</f>
        <v>#REF!</v>
      </c>
      <c r="C47" s="276" t="e">
        <f>#REF!</f>
        <v>#REF!</v>
      </c>
      <c r="D47" s="277" t="e">
        <f>#REF!</f>
        <v>#REF!</v>
      </c>
      <c r="E47" s="277" t="e">
        <f>#REF!</f>
        <v>#REF!</v>
      </c>
      <c r="F47" s="277" t="e">
        <f>#REF!</f>
        <v>#REF!</v>
      </c>
      <c r="G47" s="277" t="e">
        <f>#REF!</f>
        <v>#REF!</v>
      </c>
      <c r="H47" s="277" t="e">
        <f>#REF!</f>
        <v>#REF!</v>
      </c>
      <c r="I47" s="277" t="e">
        <f>#REF!</f>
        <v>#REF!</v>
      </c>
      <c r="J47" s="277" t="e">
        <f>#REF!</f>
        <v>#REF!</v>
      </c>
      <c r="K47" s="277" t="e">
        <f>#REF!</f>
        <v>#REF!</v>
      </c>
      <c r="L47" s="277" t="e">
        <f>#REF!</f>
        <v>#REF!</v>
      </c>
      <c r="M47" s="277" t="e">
        <f>#REF!</f>
        <v>#REF!</v>
      </c>
      <c r="N47" s="277" t="e">
        <f>#REF!</f>
        <v>#REF!</v>
      </c>
      <c r="O47" s="277" t="e">
        <f>#REF!</f>
        <v>#REF!</v>
      </c>
      <c r="P47" s="277" t="e">
        <f>#REF!</f>
        <v>#REF!</v>
      </c>
      <c r="Q47" s="277" t="e">
        <f>#REF!</f>
        <v>#REF!</v>
      </c>
      <c r="R47" s="277" t="e">
        <f>#REF!</f>
        <v>#REF!</v>
      </c>
      <c r="S47" s="277" t="e">
        <f>#REF!</f>
        <v>#REF!</v>
      </c>
      <c r="T47" s="281" t="e">
        <f>#REF!</f>
        <v>#REF!</v>
      </c>
      <c r="U47" s="281" t="e">
        <f>#REF!</f>
        <v>#REF!</v>
      </c>
      <c r="V47" s="281" t="e">
        <f>#REF!</f>
        <v>#REF!</v>
      </c>
      <c r="W47" s="281" t="e">
        <f>#REF!</f>
        <v>#REF!</v>
      </c>
      <c r="X47" s="281" t="e">
        <f>#REF!</f>
        <v>#REF!</v>
      </c>
    </row>
    <row r="48" spans="1:24" ht="24.95" customHeight="1">
      <c r="A48" s="274" t="e">
        <f>#REF!</f>
        <v>#REF!</v>
      </c>
      <c r="B48" s="275" t="e">
        <f>#REF!</f>
        <v>#REF!</v>
      </c>
      <c r="C48" s="276" t="e">
        <f>#REF!</f>
        <v>#REF!</v>
      </c>
      <c r="D48" s="277" t="e">
        <f>#REF!</f>
        <v>#REF!</v>
      </c>
      <c r="E48" s="277" t="e">
        <f>#REF!</f>
        <v>#REF!</v>
      </c>
      <c r="F48" s="277" t="e">
        <f>#REF!</f>
        <v>#REF!</v>
      </c>
      <c r="G48" s="277" t="e">
        <f>#REF!</f>
        <v>#REF!</v>
      </c>
      <c r="H48" s="277" t="e">
        <f>#REF!</f>
        <v>#REF!</v>
      </c>
      <c r="I48" s="277" t="e">
        <f>#REF!</f>
        <v>#REF!</v>
      </c>
      <c r="J48" s="277" t="e">
        <f>#REF!</f>
        <v>#REF!</v>
      </c>
      <c r="K48" s="277" t="e">
        <f>#REF!</f>
        <v>#REF!</v>
      </c>
      <c r="L48" s="277" t="e">
        <f>#REF!</f>
        <v>#REF!</v>
      </c>
      <c r="M48" s="277" t="e">
        <f>#REF!</f>
        <v>#REF!</v>
      </c>
      <c r="N48" s="277" t="e">
        <f>#REF!</f>
        <v>#REF!</v>
      </c>
      <c r="O48" s="277" t="e">
        <f>#REF!</f>
        <v>#REF!</v>
      </c>
      <c r="P48" s="277" t="e">
        <f>#REF!</f>
        <v>#REF!</v>
      </c>
      <c r="Q48" s="277" t="e">
        <f>#REF!</f>
        <v>#REF!</v>
      </c>
      <c r="R48" s="277" t="e">
        <f>#REF!</f>
        <v>#REF!</v>
      </c>
      <c r="S48" s="277" t="e">
        <f>#REF!</f>
        <v>#REF!</v>
      </c>
      <c r="T48" s="281" t="e">
        <f>#REF!</f>
        <v>#REF!</v>
      </c>
      <c r="U48" s="281" t="e">
        <f>#REF!</f>
        <v>#REF!</v>
      </c>
      <c r="V48" s="281" t="e">
        <f>#REF!</f>
        <v>#REF!</v>
      </c>
      <c r="W48" s="281" t="e">
        <f>#REF!</f>
        <v>#REF!</v>
      </c>
      <c r="X48" s="281" t="e">
        <f>#REF!</f>
        <v>#REF!</v>
      </c>
    </row>
    <row r="49" spans="1:24" ht="24.95" customHeight="1">
      <c r="A49" s="274" t="e">
        <f>#REF!</f>
        <v>#REF!</v>
      </c>
      <c r="B49" s="275" t="e">
        <f>#REF!</f>
        <v>#REF!</v>
      </c>
      <c r="C49" s="276" t="e">
        <f>#REF!</f>
        <v>#REF!</v>
      </c>
      <c r="D49" s="277" t="e">
        <f>#REF!</f>
        <v>#REF!</v>
      </c>
      <c r="E49" s="277" t="e">
        <f>#REF!</f>
        <v>#REF!</v>
      </c>
      <c r="F49" s="277" t="e">
        <f>#REF!</f>
        <v>#REF!</v>
      </c>
      <c r="G49" s="277" t="e">
        <f>#REF!</f>
        <v>#REF!</v>
      </c>
      <c r="H49" s="277" t="e">
        <f>#REF!</f>
        <v>#REF!</v>
      </c>
      <c r="I49" s="277" t="e">
        <f>#REF!</f>
        <v>#REF!</v>
      </c>
      <c r="J49" s="277" t="e">
        <f>#REF!</f>
        <v>#REF!</v>
      </c>
      <c r="K49" s="277" t="e">
        <f>#REF!</f>
        <v>#REF!</v>
      </c>
      <c r="L49" s="277" t="e">
        <f>#REF!</f>
        <v>#REF!</v>
      </c>
      <c r="M49" s="277" t="e">
        <f>#REF!</f>
        <v>#REF!</v>
      </c>
      <c r="N49" s="277" t="e">
        <f>#REF!</f>
        <v>#REF!</v>
      </c>
      <c r="O49" s="277" t="e">
        <f>#REF!</f>
        <v>#REF!</v>
      </c>
      <c r="P49" s="277" t="e">
        <f>#REF!</f>
        <v>#REF!</v>
      </c>
      <c r="Q49" s="277" t="e">
        <f>#REF!</f>
        <v>#REF!</v>
      </c>
      <c r="R49" s="277" t="e">
        <f>#REF!</f>
        <v>#REF!</v>
      </c>
      <c r="S49" s="277" t="e">
        <f>#REF!</f>
        <v>#REF!</v>
      </c>
      <c r="T49" s="281" t="e">
        <f>#REF!</f>
        <v>#REF!</v>
      </c>
      <c r="U49" s="281" t="e">
        <f>#REF!</f>
        <v>#REF!</v>
      </c>
      <c r="V49" s="281" t="e">
        <f>#REF!</f>
        <v>#REF!</v>
      </c>
      <c r="W49" s="281" t="e">
        <f>#REF!</f>
        <v>#REF!</v>
      </c>
      <c r="X49" s="281" t="e">
        <f>#REF!</f>
        <v>#REF!</v>
      </c>
    </row>
    <row r="50" spans="1:24" ht="24.95" customHeight="1">
      <c r="A50" s="274" t="e">
        <f>#REF!</f>
        <v>#REF!</v>
      </c>
      <c r="B50" s="275" t="e">
        <f>#REF!</f>
        <v>#REF!</v>
      </c>
      <c r="C50" s="276" t="e">
        <f>#REF!</f>
        <v>#REF!</v>
      </c>
      <c r="D50" s="277" t="e">
        <f>#REF!</f>
        <v>#REF!</v>
      </c>
      <c r="E50" s="277" t="e">
        <f>#REF!</f>
        <v>#REF!</v>
      </c>
      <c r="F50" s="277" t="e">
        <f>#REF!</f>
        <v>#REF!</v>
      </c>
      <c r="G50" s="277" t="e">
        <f>#REF!</f>
        <v>#REF!</v>
      </c>
      <c r="H50" s="277" t="e">
        <f>#REF!</f>
        <v>#REF!</v>
      </c>
      <c r="I50" s="277" t="e">
        <f>#REF!</f>
        <v>#REF!</v>
      </c>
      <c r="J50" s="277" t="e">
        <f>#REF!</f>
        <v>#REF!</v>
      </c>
      <c r="K50" s="277" t="e">
        <f>#REF!</f>
        <v>#REF!</v>
      </c>
      <c r="L50" s="277" t="e">
        <f>#REF!</f>
        <v>#REF!</v>
      </c>
      <c r="M50" s="277" t="e">
        <f>#REF!</f>
        <v>#REF!</v>
      </c>
      <c r="N50" s="277" t="e">
        <f>#REF!</f>
        <v>#REF!</v>
      </c>
      <c r="O50" s="277" t="e">
        <f>#REF!</f>
        <v>#REF!</v>
      </c>
      <c r="P50" s="277" t="e">
        <f>#REF!</f>
        <v>#REF!</v>
      </c>
      <c r="Q50" s="277" t="e">
        <f>#REF!</f>
        <v>#REF!</v>
      </c>
      <c r="R50" s="277" t="e">
        <f>#REF!</f>
        <v>#REF!</v>
      </c>
      <c r="S50" s="277" t="e">
        <f>#REF!</f>
        <v>#REF!</v>
      </c>
      <c r="T50" s="281" t="e">
        <f>#REF!</f>
        <v>#REF!</v>
      </c>
      <c r="U50" s="281" t="e">
        <f>#REF!</f>
        <v>#REF!</v>
      </c>
      <c r="V50" s="281" t="e">
        <f>#REF!</f>
        <v>#REF!</v>
      </c>
      <c r="W50" s="281" t="e">
        <f>#REF!</f>
        <v>#REF!</v>
      </c>
      <c r="X50" s="281" t="e">
        <f>#REF!</f>
        <v>#REF!</v>
      </c>
    </row>
    <row r="51" spans="1:24" ht="24.95" customHeight="1">
      <c r="A51" s="274" t="e">
        <f>#REF!</f>
        <v>#REF!</v>
      </c>
      <c r="B51" s="275" t="e">
        <f>#REF!</f>
        <v>#REF!</v>
      </c>
      <c r="C51" s="276" t="e">
        <f>#REF!</f>
        <v>#REF!</v>
      </c>
      <c r="D51" s="277" t="e">
        <f>#REF!</f>
        <v>#REF!</v>
      </c>
      <c r="E51" s="277" t="e">
        <f>#REF!</f>
        <v>#REF!</v>
      </c>
      <c r="F51" s="277" t="e">
        <f>#REF!</f>
        <v>#REF!</v>
      </c>
      <c r="G51" s="277" t="e">
        <f>#REF!</f>
        <v>#REF!</v>
      </c>
      <c r="H51" s="277" t="e">
        <f>#REF!</f>
        <v>#REF!</v>
      </c>
      <c r="I51" s="277" t="e">
        <f>#REF!</f>
        <v>#REF!</v>
      </c>
      <c r="J51" s="277" t="e">
        <f>#REF!</f>
        <v>#REF!</v>
      </c>
      <c r="K51" s="277" t="e">
        <f>#REF!</f>
        <v>#REF!</v>
      </c>
      <c r="L51" s="277" t="e">
        <f>#REF!</f>
        <v>#REF!</v>
      </c>
      <c r="M51" s="277" t="e">
        <f>#REF!</f>
        <v>#REF!</v>
      </c>
      <c r="N51" s="277" t="e">
        <f>#REF!</f>
        <v>#REF!</v>
      </c>
      <c r="O51" s="277" t="e">
        <f>#REF!</f>
        <v>#REF!</v>
      </c>
      <c r="P51" s="277" t="e">
        <f>#REF!</f>
        <v>#REF!</v>
      </c>
      <c r="Q51" s="277" t="e">
        <f>#REF!</f>
        <v>#REF!</v>
      </c>
      <c r="R51" s="277" t="e">
        <f>#REF!</f>
        <v>#REF!</v>
      </c>
      <c r="S51" s="277" t="e">
        <f>#REF!</f>
        <v>#REF!</v>
      </c>
      <c r="T51" s="281" t="e">
        <f>#REF!</f>
        <v>#REF!</v>
      </c>
      <c r="U51" s="281" t="e">
        <f>#REF!</f>
        <v>#REF!</v>
      </c>
      <c r="V51" s="281" t="e">
        <f>#REF!</f>
        <v>#REF!</v>
      </c>
      <c r="W51" s="281" t="e">
        <f>#REF!</f>
        <v>#REF!</v>
      </c>
      <c r="X51" s="281" t="e">
        <f>#REF!</f>
        <v>#REF!</v>
      </c>
    </row>
    <row r="52" spans="1:24" ht="24.95" customHeight="1">
      <c r="A52" s="274" t="e">
        <f>#REF!</f>
        <v>#REF!</v>
      </c>
      <c r="B52" s="275" t="e">
        <f>#REF!</f>
        <v>#REF!</v>
      </c>
      <c r="C52" s="276" t="e">
        <f>#REF!</f>
        <v>#REF!</v>
      </c>
      <c r="D52" s="277" t="e">
        <f>#REF!</f>
        <v>#REF!</v>
      </c>
      <c r="E52" s="277" t="e">
        <f>#REF!</f>
        <v>#REF!</v>
      </c>
      <c r="F52" s="277" t="e">
        <f>#REF!</f>
        <v>#REF!</v>
      </c>
      <c r="G52" s="277" t="e">
        <f>#REF!</f>
        <v>#REF!</v>
      </c>
      <c r="H52" s="277" t="e">
        <f>#REF!</f>
        <v>#REF!</v>
      </c>
      <c r="I52" s="277" t="e">
        <f>#REF!</f>
        <v>#REF!</v>
      </c>
      <c r="J52" s="277" t="e">
        <f>#REF!</f>
        <v>#REF!</v>
      </c>
      <c r="K52" s="277" t="e">
        <f>#REF!</f>
        <v>#REF!</v>
      </c>
      <c r="L52" s="277" t="e">
        <f>#REF!</f>
        <v>#REF!</v>
      </c>
      <c r="M52" s="277" t="e">
        <f>#REF!</f>
        <v>#REF!</v>
      </c>
      <c r="N52" s="277" t="e">
        <f>#REF!</f>
        <v>#REF!</v>
      </c>
      <c r="O52" s="277" t="e">
        <f>#REF!</f>
        <v>#REF!</v>
      </c>
      <c r="P52" s="277" t="e">
        <f>#REF!</f>
        <v>#REF!</v>
      </c>
      <c r="Q52" s="277" t="e">
        <f>#REF!</f>
        <v>#REF!</v>
      </c>
      <c r="R52" s="277" t="e">
        <f>#REF!</f>
        <v>#REF!</v>
      </c>
      <c r="S52" s="277" t="e">
        <f>#REF!</f>
        <v>#REF!</v>
      </c>
      <c r="T52" s="281" t="e">
        <f>#REF!</f>
        <v>#REF!</v>
      </c>
      <c r="U52" s="281" t="e">
        <f>#REF!</f>
        <v>#REF!</v>
      </c>
      <c r="V52" s="281" t="e">
        <f>#REF!</f>
        <v>#REF!</v>
      </c>
      <c r="W52" s="281" t="e">
        <f>#REF!</f>
        <v>#REF!</v>
      </c>
      <c r="X52" s="281" t="e">
        <f>#REF!</f>
        <v>#REF!</v>
      </c>
    </row>
    <row r="53" spans="1:24" ht="24.95" customHeight="1">
      <c r="A53" s="274" t="e">
        <f>#REF!</f>
        <v>#REF!</v>
      </c>
      <c r="B53" s="275" t="e">
        <f>#REF!</f>
        <v>#REF!</v>
      </c>
      <c r="C53" s="276" t="e">
        <f>#REF!</f>
        <v>#REF!</v>
      </c>
      <c r="D53" s="277" t="e">
        <f>#REF!</f>
        <v>#REF!</v>
      </c>
      <c r="E53" s="277" t="e">
        <f>#REF!</f>
        <v>#REF!</v>
      </c>
      <c r="F53" s="277" t="e">
        <f>#REF!</f>
        <v>#REF!</v>
      </c>
      <c r="G53" s="277" t="e">
        <f>#REF!</f>
        <v>#REF!</v>
      </c>
      <c r="H53" s="277" t="e">
        <f>#REF!</f>
        <v>#REF!</v>
      </c>
      <c r="I53" s="277" t="e">
        <f>#REF!</f>
        <v>#REF!</v>
      </c>
      <c r="J53" s="277" t="e">
        <f>#REF!</f>
        <v>#REF!</v>
      </c>
      <c r="K53" s="277" t="e">
        <f>#REF!</f>
        <v>#REF!</v>
      </c>
      <c r="L53" s="277" t="e">
        <f>#REF!</f>
        <v>#REF!</v>
      </c>
      <c r="M53" s="277" t="e">
        <f>#REF!</f>
        <v>#REF!</v>
      </c>
      <c r="N53" s="277" t="e">
        <f>#REF!</f>
        <v>#REF!</v>
      </c>
      <c r="O53" s="277" t="e">
        <f>#REF!</f>
        <v>#REF!</v>
      </c>
      <c r="P53" s="277" t="e">
        <f>#REF!</f>
        <v>#REF!</v>
      </c>
      <c r="Q53" s="277" t="e">
        <f>#REF!</f>
        <v>#REF!</v>
      </c>
      <c r="R53" s="277" t="e">
        <f>#REF!</f>
        <v>#REF!</v>
      </c>
      <c r="S53" s="277" t="e">
        <f>#REF!</f>
        <v>#REF!</v>
      </c>
      <c r="T53" s="281" t="e">
        <f>#REF!</f>
        <v>#REF!</v>
      </c>
      <c r="U53" s="281" t="e">
        <f>#REF!</f>
        <v>#REF!</v>
      </c>
      <c r="V53" s="281" t="e">
        <f>#REF!</f>
        <v>#REF!</v>
      </c>
      <c r="W53" s="281" t="e">
        <f>#REF!</f>
        <v>#REF!</v>
      </c>
      <c r="X53" s="281" t="e">
        <f>#REF!</f>
        <v>#REF!</v>
      </c>
    </row>
    <row r="54" spans="1:24" ht="24.95" customHeight="1">
      <c r="A54" s="274" t="e">
        <f>#REF!</f>
        <v>#REF!</v>
      </c>
      <c r="B54" s="275" t="e">
        <f>#REF!</f>
        <v>#REF!</v>
      </c>
      <c r="C54" s="276" t="e">
        <f>#REF!</f>
        <v>#REF!</v>
      </c>
      <c r="D54" s="277" t="e">
        <f>#REF!</f>
        <v>#REF!</v>
      </c>
      <c r="E54" s="277" t="e">
        <f>#REF!</f>
        <v>#REF!</v>
      </c>
      <c r="F54" s="277" t="e">
        <f>#REF!</f>
        <v>#REF!</v>
      </c>
      <c r="G54" s="277" t="e">
        <f>#REF!</f>
        <v>#REF!</v>
      </c>
      <c r="H54" s="277" t="e">
        <f>#REF!</f>
        <v>#REF!</v>
      </c>
      <c r="I54" s="277" t="e">
        <f>#REF!</f>
        <v>#REF!</v>
      </c>
      <c r="J54" s="277" t="e">
        <f>#REF!</f>
        <v>#REF!</v>
      </c>
      <c r="K54" s="277" t="e">
        <f>#REF!</f>
        <v>#REF!</v>
      </c>
      <c r="L54" s="277" t="e">
        <f>#REF!</f>
        <v>#REF!</v>
      </c>
      <c r="M54" s="277" t="e">
        <f>#REF!</f>
        <v>#REF!</v>
      </c>
      <c r="N54" s="277" t="e">
        <f>#REF!</f>
        <v>#REF!</v>
      </c>
      <c r="O54" s="277" t="e">
        <f>#REF!</f>
        <v>#REF!</v>
      </c>
      <c r="P54" s="277" t="e">
        <f>#REF!</f>
        <v>#REF!</v>
      </c>
      <c r="Q54" s="277" t="e">
        <f>#REF!</f>
        <v>#REF!</v>
      </c>
      <c r="R54" s="277" t="e">
        <f>#REF!</f>
        <v>#REF!</v>
      </c>
      <c r="S54" s="277" t="e">
        <f>#REF!</f>
        <v>#REF!</v>
      </c>
      <c r="T54" s="281" t="e">
        <f>#REF!</f>
        <v>#REF!</v>
      </c>
      <c r="U54" s="281" t="e">
        <f>#REF!</f>
        <v>#REF!</v>
      </c>
      <c r="V54" s="281" t="e">
        <f>#REF!</f>
        <v>#REF!</v>
      </c>
      <c r="W54" s="281" t="e">
        <f>#REF!</f>
        <v>#REF!</v>
      </c>
      <c r="X54" s="281" t="e">
        <f>#REF!</f>
        <v>#REF!</v>
      </c>
    </row>
    <row r="55" spans="1:24" ht="24.95" customHeight="1">
      <c r="A55" s="274" t="e">
        <f>#REF!</f>
        <v>#REF!</v>
      </c>
      <c r="B55" s="275" t="e">
        <f>#REF!</f>
        <v>#REF!</v>
      </c>
      <c r="C55" s="276" t="e">
        <f>#REF!</f>
        <v>#REF!</v>
      </c>
      <c r="D55" s="277" t="e">
        <f>#REF!</f>
        <v>#REF!</v>
      </c>
      <c r="E55" s="277" t="e">
        <f>#REF!</f>
        <v>#REF!</v>
      </c>
      <c r="F55" s="277" t="e">
        <f>#REF!</f>
        <v>#REF!</v>
      </c>
      <c r="G55" s="277" t="e">
        <f>#REF!</f>
        <v>#REF!</v>
      </c>
      <c r="H55" s="277" t="e">
        <f>#REF!</f>
        <v>#REF!</v>
      </c>
      <c r="I55" s="277" t="e">
        <f>#REF!</f>
        <v>#REF!</v>
      </c>
      <c r="J55" s="277" t="e">
        <f>#REF!</f>
        <v>#REF!</v>
      </c>
      <c r="K55" s="277" t="e">
        <f>#REF!</f>
        <v>#REF!</v>
      </c>
      <c r="L55" s="277" t="e">
        <f>#REF!</f>
        <v>#REF!</v>
      </c>
      <c r="M55" s="277" t="e">
        <f>#REF!</f>
        <v>#REF!</v>
      </c>
      <c r="N55" s="277" t="e">
        <f>#REF!</f>
        <v>#REF!</v>
      </c>
      <c r="O55" s="277" t="e">
        <f>#REF!</f>
        <v>#REF!</v>
      </c>
      <c r="P55" s="277" t="e">
        <f>#REF!</f>
        <v>#REF!</v>
      </c>
      <c r="Q55" s="277" t="e">
        <f>#REF!</f>
        <v>#REF!</v>
      </c>
      <c r="R55" s="277" t="e">
        <f>#REF!</f>
        <v>#REF!</v>
      </c>
      <c r="S55" s="277" t="e">
        <f>#REF!</f>
        <v>#REF!</v>
      </c>
      <c r="T55" s="281" t="e">
        <f>#REF!</f>
        <v>#REF!</v>
      </c>
      <c r="U55" s="281" t="e">
        <f>#REF!</f>
        <v>#REF!</v>
      </c>
      <c r="V55" s="281" t="e">
        <f>#REF!</f>
        <v>#REF!</v>
      </c>
      <c r="W55" s="281" t="e">
        <f>#REF!</f>
        <v>#REF!</v>
      </c>
      <c r="X55" s="281" t="e">
        <f>#REF!</f>
        <v>#REF!</v>
      </c>
    </row>
    <row r="56" spans="1:24" ht="24.95" customHeight="1">
      <c r="A56" s="274" t="e">
        <f>#REF!</f>
        <v>#REF!</v>
      </c>
      <c r="B56" s="275" t="e">
        <f>#REF!</f>
        <v>#REF!</v>
      </c>
      <c r="C56" s="276" t="e">
        <f>#REF!</f>
        <v>#REF!</v>
      </c>
      <c r="D56" s="277" t="e">
        <f>#REF!</f>
        <v>#REF!</v>
      </c>
      <c r="E56" s="277" t="e">
        <f>#REF!</f>
        <v>#REF!</v>
      </c>
      <c r="F56" s="277" t="e">
        <f>#REF!</f>
        <v>#REF!</v>
      </c>
      <c r="G56" s="277" t="e">
        <f>#REF!</f>
        <v>#REF!</v>
      </c>
      <c r="H56" s="277" t="e">
        <f>#REF!</f>
        <v>#REF!</v>
      </c>
      <c r="I56" s="277" t="e">
        <f>#REF!</f>
        <v>#REF!</v>
      </c>
      <c r="J56" s="277" t="e">
        <f>#REF!</f>
        <v>#REF!</v>
      </c>
      <c r="K56" s="277" t="e">
        <f>#REF!</f>
        <v>#REF!</v>
      </c>
      <c r="L56" s="277" t="e">
        <f>#REF!</f>
        <v>#REF!</v>
      </c>
      <c r="M56" s="277" t="e">
        <f>#REF!</f>
        <v>#REF!</v>
      </c>
      <c r="N56" s="277" t="e">
        <f>#REF!</f>
        <v>#REF!</v>
      </c>
      <c r="O56" s="277" t="e">
        <f>#REF!</f>
        <v>#REF!</v>
      </c>
      <c r="P56" s="277" t="e">
        <f>#REF!</f>
        <v>#REF!</v>
      </c>
      <c r="Q56" s="277" t="e">
        <f>#REF!</f>
        <v>#REF!</v>
      </c>
      <c r="R56" s="277" t="e">
        <f>#REF!</f>
        <v>#REF!</v>
      </c>
      <c r="S56" s="277" t="e">
        <f>#REF!</f>
        <v>#REF!</v>
      </c>
      <c r="T56" s="281" t="e">
        <f>#REF!</f>
        <v>#REF!</v>
      </c>
      <c r="U56" s="281" t="e">
        <f>#REF!</f>
        <v>#REF!</v>
      </c>
      <c r="V56" s="281" t="e">
        <f>#REF!</f>
        <v>#REF!</v>
      </c>
      <c r="W56" s="281" t="e">
        <f>#REF!</f>
        <v>#REF!</v>
      </c>
      <c r="X56" s="281" t="e">
        <f>#REF!</f>
        <v>#REF!</v>
      </c>
    </row>
    <row r="57" spans="1:24" ht="24.95" customHeight="1">
      <c r="A57" s="274" t="e">
        <f>#REF!</f>
        <v>#REF!</v>
      </c>
      <c r="B57" s="275" t="e">
        <f>#REF!</f>
        <v>#REF!</v>
      </c>
      <c r="C57" s="276" t="e">
        <f>#REF!</f>
        <v>#REF!</v>
      </c>
      <c r="D57" s="277" t="e">
        <f>#REF!</f>
        <v>#REF!</v>
      </c>
      <c r="E57" s="277" t="e">
        <f>#REF!</f>
        <v>#REF!</v>
      </c>
      <c r="F57" s="277" t="e">
        <f>#REF!</f>
        <v>#REF!</v>
      </c>
      <c r="G57" s="277" t="e">
        <f>#REF!</f>
        <v>#REF!</v>
      </c>
      <c r="H57" s="277" t="e">
        <f>#REF!</f>
        <v>#REF!</v>
      </c>
      <c r="I57" s="277" t="e">
        <f>#REF!</f>
        <v>#REF!</v>
      </c>
      <c r="J57" s="277" t="e">
        <f>#REF!</f>
        <v>#REF!</v>
      </c>
      <c r="K57" s="277" t="e">
        <f>#REF!</f>
        <v>#REF!</v>
      </c>
      <c r="L57" s="277" t="e">
        <f>#REF!</f>
        <v>#REF!</v>
      </c>
      <c r="M57" s="277" t="e">
        <f>#REF!</f>
        <v>#REF!</v>
      </c>
      <c r="N57" s="277" t="e">
        <f>#REF!</f>
        <v>#REF!</v>
      </c>
      <c r="O57" s="277" t="e">
        <f>#REF!</f>
        <v>#REF!</v>
      </c>
      <c r="P57" s="277" t="e">
        <f>#REF!</f>
        <v>#REF!</v>
      </c>
      <c r="Q57" s="277" t="e">
        <f>#REF!</f>
        <v>#REF!</v>
      </c>
      <c r="R57" s="277" t="e">
        <f>#REF!</f>
        <v>#REF!</v>
      </c>
      <c r="S57" s="277" t="e">
        <f>#REF!</f>
        <v>#REF!</v>
      </c>
      <c r="T57" s="281" t="e">
        <f>#REF!</f>
        <v>#REF!</v>
      </c>
      <c r="U57" s="281" t="e">
        <f>#REF!</f>
        <v>#REF!</v>
      </c>
      <c r="V57" s="281" t="e">
        <f>#REF!</f>
        <v>#REF!</v>
      </c>
      <c r="W57" s="281" t="e">
        <f>#REF!</f>
        <v>#REF!</v>
      </c>
      <c r="X57" s="281" t="e">
        <f>#REF!</f>
        <v>#REF!</v>
      </c>
    </row>
    <row r="58" spans="1:24" ht="24.95" customHeight="1">
      <c r="A58" s="274" t="e">
        <f>#REF!</f>
        <v>#REF!</v>
      </c>
      <c r="B58" s="275" t="e">
        <f>#REF!</f>
        <v>#REF!</v>
      </c>
      <c r="C58" s="276" t="e">
        <f>#REF!</f>
        <v>#REF!</v>
      </c>
      <c r="D58" s="277" t="e">
        <f>#REF!</f>
        <v>#REF!</v>
      </c>
      <c r="E58" s="277" t="e">
        <f>#REF!</f>
        <v>#REF!</v>
      </c>
      <c r="F58" s="277" t="e">
        <f>#REF!</f>
        <v>#REF!</v>
      </c>
      <c r="G58" s="277" t="e">
        <f>#REF!</f>
        <v>#REF!</v>
      </c>
      <c r="H58" s="277" t="e">
        <f>#REF!</f>
        <v>#REF!</v>
      </c>
      <c r="I58" s="277" t="e">
        <f>#REF!</f>
        <v>#REF!</v>
      </c>
      <c r="J58" s="277" t="e">
        <f>#REF!</f>
        <v>#REF!</v>
      </c>
      <c r="K58" s="277" t="e">
        <f>#REF!</f>
        <v>#REF!</v>
      </c>
      <c r="L58" s="277" t="e">
        <f>#REF!</f>
        <v>#REF!</v>
      </c>
      <c r="M58" s="277" t="e">
        <f>#REF!</f>
        <v>#REF!</v>
      </c>
      <c r="N58" s="277" t="e">
        <f>#REF!</f>
        <v>#REF!</v>
      </c>
      <c r="O58" s="277" t="e">
        <f>#REF!</f>
        <v>#REF!</v>
      </c>
      <c r="P58" s="277" t="e">
        <f>#REF!</f>
        <v>#REF!</v>
      </c>
      <c r="Q58" s="277" t="e">
        <f>#REF!</f>
        <v>#REF!</v>
      </c>
      <c r="R58" s="277" t="e">
        <f>#REF!</f>
        <v>#REF!</v>
      </c>
      <c r="S58" s="277" t="e">
        <f>#REF!</f>
        <v>#REF!</v>
      </c>
      <c r="T58" s="281" t="e">
        <f>#REF!</f>
        <v>#REF!</v>
      </c>
      <c r="U58" s="281" t="e">
        <f>#REF!</f>
        <v>#REF!</v>
      </c>
      <c r="V58" s="281" t="e">
        <f>#REF!</f>
        <v>#REF!</v>
      </c>
      <c r="W58" s="281" t="e">
        <f>#REF!</f>
        <v>#REF!</v>
      </c>
      <c r="X58" s="281" t="e">
        <f>#REF!</f>
        <v>#REF!</v>
      </c>
    </row>
    <row r="59" spans="1:24" ht="24.95" customHeight="1">
      <c r="A59" s="274" t="e">
        <f>#REF!</f>
        <v>#REF!</v>
      </c>
      <c r="B59" s="275" t="e">
        <f>#REF!</f>
        <v>#REF!</v>
      </c>
      <c r="C59" s="276" t="e">
        <f>#REF!</f>
        <v>#REF!</v>
      </c>
      <c r="D59" s="277" t="e">
        <f>#REF!</f>
        <v>#REF!</v>
      </c>
      <c r="E59" s="277" t="e">
        <f>#REF!</f>
        <v>#REF!</v>
      </c>
      <c r="F59" s="277" t="e">
        <f>#REF!</f>
        <v>#REF!</v>
      </c>
      <c r="G59" s="277" t="e">
        <f>#REF!</f>
        <v>#REF!</v>
      </c>
      <c r="H59" s="277" t="e">
        <f>#REF!</f>
        <v>#REF!</v>
      </c>
      <c r="I59" s="277" t="e">
        <f>#REF!</f>
        <v>#REF!</v>
      </c>
      <c r="J59" s="277" t="e">
        <f>#REF!</f>
        <v>#REF!</v>
      </c>
      <c r="K59" s="277" t="e">
        <f>#REF!</f>
        <v>#REF!</v>
      </c>
      <c r="L59" s="277" t="e">
        <f>#REF!</f>
        <v>#REF!</v>
      </c>
      <c r="M59" s="277" t="e">
        <f>#REF!</f>
        <v>#REF!</v>
      </c>
      <c r="N59" s="277" t="e">
        <f>#REF!</f>
        <v>#REF!</v>
      </c>
      <c r="O59" s="277" t="e">
        <f>#REF!</f>
        <v>#REF!</v>
      </c>
      <c r="P59" s="277" t="e">
        <f>#REF!</f>
        <v>#REF!</v>
      </c>
      <c r="Q59" s="277" t="e">
        <f>#REF!</f>
        <v>#REF!</v>
      </c>
      <c r="R59" s="277" t="e">
        <f>#REF!</f>
        <v>#REF!</v>
      </c>
      <c r="S59" s="277" t="e">
        <f>#REF!</f>
        <v>#REF!</v>
      </c>
      <c r="T59" s="281" t="e">
        <f>#REF!</f>
        <v>#REF!</v>
      </c>
      <c r="U59" s="281" t="e">
        <f>#REF!</f>
        <v>#REF!</v>
      </c>
      <c r="V59" s="281" t="e">
        <f>#REF!</f>
        <v>#REF!</v>
      </c>
      <c r="W59" s="281" t="e">
        <f>#REF!</f>
        <v>#REF!</v>
      </c>
      <c r="X59" s="281" t="e">
        <f>#REF!</f>
        <v>#REF!</v>
      </c>
    </row>
    <row r="60" spans="1:24" ht="24.95" customHeight="1">
      <c r="A60" s="274" t="e">
        <f>#REF!</f>
        <v>#REF!</v>
      </c>
      <c r="B60" s="275" t="e">
        <f>#REF!</f>
        <v>#REF!</v>
      </c>
      <c r="C60" s="276" t="e">
        <f>#REF!</f>
        <v>#REF!</v>
      </c>
      <c r="D60" s="277" t="e">
        <f>#REF!</f>
        <v>#REF!</v>
      </c>
      <c r="E60" s="277" t="e">
        <f>#REF!</f>
        <v>#REF!</v>
      </c>
      <c r="F60" s="277" t="e">
        <f>#REF!</f>
        <v>#REF!</v>
      </c>
      <c r="G60" s="277" t="e">
        <f>#REF!</f>
        <v>#REF!</v>
      </c>
      <c r="H60" s="277" t="e">
        <f>#REF!</f>
        <v>#REF!</v>
      </c>
      <c r="I60" s="277" t="e">
        <f>#REF!</f>
        <v>#REF!</v>
      </c>
      <c r="J60" s="277" t="e">
        <f>#REF!</f>
        <v>#REF!</v>
      </c>
      <c r="K60" s="277" t="e">
        <f>#REF!</f>
        <v>#REF!</v>
      </c>
      <c r="L60" s="277" t="e">
        <f>#REF!</f>
        <v>#REF!</v>
      </c>
      <c r="M60" s="277" t="e">
        <f>#REF!</f>
        <v>#REF!</v>
      </c>
      <c r="N60" s="277" t="e">
        <f>#REF!</f>
        <v>#REF!</v>
      </c>
      <c r="O60" s="277" t="e">
        <f>#REF!</f>
        <v>#REF!</v>
      </c>
      <c r="P60" s="277" t="e">
        <f>#REF!</f>
        <v>#REF!</v>
      </c>
      <c r="Q60" s="277" t="e">
        <f>#REF!</f>
        <v>#REF!</v>
      </c>
      <c r="R60" s="277" t="e">
        <f>#REF!</f>
        <v>#REF!</v>
      </c>
      <c r="S60" s="277" t="e">
        <f>#REF!</f>
        <v>#REF!</v>
      </c>
      <c r="T60" s="281" t="e">
        <f>#REF!</f>
        <v>#REF!</v>
      </c>
      <c r="U60" s="281" t="e">
        <f>#REF!</f>
        <v>#REF!</v>
      </c>
      <c r="V60" s="281" t="e">
        <f>#REF!</f>
        <v>#REF!</v>
      </c>
      <c r="W60" s="281" t="e">
        <f>#REF!</f>
        <v>#REF!</v>
      </c>
      <c r="X60" s="281" t="e">
        <f>#REF!</f>
        <v>#REF!</v>
      </c>
    </row>
    <row r="61" spans="1:24" ht="24.95" customHeight="1">
      <c r="A61" s="274" t="e">
        <f>#REF!</f>
        <v>#REF!</v>
      </c>
      <c r="B61" s="275" t="e">
        <f>#REF!</f>
        <v>#REF!</v>
      </c>
      <c r="C61" s="276" t="e">
        <f>#REF!</f>
        <v>#REF!</v>
      </c>
      <c r="D61" s="277" t="e">
        <f>#REF!</f>
        <v>#REF!</v>
      </c>
      <c r="E61" s="277" t="e">
        <f>#REF!</f>
        <v>#REF!</v>
      </c>
      <c r="F61" s="277" t="e">
        <f>#REF!</f>
        <v>#REF!</v>
      </c>
      <c r="G61" s="277" t="e">
        <f>#REF!</f>
        <v>#REF!</v>
      </c>
      <c r="H61" s="277" t="e">
        <f>#REF!</f>
        <v>#REF!</v>
      </c>
      <c r="I61" s="277" t="e">
        <f>#REF!</f>
        <v>#REF!</v>
      </c>
      <c r="J61" s="277" t="e">
        <f>#REF!</f>
        <v>#REF!</v>
      </c>
      <c r="K61" s="277" t="e">
        <f>#REF!</f>
        <v>#REF!</v>
      </c>
      <c r="L61" s="277" t="e">
        <f>#REF!</f>
        <v>#REF!</v>
      </c>
      <c r="M61" s="277" t="e">
        <f>#REF!</f>
        <v>#REF!</v>
      </c>
      <c r="N61" s="277" t="e">
        <f>#REF!</f>
        <v>#REF!</v>
      </c>
      <c r="O61" s="277" t="e">
        <f>#REF!</f>
        <v>#REF!</v>
      </c>
      <c r="P61" s="277" t="e">
        <f>#REF!</f>
        <v>#REF!</v>
      </c>
      <c r="Q61" s="277" t="e">
        <f>#REF!</f>
        <v>#REF!</v>
      </c>
      <c r="R61" s="277" t="e">
        <f>#REF!</f>
        <v>#REF!</v>
      </c>
      <c r="S61" s="277" t="e">
        <f>#REF!</f>
        <v>#REF!</v>
      </c>
      <c r="T61" s="281" t="e">
        <f>#REF!</f>
        <v>#REF!</v>
      </c>
      <c r="U61" s="281" t="e">
        <f>#REF!</f>
        <v>#REF!</v>
      </c>
      <c r="V61" s="281" t="e">
        <f>#REF!</f>
        <v>#REF!</v>
      </c>
      <c r="W61" s="281" t="e">
        <f>#REF!</f>
        <v>#REF!</v>
      </c>
      <c r="X61" s="281" t="e">
        <f>#REF!</f>
        <v>#REF!</v>
      </c>
    </row>
    <row r="62" spans="1:24" ht="24.95" customHeight="1">
      <c r="A62" s="274" t="e">
        <f>#REF!</f>
        <v>#REF!</v>
      </c>
      <c r="B62" s="275" t="e">
        <f>#REF!</f>
        <v>#REF!</v>
      </c>
      <c r="C62" s="276" t="e">
        <f>#REF!</f>
        <v>#REF!</v>
      </c>
      <c r="D62" s="277" t="e">
        <f>#REF!</f>
        <v>#REF!</v>
      </c>
      <c r="E62" s="277" t="e">
        <f>#REF!</f>
        <v>#REF!</v>
      </c>
      <c r="F62" s="277" t="e">
        <f>#REF!</f>
        <v>#REF!</v>
      </c>
      <c r="G62" s="277" t="e">
        <f>#REF!</f>
        <v>#REF!</v>
      </c>
      <c r="H62" s="277" t="e">
        <f>#REF!</f>
        <v>#REF!</v>
      </c>
      <c r="I62" s="277" t="e">
        <f>#REF!</f>
        <v>#REF!</v>
      </c>
      <c r="J62" s="277" t="e">
        <f>#REF!</f>
        <v>#REF!</v>
      </c>
      <c r="K62" s="277" t="e">
        <f>#REF!</f>
        <v>#REF!</v>
      </c>
      <c r="L62" s="277" t="e">
        <f>#REF!</f>
        <v>#REF!</v>
      </c>
      <c r="M62" s="277" t="e">
        <f>#REF!</f>
        <v>#REF!</v>
      </c>
      <c r="N62" s="277" t="e">
        <f>#REF!</f>
        <v>#REF!</v>
      </c>
      <c r="O62" s="277" t="e">
        <f>#REF!</f>
        <v>#REF!</v>
      </c>
      <c r="P62" s="277" t="e">
        <f>#REF!</f>
        <v>#REF!</v>
      </c>
      <c r="Q62" s="277" t="e">
        <f>#REF!</f>
        <v>#REF!</v>
      </c>
      <c r="R62" s="277" t="e">
        <f>#REF!</f>
        <v>#REF!</v>
      </c>
      <c r="S62" s="277" t="e">
        <f>#REF!</f>
        <v>#REF!</v>
      </c>
      <c r="T62" s="281" t="e">
        <f>#REF!</f>
        <v>#REF!</v>
      </c>
      <c r="U62" s="281" t="e">
        <f>#REF!</f>
        <v>#REF!</v>
      </c>
      <c r="V62" s="281" t="e">
        <f>#REF!</f>
        <v>#REF!</v>
      </c>
      <c r="W62" s="281" t="e">
        <f>#REF!</f>
        <v>#REF!</v>
      </c>
      <c r="X62" s="281" t="e">
        <f>#REF!</f>
        <v>#REF!</v>
      </c>
    </row>
    <row r="63" spans="1:24" ht="24.95" customHeight="1">
      <c r="A63" s="274" t="e">
        <f>#REF!</f>
        <v>#REF!</v>
      </c>
      <c r="B63" s="275" t="e">
        <f>#REF!</f>
        <v>#REF!</v>
      </c>
      <c r="C63" s="276" t="e">
        <f>#REF!</f>
        <v>#REF!</v>
      </c>
      <c r="D63" s="277" t="e">
        <f>#REF!</f>
        <v>#REF!</v>
      </c>
      <c r="E63" s="277" t="e">
        <f>#REF!</f>
        <v>#REF!</v>
      </c>
      <c r="F63" s="277" t="e">
        <f>#REF!</f>
        <v>#REF!</v>
      </c>
      <c r="G63" s="277" t="e">
        <f>#REF!</f>
        <v>#REF!</v>
      </c>
      <c r="H63" s="277" t="e">
        <f>#REF!</f>
        <v>#REF!</v>
      </c>
      <c r="I63" s="277" t="e">
        <f>#REF!</f>
        <v>#REF!</v>
      </c>
      <c r="J63" s="277" t="e">
        <f>#REF!</f>
        <v>#REF!</v>
      </c>
      <c r="K63" s="277" t="e">
        <f>#REF!</f>
        <v>#REF!</v>
      </c>
      <c r="L63" s="277" t="e">
        <f>#REF!</f>
        <v>#REF!</v>
      </c>
      <c r="M63" s="277" t="e">
        <f>#REF!</f>
        <v>#REF!</v>
      </c>
      <c r="N63" s="277" t="e">
        <f>#REF!</f>
        <v>#REF!</v>
      </c>
      <c r="O63" s="277" t="e">
        <f>#REF!</f>
        <v>#REF!</v>
      </c>
      <c r="P63" s="277" t="e">
        <f>#REF!</f>
        <v>#REF!</v>
      </c>
      <c r="Q63" s="277" t="e">
        <f>#REF!</f>
        <v>#REF!</v>
      </c>
      <c r="R63" s="277" t="e">
        <f>#REF!</f>
        <v>#REF!</v>
      </c>
      <c r="S63" s="277" t="e">
        <f>#REF!</f>
        <v>#REF!</v>
      </c>
      <c r="T63" s="281" t="e">
        <f>#REF!</f>
        <v>#REF!</v>
      </c>
      <c r="U63" s="281" t="e">
        <f>#REF!</f>
        <v>#REF!</v>
      </c>
      <c r="V63" s="281" t="e">
        <f>#REF!</f>
        <v>#REF!</v>
      </c>
      <c r="W63" s="281" t="e">
        <f>#REF!</f>
        <v>#REF!</v>
      </c>
      <c r="X63" s="281" t="e">
        <f>#REF!</f>
        <v>#REF!</v>
      </c>
    </row>
    <row r="64" spans="1:24" ht="24.95" customHeight="1">
      <c r="A64" s="274" t="e">
        <f>#REF!</f>
        <v>#REF!</v>
      </c>
      <c r="B64" s="275" t="e">
        <f>#REF!</f>
        <v>#REF!</v>
      </c>
      <c r="C64" s="276" t="e">
        <f>#REF!</f>
        <v>#REF!</v>
      </c>
      <c r="D64" s="277" t="e">
        <f>#REF!</f>
        <v>#REF!</v>
      </c>
      <c r="E64" s="277" t="e">
        <f>#REF!</f>
        <v>#REF!</v>
      </c>
      <c r="F64" s="277" t="e">
        <f>#REF!</f>
        <v>#REF!</v>
      </c>
      <c r="G64" s="277" t="e">
        <f>#REF!</f>
        <v>#REF!</v>
      </c>
      <c r="H64" s="277" t="e">
        <f>#REF!</f>
        <v>#REF!</v>
      </c>
      <c r="I64" s="277" t="e">
        <f>#REF!</f>
        <v>#REF!</v>
      </c>
      <c r="J64" s="277" t="e">
        <f>#REF!</f>
        <v>#REF!</v>
      </c>
      <c r="K64" s="277" t="e">
        <f>#REF!</f>
        <v>#REF!</v>
      </c>
      <c r="L64" s="277" t="e">
        <f>#REF!</f>
        <v>#REF!</v>
      </c>
      <c r="M64" s="277" t="e">
        <f>#REF!</f>
        <v>#REF!</v>
      </c>
      <c r="N64" s="277" t="e">
        <f>#REF!</f>
        <v>#REF!</v>
      </c>
      <c r="O64" s="277" t="e">
        <f>#REF!</f>
        <v>#REF!</v>
      </c>
      <c r="P64" s="277" t="e">
        <f>#REF!</f>
        <v>#REF!</v>
      </c>
      <c r="Q64" s="277" t="e">
        <f>#REF!</f>
        <v>#REF!</v>
      </c>
      <c r="R64" s="277" t="e">
        <f>#REF!</f>
        <v>#REF!</v>
      </c>
      <c r="S64" s="277" t="e">
        <f>#REF!</f>
        <v>#REF!</v>
      </c>
      <c r="T64" s="281" t="e">
        <f>#REF!</f>
        <v>#REF!</v>
      </c>
      <c r="U64" s="281" t="e">
        <f>#REF!</f>
        <v>#REF!</v>
      </c>
      <c r="V64" s="281" t="e">
        <f>#REF!</f>
        <v>#REF!</v>
      </c>
      <c r="W64" s="281" t="e">
        <f>#REF!</f>
        <v>#REF!</v>
      </c>
      <c r="X64" s="281" t="e">
        <f>#REF!</f>
        <v>#REF!</v>
      </c>
    </row>
    <row r="65" spans="1:24" ht="24.95" customHeight="1">
      <c r="A65" s="274" t="e">
        <f>#REF!</f>
        <v>#REF!</v>
      </c>
      <c r="B65" s="275" t="e">
        <f>#REF!</f>
        <v>#REF!</v>
      </c>
      <c r="C65" s="276" t="e">
        <f>#REF!</f>
        <v>#REF!</v>
      </c>
      <c r="D65" s="277" t="e">
        <f>#REF!</f>
        <v>#REF!</v>
      </c>
      <c r="E65" s="277" t="e">
        <f>#REF!</f>
        <v>#REF!</v>
      </c>
      <c r="F65" s="277" t="e">
        <f>#REF!</f>
        <v>#REF!</v>
      </c>
      <c r="G65" s="277" t="e">
        <f>#REF!</f>
        <v>#REF!</v>
      </c>
      <c r="H65" s="277" t="e">
        <f>#REF!</f>
        <v>#REF!</v>
      </c>
      <c r="I65" s="277" t="e">
        <f>#REF!</f>
        <v>#REF!</v>
      </c>
      <c r="J65" s="277" t="e">
        <f>#REF!</f>
        <v>#REF!</v>
      </c>
      <c r="K65" s="277" t="e">
        <f>#REF!</f>
        <v>#REF!</v>
      </c>
      <c r="L65" s="277" t="e">
        <f>#REF!</f>
        <v>#REF!</v>
      </c>
      <c r="M65" s="277" t="e">
        <f>#REF!</f>
        <v>#REF!</v>
      </c>
      <c r="N65" s="277" t="e">
        <f>#REF!</f>
        <v>#REF!</v>
      </c>
      <c r="O65" s="277" t="e">
        <f>#REF!</f>
        <v>#REF!</v>
      </c>
      <c r="P65" s="277" t="e">
        <f>#REF!</f>
        <v>#REF!</v>
      </c>
      <c r="Q65" s="277" t="e">
        <f>#REF!</f>
        <v>#REF!</v>
      </c>
      <c r="R65" s="277" t="e">
        <f>#REF!</f>
        <v>#REF!</v>
      </c>
      <c r="S65" s="277" t="e">
        <f>#REF!</f>
        <v>#REF!</v>
      </c>
      <c r="T65" s="281" t="e">
        <f>#REF!</f>
        <v>#REF!</v>
      </c>
      <c r="U65" s="281" t="e">
        <f>#REF!</f>
        <v>#REF!</v>
      </c>
      <c r="V65" s="281" t="e">
        <f>#REF!</f>
        <v>#REF!</v>
      </c>
      <c r="W65" s="281" t="e">
        <f>#REF!</f>
        <v>#REF!</v>
      </c>
      <c r="X65" s="281" t="e">
        <f>#REF!</f>
        <v>#REF!</v>
      </c>
    </row>
    <row r="66" spans="1:24" ht="24.95" customHeight="1">
      <c r="A66" s="274" t="e">
        <f>#REF!</f>
        <v>#REF!</v>
      </c>
      <c r="B66" s="275" t="e">
        <f>#REF!</f>
        <v>#REF!</v>
      </c>
      <c r="C66" s="276" t="e">
        <f>#REF!</f>
        <v>#REF!</v>
      </c>
      <c r="D66" s="277" t="e">
        <f>#REF!</f>
        <v>#REF!</v>
      </c>
      <c r="E66" s="277" t="e">
        <f>#REF!</f>
        <v>#REF!</v>
      </c>
      <c r="F66" s="277" t="e">
        <f>#REF!</f>
        <v>#REF!</v>
      </c>
      <c r="G66" s="277" t="e">
        <f>#REF!</f>
        <v>#REF!</v>
      </c>
      <c r="H66" s="277" t="e">
        <f>#REF!</f>
        <v>#REF!</v>
      </c>
      <c r="I66" s="277" t="e">
        <f>#REF!</f>
        <v>#REF!</v>
      </c>
      <c r="J66" s="277" t="e">
        <f>#REF!</f>
        <v>#REF!</v>
      </c>
      <c r="K66" s="277" t="e">
        <f>#REF!</f>
        <v>#REF!</v>
      </c>
      <c r="L66" s="277" t="e">
        <f>#REF!</f>
        <v>#REF!</v>
      </c>
      <c r="M66" s="277" t="e">
        <f>#REF!</f>
        <v>#REF!</v>
      </c>
      <c r="N66" s="277" t="e">
        <f>#REF!</f>
        <v>#REF!</v>
      </c>
      <c r="O66" s="277" t="e">
        <f>#REF!</f>
        <v>#REF!</v>
      </c>
      <c r="P66" s="277" t="e">
        <f>#REF!</f>
        <v>#REF!</v>
      </c>
      <c r="Q66" s="277" t="e">
        <f>#REF!</f>
        <v>#REF!</v>
      </c>
      <c r="R66" s="277" t="e">
        <f>#REF!</f>
        <v>#REF!</v>
      </c>
      <c r="S66" s="277" t="e">
        <f>#REF!</f>
        <v>#REF!</v>
      </c>
      <c r="T66" s="281" t="e">
        <f>#REF!</f>
        <v>#REF!</v>
      </c>
      <c r="U66" s="281" t="e">
        <f>#REF!</f>
        <v>#REF!</v>
      </c>
      <c r="V66" s="281" t="e">
        <f>#REF!</f>
        <v>#REF!</v>
      </c>
      <c r="W66" s="281" t="e">
        <f>#REF!</f>
        <v>#REF!</v>
      </c>
      <c r="X66" s="281" t="e">
        <f>#REF!</f>
        <v>#REF!</v>
      </c>
    </row>
    <row r="67" spans="1:24" ht="24.95" customHeight="1">
      <c r="A67" s="274" t="e">
        <f>#REF!</f>
        <v>#REF!</v>
      </c>
      <c r="B67" s="275" t="e">
        <f>#REF!</f>
        <v>#REF!</v>
      </c>
      <c r="C67" s="276" t="e">
        <f>#REF!</f>
        <v>#REF!</v>
      </c>
      <c r="D67" s="277" t="e">
        <f>#REF!</f>
        <v>#REF!</v>
      </c>
      <c r="E67" s="277" t="e">
        <f>#REF!</f>
        <v>#REF!</v>
      </c>
      <c r="F67" s="277" t="e">
        <f>#REF!</f>
        <v>#REF!</v>
      </c>
      <c r="G67" s="277" t="e">
        <f>#REF!</f>
        <v>#REF!</v>
      </c>
      <c r="H67" s="277" t="e">
        <f>#REF!</f>
        <v>#REF!</v>
      </c>
      <c r="I67" s="277" t="e">
        <f>#REF!</f>
        <v>#REF!</v>
      </c>
      <c r="J67" s="277" t="e">
        <f>#REF!</f>
        <v>#REF!</v>
      </c>
      <c r="K67" s="277" t="e">
        <f>#REF!</f>
        <v>#REF!</v>
      </c>
      <c r="L67" s="277" t="e">
        <f>#REF!</f>
        <v>#REF!</v>
      </c>
      <c r="M67" s="277" t="e">
        <f>#REF!</f>
        <v>#REF!</v>
      </c>
      <c r="N67" s="277" t="e">
        <f>#REF!</f>
        <v>#REF!</v>
      </c>
      <c r="O67" s="277" t="e">
        <f>#REF!</f>
        <v>#REF!</v>
      </c>
      <c r="P67" s="277" t="e">
        <f>#REF!</f>
        <v>#REF!</v>
      </c>
      <c r="Q67" s="277" t="e">
        <f>#REF!</f>
        <v>#REF!</v>
      </c>
      <c r="R67" s="277" t="e">
        <f>#REF!</f>
        <v>#REF!</v>
      </c>
      <c r="S67" s="277" t="e">
        <f>#REF!</f>
        <v>#REF!</v>
      </c>
      <c r="T67" s="281" t="e">
        <f>#REF!</f>
        <v>#REF!</v>
      </c>
      <c r="U67" s="281" t="e">
        <f>#REF!</f>
        <v>#REF!</v>
      </c>
      <c r="V67" s="281" t="e">
        <f>#REF!</f>
        <v>#REF!</v>
      </c>
      <c r="W67" s="281" t="e">
        <f>#REF!</f>
        <v>#REF!</v>
      </c>
      <c r="X67" s="281" t="e">
        <f>#REF!</f>
        <v>#REF!</v>
      </c>
    </row>
    <row r="68" spans="1:24" ht="24.95" customHeight="1">
      <c r="A68" s="274" t="e">
        <f>#REF!</f>
        <v>#REF!</v>
      </c>
      <c r="B68" s="275" t="e">
        <f>#REF!</f>
        <v>#REF!</v>
      </c>
      <c r="C68" s="276" t="e">
        <f>#REF!</f>
        <v>#REF!</v>
      </c>
      <c r="D68" s="277" t="e">
        <f>#REF!</f>
        <v>#REF!</v>
      </c>
      <c r="E68" s="277" t="e">
        <f>#REF!</f>
        <v>#REF!</v>
      </c>
      <c r="F68" s="277" t="e">
        <f>#REF!</f>
        <v>#REF!</v>
      </c>
      <c r="G68" s="277" t="e">
        <f>#REF!</f>
        <v>#REF!</v>
      </c>
      <c r="H68" s="277" t="e">
        <f>#REF!</f>
        <v>#REF!</v>
      </c>
      <c r="I68" s="277" t="e">
        <f>#REF!</f>
        <v>#REF!</v>
      </c>
      <c r="J68" s="277" t="e">
        <f>#REF!</f>
        <v>#REF!</v>
      </c>
      <c r="K68" s="277" t="e">
        <f>#REF!</f>
        <v>#REF!</v>
      </c>
      <c r="L68" s="277" t="e">
        <f>#REF!</f>
        <v>#REF!</v>
      </c>
      <c r="M68" s="277" t="e">
        <f>#REF!</f>
        <v>#REF!</v>
      </c>
      <c r="N68" s="277" t="e">
        <f>#REF!</f>
        <v>#REF!</v>
      </c>
      <c r="O68" s="277" t="e">
        <f>#REF!</f>
        <v>#REF!</v>
      </c>
      <c r="P68" s="277" t="e">
        <f>#REF!</f>
        <v>#REF!</v>
      </c>
      <c r="Q68" s="277" t="e">
        <f>#REF!</f>
        <v>#REF!</v>
      </c>
      <c r="R68" s="277" t="e">
        <f>#REF!</f>
        <v>#REF!</v>
      </c>
      <c r="S68" s="277" t="e">
        <f>#REF!</f>
        <v>#REF!</v>
      </c>
      <c r="T68" s="281" t="e">
        <f>#REF!</f>
        <v>#REF!</v>
      </c>
      <c r="U68" s="281" t="e">
        <f>#REF!</f>
        <v>#REF!</v>
      </c>
      <c r="V68" s="281" t="e">
        <f>#REF!</f>
        <v>#REF!</v>
      </c>
      <c r="W68" s="281" t="e">
        <f>#REF!</f>
        <v>#REF!</v>
      </c>
      <c r="X68" s="281" t="e">
        <f>#REF!</f>
        <v>#REF!</v>
      </c>
    </row>
    <row r="69" spans="1:24" ht="24.95" customHeight="1">
      <c r="A69" s="274" t="e">
        <f>#REF!</f>
        <v>#REF!</v>
      </c>
      <c r="B69" s="275" t="e">
        <f>#REF!</f>
        <v>#REF!</v>
      </c>
      <c r="C69" s="276" t="e">
        <f>#REF!</f>
        <v>#REF!</v>
      </c>
      <c r="D69" s="277" t="e">
        <f>#REF!</f>
        <v>#REF!</v>
      </c>
      <c r="E69" s="277" t="e">
        <f>#REF!</f>
        <v>#REF!</v>
      </c>
      <c r="F69" s="277" t="e">
        <f>#REF!</f>
        <v>#REF!</v>
      </c>
      <c r="G69" s="277" t="e">
        <f>#REF!</f>
        <v>#REF!</v>
      </c>
      <c r="H69" s="277" t="e">
        <f>#REF!</f>
        <v>#REF!</v>
      </c>
      <c r="I69" s="277" t="e">
        <f>#REF!</f>
        <v>#REF!</v>
      </c>
      <c r="J69" s="277" t="e">
        <f>#REF!</f>
        <v>#REF!</v>
      </c>
      <c r="K69" s="277" t="e">
        <f>#REF!</f>
        <v>#REF!</v>
      </c>
      <c r="L69" s="277" t="e">
        <f>#REF!</f>
        <v>#REF!</v>
      </c>
      <c r="M69" s="277" t="e">
        <f>#REF!</f>
        <v>#REF!</v>
      </c>
      <c r="N69" s="277" t="e">
        <f>#REF!</f>
        <v>#REF!</v>
      </c>
      <c r="O69" s="277" t="e">
        <f>#REF!</f>
        <v>#REF!</v>
      </c>
      <c r="P69" s="277" t="e">
        <f>#REF!</f>
        <v>#REF!</v>
      </c>
      <c r="Q69" s="277" t="e">
        <f>#REF!</f>
        <v>#REF!</v>
      </c>
      <c r="R69" s="277" t="e">
        <f>#REF!</f>
        <v>#REF!</v>
      </c>
      <c r="S69" s="277" t="e">
        <f>#REF!</f>
        <v>#REF!</v>
      </c>
      <c r="T69" s="281" t="e">
        <f>#REF!</f>
        <v>#REF!</v>
      </c>
      <c r="U69" s="281" t="e">
        <f>#REF!</f>
        <v>#REF!</v>
      </c>
      <c r="V69" s="281" t="e">
        <f>#REF!</f>
        <v>#REF!</v>
      </c>
      <c r="W69" s="281" t="e">
        <f>#REF!</f>
        <v>#REF!</v>
      </c>
      <c r="X69" s="281" t="e">
        <f>#REF!</f>
        <v>#REF!</v>
      </c>
    </row>
    <row r="70" spans="1:24" ht="24.95" customHeight="1">
      <c r="A70" s="274" t="e">
        <f>#REF!</f>
        <v>#REF!</v>
      </c>
      <c r="B70" s="275" t="e">
        <f>#REF!</f>
        <v>#REF!</v>
      </c>
      <c r="C70" s="276" t="e">
        <f>#REF!</f>
        <v>#REF!</v>
      </c>
      <c r="D70" s="277" t="e">
        <f>#REF!</f>
        <v>#REF!</v>
      </c>
      <c r="E70" s="277" t="e">
        <f>#REF!</f>
        <v>#REF!</v>
      </c>
      <c r="F70" s="277" t="e">
        <f>#REF!</f>
        <v>#REF!</v>
      </c>
      <c r="G70" s="277" t="e">
        <f>#REF!</f>
        <v>#REF!</v>
      </c>
      <c r="H70" s="277" t="e">
        <f>#REF!</f>
        <v>#REF!</v>
      </c>
      <c r="I70" s="277" t="e">
        <f>#REF!</f>
        <v>#REF!</v>
      </c>
      <c r="J70" s="277" t="e">
        <f>#REF!</f>
        <v>#REF!</v>
      </c>
      <c r="K70" s="277" t="e">
        <f>#REF!</f>
        <v>#REF!</v>
      </c>
      <c r="L70" s="277" t="e">
        <f>#REF!</f>
        <v>#REF!</v>
      </c>
      <c r="M70" s="277" t="e">
        <f>#REF!</f>
        <v>#REF!</v>
      </c>
      <c r="N70" s="277" t="e">
        <f>#REF!</f>
        <v>#REF!</v>
      </c>
      <c r="O70" s="277" t="e">
        <f>#REF!</f>
        <v>#REF!</v>
      </c>
      <c r="P70" s="277" t="e">
        <f>#REF!</f>
        <v>#REF!</v>
      </c>
      <c r="Q70" s="277" t="e">
        <f>#REF!</f>
        <v>#REF!</v>
      </c>
      <c r="R70" s="277" t="e">
        <f>#REF!</f>
        <v>#REF!</v>
      </c>
      <c r="S70" s="277" t="e">
        <f>#REF!</f>
        <v>#REF!</v>
      </c>
      <c r="T70" s="281" t="e">
        <f>#REF!</f>
        <v>#REF!</v>
      </c>
      <c r="U70" s="281" t="e">
        <f>#REF!</f>
        <v>#REF!</v>
      </c>
      <c r="V70" s="281" t="e">
        <f>#REF!</f>
        <v>#REF!</v>
      </c>
      <c r="W70" s="281" t="e">
        <f>#REF!</f>
        <v>#REF!</v>
      </c>
      <c r="X70" s="281" t="e">
        <f>#REF!</f>
        <v>#REF!</v>
      </c>
    </row>
    <row r="71" spans="1:24" ht="24.95" customHeight="1">
      <c r="A71" s="274" t="e">
        <f>#REF!</f>
        <v>#REF!</v>
      </c>
      <c r="B71" s="275" t="e">
        <f>#REF!</f>
        <v>#REF!</v>
      </c>
      <c r="C71" s="276" t="e">
        <f>#REF!</f>
        <v>#REF!</v>
      </c>
      <c r="D71" s="277" t="e">
        <f>#REF!</f>
        <v>#REF!</v>
      </c>
      <c r="E71" s="277" t="e">
        <f>#REF!</f>
        <v>#REF!</v>
      </c>
      <c r="F71" s="277" t="e">
        <f>#REF!</f>
        <v>#REF!</v>
      </c>
      <c r="G71" s="277" t="e">
        <f>#REF!</f>
        <v>#REF!</v>
      </c>
      <c r="H71" s="277" t="e">
        <f>#REF!</f>
        <v>#REF!</v>
      </c>
      <c r="I71" s="277" t="e">
        <f>#REF!</f>
        <v>#REF!</v>
      </c>
      <c r="J71" s="277" t="e">
        <f>#REF!</f>
        <v>#REF!</v>
      </c>
      <c r="K71" s="277" t="e">
        <f>#REF!</f>
        <v>#REF!</v>
      </c>
      <c r="L71" s="277" t="e">
        <f>#REF!</f>
        <v>#REF!</v>
      </c>
      <c r="M71" s="277" t="e">
        <f>#REF!</f>
        <v>#REF!</v>
      </c>
      <c r="N71" s="277" t="e">
        <f>#REF!</f>
        <v>#REF!</v>
      </c>
      <c r="O71" s="277" t="e">
        <f>#REF!</f>
        <v>#REF!</v>
      </c>
      <c r="P71" s="277" t="e">
        <f>#REF!</f>
        <v>#REF!</v>
      </c>
      <c r="Q71" s="277" t="e">
        <f>#REF!</f>
        <v>#REF!</v>
      </c>
      <c r="R71" s="277" t="e">
        <f>#REF!</f>
        <v>#REF!</v>
      </c>
      <c r="S71" s="277" t="e">
        <f>#REF!</f>
        <v>#REF!</v>
      </c>
      <c r="T71" s="281" t="e">
        <f>#REF!</f>
        <v>#REF!</v>
      </c>
      <c r="U71" s="281" t="e">
        <f>#REF!</f>
        <v>#REF!</v>
      </c>
      <c r="V71" s="281" t="e">
        <f>#REF!</f>
        <v>#REF!</v>
      </c>
      <c r="W71" s="281" t="e">
        <f>#REF!</f>
        <v>#REF!</v>
      </c>
      <c r="X71" s="281" t="e">
        <f>#REF!</f>
        <v>#REF!</v>
      </c>
    </row>
    <row r="72" spans="1:24" ht="24.95" customHeight="1">
      <c r="A72" s="274" t="e">
        <f>#REF!</f>
        <v>#REF!</v>
      </c>
      <c r="B72" s="275" t="e">
        <f>#REF!</f>
        <v>#REF!</v>
      </c>
      <c r="C72" s="276" t="e">
        <f>#REF!</f>
        <v>#REF!</v>
      </c>
      <c r="D72" s="277" t="e">
        <f>#REF!</f>
        <v>#REF!</v>
      </c>
      <c r="E72" s="277" t="e">
        <f>#REF!</f>
        <v>#REF!</v>
      </c>
      <c r="F72" s="277" t="e">
        <f>#REF!</f>
        <v>#REF!</v>
      </c>
      <c r="G72" s="277" t="e">
        <f>#REF!</f>
        <v>#REF!</v>
      </c>
      <c r="H72" s="277" t="e">
        <f>#REF!</f>
        <v>#REF!</v>
      </c>
      <c r="I72" s="277" t="e">
        <f>#REF!</f>
        <v>#REF!</v>
      </c>
      <c r="J72" s="277" t="e">
        <f>#REF!</f>
        <v>#REF!</v>
      </c>
      <c r="K72" s="277" t="e">
        <f>#REF!</f>
        <v>#REF!</v>
      </c>
      <c r="L72" s="277" t="e">
        <f>#REF!</f>
        <v>#REF!</v>
      </c>
      <c r="M72" s="277" t="e">
        <f>#REF!</f>
        <v>#REF!</v>
      </c>
      <c r="N72" s="277" t="e">
        <f>#REF!</f>
        <v>#REF!</v>
      </c>
      <c r="O72" s="277" t="e">
        <f>#REF!</f>
        <v>#REF!</v>
      </c>
      <c r="P72" s="277" t="e">
        <f>#REF!</f>
        <v>#REF!</v>
      </c>
      <c r="Q72" s="277" t="e">
        <f>#REF!</f>
        <v>#REF!</v>
      </c>
      <c r="R72" s="277" t="e">
        <f>#REF!</f>
        <v>#REF!</v>
      </c>
      <c r="S72" s="277" t="e">
        <f>#REF!</f>
        <v>#REF!</v>
      </c>
      <c r="T72" s="281" t="e">
        <f>#REF!</f>
        <v>#REF!</v>
      </c>
      <c r="U72" s="281" t="e">
        <f>#REF!</f>
        <v>#REF!</v>
      </c>
      <c r="V72" s="281" t="e">
        <f>#REF!</f>
        <v>#REF!</v>
      </c>
      <c r="W72" s="281" t="e">
        <f>#REF!</f>
        <v>#REF!</v>
      </c>
      <c r="X72" s="281" t="e">
        <f>#REF!</f>
        <v>#REF!</v>
      </c>
    </row>
    <row r="73" spans="1:24" ht="24.95" customHeight="1">
      <c r="A73" s="274" t="e">
        <f>#REF!</f>
        <v>#REF!</v>
      </c>
      <c r="B73" s="275" t="e">
        <f>#REF!</f>
        <v>#REF!</v>
      </c>
      <c r="C73" s="276" t="e">
        <f>#REF!</f>
        <v>#REF!</v>
      </c>
      <c r="D73" s="277" t="e">
        <f>#REF!</f>
        <v>#REF!</v>
      </c>
      <c r="E73" s="277" t="e">
        <f>#REF!</f>
        <v>#REF!</v>
      </c>
      <c r="F73" s="277" t="e">
        <f>#REF!</f>
        <v>#REF!</v>
      </c>
      <c r="G73" s="277" t="e">
        <f>#REF!</f>
        <v>#REF!</v>
      </c>
      <c r="H73" s="277" t="e">
        <f>#REF!</f>
        <v>#REF!</v>
      </c>
      <c r="I73" s="277" t="e">
        <f>#REF!</f>
        <v>#REF!</v>
      </c>
      <c r="J73" s="277" t="e">
        <f>#REF!</f>
        <v>#REF!</v>
      </c>
      <c r="K73" s="277" t="e">
        <f>#REF!</f>
        <v>#REF!</v>
      </c>
      <c r="L73" s="277" t="e">
        <f>#REF!</f>
        <v>#REF!</v>
      </c>
      <c r="M73" s="277" t="e">
        <f>#REF!</f>
        <v>#REF!</v>
      </c>
      <c r="N73" s="277" t="e">
        <f>#REF!</f>
        <v>#REF!</v>
      </c>
      <c r="O73" s="277" t="e">
        <f>#REF!</f>
        <v>#REF!</v>
      </c>
      <c r="P73" s="277" t="e">
        <f>#REF!</f>
        <v>#REF!</v>
      </c>
      <c r="Q73" s="277" t="e">
        <f>#REF!</f>
        <v>#REF!</v>
      </c>
      <c r="R73" s="277" t="e">
        <f>#REF!</f>
        <v>#REF!</v>
      </c>
      <c r="S73" s="277" t="e">
        <f>#REF!</f>
        <v>#REF!</v>
      </c>
      <c r="T73" s="281" t="e">
        <f>#REF!</f>
        <v>#REF!</v>
      </c>
      <c r="U73" s="281" t="e">
        <f>#REF!</f>
        <v>#REF!</v>
      </c>
      <c r="V73" s="281" t="e">
        <f>#REF!</f>
        <v>#REF!</v>
      </c>
      <c r="W73" s="281" t="e">
        <f>#REF!</f>
        <v>#REF!</v>
      </c>
      <c r="X73" s="281" t="e">
        <f>#REF!</f>
        <v>#REF!</v>
      </c>
    </row>
    <row r="74" spans="1:24" ht="24.95" customHeight="1">
      <c r="A74" s="274" t="e">
        <f>#REF!</f>
        <v>#REF!</v>
      </c>
      <c r="B74" s="275" t="e">
        <f>#REF!</f>
        <v>#REF!</v>
      </c>
      <c r="C74" s="276" t="e">
        <f>#REF!</f>
        <v>#REF!</v>
      </c>
      <c r="D74" s="277" t="e">
        <f>#REF!</f>
        <v>#REF!</v>
      </c>
      <c r="E74" s="277" t="e">
        <f>#REF!</f>
        <v>#REF!</v>
      </c>
      <c r="F74" s="277" t="e">
        <f>#REF!</f>
        <v>#REF!</v>
      </c>
      <c r="G74" s="277" t="e">
        <f>#REF!</f>
        <v>#REF!</v>
      </c>
      <c r="H74" s="277" t="e">
        <f>#REF!</f>
        <v>#REF!</v>
      </c>
      <c r="I74" s="277" t="e">
        <f>#REF!</f>
        <v>#REF!</v>
      </c>
      <c r="J74" s="277" t="e">
        <f>#REF!</f>
        <v>#REF!</v>
      </c>
      <c r="K74" s="277" t="e">
        <f>#REF!</f>
        <v>#REF!</v>
      </c>
      <c r="L74" s="277" t="e">
        <f>#REF!</f>
        <v>#REF!</v>
      </c>
      <c r="M74" s="277" t="e">
        <f>#REF!</f>
        <v>#REF!</v>
      </c>
      <c r="N74" s="277" t="e">
        <f>#REF!</f>
        <v>#REF!</v>
      </c>
      <c r="O74" s="277" t="e">
        <f>#REF!</f>
        <v>#REF!</v>
      </c>
      <c r="P74" s="277" t="e">
        <f>#REF!</f>
        <v>#REF!</v>
      </c>
      <c r="Q74" s="277" t="e">
        <f>#REF!</f>
        <v>#REF!</v>
      </c>
      <c r="R74" s="277" t="e">
        <f>#REF!</f>
        <v>#REF!</v>
      </c>
      <c r="S74" s="277" t="e">
        <f>#REF!</f>
        <v>#REF!</v>
      </c>
      <c r="T74" s="281" t="e">
        <f>#REF!</f>
        <v>#REF!</v>
      </c>
      <c r="U74" s="281" t="e">
        <f>#REF!</f>
        <v>#REF!</v>
      </c>
      <c r="V74" s="281" t="e">
        <f>#REF!</f>
        <v>#REF!</v>
      </c>
      <c r="W74" s="281" t="e">
        <f>#REF!</f>
        <v>#REF!</v>
      </c>
      <c r="X74" s="281" t="e">
        <f>#REF!</f>
        <v>#REF!</v>
      </c>
    </row>
    <row r="75" spans="1:24" ht="24.95" customHeight="1">
      <c r="A75" s="274" t="e">
        <f>#REF!</f>
        <v>#REF!</v>
      </c>
      <c r="B75" s="275" t="e">
        <f>#REF!</f>
        <v>#REF!</v>
      </c>
      <c r="C75" s="276" t="e">
        <f>#REF!</f>
        <v>#REF!</v>
      </c>
      <c r="D75" s="277" t="e">
        <f>#REF!</f>
        <v>#REF!</v>
      </c>
      <c r="E75" s="277" t="e">
        <f>#REF!</f>
        <v>#REF!</v>
      </c>
      <c r="F75" s="277" t="e">
        <f>#REF!</f>
        <v>#REF!</v>
      </c>
      <c r="G75" s="277" t="e">
        <f>#REF!</f>
        <v>#REF!</v>
      </c>
      <c r="H75" s="277" t="e">
        <f>#REF!</f>
        <v>#REF!</v>
      </c>
      <c r="I75" s="277" t="e">
        <f>#REF!</f>
        <v>#REF!</v>
      </c>
      <c r="J75" s="277" t="e">
        <f>#REF!</f>
        <v>#REF!</v>
      </c>
      <c r="K75" s="277" t="e">
        <f>#REF!</f>
        <v>#REF!</v>
      </c>
      <c r="L75" s="277" t="e">
        <f>#REF!</f>
        <v>#REF!</v>
      </c>
      <c r="M75" s="277" t="e">
        <f>#REF!</f>
        <v>#REF!</v>
      </c>
      <c r="N75" s="277" t="e">
        <f>#REF!</f>
        <v>#REF!</v>
      </c>
      <c r="O75" s="277" t="e">
        <f>#REF!</f>
        <v>#REF!</v>
      </c>
      <c r="P75" s="277" t="e">
        <f>#REF!</f>
        <v>#REF!</v>
      </c>
      <c r="Q75" s="277" t="e">
        <f>#REF!</f>
        <v>#REF!</v>
      </c>
      <c r="R75" s="277" t="e">
        <f>#REF!</f>
        <v>#REF!</v>
      </c>
      <c r="S75" s="277" t="e">
        <f>#REF!</f>
        <v>#REF!</v>
      </c>
      <c r="T75" s="281" t="e">
        <f>#REF!</f>
        <v>#REF!</v>
      </c>
      <c r="U75" s="281" t="e">
        <f>#REF!</f>
        <v>#REF!</v>
      </c>
      <c r="V75" s="281" t="e">
        <f>#REF!</f>
        <v>#REF!</v>
      </c>
      <c r="W75" s="281" t="e">
        <f>#REF!</f>
        <v>#REF!</v>
      </c>
      <c r="X75" s="281" t="e">
        <f>#REF!</f>
        <v>#REF!</v>
      </c>
    </row>
    <row r="76" spans="1:24" ht="24.95" customHeight="1">
      <c r="A76" s="274" t="e">
        <f>#REF!</f>
        <v>#REF!</v>
      </c>
      <c r="B76" s="275" t="e">
        <f>#REF!</f>
        <v>#REF!</v>
      </c>
      <c r="C76" s="276" t="e">
        <f>#REF!</f>
        <v>#REF!</v>
      </c>
      <c r="D76" s="277" t="e">
        <f>#REF!</f>
        <v>#REF!</v>
      </c>
      <c r="E76" s="277" t="e">
        <f>#REF!</f>
        <v>#REF!</v>
      </c>
      <c r="F76" s="277" t="e">
        <f>#REF!</f>
        <v>#REF!</v>
      </c>
      <c r="G76" s="277" t="e">
        <f>#REF!</f>
        <v>#REF!</v>
      </c>
      <c r="H76" s="277" t="e">
        <f>#REF!</f>
        <v>#REF!</v>
      </c>
      <c r="I76" s="277" t="e">
        <f>#REF!</f>
        <v>#REF!</v>
      </c>
      <c r="J76" s="277" t="e">
        <f>#REF!</f>
        <v>#REF!</v>
      </c>
      <c r="K76" s="277" t="e">
        <f>#REF!</f>
        <v>#REF!</v>
      </c>
      <c r="L76" s="277" t="e">
        <f>#REF!</f>
        <v>#REF!</v>
      </c>
      <c r="M76" s="277" t="e">
        <f>#REF!</f>
        <v>#REF!</v>
      </c>
      <c r="N76" s="277" t="e">
        <f>#REF!</f>
        <v>#REF!</v>
      </c>
      <c r="O76" s="277" t="e">
        <f>#REF!</f>
        <v>#REF!</v>
      </c>
      <c r="P76" s="277" t="e">
        <f>#REF!</f>
        <v>#REF!</v>
      </c>
      <c r="Q76" s="277" t="e">
        <f>#REF!</f>
        <v>#REF!</v>
      </c>
      <c r="R76" s="277" t="e">
        <f>#REF!</f>
        <v>#REF!</v>
      </c>
      <c r="S76" s="277" t="e">
        <f>#REF!</f>
        <v>#REF!</v>
      </c>
      <c r="T76" s="281" t="e">
        <f>#REF!</f>
        <v>#REF!</v>
      </c>
      <c r="U76" s="281" t="e">
        <f>#REF!</f>
        <v>#REF!</v>
      </c>
      <c r="V76" s="281" t="e">
        <f>#REF!</f>
        <v>#REF!</v>
      </c>
      <c r="W76" s="281" t="e">
        <f>#REF!</f>
        <v>#REF!</v>
      </c>
      <c r="X76" s="281" t="e">
        <f>#REF!</f>
        <v>#REF!</v>
      </c>
    </row>
    <row r="77" spans="1:24" ht="24.95" customHeight="1">
      <c r="A77" s="274" t="e">
        <f>#REF!</f>
        <v>#REF!</v>
      </c>
      <c r="B77" s="275" t="e">
        <f>#REF!</f>
        <v>#REF!</v>
      </c>
      <c r="C77" s="276" t="e">
        <f>#REF!</f>
        <v>#REF!</v>
      </c>
      <c r="D77" s="277" t="e">
        <f>#REF!</f>
        <v>#REF!</v>
      </c>
      <c r="E77" s="277" t="e">
        <f>#REF!</f>
        <v>#REF!</v>
      </c>
      <c r="F77" s="277" t="e">
        <f>#REF!</f>
        <v>#REF!</v>
      </c>
      <c r="G77" s="277" t="e">
        <f>#REF!</f>
        <v>#REF!</v>
      </c>
      <c r="H77" s="277" t="e">
        <f>#REF!</f>
        <v>#REF!</v>
      </c>
      <c r="I77" s="277" t="e">
        <f>#REF!</f>
        <v>#REF!</v>
      </c>
      <c r="J77" s="277" t="e">
        <f>#REF!</f>
        <v>#REF!</v>
      </c>
      <c r="K77" s="277" t="e">
        <f>#REF!</f>
        <v>#REF!</v>
      </c>
      <c r="L77" s="277" t="e">
        <f>#REF!</f>
        <v>#REF!</v>
      </c>
      <c r="M77" s="277" t="e">
        <f>#REF!</f>
        <v>#REF!</v>
      </c>
      <c r="N77" s="277" t="e">
        <f>#REF!</f>
        <v>#REF!</v>
      </c>
      <c r="O77" s="277" t="e">
        <f>#REF!</f>
        <v>#REF!</v>
      </c>
      <c r="P77" s="277" t="e">
        <f>#REF!</f>
        <v>#REF!</v>
      </c>
      <c r="Q77" s="277" t="e">
        <f>#REF!</f>
        <v>#REF!</v>
      </c>
      <c r="R77" s="277" t="e">
        <f>#REF!</f>
        <v>#REF!</v>
      </c>
      <c r="S77" s="277" t="e">
        <f>#REF!</f>
        <v>#REF!</v>
      </c>
      <c r="T77" s="281" t="e">
        <f>#REF!</f>
        <v>#REF!</v>
      </c>
      <c r="U77" s="281" t="e">
        <f>#REF!</f>
        <v>#REF!</v>
      </c>
      <c r="V77" s="281" t="e">
        <f>#REF!</f>
        <v>#REF!</v>
      </c>
      <c r="W77" s="281" t="e">
        <f>#REF!</f>
        <v>#REF!</v>
      </c>
      <c r="X77" s="281" t="e">
        <f>#REF!</f>
        <v>#REF!</v>
      </c>
    </row>
    <row r="78" spans="1:24" ht="24.95" customHeight="1">
      <c r="A78" s="274" t="e">
        <f>#REF!</f>
        <v>#REF!</v>
      </c>
      <c r="B78" s="275" t="e">
        <f>#REF!</f>
        <v>#REF!</v>
      </c>
      <c r="C78" s="276" t="e">
        <f>#REF!</f>
        <v>#REF!</v>
      </c>
      <c r="D78" s="277" t="e">
        <f>#REF!</f>
        <v>#REF!</v>
      </c>
      <c r="E78" s="277" t="e">
        <f>#REF!</f>
        <v>#REF!</v>
      </c>
      <c r="F78" s="277" t="e">
        <f>#REF!</f>
        <v>#REF!</v>
      </c>
      <c r="G78" s="277" t="e">
        <f>#REF!</f>
        <v>#REF!</v>
      </c>
      <c r="H78" s="277" t="e">
        <f>#REF!</f>
        <v>#REF!</v>
      </c>
      <c r="I78" s="277" t="e">
        <f>#REF!</f>
        <v>#REF!</v>
      </c>
      <c r="J78" s="277" t="e">
        <f>#REF!</f>
        <v>#REF!</v>
      </c>
      <c r="K78" s="277" t="e">
        <f>#REF!</f>
        <v>#REF!</v>
      </c>
      <c r="L78" s="277" t="e">
        <f>#REF!</f>
        <v>#REF!</v>
      </c>
      <c r="M78" s="277" t="e">
        <f>#REF!</f>
        <v>#REF!</v>
      </c>
      <c r="N78" s="277" t="e">
        <f>#REF!</f>
        <v>#REF!</v>
      </c>
      <c r="O78" s="277" t="e">
        <f>#REF!</f>
        <v>#REF!</v>
      </c>
      <c r="P78" s="277" t="e">
        <f>#REF!</f>
        <v>#REF!</v>
      </c>
      <c r="Q78" s="277" t="e">
        <f>#REF!</f>
        <v>#REF!</v>
      </c>
      <c r="R78" s="277" t="e">
        <f>#REF!</f>
        <v>#REF!</v>
      </c>
      <c r="S78" s="277" t="e">
        <f>#REF!</f>
        <v>#REF!</v>
      </c>
      <c r="T78" s="281" t="e">
        <f>#REF!</f>
        <v>#REF!</v>
      </c>
      <c r="U78" s="281" t="e">
        <f>#REF!</f>
        <v>#REF!</v>
      </c>
      <c r="V78" s="281" t="e">
        <f>#REF!</f>
        <v>#REF!</v>
      </c>
      <c r="W78" s="281" t="e">
        <f>#REF!</f>
        <v>#REF!</v>
      </c>
      <c r="X78" s="281" t="e">
        <f>#REF!</f>
        <v>#REF!</v>
      </c>
    </row>
    <row r="79" spans="1:24" ht="24.95" customHeight="1">
      <c r="A79" s="274" t="e">
        <f>#REF!</f>
        <v>#REF!</v>
      </c>
      <c r="B79" s="275" t="e">
        <f>#REF!</f>
        <v>#REF!</v>
      </c>
      <c r="C79" s="276" t="e">
        <f>#REF!</f>
        <v>#REF!</v>
      </c>
      <c r="D79" s="277" t="e">
        <f>#REF!</f>
        <v>#REF!</v>
      </c>
      <c r="E79" s="277" t="e">
        <f>#REF!</f>
        <v>#REF!</v>
      </c>
      <c r="F79" s="277" t="e">
        <f>#REF!</f>
        <v>#REF!</v>
      </c>
      <c r="G79" s="277" t="e">
        <f>#REF!</f>
        <v>#REF!</v>
      </c>
      <c r="H79" s="277" t="e">
        <f>#REF!</f>
        <v>#REF!</v>
      </c>
      <c r="I79" s="277" t="e">
        <f>#REF!</f>
        <v>#REF!</v>
      </c>
      <c r="J79" s="277" t="e">
        <f>#REF!</f>
        <v>#REF!</v>
      </c>
      <c r="K79" s="277" t="e">
        <f>#REF!</f>
        <v>#REF!</v>
      </c>
      <c r="L79" s="277" t="e">
        <f>#REF!</f>
        <v>#REF!</v>
      </c>
      <c r="M79" s="277" t="e">
        <f>#REF!</f>
        <v>#REF!</v>
      </c>
      <c r="N79" s="277" t="e">
        <f>#REF!</f>
        <v>#REF!</v>
      </c>
      <c r="O79" s="277" t="e">
        <f>#REF!</f>
        <v>#REF!</v>
      </c>
      <c r="P79" s="277" t="e">
        <f>#REF!</f>
        <v>#REF!</v>
      </c>
      <c r="Q79" s="277" t="e">
        <f>#REF!</f>
        <v>#REF!</v>
      </c>
      <c r="R79" s="277" t="e">
        <f>#REF!</f>
        <v>#REF!</v>
      </c>
      <c r="S79" s="277" t="e">
        <f>#REF!</f>
        <v>#REF!</v>
      </c>
      <c r="T79" s="281" t="e">
        <f>#REF!</f>
        <v>#REF!</v>
      </c>
      <c r="U79" s="281" t="e">
        <f>#REF!</f>
        <v>#REF!</v>
      </c>
      <c r="V79" s="281" t="e">
        <f>#REF!</f>
        <v>#REF!</v>
      </c>
      <c r="W79" s="281" t="e">
        <f>#REF!</f>
        <v>#REF!</v>
      </c>
      <c r="X79" s="281" t="e">
        <f>#REF!</f>
        <v>#REF!</v>
      </c>
    </row>
    <row r="80" spans="1:24" ht="24.95" customHeight="1">
      <c r="A80" s="274" t="e">
        <f>#REF!</f>
        <v>#REF!</v>
      </c>
      <c r="B80" s="275" t="e">
        <f>#REF!</f>
        <v>#REF!</v>
      </c>
      <c r="C80" s="276" t="e">
        <f>#REF!</f>
        <v>#REF!</v>
      </c>
      <c r="D80" s="277" t="e">
        <f>#REF!</f>
        <v>#REF!</v>
      </c>
      <c r="E80" s="277" t="e">
        <f>#REF!</f>
        <v>#REF!</v>
      </c>
      <c r="F80" s="277" t="e">
        <f>#REF!</f>
        <v>#REF!</v>
      </c>
      <c r="G80" s="277" t="e">
        <f>#REF!</f>
        <v>#REF!</v>
      </c>
      <c r="H80" s="277" t="e">
        <f>#REF!</f>
        <v>#REF!</v>
      </c>
      <c r="I80" s="277" t="e">
        <f>#REF!</f>
        <v>#REF!</v>
      </c>
      <c r="J80" s="277" t="e">
        <f>#REF!</f>
        <v>#REF!</v>
      </c>
      <c r="K80" s="277" t="e">
        <f>#REF!</f>
        <v>#REF!</v>
      </c>
      <c r="L80" s="277" t="e">
        <f>#REF!</f>
        <v>#REF!</v>
      </c>
      <c r="M80" s="277" t="e">
        <f>#REF!</f>
        <v>#REF!</v>
      </c>
      <c r="N80" s="277" t="e">
        <f>#REF!</f>
        <v>#REF!</v>
      </c>
      <c r="O80" s="277" t="e">
        <f>#REF!</f>
        <v>#REF!</v>
      </c>
      <c r="P80" s="277" t="e">
        <f>#REF!</f>
        <v>#REF!</v>
      </c>
      <c r="Q80" s="277" t="e">
        <f>#REF!</f>
        <v>#REF!</v>
      </c>
      <c r="R80" s="277" t="e">
        <f>#REF!</f>
        <v>#REF!</v>
      </c>
      <c r="S80" s="277" t="e">
        <f>#REF!</f>
        <v>#REF!</v>
      </c>
      <c r="T80" s="281" t="e">
        <f>#REF!</f>
        <v>#REF!</v>
      </c>
      <c r="U80" s="281" t="e">
        <f>#REF!</f>
        <v>#REF!</v>
      </c>
      <c r="V80" s="281" t="e">
        <f>#REF!</f>
        <v>#REF!</v>
      </c>
      <c r="W80" s="281" t="e">
        <f>#REF!</f>
        <v>#REF!</v>
      </c>
      <c r="X80" s="281" t="e">
        <f>#REF!</f>
        <v>#REF!</v>
      </c>
    </row>
    <row r="81" spans="1:24" ht="24.95" customHeight="1">
      <c r="A81" s="274" t="e">
        <f>#REF!</f>
        <v>#REF!</v>
      </c>
      <c r="B81" s="275" t="e">
        <f>#REF!</f>
        <v>#REF!</v>
      </c>
      <c r="C81" s="276" t="e">
        <f>#REF!</f>
        <v>#REF!</v>
      </c>
      <c r="D81" s="277" t="e">
        <f>#REF!</f>
        <v>#REF!</v>
      </c>
      <c r="E81" s="277" t="e">
        <f>#REF!</f>
        <v>#REF!</v>
      </c>
      <c r="F81" s="277" t="e">
        <f>#REF!</f>
        <v>#REF!</v>
      </c>
      <c r="G81" s="277" t="e">
        <f>#REF!</f>
        <v>#REF!</v>
      </c>
      <c r="H81" s="277" t="e">
        <f>#REF!</f>
        <v>#REF!</v>
      </c>
      <c r="I81" s="277" t="e">
        <f>#REF!</f>
        <v>#REF!</v>
      </c>
      <c r="J81" s="277" t="e">
        <f>#REF!</f>
        <v>#REF!</v>
      </c>
      <c r="K81" s="277" t="e">
        <f>#REF!</f>
        <v>#REF!</v>
      </c>
      <c r="L81" s="277" t="e">
        <f>#REF!</f>
        <v>#REF!</v>
      </c>
      <c r="M81" s="277" t="e">
        <f>#REF!</f>
        <v>#REF!</v>
      </c>
      <c r="N81" s="277" t="e">
        <f>#REF!</f>
        <v>#REF!</v>
      </c>
      <c r="O81" s="277" t="e">
        <f>#REF!</f>
        <v>#REF!</v>
      </c>
      <c r="P81" s="277" t="e">
        <f>#REF!</f>
        <v>#REF!</v>
      </c>
      <c r="Q81" s="277" t="e">
        <f>#REF!</f>
        <v>#REF!</v>
      </c>
      <c r="R81" s="277" t="e">
        <f>#REF!</f>
        <v>#REF!</v>
      </c>
      <c r="S81" s="277" t="e">
        <f>#REF!</f>
        <v>#REF!</v>
      </c>
      <c r="T81" s="281" t="e">
        <f>#REF!</f>
        <v>#REF!</v>
      </c>
      <c r="U81" s="281" t="e">
        <f>#REF!</f>
        <v>#REF!</v>
      </c>
      <c r="V81" s="281" t="e">
        <f>#REF!</f>
        <v>#REF!</v>
      </c>
      <c r="W81" s="281" t="e">
        <f>#REF!</f>
        <v>#REF!</v>
      </c>
      <c r="X81" s="281" t="e">
        <f>#REF!</f>
        <v>#REF!</v>
      </c>
    </row>
    <row r="82" spans="1:24" ht="24.95" customHeight="1">
      <c r="A82" s="274" t="e">
        <f>#REF!</f>
        <v>#REF!</v>
      </c>
      <c r="B82" s="275" t="e">
        <f>#REF!</f>
        <v>#REF!</v>
      </c>
      <c r="C82" s="276" t="e">
        <f>#REF!</f>
        <v>#REF!</v>
      </c>
      <c r="D82" s="277" t="e">
        <f>#REF!</f>
        <v>#REF!</v>
      </c>
      <c r="E82" s="277" t="e">
        <f>#REF!</f>
        <v>#REF!</v>
      </c>
      <c r="F82" s="277" t="e">
        <f>#REF!</f>
        <v>#REF!</v>
      </c>
      <c r="G82" s="277" t="e">
        <f>#REF!</f>
        <v>#REF!</v>
      </c>
      <c r="H82" s="277" t="e">
        <f>#REF!</f>
        <v>#REF!</v>
      </c>
      <c r="I82" s="277" t="e">
        <f>#REF!</f>
        <v>#REF!</v>
      </c>
      <c r="J82" s="277" t="e">
        <f>#REF!</f>
        <v>#REF!</v>
      </c>
      <c r="K82" s="277" t="e">
        <f>#REF!</f>
        <v>#REF!</v>
      </c>
      <c r="L82" s="277" t="e">
        <f>#REF!</f>
        <v>#REF!</v>
      </c>
      <c r="M82" s="277" t="e">
        <f>#REF!</f>
        <v>#REF!</v>
      </c>
      <c r="N82" s="277" t="e">
        <f>#REF!</f>
        <v>#REF!</v>
      </c>
      <c r="O82" s="277" t="e">
        <f>#REF!</f>
        <v>#REF!</v>
      </c>
      <c r="P82" s="277" t="e">
        <f>#REF!</f>
        <v>#REF!</v>
      </c>
      <c r="Q82" s="277" t="e">
        <f>#REF!</f>
        <v>#REF!</v>
      </c>
      <c r="R82" s="277" t="e">
        <f>#REF!</f>
        <v>#REF!</v>
      </c>
      <c r="S82" s="277" t="e">
        <f>#REF!</f>
        <v>#REF!</v>
      </c>
      <c r="T82" s="281" t="e">
        <f>#REF!</f>
        <v>#REF!</v>
      </c>
      <c r="U82" s="281" t="e">
        <f>#REF!</f>
        <v>#REF!</v>
      </c>
      <c r="V82" s="281" t="e">
        <f>#REF!</f>
        <v>#REF!</v>
      </c>
      <c r="W82" s="281" t="e">
        <f>#REF!</f>
        <v>#REF!</v>
      </c>
      <c r="X82" s="281" t="e">
        <f>#REF!</f>
        <v>#REF!</v>
      </c>
    </row>
    <row r="83" spans="1:24" ht="24.95" customHeight="1">
      <c r="A83" s="274" t="e">
        <f>#REF!</f>
        <v>#REF!</v>
      </c>
      <c r="B83" s="275" t="e">
        <f>#REF!</f>
        <v>#REF!</v>
      </c>
      <c r="C83" s="276" t="e">
        <f>#REF!</f>
        <v>#REF!</v>
      </c>
      <c r="D83" s="277" t="e">
        <f>#REF!</f>
        <v>#REF!</v>
      </c>
      <c r="E83" s="277" t="e">
        <f>#REF!</f>
        <v>#REF!</v>
      </c>
      <c r="F83" s="277" t="e">
        <f>#REF!</f>
        <v>#REF!</v>
      </c>
      <c r="G83" s="277" t="e">
        <f>#REF!</f>
        <v>#REF!</v>
      </c>
      <c r="H83" s="277" t="e">
        <f>#REF!</f>
        <v>#REF!</v>
      </c>
      <c r="I83" s="277" t="e">
        <f>#REF!</f>
        <v>#REF!</v>
      </c>
      <c r="J83" s="277" t="e">
        <f>#REF!</f>
        <v>#REF!</v>
      </c>
      <c r="K83" s="277" t="e">
        <f>#REF!</f>
        <v>#REF!</v>
      </c>
      <c r="L83" s="277" t="e">
        <f>#REF!</f>
        <v>#REF!</v>
      </c>
      <c r="M83" s="277" t="e">
        <f>#REF!</f>
        <v>#REF!</v>
      </c>
      <c r="N83" s="277" t="e">
        <f>#REF!</f>
        <v>#REF!</v>
      </c>
      <c r="O83" s="277" t="e">
        <f>#REF!</f>
        <v>#REF!</v>
      </c>
      <c r="P83" s="277" t="e">
        <f>#REF!</f>
        <v>#REF!</v>
      </c>
      <c r="Q83" s="277" t="e">
        <f>#REF!</f>
        <v>#REF!</v>
      </c>
      <c r="R83" s="277" t="e">
        <f>#REF!</f>
        <v>#REF!</v>
      </c>
      <c r="S83" s="277" t="e">
        <f>#REF!</f>
        <v>#REF!</v>
      </c>
      <c r="T83" s="281" t="e">
        <f>#REF!</f>
        <v>#REF!</v>
      </c>
      <c r="U83" s="281" t="e">
        <f>#REF!</f>
        <v>#REF!</v>
      </c>
      <c r="V83" s="281" t="e">
        <f>#REF!</f>
        <v>#REF!</v>
      </c>
      <c r="W83" s="281" t="e">
        <f>#REF!</f>
        <v>#REF!</v>
      </c>
      <c r="X83" s="281" t="e">
        <f>#REF!</f>
        <v>#REF!</v>
      </c>
    </row>
    <row r="84" spans="1:24" ht="24.95" customHeight="1">
      <c r="A84" s="274" t="e">
        <f>#REF!</f>
        <v>#REF!</v>
      </c>
      <c r="B84" s="275" t="e">
        <f>#REF!</f>
        <v>#REF!</v>
      </c>
      <c r="C84" s="276" t="e">
        <f>#REF!</f>
        <v>#REF!</v>
      </c>
      <c r="D84" s="277" t="e">
        <f>#REF!</f>
        <v>#REF!</v>
      </c>
      <c r="E84" s="277" t="e">
        <f>#REF!</f>
        <v>#REF!</v>
      </c>
      <c r="F84" s="277" t="e">
        <f>#REF!</f>
        <v>#REF!</v>
      </c>
      <c r="G84" s="277" t="e">
        <f>#REF!</f>
        <v>#REF!</v>
      </c>
      <c r="H84" s="277" t="e">
        <f>#REF!</f>
        <v>#REF!</v>
      </c>
      <c r="I84" s="277" t="e">
        <f>#REF!</f>
        <v>#REF!</v>
      </c>
      <c r="J84" s="277" t="e">
        <f>#REF!</f>
        <v>#REF!</v>
      </c>
      <c r="K84" s="277" t="e">
        <f>#REF!</f>
        <v>#REF!</v>
      </c>
      <c r="L84" s="277" t="e">
        <f>#REF!</f>
        <v>#REF!</v>
      </c>
      <c r="M84" s="277" t="e">
        <f>#REF!</f>
        <v>#REF!</v>
      </c>
      <c r="N84" s="277" t="e">
        <f>#REF!</f>
        <v>#REF!</v>
      </c>
      <c r="O84" s="277" t="e">
        <f>#REF!</f>
        <v>#REF!</v>
      </c>
      <c r="P84" s="277" t="e">
        <f>#REF!</f>
        <v>#REF!</v>
      </c>
      <c r="Q84" s="277" t="e">
        <f>#REF!</f>
        <v>#REF!</v>
      </c>
      <c r="R84" s="277" t="e">
        <f>#REF!</f>
        <v>#REF!</v>
      </c>
      <c r="S84" s="277" t="e">
        <f>#REF!</f>
        <v>#REF!</v>
      </c>
      <c r="T84" s="281" t="e">
        <f>#REF!</f>
        <v>#REF!</v>
      </c>
      <c r="U84" s="281" t="e">
        <f>#REF!</f>
        <v>#REF!</v>
      </c>
      <c r="V84" s="281" t="e">
        <f>#REF!</f>
        <v>#REF!</v>
      </c>
      <c r="W84" s="281" t="e">
        <f>#REF!</f>
        <v>#REF!</v>
      </c>
      <c r="X84" s="281" t="e">
        <f>#REF!</f>
        <v>#REF!</v>
      </c>
    </row>
    <row r="85" spans="1:24" ht="24.95" customHeight="1">
      <c r="A85" s="274" t="e">
        <f>#REF!</f>
        <v>#REF!</v>
      </c>
      <c r="B85" s="275" t="e">
        <f>#REF!</f>
        <v>#REF!</v>
      </c>
      <c r="C85" s="276" t="e">
        <f>#REF!</f>
        <v>#REF!</v>
      </c>
      <c r="D85" s="277" t="e">
        <f>#REF!</f>
        <v>#REF!</v>
      </c>
      <c r="E85" s="277" t="e">
        <f>#REF!</f>
        <v>#REF!</v>
      </c>
      <c r="F85" s="277" t="e">
        <f>#REF!</f>
        <v>#REF!</v>
      </c>
      <c r="G85" s="277" t="e">
        <f>#REF!</f>
        <v>#REF!</v>
      </c>
      <c r="H85" s="277" t="e">
        <f>#REF!</f>
        <v>#REF!</v>
      </c>
      <c r="I85" s="277" t="e">
        <f>#REF!</f>
        <v>#REF!</v>
      </c>
      <c r="J85" s="277" t="e">
        <f>#REF!</f>
        <v>#REF!</v>
      </c>
      <c r="K85" s="277" t="e">
        <f>#REF!</f>
        <v>#REF!</v>
      </c>
      <c r="L85" s="277" t="e">
        <f>#REF!</f>
        <v>#REF!</v>
      </c>
      <c r="M85" s="277" t="e">
        <f>#REF!</f>
        <v>#REF!</v>
      </c>
      <c r="N85" s="277" t="e">
        <f>#REF!</f>
        <v>#REF!</v>
      </c>
      <c r="O85" s="277" t="e">
        <f>#REF!</f>
        <v>#REF!</v>
      </c>
      <c r="P85" s="277" t="e">
        <f>#REF!</f>
        <v>#REF!</v>
      </c>
      <c r="Q85" s="277" t="e">
        <f>#REF!</f>
        <v>#REF!</v>
      </c>
      <c r="R85" s="277" t="e">
        <f>#REF!</f>
        <v>#REF!</v>
      </c>
      <c r="S85" s="277" t="e">
        <f>#REF!</f>
        <v>#REF!</v>
      </c>
      <c r="T85" s="281" t="e">
        <f>#REF!</f>
        <v>#REF!</v>
      </c>
      <c r="U85" s="281" t="e">
        <f>#REF!</f>
        <v>#REF!</v>
      </c>
      <c r="V85" s="281" t="e">
        <f>#REF!</f>
        <v>#REF!</v>
      </c>
      <c r="W85" s="281" t="e">
        <f>#REF!</f>
        <v>#REF!</v>
      </c>
      <c r="X85" s="281" t="e">
        <f>#REF!</f>
        <v>#REF!</v>
      </c>
    </row>
    <row r="86" spans="1:24" ht="24.95" customHeight="1">
      <c r="A86" s="274" t="e">
        <f>#REF!</f>
        <v>#REF!</v>
      </c>
      <c r="B86" s="275" t="e">
        <f>#REF!</f>
        <v>#REF!</v>
      </c>
      <c r="C86" s="276" t="e">
        <f>#REF!</f>
        <v>#REF!</v>
      </c>
      <c r="D86" s="277" t="e">
        <f>#REF!</f>
        <v>#REF!</v>
      </c>
      <c r="E86" s="277" t="e">
        <f>#REF!</f>
        <v>#REF!</v>
      </c>
      <c r="F86" s="277" t="e">
        <f>#REF!</f>
        <v>#REF!</v>
      </c>
      <c r="G86" s="277" t="e">
        <f>#REF!</f>
        <v>#REF!</v>
      </c>
      <c r="H86" s="277" t="e">
        <f>#REF!</f>
        <v>#REF!</v>
      </c>
      <c r="I86" s="277" t="e">
        <f>#REF!</f>
        <v>#REF!</v>
      </c>
      <c r="J86" s="277" t="e">
        <f>#REF!</f>
        <v>#REF!</v>
      </c>
      <c r="K86" s="277" t="e">
        <f>#REF!</f>
        <v>#REF!</v>
      </c>
      <c r="L86" s="277" t="e">
        <f>#REF!</f>
        <v>#REF!</v>
      </c>
      <c r="M86" s="277" t="e">
        <f>#REF!</f>
        <v>#REF!</v>
      </c>
      <c r="N86" s="277" t="e">
        <f>#REF!</f>
        <v>#REF!</v>
      </c>
      <c r="O86" s="277" t="e">
        <f>#REF!</f>
        <v>#REF!</v>
      </c>
      <c r="P86" s="277" t="e">
        <f>#REF!</f>
        <v>#REF!</v>
      </c>
      <c r="Q86" s="277" t="e">
        <f>#REF!</f>
        <v>#REF!</v>
      </c>
      <c r="R86" s="277" t="e">
        <f>#REF!</f>
        <v>#REF!</v>
      </c>
      <c r="S86" s="277" t="e">
        <f>#REF!</f>
        <v>#REF!</v>
      </c>
      <c r="T86" s="281" t="e">
        <f>#REF!</f>
        <v>#REF!</v>
      </c>
      <c r="U86" s="281" t="e">
        <f>#REF!</f>
        <v>#REF!</v>
      </c>
      <c r="V86" s="281" t="e">
        <f>#REF!</f>
        <v>#REF!</v>
      </c>
      <c r="W86" s="281" t="e">
        <f>#REF!</f>
        <v>#REF!</v>
      </c>
      <c r="X86" s="281" t="e">
        <f>#REF!</f>
        <v>#REF!</v>
      </c>
    </row>
    <row r="87" spans="1:24" ht="24.95" customHeight="1">
      <c r="A87" s="274" t="e">
        <f>#REF!</f>
        <v>#REF!</v>
      </c>
      <c r="B87" s="275" t="e">
        <f>#REF!</f>
        <v>#REF!</v>
      </c>
      <c r="C87" s="276" t="e">
        <f>#REF!</f>
        <v>#REF!</v>
      </c>
      <c r="D87" s="277" t="e">
        <f>#REF!</f>
        <v>#REF!</v>
      </c>
      <c r="E87" s="277" t="e">
        <f>#REF!</f>
        <v>#REF!</v>
      </c>
      <c r="F87" s="277" t="e">
        <f>#REF!</f>
        <v>#REF!</v>
      </c>
      <c r="G87" s="277" t="e">
        <f>#REF!</f>
        <v>#REF!</v>
      </c>
      <c r="H87" s="277" t="e">
        <f>#REF!</f>
        <v>#REF!</v>
      </c>
      <c r="I87" s="277" t="e">
        <f>#REF!</f>
        <v>#REF!</v>
      </c>
      <c r="J87" s="277" t="e">
        <f>#REF!</f>
        <v>#REF!</v>
      </c>
      <c r="K87" s="277" t="e">
        <f>#REF!</f>
        <v>#REF!</v>
      </c>
      <c r="L87" s="277" t="e">
        <f>#REF!</f>
        <v>#REF!</v>
      </c>
      <c r="M87" s="277" t="e">
        <f>#REF!</f>
        <v>#REF!</v>
      </c>
      <c r="N87" s="277" t="e">
        <f>#REF!</f>
        <v>#REF!</v>
      </c>
      <c r="O87" s="277" t="e">
        <f>#REF!</f>
        <v>#REF!</v>
      </c>
      <c r="P87" s="277" t="e">
        <f>#REF!</f>
        <v>#REF!</v>
      </c>
      <c r="Q87" s="277" t="e">
        <f>#REF!</f>
        <v>#REF!</v>
      </c>
      <c r="R87" s="277" t="e">
        <f>#REF!</f>
        <v>#REF!</v>
      </c>
      <c r="S87" s="277" t="e">
        <f>#REF!</f>
        <v>#REF!</v>
      </c>
      <c r="T87" s="281" t="e">
        <f>#REF!</f>
        <v>#REF!</v>
      </c>
      <c r="U87" s="281" t="e">
        <f>#REF!</f>
        <v>#REF!</v>
      </c>
      <c r="V87" s="281" t="e">
        <f>#REF!</f>
        <v>#REF!</v>
      </c>
      <c r="W87" s="281" t="e">
        <f>#REF!</f>
        <v>#REF!</v>
      </c>
      <c r="X87" s="281" t="e">
        <f>#REF!</f>
        <v>#REF!</v>
      </c>
    </row>
    <row r="88" spans="1:24" ht="24.95" customHeight="1">
      <c r="A88" s="274" t="e">
        <f>#REF!</f>
        <v>#REF!</v>
      </c>
      <c r="B88" s="275" t="e">
        <f>#REF!</f>
        <v>#REF!</v>
      </c>
      <c r="C88" s="276" t="e">
        <f>#REF!</f>
        <v>#REF!</v>
      </c>
      <c r="D88" s="277" t="e">
        <f>#REF!</f>
        <v>#REF!</v>
      </c>
      <c r="E88" s="277" t="e">
        <f>#REF!</f>
        <v>#REF!</v>
      </c>
      <c r="F88" s="277" t="e">
        <f>#REF!</f>
        <v>#REF!</v>
      </c>
      <c r="G88" s="277" t="e">
        <f>#REF!</f>
        <v>#REF!</v>
      </c>
      <c r="H88" s="277" t="e">
        <f>#REF!</f>
        <v>#REF!</v>
      </c>
      <c r="I88" s="277" t="e">
        <f>#REF!</f>
        <v>#REF!</v>
      </c>
      <c r="J88" s="277" t="e">
        <f>#REF!</f>
        <v>#REF!</v>
      </c>
      <c r="K88" s="277" t="e">
        <f>#REF!</f>
        <v>#REF!</v>
      </c>
      <c r="L88" s="277" t="e">
        <f>#REF!</f>
        <v>#REF!</v>
      </c>
      <c r="M88" s="277" t="e">
        <f>#REF!</f>
        <v>#REF!</v>
      </c>
      <c r="N88" s="277" t="e">
        <f>#REF!</f>
        <v>#REF!</v>
      </c>
      <c r="O88" s="277" t="e">
        <f>#REF!</f>
        <v>#REF!</v>
      </c>
      <c r="P88" s="277" t="e">
        <f>#REF!</f>
        <v>#REF!</v>
      </c>
      <c r="Q88" s="277" t="e">
        <f>#REF!</f>
        <v>#REF!</v>
      </c>
      <c r="R88" s="277" t="e">
        <f>#REF!</f>
        <v>#REF!</v>
      </c>
      <c r="S88" s="277" t="e">
        <f>#REF!</f>
        <v>#REF!</v>
      </c>
      <c r="T88" s="281" t="e">
        <f>#REF!</f>
        <v>#REF!</v>
      </c>
      <c r="U88" s="281" t="e">
        <f>#REF!</f>
        <v>#REF!</v>
      </c>
      <c r="V88" s="281" t="e">
        <f>#REF!</f>
        <v>#REF!</v>
      </c>
      <c r="W88" s="281" t="e">
        <f>#REF!</f>
        <v>#REF!</v>
      </c>
      <c r="X88" s="281" t="e">
        <f>#REF!</f>
        <v>#REF!</v>
      </c>
    </row>
    <row r="89" spans="1:24" ht="24.95" customHeight="1">
      <c r="A89" s="274" t="e">
        <f>#REF!</f>
        <v>#REF!</v>
      </c>
      <c r="B89" s="275" t="e">
        <f>#REF!</f>
        <v>#REF!</v>
      </c>
      <c r="C89" s="276" t="e">
        <f>#REF!</f>
        <v>#REF!</v>
      </c>
      <c r="D89" s="277" t="e">
        <f>#REF!</f>
        <v>#REF!</v>
      </c>
      <c r="E89" s="277" t="e">
        <f>#REF!</f>
        <v>#REF!</v>
      </c>
      <c r="F89" s="277" t="e">
        <f>#REF!</f>
        <v>#REF!</v>
      </c>
      <c r="G89" s="277" t="e">
        <f>#REF!</f>
        <v>#REF!</v>
      </c>
      <c r="H89" s="277" t="e">
        <f>#REF!</f>
        <v>#REF!</v>
      </c>
      <c r="I89" s="277" t="e">
        <f>#REF!</f>
        <v>#REF!</v>
      </c>
      <c r="J89" s="277" t="e">
        <f>#REF!</f>
        <v>#REF!</v>
      </c>
      <c r="K89" s="277" t="e">
        <f>#REF!</f>
        <v>#REF!</v>
      </c>
      <c r="L89" s="277" t="e">
        <f>#REF!</f>
        <v>#REF!</v>
      </c>
      <c r="M89" s="277" t="e">
        <f>#REF!</f>
        <v>#REF!</v>
      </c>
      <c r="N89" s="277" t="e">
        <f>#REF!</f>
        <v>#REF!</v>
      </c>
      <c r="O89" s="277" t="e">
        <f>#REF!</f>
        <v>#REF!</v>
      </c>
      <c r="P89" s="277" t="e">
        <f>#REF!</f>
        <v>#REF!</v>
      </c>
      <c r="Q89" s="277" t="e">
        <f>#REF!</f>
        <v>#REF!</v>
      </c>
      <c r="R89" s="277" t="e">
        <f>#REF!</f>
        <v>#REF!</v>
      </c>
      <c r="S89" s="277" t="e">
        <f>#REF!</f>
        <v>#REF!</v>
      </c>
      <c r="T89" s="281" t="e">
        <f>#REF!</f>
        <v>#REF!</v>
      </c>
      <c r="U89" s="281" t="e">
        <f>#REF!</f>
        <v>#REF!</v>
      </c>
      <c r="V89" s="281" t="e">
        <f>#REF!</f>
        <v>#REF!</v>
      </c>
      <c r="W89" s="281" t="e">
        <f>#REF!</f>
        <v>#REF!</v>
      </c>
      <c r="X89" s="281" t="e">
        <f>#REF!</f>
        <v>#REF!</v>
      </c>
    </row>
    <row r="90" spans="1:24" ht="24.95" customHeight="1">
      <c r="A90" s="274" t="e">
        <f>#REF!</f>
        <v>#REF!</v>
      </c>
      <c r="B90" s="275" t="e">
        <f>#REF!</f>
        <v>#REF!</v>
      </c>
      <c r="C90" s="276" t="e">
        <f>#REF!</f>
        <v>#REF!</v>
      </c>
      <c r="D90" s="277" t="e">
        <f>#REF!</f>
        <v>#REF!</v>
      </c>
      <c r="E90" s="277" t="e">
        <f>#REF!</f>
        <v>#REF!</v>
      </c>
      <c r="F90" s="277" t="e">
        <f>#REF!</f>
        <v>#REF!</v>
      </c>
      <c r="G90" s="277" t="e">
        <f>#REF!</f>
        <v>#REF!</v>
      </c>
      <c r="H90" s="277" t="e">
        <f>#REF!</f>
        <v>#REF!</v>
      </c>
      <c r="I90" s="277" t="e">
        <f>#REF!</f>
        <v>#REF!</v>
      </c>
      <c r="J90" s="277" t="e">
        <f>#REF!</f>
        <v>#REF!</v>
      </c>
      <c r="K90" s="277" t="e">
        <f>#REF!</f>
        <v>#REF!</v>
      </c>
      <c r="L90" s="277" t="e">
        <f>#REF!</f>
        <v>#REF!</v>
      </c>
      <c r="M90" s="277" t="e">
        <f>#REF!</f>
        <v>#REF!</v>
      </c>
      <c r="N90" s="277" t="e">
        <f>#REF!</f>
        <v>#REF!</v>
      </c>
      <c r="O90" s="277" t="e">
        <f>#REF!</f>
        <v>#REF!</v>
      </c>
      <c r="P90" s="277" t="e">
        <f>#REF!</f>
        <v>#REF!</v>
      </c>
      <c r="Q90" s="277" t="e">
        <f>#REF!</f>
        <v>#REF!</v>
      </c>
      <c r="R90" s="277" t="e">
        <f>#REF!</f>
        <v>#REF!</v>
      </c>
      <c r="S90" s="277" t="e">
        <f>#REF!</f>
        <v>#REF!</v>
      </c>
      <c r="T90" s="281" t="e">
        <f>#REF!</f>
        <v>#REF!</v>
      </c>
      <c r="U90" s="281" t="e">
        <f>#REF!</f>
        <v>#REF!</v>
      </c>
      <c r="V90" s="281" t="e">
        <f>#REF!</f>
        <v>#REF!</v>
      </c>
      <c r="W90" s="281" t="e">
        <f>#REF!</f>
        <v>#REF!</v>
      </c>
      <c r="X90" s="281" t="e">
        <f>#REF!</f>
        <v>#REF!</v>
      </c>
    </row>
    <row r="91" spans="1:24" ht="24.95" customHeight="1">
      <c r="A91" s="274" t="e">
        <f>#REF!</f>
        <v>#REF!</v>
      </c>
      <c r="B91" s="275" t="e">
        <f>#REF!</f>
        <v>#REF!</v>
      </c>
      <c r="C91" s="276" t="e">
        <f>#REF!</f>
        <v>#REF!</v>
      </c>
      <c r="D91" s="277" t="e">
        <f>#REF!</f>
        <v>#REF!</v>
      </c>
      <c r="E91" s="277" t="e">
        <f>#REF!</f>
        <v>#REF!</v>
      </c>
      <c r="F91" s="277" t="e">
        <f>#REF!</f>
        <v>#REF!</v>
      </c>
      <c r="G91" s="277" t="e">
        <f>#REF!</f>
        <v>#REF!</v>
      </c>
      <c r="H91" s="277" t="e">
        <f>#REF!</f>
        <v>#REF!</v>
      </c>
      <c r="I91" s="277" t="e">
        <f>#REF!</f>
        <v>#REF!</v>
      </c>
      <c r="J91" s="277" t="e">
        <f>#REF!</f>
        <v>#REF!</v>
      </c>
      <c r="K91" s="277" t="e">
        <f>#REF!</f>
        <v>#REF!</v>
      </c>
      <c r="L91" s="277" t="e">
        <f>#REF!</f>
        <v>#REF!</v>
      </c>
      <c r="M91" s="277" t="e">
        <f>#REF!</f>
        <v>#REF!</v>
      </c>
      <c r="N91" s="277" t="e">
        <f>#REF!</f>
        <v>#REF!</v>
      </c>
      <c r="O91" s="277" t="e">
        <f>#REF!</f>
        <v>#REF!</v>
      </c>
      <c r="P91" s="277" t="e">
        <f>#REF!</f>
        <v>#REF!</v>
      </c>
      <c r="Q91" s="277" t="e">
        <f>#REF!</f>
        <v>#REF!</v>
      </c>
      <c r="R91" s="277" t="e">
        <f>#REF!</f>
        <v>#REF!</v>
      </c>
      <c r="S91" s="277" t="e">
        <f>#REF!</f>
        <v>#REF!</v>
      </c>
      <c r="T91" s="281" t="e">
        <f>#REF!</f>
        <v>#REF!</v>
      </c>
      <c r="U91" s="281" t="e">
        <f>#REF!</f>
        <v>#REF!</v>
      </c>
      <c r="V91" s="281" t="e">
        <f>#REF!</f>
        <v>#REF!</v>
      </c>
      <c r="W91" s="281" t="e">
        <f>#REF!</f>
        <v>#REF!</v>
      </c>
      <c r="X91" s="281" t="e">
        <f>#REF!</f>
        <v>#REF!</v>
      </c>
    </row>
    <row r="92" spans="1:24" ht="39.950000000000003" customHeight="1">
      <c r="A92" s="274" t="e">
        <f>#REF!</f>
        <v>#REF!</v>
      </c>
      <c r="B92" s="275" t="e">
        <f>#REF!</f>
        <v>#REF!</v>
      </c>
      <c r="C92" s="276" t="e">
        <f>#REF!</f>
        <v>#REF!</v>
      </c>
      <c r="D92" s="277" t="e">
        <f>#REF!</f>
        <v>#REF!</v>
      </c>
      <c r="E92" s="277" t="e">
        <f>#REF!</f>
        <v>#REF!</v>
      </c>
      <c r="F92" s="277" t="e">
        <f>#REF!</f>
        <v>#REF!</v>
      </c>
      <c r="G92" s="277" t="e">
        <f>#REF!</f>
        <v>#REF!</v>
      </c>
      <c r="H92" s="277" t="e">
        <f>#REF!</f>
        <v>#REF!</v>
      </c>
      <c r="I92" s="277" t="e">
        <f>#REF!</f>
        <v>#REF!</v>
      </c>
      <c r="J92" s="277" t="e">
        <f>#REF!</f>
        <v>#REF!</v>
      </c>
      <c r="K92" s="277" t="e">
        <f>#REF!</f>
        <v>#REF!</v>
      </c>
      <c r="L92" s="277" t="e">
        <f>#REF!</f>
        <v>#REF!</v>
      </c>
      <c r="M92" s="277" t="e">
        <f>#REF!</f>
        <v>#REF!</v>
      </c>
      <c r="N92" s="277" t="e">
        <f>#REF!</f>
        <v>#REF!</v>
      </c>
      <c r="O92" s="277" t="e">
        <f>#REF!</f>
        <v>#REF!</v>
      </c>
      <c r="P92" s="277" t="e">
        <f>#REF!</f>
        <v>#REF!</v>
      </c>
      <c r="Q92" s="277" t="e">
        <f>#REF!</f>
        <v>#REF!</v>
      </c>
      <c r="R92" s="277" t="e">
        <f>#REF!</f>
        <v>#REF!</v>
      </c>
      <c r="S92" s="277" t="e">
        <f>#REF!</f>
        <v>#REF!</v>
      </c>
      <c r="T92" s="281" t="e">
        <f>#REF!</f>
        <v>#REF!</v>
      </c>
      <c r="U92" s="281" t="e">
        <f>#REF!</f>
        <v>#REF!</v>
      </c>
      <c r="V92" s="281" t="e">
        <f>#REF!</f>
        <v>#REF!</v>
      </c>
      <c r="W92" s="281" t="e">
        <f>#REF!</f>
        <v>#REF!</v>
      </c>
      <c r="X92" s="281" t="e">
        <f>#REF!</f>
        <v>#REF!</v>
      </c>
    </row>
    <row r="93" spans="1:24" ht="24.95" customHeight="1">
      <c r="A93" s="274" t="e">
        <f>#REF!</f>
        <v>#REF!</v>
      </c>
      <c r="B93" s="275" t="e">
        <f>#REF!</f>
        <v>#REF!</v>
      </c>
      <c r="C93" s="276" t="e">
        <f>#REF!</f>
        <v>#REF!</v>
      </c>
      <c r="D93" s="277" t="e">
        <f>#REF!</f>
        <v>#REF!</v>
      </c>
      <c r="E93" s="277" t="e">
        <f>#REF!</f>
        <v>#REF!</v>
      </c>
      <c r="F93" s="277" t="e">
        <f>#REF!</f>
        <v>#REF!</v>
      </c>
      <c r="G93" s="277" t="e">
        <f>#REF!</f>
        <v>#REF!</v>
      </c>
      <c r="H93" s="277" t="e">
        <f>#REF!</f>
        <v>#REF!</v>
      </c>
      <c r="I93" s="277" t="e">
        <f>#REF!</f>
        <v>#REF!</v>
      </c>
      <c r="J93" s="277" t="e">
        <f>#REF!</f>
        <v>#REF!</v>
      </c>
      <c r="K93" s="277" t="e">
        <f>#REF!</f>
        <v>#REF!</v>
      </c>
      <c r="L93" s="277" t="e">
        <f>#REF!</f>
        <v>#REF!</v>
      </c>
      <c r="M93" s="277" t="e">
        <f>#REF!</f>
        <v>#REF!</v>
      </c>
      <c r="N93" s="277" t="e">
        <f>#REF!</f>
        <v>#REF!</v>
      </c>
      <c r="O93" s="277" t="e">
        <f>#REF!</f>
        <v>#REF!</v>
      </c>
      <c r="P93" s="277" t="e">
        <f>#REF!</f>
        <v>#REF!</v>
      </c>
      <c r="Q93" s="277" t="e">
        <f>#REF!</f>
        <v>#REF!</v>
      </c>
      <c r="R93" s="277" t="e">
        <f>#REF!</f>
        <v>#REF!</v>
      </c>
      <c r="S93" s="277" t="e">
        <f>#REF!</f>
        <v>#REF!</v>
      </c>
      <c r="T93" s="281" t="e">
        <f>#REF!</f>
        <v>#REF!</v>
      </c>
      <c r="U93" s="281" t="e">
        <f>#REF!</f>
        <v>#REF!</v>
      </c>
      <c r="V93" s="281" t="e">
        <f>#REF!</f>
        <v>#REF!</v>
      </c>
      <c r="W93" s="281" t="e">
        <f>#REF!</f>
        <v>#REF!</v>
      </c>
      <c r="X93" s="281" t="e">
        <f>#REF!</f>
        <v>#REF!</v>
      </c>
    </row>
    <row r="94" spans="1:24" ht="24.95" customHeight="1">
      <c r="A94" s="274" t="e">
        <f>#REF!</f>
        <v>#REF!</v>
      </c>
      <c r="B94" s="275" t="e">
        <f>#REF!</f>
        <v>#REF!</v>
      </c>
      <c r="C94" s="276" t="e">
        <f>#REF!</f>
        <v>#REF!</v>
      </c>
      <c r="D94" s="277" t="e">
        <f>#REF!</f>
        <v>#REF!</v>
      </c>
      <c r="E94" s="277" t="e">
        <f>#REF!</f>
        <v>#REF!</v>
      </c>
      <c r="F94" s="277" t="e">
        <f>#REF!</f>
        <v>#REF!</v>
      </c>
      <c r="G94" s="277" t="e">
        <f>#REF!</f>
        <v>#REF!</v>
      </c>
      <c r="H94" s="277" t="e">
        <f>#REF!</f>
        <v>#REF!</v>
      </c>
      <c r="I94" s="277" t="e">
        <f>#REF!</f>
        <v>#REF!</v>
      </c>
      <c r="J94" s="277" t="e">
        <f>#REF!</f>
        <v>#REF!</v>
      </c>
      <c r="K94" s="277" t="e">
        <f>#REF!</f>
        <v>#REF!</v>
      </c>
      <c r="L94" s="277" t="e">
        <f>#REF!</f>
        <v>#REF!</v>
      </c>
      <c r="M94" s="277" t="e">
        <f>#REF!</f>
        <v>#REF!</v>
      </c>
      <c r="N94" s="277" t="e">
        <f>#REF!</f>
        <v>#REF!</v>
      </c>
      <c r="O94" s="277" t="e">
        <f>#REF!</f>
        <v>#REF!</v>
      </c>
      <c r="P94" s="277" t="e">
        <f>#REF!</f>
        <v>#REF!</v>
      </c>
      <c r="Q94" s="277" t="e">
        <f>#REF!</f>
        <v>#REF!</v>
      </c>
      <c r="R94" s="277" t="e">
        <f>#REF!</f>
        <v>#REF!</v>
      </c>
      <c r="S94" s="277" t="e">
        <f>#REF!</f>
        <v>#REF!</v>
      </c>
      <c r="T94" s="281" t="e">
        <f>#REF!</f>
        <v>#REF!</v>
      </c>
      <c r="U94" s="281" t="e">
        <f>#REF!</f>
        <v>#REF!</v>
      </c>
      <c r="V94" s="281" t="e">
        <f>#REF!</f>
        <v>#REF!</v>
      </c>
      <c r="W94" s="281" t="e">
        <f>#REF!</f>
        <v>#REF!</v>
      </c>
      <c r="X94" s="281" t="e">
        <f>#REF!</f>
        <v>#REF!</v>
      </c>
    </row>
    <row r="95" spans="1:24" ht="24.95" customHeight="1">
      <c r="A95" s="274" t="e">
        <f>#REF!</f>
        <v>#REF!</v>
      </c>
      <c r="B95" s="275" t="e">
        <f>#REF!</f>
        <v>#REF!</v>
      </c>
      <c r="C95" s="276" t="e">
        <f>#REF!</f>
        <v>#REF!</v>
      </c>
      <c r="D95" s="277" t="e">
        <f>#REF!</f>
        <v>#REF!</v>
      </c>
      <c r="E95" s="277" t="e">
        <f>#REF!</f>
        <v>#REF!</v>
      </c>
      <c r="F95" s="277" t="e">
        <f>#REF!</f>
        <v>#REF!</v>
      </c>
      <c r="G95" s="277" t="e">
        <f>#REF!</f>
        <v>#REF!</v>
      </c>
      <c r="H95" s="277" t="e">
        <f>#REF!</f>
        <v>#REF!</v>
      </c>
      <c r="I95" s="277" t="e">
        <f>#REF!</f>
        <v>#REF!</v>
      </c>
      <c r="J95" s="277" t="e">
        <f>#REF!</f>
        <v>#REF!</v>
      </c>
      <c r="K95" s="277" t="e">
        <f>#REF!</f>
        <v>#REF!</v>
      </c>
      <c r="L95" s="277" t="e">
        <f>#REF!</f>
        <v>#REF!</v>
      </c>
      <c r="M95" s="277" t="e">
        <f>#REF!</f>
        <v>#REF!</v>
      </c>
      <c r="N95" s="277" t="e">
        <f>#REF!</f>
        <v>#REF!</v>
      </c>
      <c r="O95" s="277" t="e">
        <f>#REF!</f>
        <v>#REF!</v>
      </c>
      <c r="P95" s="277" t="e">
        <f>#REF!</f>
        <v>#REF!</v>
      </c>
      <c r="Q95" s="277" t="e">
        <f>#REF!</f>
        <v>#REF!</v>
      </c>
      <c r="R95" s="277" t="e">
        <f>#REF!</f>
        <v>#REF!</v>
      </c>
      <c r="S95" s="277" t="e">
        <f>#REF!</f>
        <v>#REF!</v>
      </c>
      <c r="T95" s="281" t="e">
        <f>#REF!</f>
        <v>#REF!</v>
      </c>
      <c r="U95" s="281" t="e">
        <f>#REF!</f>
        <v>#REF!</v>
      </c>
      <c r="V95" s="281" t="e">
        <f>#REF!</f>
        <v>#REF!</v>
      </c>
      <c r="W95" s="281" t="e">
        <f>#REF!</f>
        <v>#REF!</v>
      </c>
      <c r="X95" s="281" t="e">
        <f>#REF!</f>
        <v>#REF!</v>
      </c>
    </row>
    <row r="96" spans="1:24" ht="24.95" customHeight="1">
      <c r="A96" s="274" t="e">
        <f>#REF!</f>
        <v>#REF!</v>
      </c>
      <c r="B96" s="275" t="e">
        <f>#REF!</f>
        <v>#REF!</v>
      </c>
      <c r="C96" s="276" t="e">
        <f>#REF!</f>
        <v>#REF!</v>
      </c>
      <c r="D96" s="277" t="e">
        <f>#REF!</f>
        <v>#REF!</v>
      </c>
      <c r="E96" s="277" t="e">
        <f>#REF!</f>
        <v>#REF!</v>
      </c>
      <c r="F96" s="277" t="e">
        <f>#REF!</f>
        <v>#REF!</v>
      </c>
      <c r="G96" s="277" t="e">
        <f>#REF!</f>
        <v>#REF!</v>
      </c>
      <c r="H96" s="277" t="e">
        <f>#REF!</f>
        <v>#REF!</v>
      </c>
      <c r="I96" s="277" t="e">
        <f>#REF!</f>
        <v>#REF!</v>
      </c>
      <c r="J96" s="277" t="e">
        <f>#REF!</f>
        <v>#REF!</v>
      </c>
      <c r="K96" s="277" t="e">
        <f>#REF!</f>
        <v>#REF!</v>
      </c>
      <c r="L96" s="277" t="e">
        <f>#REF!</f>
        <v>#REF!</v>
      </c>
      <c r="M96" s="277" t="e">
        <f>#REF!</f>
        <v>#REF!</v>
      </c>
      <c r="N96" s="277" t="e">
        <f>#REF!</f>
        <v>#REF!</v>
      </c>
      <c r="O96" s="277" t="e">
        <f>#REF!</f>
        <v>#REF!</v>
      </c>
      <c r="P96" s="277" t="e">
        <f>#REF!</f>
        <v>#REF!</v>
      </c>
      <c r="Q96" s="277" t="e">
        <f>#REF!</f>
        <v>#REF!</v>
      </c>
      <c r="R96" s="277" t="e">
        <f>#REF!</f>
        <v>#REF!</v>
      </c>
      <c r="S96" s="277" t="e">
        <f>#REF!</f>
        <v>#REF!</v>
      </c>
      <c r="T96" s="281" t="e">
        <f>#REF!</f>
        <v>#REF!</v>
      </c>
      <c r="U96" s="281" t="e">
        <f>#REF!</f>
        <v>#REF!</v>
      </c>
      <c r="V96" s="281" t="e">
        <f>#REF!</f>
        <v>#REF!</v>
      </c>
      <c r="W96" s="281" t="e">
        <f>#REF!</f>
        <v>#REF!</v>
      </c>
      <c r="X96" s="281" t="e">
        <f>#REF!</f>
        <v>#REF!</v>
      </c>
    </row>
    <row r="97" spans="1:24" ht="24.95" customHeight="1">
      <c r="A97" s="274" t="e">
        <f>#REF!</f>
        <v>#REF!</v>
      </c>
      <c r="B97" s="275" t="e">
        <f>#REF!</f>
        <v>#REF!</v>
      </c>
      <c r="C97" s="276" t="e">
        <f>#REF!</f>
        <v>#REF!</v>
      </c>
      <c r="D97" s="277" t="e">
        <f>#REF!</f>
        <v>#REF!</v>
      </c>
      <c r="E97" s="277" t="e">
        <f>#REF!</f>
        <v>#REF!</v>
      </c>
      <c r="F97" s="277" t="e">
        <f>#REF!</f>
        <v>#REF!</v>
      </c>
      <c r="G97" s="277" t="e">
        <f>#REF!</f>
        <v>#REF!</v>
      </c>
      <c r="H97" s="277" t="e">
        <f>#REF!</f>
        <v>#REF!</v>
      </c>
      <c r="I97" s="277" t="e">
        <f>#REF!</f>
        <v>#REF!</v>
      </c>
      <c r="J97" s="277" t="e">
        <f>#REF!</f>
        <v>#REF!</v>
      </c>
      <c r="K97" s="277" t="e">
        <f>#REF!</f>
        <v>#REF!</v>
      </c>
      <c r="L97" s="277" t="e">
        <f>#REF!</f>
        <v>#REF!</v>
      </c>
      <c r="M97" s="277" t="e">
        <f>#REF!</f>
        <v>#REF!</v>
      </c>
      <c r="N97" s="277" t="e">
        <f>#REF!</f>
        <v>#REF!</v>
      </c>
      <c r="O97" s="277" t="e">
        <f>#REF!</f>
        <v>#REF!</v>
      </c>
      <c r="P97" s="277" t="e">
        <f>#REF!</f>
        <v>#REF!</v>
      </c>
      <c r="Q97" s="277" t="e">
        <f>#REF!</f>
        <v>#REF!</v>
      </c>
      <c r="R97" s="277" t="e">
        <f>#REF!</f>
        <v>#REF!</v>
      </c>
      <c r="S97" s="277" t="e">
        <f>#REF!</f>
        <v>#REF!</v>
      </c>
      <c r="T97" s="281" t="e">
        <f>#REF!</f>
        <v>#REF!</v>
      </c>
      <c r="U97" s="281" t="e">
        <f>#REF!</f>
        <v>#REF!</v>
      </c>
      <c r="V97" s="281" t="e">
        <f>#REF!</f>
        <v>#REF!</v>
      </c>
      <c r="W97" s="281" t="e">
        <f>#REF!</f>
        <v>#REF!</v>
      </c>
      <c r="X97" s="281" t="e">
        <f>#REF!</f>
        <v>#REF!</v>
      </c>
    </row>
    <row r="98" spans="1:24" ht="24.95" customHeight="1">
      <c r="A98" s="274" t="e">
        <f>#REF!</f>
        <v>#REF!</v>
      </c>
      <c r="B98" s="275" t="e">
        <f>#REF!</f>
        <v>#REF!</v>
      </c>
      <c r="C98" s="276" t="e">
        <f>#REF!</f>
        <v>#REF!</v>
      </c>
      <c r="D98" s="277" t="e">
        <f>#REF!</f>
        <v>#REF!</v>
      </c>
      <c r="E98" s="277" t="e">
        <f>#REF!</f>
        <v>#REF!</v>
      </c>
      <c r="F98" s="277" t="e">
        <f>#REF!</f>
        <v>#REF!</v>
      </c>
      <c r="G98" s="277" t="e">
        <f>#REF!</f>
        <v>#REF!</v>
      </c>
      <c r="H98" s="277" t="e">
        <f>#REF!</f>
        <v>#REF!</v>
      </c>
      <c r="I98" s="277" t="e">
        <f>#REF!</f>
        <v>#REF!</v>
      </c>
      <c r="J98" s="277" t="e">
        <f>#REF!</f>
        <v>#REF!</v>
      </c>
      <c r="K98" s="277" t="e">
        <f>#REF!</f>
        <v>#REF!</v>
      </c>
      <c r="L98" s="277" t="e">
        <f>#REF!</f>
        <v>#REF!</v>
      </c>
      <c r="M98" s="277" t="e">
        <f>#REF!</f>
        <v>#REF!</v>
      </c>
      <c r="N98" s="277" t="e">
        <f>#REF!</f>
        <v>#REF!</v>
      </c>
      <c r="O98" s="277" t="e">
        <f>#REF!</f>
        <v>#REF!</v>
      </c>
      <c r="P98" s="277" t="e">
        <f>#REF!</f>
        <v>#REF!</v>
      </c>
      <c r="Q98" s="277" t="e">
        <f>#REF!</f>
        <v>#REF!</v>
      </c>
      <c r="R98" s="277" t="e">
        <f>#REF!</f>
        <v>#REF!</v>
      </c>
      <c r="S98" s="277" t="e">
        <f>#REF!</f>
        <v>#REF!</v>
      </c>
      <c r="T98" s="281" t="e">
        <f>#REF!</f>
        <v>#REF!</v>
      </c>
      <c r="U98" s="281" t="e">
        <f>#REF!</f>
        <v>#REF!</v>
      </c>
      <c r="V98" s="281" t="e">
        <f>#REF!</f>
        <v>#REF!</v>
      </c>
      <c r="W98" s="281" t="e">
        <f>#REF!</f>
        <v>#REF!</v>
      </c>
      <c r="X98" s="281" t="e">
        <f>#REF!</f>
        <v>#REF!</v>
      </c>
    </row>
    <row r="99" spans="1:24" ht="24.95" customHeight="1">
      <c r="A99" s="274" t="e">
        <f>#REF!</f>
        <v>#REF!</v>
      </c>
      <c r="B99" s="275" t="e">
        <f>#REF!</f>
        <v>#REF!</v>
      </c>
      <c r="C99" s="276" t="e">
        <f>#REF!</f>
        <v>#REF!</v>
      </c>
      <c r="D99" s="277" t="e">
        <f>#REF!</f>
        <v>#REF!</v>
      </c>
      <c r="E99" s="277" t="e">
        <f>#REF!</f>
        <v>#REF!</v>
      </c>
      <c r="F99" s="277" t="e">
        <f>#REF!</f>
        <v>#REF!</v>
      </c>
      <c r="G99" s="277" t="e">
        <f>#REF!</f>
        <v>#REF!</v>
      </c>
      <c r="H99" s="277" t="e">
        <f>#REF!</f>
        <v>#REF!</v>
      </c>
      <c r="I99" s="277" t="e">
        <f>#REF!</f>
        <v>#REF!</v>
      </c>
      <c r="J99" s="277" t="e">
        <f>#REF!</f>
        <v>#REF!</v>
      </c>
      <c r="K99" s="277" t="e">
        <f>#REF!</f>
        <v>#REF!</v>
      </c>
      <c r="L99" s="277" t="e">
        <f>#REF!</f>
        <v>#REF!</v>
      </c>
      <c r="M99" s="277" t="e">
        <f>#REF!</f>
        <v>#REF!</v>
      </c>
      <c r="N99" s="277" t="e">
        <f>#REF!</f>
        <v>#REF!</v>
      </c>
      <c r="O99" s="277" t="e">
        <f>#REF!</f>
        <v>#REF!</v>
      </c>
      <c r="P99" s="277" t="e">
        <f>#REF!</f>
        <v>#REF!</v>
      </c>
      <c r="Q99" s="277" t="e">
        <f>#REF!</f>
        <v>#REF!</v>
      </c>
      <c r="R99" s="277" t="e">
        <f>#REF!</f>
        <v>#REF!</v>
      </c>
      <c r="S99" s="277" t="e">
        <f>#REF!</f>
        <v>#REF!</v>
      </c>
      <c r="T99" s="281" t="e">
        <f>#REF!</f>
        <v>#REF!</v>
      </c>
      <c r="U99" s="281" t="e">
        <f>#REF!</f>
        <v>#REF!</v>
      </c>
      <c r="V99" s="281" t="e">
        <f>#REF!</f>
        <v>#REF!</v>
      </c>
      <c r="W99" s="281" t="e">
        <f>#REF!</f>
        <v>#REF!</v>
      </c>
      <c r="X99" s="281" t="e">
        <f>#REF!</f>
        <v>#REF!</v>
      </c>
    </row>
    <row r="100" spans="1:24" ht="24.95" customHeight="1">
      <c r="A100" s="274" t="e">
        <f>#REF!</f>
        <v>#REF!</v>
      </c>
      <c r="B100" s="275" t="e">
        <f>#REF!</f>
        <v>#REF!</v>
      </c>
      <c r="C100" s="276" t="e">
        <f>#REF!</f>
        <v>#REF!</v>
      </c>
      <c r="D100" s="277" t="e">
        <f>#REF!</f>
        <v>#REF!</v>
      </c>
      <c r="E100" s="277" t="e">
        <f>#REF!</f>
        <v>#REF!</v>
      </c>
      <c r="F100" s="277" t="e">
        <f>#REF!</f>
        <v>#REF!</v>
      </c>
      <c r="G100" s="277" t="e">
        <f>#REF!</f>
        <v>#REF!</v>
      </c>
      <c r="H100" s="277" t="e">
        <f>#REF!</f>
        <v>#REF!</v>
      </c>
      <c r="I100" s="277" t="e">
        <f>#REF!</f>
        <v>#REF!</v>
      </c>
      <c r="J100" s="277" t="e">
        <f>#REF!</f>
        <v>#REF!</v>
      </c>
      <c r="K100" s="277" t="e">
        <f>#REF!</f>
        <v>#REF!</v>
      </c>
      <c r="L100" s="277" t="e">
        <f>#REF!</f>
        <v>#REF!</v>
      </c>
      <c r="M100" s="277" t="e">
        <f>#REF!</f>
        <v>#REF!</v>
      </c>
      <c r="N100" s="277" t="e">
        <f>#REF!</f>
        <v>#REF!</v>
      </c>
      <c r="O100" s="277" t="e">
        <f>#REF!</f>
        <v>#REF!</v>
      </c>
      <c r="P100" s="277" t="e">
        <f>#REF!</f>
        <v>#REF!</v>
      </c>
      <c r="Q100" s="277" t="e">
        <f>#REF!</f>
        <v>#REF!</v>
      </c>
      <c r="R100" s="277" t="e">
        <f>#REF!</f>
        <v>#REF!</v>
      </c>
      <c r="S100" s="277" t="e">
        <f>#REF!</f>
        <v>#REF!</v>
      </c>
      <c r="T100" s="281" t="e">
        <f>#REF!</f>
        <v>#REF!</v>
      </c>
      <c r="U100" s="281" t="e">
        <f>#REF!</f>
        <v>#REF!</v>
      </c>
      <c r="V100" s="281" t="e">
        <f>#REF!</f>
        <v>#REF!</v>
      </c>
      <c r="W100" s="281" t="e">
        <f>#REF!</f>
        <v>#REF!</v>
      </c>
      <c r="X100" s="281" t="e">
        <f>#REF!</f>
        <v>#REF!</v>
      </c>
    </row>
    <row r="101" spans="1:24" ht="24.95" customHeight="1">
      <c r="A101" s="274" t="e">
        <f>#REF!</f>
        <v>#REF!</v>
      </c>
      <c r="B101" s="275" t="e">
        <f>#REF!</f>
        <v>#REF!</v>
      </c>
      <c r="C101" s="276" t="e">
        <f>#REF!</f>
        <v>#REF!</v>
      </c>
      <c r="D101" s="277" t="e">
        <f>#REF!</f>
        <v>#REF!</v>
      </c>
      <c r="E101" s="277" t="e">
        <f>#REF!</f>
        <v>#REF!</v>
      </c>
      <c r="F101" s="277" t="e">
        <f>#REF!</f>
        <v>#REF!</v>
      </c>
      <c r="G101" s="277" t="e">
        <f>#REF!</f>
        <v>#REF!</v>
      </c>
      <c r="H101" s="277" t="e">
        <f>#REF!</f>
        <v>#REF!</v>
      </c>
      <c r="I101" s="277" t="e">
        <f>#REF!</f>
        <v>#REF!</v>
      </c>
      <c r="J101" s="277" t="e">
        <f>#REF!</f>
        <v>#REF!</v>
      </c>
      <c r="K101" s="277" t="e">
        <f>#REF!</f>
        <v>#REF!</v>
      </c>
      <c r="L101" s="277" t="e">
        <f>#REF!</f>
        <v>#REF!</v>
      </c>
      <c r="M101" s="277" t="e">
        <f>#REF!</f>
        <v>#REF!</v>
      </c>
      <c r="N101" s="277" t="e">
        <f>#REF!</f>
        <v>#REF!</v>
      </c>
      <c r="O101" s="277" t="e">
        <f>#REF!</f>
        <v>#REF!</v>
      </c>
      <c r="P101" s="277" t="e">
        <f>#REF!</f>
        <v>#REF!</v>
      </c>
      <c r="Q101" s="277" t="e">
        <f>#REF!</f>
        <v>#REF!</v>
      </c>
      <c r="R101" s="277" t="e">
        <f>#REF!</f>
        <v>#REF!</v>
      </c>
      <c r="S101" s="277" t="e">
        <f>#REF!</f>
        <v>#REF!</v>
      </c>
      <c r="T101" s="281" t="e">
        <f>#REF!</f>
        <v>#REF!</v>
      </c>
      <c r="U101" s="281" t="e">
        <f>#REF!</f>
        <v>#REF!</v>
      </c>
      <c r="V101" s="281" t="e">
        <f>#REF!</f>
        <v>#REF!</v>
      </c>
      <c r="W101" s="281" t="e">
        <f>#REF!</f>
        <v>#REF!</v>
      </c>
      <c r="X101" s="281" t="e">
        <f>#REF!</f>
        <v>#REF!</v>
      </c>
    </row>
    <row r="102" spans="1:24" ht="24.95" customHeight="1">
      <c r="A102" s="274" t="e">
        <f>#REF!</f>
        <v>#REF!</v>
      </c>
      <c r="B102" s="275" t="e">
        <f>#REF!</f>
        <v>#REF!</v>
      </c>
      <c r="C102" s="276" t="e">
        <f>#REF!</f>
        <v>#REF!</v>
      </c>
      <c r="D102" s="277" t="e">
        <f>#REF!</f>
        <v>#REF!</v>
      </c>
      <c r="E102" s="277" t="e">
        <f>#REF!</f>
        <v>#REF!</v>
      </c>
      <c r="F102" s="277" t="e">
        <f>#REF!</f>
        <v>#REF!</v>
      </c>
      <c r="G102" s="277" t="e">
        <f>#REF!</f>
        <v>#REF!</v>
      </c>
      <c r="H102" s="277" t="e">
        <f>#REF!</f>
        <v>#REF!</v>
      </c>
      <c r="I102" s="277" t="e">
        <f>#REF!</f>
        <v>#REF!</v>
      </c>
      <c r="J102" s="277" t="e">
        <f>#REF!</f>
        <v>#REF!</v>
      </c>
      <c r="K102" s="277" t="e">
        <f>#REF!</f>
        <v>#REF!</v>
      </c>
      <c r="L102" s="277" t="e">
        <f>#REF!</f>
        <v>#REF!</v>
      </c>
      <c r="M102" s="277" t="e">
        <f>#REF!</f>
        <v>#REF!</v>
      </c>
      <c r="N102" s="277" t="e">
        <f>#REF!</f>
        <v>#REF!</v>
      </c>
      <c r="O102" s="277" t="e">
        <f>#REF!</f>
        <v>#REF!</v>
      </c>
      <c r="P102" s="277" t="e">
        <f>#REF!</f>
        <v>#REF!</v>
      </c>
      <c r="Q102" s="277" t="e">
        <f>#REF!</f>
        <v>#REF!</v>
      </c>
      <c r="R102" s="277" t="e">
        <f>#REF!</f>
        <v>#REF!</v>
      </c>
      <c r="S102" s="277" t="e">
        <f>#REF!</f>
        <v>#REF!</v>
      </c>
      <c r="T102" s="281" t="e">
        <f>#REF!</f>
        <v>#REF!</v>
      </c>
      <c r="U102" s="281" t="e">
        <f>#REF!</f>
        <v>#REF!</v>
      </c>
      <c r="V102" s="281" t="e">
        <f>#REF!</f>
        <v>#REF!</v>
      </c>
      <c r="W102" s="281" t="e">
        <f>#REF!</f>
        <v>#REF!</v>
      </c>
      <c r="X102" s="281" t="e">
        <f>#REF!</f>
        <v>#REF!</v>
      </c>
    </row>
    <row r="103" spans="1:24" ht="24.95" customHeight="1">
      <c r="A103" s="274" t="e">
        <f>#REF!</f>
        <v>#REF!</v>
      </c>
      <c r="B103" s="275" t="e">
        <f>#REF!</f>
        <v>#REF!</v>
      </c>
      <c r="C103" s="276" t="e">
        <f>#REF!</f>
        <v>#REF!</v>
      </c>
      <c r="D103" s="277" t="e">
        <f>#REF!</f>
        <v>#REF!</v>
      </c>
      <c r="E103" s="277" t="e">
        <f>#REF!</f>
        <v>#REF!</v>
      </c>
      <c r="F103" s="277" t="e">
        <f>#REF!</f>
        <v>#REF!</v>
      </c>
      <c r="G103" s="277" t="e">
        <f>#REF!</f>
        <v>#REF!</v>
      </c>
      <c r="H103" s="277" t="e">
        <f>#REF!</f>
        <v>#REF!</v>
      </c>
      <c r="I103" s="277" t="e">
        <f>#REF!</f>
        <v>#REF!</v>
      </c>
      <c r="J103" s="277" t="e">
        <f>#REF!</f>
        <v>#REF!</v>
      </c>
      <c r="K103" s="277" t="e">
        <f>#REF!</f>
        <v>#REF!</v>
      </c>
      <c r="L103" s="277" t="e">
        <f>#REF!</f>
        <v>#REF!</v>
      </c>
      <c r="M103" s="277" t="e">
        <f>#REF!</f>
        <v>#REF!</v>
      </c>
      <c r="N103" s="277" t="e">
        <f>#REF!</f>
        <v>#REF!</v>
      </c>
      <c r="O103" s="277" t="e">
        <f>#REF!</f>
        <v>#REF!</v>
      </c>
      <c r="P103" s="277" t="e">
        <f>#REF!</f>
        <v>#REF!</v>
      </c>
      <c r="Q103" s="277" t="e">
        <f>#REF!</f>
        <v>#REF!</v>
      </c>
      <c r="R103" s="277" t="e">
        <f>#REF!</f>
        <v>#REF!</v>
      </c>
      <c r="S103" s="277" t="e">
        <f>#REF!</f>
        <v>#REF!</v>
      </c>
      <c r="T103" s="281" t="e">
        <f>#REF!</f>
        <v>#REF!</v>
      </c>
      <c r="U103" s="281" t="e">
        <f>#REF!</f>
        <v>#REF!</v>
      </c>
      <c r="V103" s="281" t="e">
        <f>#REF!</f>
        <v>#REF!</v>
      </c>
      <c r="W103" s="281" t="e">
        <f>#REF!</f>
        <v>#REF!</v>
      </c>
      <c r="X103" s="281" t="e">
        <f>#REF!</f>
        <v>#REF!</v>
      </c>
    </row>
    <row r="104" spans="1:24" ht="24.95" customHeight="1">
      <c r="A104" s="274" t="e">
        <f>#REF!</f>
        <v>#REF!</v>
      </c>
      <c r="B104" s="275" t="e">
        <f>#REF!</f>
        <v>#REF!</v>
      </c>
      <c r="C104" s="276" t="e">
        <f>#REF!</f>
        <v>#REF!</v>
      </c>
      <c r="D104" s="277" t="e">
        <f>#REF!</f>
        <v>#REF!</v>
      </c>
      <c r="E104" s="277" t="e">
        <f>#REF!</f>
        <v>#REF!</v>
      </c>
      <c r="F104" s="277" t="e">
        <f>#REF!</f>
        <v>#REF!</v>
      </c>
      <c r="G104" s="277" t="e">
        <f>#REF!</f>
        <v>#REF!</v>
      </c>
      <c r="H104" s="277" t="e">
        <f>#REF!</f>
        <v>#REF!</v>
      </c>
      <c r="I104" s="277" t="e">
        <f>#REF!</f>
        <v>#REF!</v>
      </c>
      <c r="J104" s="277" t="e">
        <f>#REF!</f>
        <v>#REF!</v>
      </c>
      <c r="K104" s="277" t="e">
        <f>#REF!</f>
        <v>#REF!</v>
      </c>
      <c r="L104" s="277" t="e">
        <f>#REF!</f>
        <v>#REF!</v>
      </c>
      <c r="M104" s="277" t="e">
        <f>#REF!</f>
        <v>#REF!</v>
      </c>
      <c r="N104" s="277" t="e">
        <f>#REF!</f>
        <v>#REF!</v>
      </c>
      <c r="O104" s="277" t="e">
        <f>#REF!</f>
        <v>#REF!</v>
      </c>
      <c r="P104" s="277" t="e">
        <f>#REF!</f>
        <v>#REF!</v>
      </c>
      <c r="Q104" s="277" t="e">
        <f>#REF!</f>
        <v>#REF!</v>
      </c>
      <c r="R104" s="277" t="e">
        <f>#REF!</f>
        <v>#REF!</v>
      </c>
      <c r="S104" s="277" t="e">
        <f>#REF!</f>
        <v>#REF!</v>
      </c>
      <c r="T104" s="281" t="e">
        <f>#REF!</f>
        <v>#REF!</v>
      </c>
      <c r="U104" s="281" t="e">
        <f>#REF!</f>
        <v>#REF!</v>
      </c>
      <c r="V104" s="281" t="e">
        <f>#REF!</f>
        <v>#REF!</v>
      </c>
      <c r="W104" s="281" t="e">
        <f>#REF!</f>
        <v>#REF!</v>
      </c>
      <c r="X104" s="281" t="e">
        <f>#REF!</f>
        <v>#REF!</v>
      </c>
    </row>
    <row r="105" spans="1:24" ht="24.95" customHeight="1">
      <c r="A105" s="274" t="e">
        <f>#REF!</f>
        <v>#REF!</v>
      </c>
      <c r="B105" s="275" t="e">
        <f>#REF!</f>
        <v>#REF!</v>
      </c>
      <c r="C105" s="276" t="e">
        <f>#REF!</f>
        <v>#REF!</v>
      </c>
      <c r="D105" s="277" t="e">
        <f>#REF!</f>
        <v>#REF!</v>
      </c>
      <c r="E105" s="277" t="e">
        <f>#REF!</f>
        <v>#REF!</v>
      </c>
      <c r="F105" s="277" t="e">
        <f>#REF!</f>
        <v>#REF!</v>
      </c>
      <c r="G105" s="277" t="e">
        <f>#REF!</f>
        <v>#REF!</v>
      </c>
      <c r="H105" s="277" t="e">
        <f>#REF!</f>
        <v>#REF!</v>
      </c>
      <c r="I105" s="277" t="e">
        <f>#REF!</f>
        <v>#REF!</v>
      </c>
      <c r="J105" s="277" t="e">
        <f>#REF!</f>
        <v>#REF!</v>
      </c>
      <c r="K105" s="277" t="e">
        <f>#REF!</f>
        <v>#REF!</v>
      </c>
      <c r="L105" s="277" t="e">
        <f>#REF!</f>
        <v>#REF!</v>
      </c>
      <c r="M105" s="277" t="e">
        <f>#REF!</f>
        <v>#REF!</v>
      </c>
      <c r="N105" s="277" t="e">
        <f>#REF!</f>
        <v>#REF!</v>
      </c>
      <c r="O105" s="277" t="e">
        <f>#REF!</f>
        <v>#REF!</v>
      </c>
      <c r="P105" s="277" t="e">
        <f>#REF!</f>
        <v>#REF!</v>
      </c>
      <c r="Q105" s="277" t="e">
        <f>#REF!</f>
        <v>#REF!</v>
      </c>
      <c r="R105" s="277" t="e">
        <f>#REF!</f>
        <v>#REF!</v>
      </c>
      <c r="S105" s="277" t="e">
        <f>#REF!</f>
        <v>#REF!</v>
      </c>
      <c r="T105" s="281" t="e">
        <f>#REF!</f>
        <v>#REF!</v>
      </c>
      <c r="U105" s="281" t="e">
        <f>#REF!</f>
        <v>#REF!</v>
      </c>
      <c r="V105" s="281" t="e">
        <f>#REF!</f>
        <v>#REF!</v>
      </c>
      <c r="W105" s="281" t="e">
        <f>#REF!</f>
        <v>#REF!</v>
      </c>
      <c r="X105" s="281" t="e">
        <f>#REF!</f>
        <v>#REF!</v>
      </c>
    </row>
    <row r="106" spans="1:24" ht="24.95" customHeight="1">
      <c r="A106" s="274" t="e">
        <f>#REF!</f>
        <v>#REF!</v>
      </c>
      <c r="B106" s="275" t="e">
        <f>#REF!</f>
        <v>#REF!</v>
      </c>
      <c r="C106" s="276" t="e">
        <f>#REF!</f>
        <v>#REF!</v>
      </c>
      <c r="D106" s="277" t="e">
        <f>#REF!</f>
        <v>#REF!</v>
      </c>
      <c r="E106" s="277" t="e">
        <f>#REF!</f>
        <v>#REF!</v>
      </c>
      <c r="F106" s="277" t="e">
        <f>#REF!</f>
        <v>#REF!</v>
      </c>
      <c r="G106" s="277" t="e">
        <f>#REF!</f>
        <v>#REF!</v>
      </c>
      <c r="H106" s="277" t="e">
        <f>#REF!</f>
        <v>#REF!</v>
      </c>
      <c r="I106" s="277" t="e">
        <f>#REF!</f>
        <v>#REF!</v>
      </c>
      <c r="J106" s="277" t="e">
        <f>#REF!</f>
        <v>#REF!</v>
      </c>
      <c r="K106" s="277" t="e">
        <f>#REF!</f>
        <v>#REF!</v>
      </c>
      <c r="L106" s="277" t="e">
        <f>#REF!</f>
        <v>#REF!</v>
      </c>
      <c r="M106" s="277" t="e">
        <f>#REF!</f>
        <v>#REF!</v>
      </c>
      <c r="N106" s="277" t="e">
        <f>#REF!</f>
        <v>#REF!</v>
      </c>
      <c r="O106" s="277" t="e">
        <f>#REF!</f>
        <v>#REF!</v>
      </c>
      <c r="P106" s="277" t="e">
        <f>#REF!</f>
        <v>#REF!</v>
      </c>
      <c r="Q106" s="277" t="e">
        <f>#REF!</f>
        <v>#REF!</v>
      </c>
      <c r="R106" s="277" t="e">
        <f>#REF!</f>
        <v>#REF!</v>
      </c>
      <c r="S106" s="277" t="e">
        <f>#REF!</f>
        <v>#REF!</v>
      </c>
      <c r="T106" s="281" t="e">
        <f>#REF!</f>
        <v>#REF!</v>
      </c>
      <c r="U106" s="281" t="e">
        <f>#REF!</f>
        <v>#REF!</v>
      </c>
      <c r="V106" s="281" t="e">
        <f>#REF!</f>
        <v>#REF!</v>
      </c>
      <c r="W106" s="281" t="e">
        <f>#REF!</f>
        <v>#REF!</v>
      </c>
      <c r="X106" s="281" t="e">
        <f>#REF!</f>
        <v>#REF!</v>
      </c>
    </row>
    <row r="107" spans="1:24" ht="24.95" customHeight="1">
      <c r="A107" s="274" t="e">
        <f>#REF!</f>
        <v>#REF!</v>
      </c>
      <c r="B107" s="275" t="e">
        <f>#REF!</f>
        <v>#REF!</v>
      </c>
      <c r="C107" s="276" t="e">
        <f>#REF!</f>
        <v>#REF!</v>
      </c>
      <c r="D107" s="277" t="e">
        <f>#REF!</f>
        <v>#REF!</v>
      </c>
      <c r="E107" s="277" t="e">
        <f>#REF!</f>
        <v>#REF!</v>
      </c>
      <c r="F107" s="277" t="e">
        <f>#REF!</f>
        <v>#REF!</v>
      </c>
      <c r="G107" s="277" t="e">
        <f>#REF!</f>
        <v>#REF!</v>
      </c>
      <c r="H107" s="277" t="e">
        <f>#REF!</f>
        <v>#REF!</v>
      </c>
      <c r="I107" s="277" t="e">
        <f>#REF!</f>
        <v>#REF!</v>
      </c>
      <c r="J107" s="277" t="e">
        <f>#REF!</f>
        <v>#REF!</v>
      </c>
      <c r="K107" s="277" t="e">
        <f>#REF!</f>
        <v>#REF!</v>
      </c>
      <c r="L107" s="277" t="e">
        <f>#REF!</f>
        <v>#REF!</v>
      </c>
      <c r="M107" s="277" t="e">
        <f>#REF!</f>
        <v>#REF!</v>
      </c>
      <c r="N107" s="277" t="e">
        <f>#REF!</f>
        <v>#REF!</v>
      </c>
      <c r="O107" s="277" t="e">
        <f>#REF!</f>
        <v>#REF!</v>
      </c>
      <c r="P107" s="277" t="e">
        <f>#REF!</f>
        <v>#REF!</v>
      </c>
      <c r="Q107" s="277" t="e">
        <f>#REF!</f>
        <v>#REF!</v>
      </c>
      <c r="R107" s="277" t="e">
        <f>#REF!</f>
        <v>#REF!</v>
      </c>
      <c r="S107" s="277" t="e">
        <f>#REF!</f>
        <v>#REF!</v>
      </c>
      <c r="T107" s="281" t="e">
        <f>#REF!</f>
        <v>#REF!</v>
      </c>
      <c r="U107" s="281" t="e">
        <f>#REF!</f>
        <v>#REF!</v>
      </c>
      <c r="V107" s="281" t="e">
        <f>#REF!</f>
        <v>#REF!</v>
      </c>
      <c r="W107" s="281" t="e">
        <f>#REF!</f>
        <v>#REF!</v>
      </c>
      <c r="X107" s="281" t="e">
        <f>#REF!</f>
        <v>#REF!</v>
      </c>
    </row>
    <row r="108" spans="1:24" ht="24.95" customHeight="1">
      <c r="A108" s="274" t="e">
        <f>#REF!</f>
        <v>#REF!</v>
      </c>
      <c r="B108" s="275" t="e">
        <f>#REF!</f>
        <v>#REF!</v>
      </c>
      <c r="C108" s="276" t="e">
        <f>#REF!</f>
        <v>#REF!</v>
      </c>
      <c r="D108" s="277" t="e">
        <f>#REF!</f>
        <v>#REF!</v>
      </c>
      <c r="E108" s="277" t="e">
        <f>#REF!</f>
        <v>#REF!</v>
      </c>
      <c r="F108" s="277" t="e">
        <f>#REF!</f>
        <v>#REF!</v>
      </c>
      <c r="G108" s="277" t="e">
        <f>#REF!</f>
        <v>#REF!</v>
      </c>
      <c r="H108" s="277" t="e">
        <f>#REF!</f>
        <v>#REF!</v>
      </c>
      <c r="I108" s="277" t="e">
        <f>#REF!</f>
        <v>#REF!</v>
      </c>
      <c r="J108" s="277" t="e">
        <f>#REF!</f>
        <v>#REF!</v>
      </c>
      <c r="K108" s="277" t="e">
        <f>#REF!</f>
        <v>#REF!</v>
      </c>
      <c r="L108" s="277" t="e">
        <f>#REF!</f>
        <v>#REF!</v>
      </c>
      <c r="M108" s="277" t="e">
        <f>#REF!</f>
        <v>#REF!</v>
      </c>
      <c r="N108" s="277" t="e">
        <f>#REF!</f>
        <v>#REF!</v>
      </c>
      <c r="O108" s="277" t="e">
        <f>#REF!</f>
        <v>#REF!</v>
      </c>
      <c r="P108" s="277" t="e">
        <f>#REF!</f>
        <v>#REF!</v>
      </c>
      <c r="Q108" s="277" t="e">
        <f>#REF!</f>
        <v>#REF!</v>
      </c>
      <c r="R108" s="277" t="e">
        <f>#REF!</f>
        <v>#REF!</v>
      </c>
      <c r="S108" s="277" t="e">
        <f>#REF!</f>
        <v>#REF!</v>
      </c>
      <c r="T108" s="281" t="e">
        <f>#REF!</f>
        <v>#REF!</v>
      </c>
      <c r="U108" s="281" t="e">
        <f>#REF!</f>
        <v>#REF!</v>
      </c>
      <c r="V108" s="281" t="e">
        <f>#REF!</f>
        <v>#REF!</v>
      </c>
      <c r="W108" s="281" t="e">
        <f>#REF!</f>
        <v>#REF!</v>
      </c>
      <c r="X108" s="281" t="e">
        <f>#REF!</f>
        <v>#REF!</v>
      </c>
    </row>
    <row r="109" spans="1:24" ht="24.95" customHeight="1">
      <c r="A109" s="274" t="e">
        <f>#REF!</f>
        <v>#REF!</v>
      </c>
      <c r="B109" s="275" t="e">
        <f>#REF!</f>
        <v>#REF!</v>
      </c>
      <c r="C109" s="276" t="e">
        <f>#REF!</f>
        <v>#REF!</v>
      </c>
      <c r="D109" s="277" t="e">
        <f>#REF!</f>
        <v>#REF!</v>
      </c>
      <c r="E109" s="277" t="e">
        <f>#REF!</f>
        <v>#REF!</v>
      </c>
      <c r="F109" s="277" t="e">
        <f>#REF!</f>
        <v>#REF!</v>
      </c>
      <c r="G109" s="277" t="e">
        <f>#REF!</f>
        <v>#REF!</v>
      </c>
      <c r="H109" s="277" t="e">
        <f>#REF!</f>
        <v>#REF!</v>
      </c>
      <c r="I109" s="277" t="e">
        <f>#REF!</f>
        <v>#REF!</v>
      </c>
      <c r="J109" s="277" t="e">
        <f>#REF!</f>
        <v>#REF!</v>
      </c>
      <c r="K109" s="277" t="e">
        <f>#REF!</f>
        <v>#REF!</v>
      </c>
      <c r="L109" s="277" t="e">
        <f>#REF!</f>
        <v>#REF!</v>
      </c>
      <c r="M109" s="277" t="e">
        <f>#REF!</f>
        <v>#REF!</v>
      </c>
      <c r="N109" s="277" t="e">
        <f>#REF!</f>
        <v>#REF!</v>
      </c>
      <c r="O109" s="277" t="e">
        <f>#REF!</f>
        <v>#REF!</v>
      </c>
      <c r="P109" s="277" t="e">
        <f>#REF!</f>
        <v>#REF!</v>
      </c>
      <c r="Q109" s="277" t="e">
        <f>#REF!</f>
        <v>#REF!</v>
      </c>
      <c r="R109" s="277" t="e">
        <f>#REF!</f>
        <v>#REF!</v>
      </c>
      <c r="S109" s="277" t="e">
        <f>#REF!</f>
        <v>#REF!</v>
      </c>
      <c r="T109" s="281" t="e">
        <f>#REF!</f>
        <v>#REF!</v>
      </c>
      <c r="U109" s="281" t="e">
        <f>#REF!</f>
        <v>#REF!</v>
      </c>
      <c r="V109" s="281" t="e">
        <f>#REF!</f>
        <v>#REF!</v>
      </c>
      <c r="W109" s="281" t="e">
        <f>#REF!</f>
        <v>#REF!</v>
      </c>
      <c r="X109" s="281" t="e">
        <f>#REF!</f>
        <v>#REF!</v>
      </c>
    </row>
    <row r="110" spans="1:24" ht="24.95" customHeight="1">
      <c r="A110" s="274" t="e">
        <f>#REF!</f>
        <v>#REF!</v>
      </c>
      <c r="B110" s="275" t="e">
        <f>#REF!</f>
        <v>#REF!</v>
      </c>
      <c r="C110" s="276" t="e">
        <f>#REF!</f>
        <v>#REF!</v>
      </c>
      <c r="D110" s="277" t="e">
        <f>#REF!</f>
        <v>#REF!</v>
      </c>
      <c r="E110" s="277" t="e">
        <f>#REF!</f>
        <v>#REF!</v>
      </c>
      <c r="F110" s="277" t="e">
        <f>#REF!</f>
        <v>#REF!</v>
      </c>
      <c r="G110" s="277" t="e">
        <f>#REF!</f>
        <v>#REF!</v>
      </c>
      <c r="H110" s="277" t="e">
        <f>#REF!</f>
        <v>#REF!</v>
      </c>
      <c r="I110" s="277" t="e">
        <f>#REF!</f>
        <v>#REF!</v>
      </c>
      <c r="J110" s="277" t="e">
        <f>#REF!</f>
        <v>#REF!</v>
      </c>
      <c r="K110" s="277" t="e">
        <f>#REF!</f>
        <v>#REF!</v>
      </c>
      <c r="L110" s="277" t="e">
        <f>#REF!</f>
        <v>#REF!</v>
      </c>
      <c r="M110" s="277" t="e">
        <f>#REF!</f>
        <v>#REF!</v>
      </c>
      <c r="N110" s="277" t="e">
        <f>#REF!</f>
        <v>#REF!</v>
      </c>
      <c r="O110" s="277" t="e">
        <f>#REF!</f>
        <v>#REF!</v>
      </c>
      <c r="P110" s="277" t="e">
        <f>#REF!</f>
        <v>#REF!</v>
      </c>
      <c r="Q110" s="277" t="e">
        <f>#REF!</f>
        <v>#REF!</v>
      </c>
      <c r="R110" s="277" t="e">
        <f>#REF!</f>
        <v>#REF!</v>
      </c>
      <c r="S110" s="277" t="e">
        <f>#REF!</f>
        <v>#REF!</v>
      </c>
      <c r="T110" s="281" t="e">
        <f>#REF!</f>
        <v>#REF!</v>
      </c>
      <c r="U110" s="281" t="e">
        <f>#REF!</f>
        <v>#REF!</v>
      </c>
      <c r="V110" s="281" t="e">
        <f>#REF!</f>
        <v>#REF!</v>
      </c>
      <c r="W110" s="281" t="e">
        <f>#REF!</f>
        <v>#REF!</v>
      </c>
      <c r="X110" s="281" t="e">
        <f>#REF!</f>
        <v>#REF!</v>
      </c>
    </row>
    <row r="111" spans="1:24" ht="24.95" customHeight="1">
      <c r="A111" s="274" t="e">
        <f>#REF!</f>
        <v>#REF!</v>
      </c>
      <c r="B111" s="275" t="e">
        <f>#REF!</f>
        <v>#REF!</v>
      </c>
      <c r="C111" s="276" t="e">
        <f>#REF!</f>
        <v>#REF!</v>
      </c>
      <c r="D111" s="277" t="e">
        <f>#REF!</f>
        <v>#REF!</v>
      </c>
      <c r="E111" s="277" t="e">
        <f>#REF!</f>
        <v>#REF!</v>
      </c>
      <c r="F111" s="277" t="e">
        <f>#REF!</f>
        <v>#REF!</v>
      </c>
      <c r="G111" s="277" t="e">
        <f>#REF!</f>
        <v>#REF!</v>
      </c>
      <c r="H111" s="277" t="e">
        <f>#REF!</f>
        <v>#REF!</v>
      </c>
      <c r="I111" s="277" t="e">
        <f>#REF!</f>
        <v>#REF!</v>
      </c>
      <c r="J111" s="277" t="e">
        <f>#REF!</f>
        <v>#REF!</v>
      </c>
      <c r="K111" s="277" t="e">
        <f>#REF!</f>
        <v>#REF!</v>
      </c>
      <c r="L111" s="277" t="e">
        <f>#REF!</f>
        <v>#REF!</v>
      </c>
      <c r="M111" s="277" t="e">
        <f>#REF!</f>
        <v>#REF!</v>
      </c>
      <c r="N111" s="277" t="e">
        <f>#REF!</f>
        <v>#REF!</v>
      </c>
      <c r="O111" s="277" t="e">
        <f>#REF!</f>
        <v>#REF!</v>
      </c>
      <c r="P111" s="277" t="e">
        <f>#REF!</f>
        <v>#REF!</v>
      </c>
      <c r="Q111" s="277" t="e">
        <f>#REF!</f>
        <v>#REF!</v>
      </c>
      <c r="R111" s="277" t="e">
        <f>#REF!</f>
        <v>#REF!</v>
      </c>
      <c r="S111" s="277" t="e">
        <f>#REF!</f>
        <v>#REF!</v>
      </c>
      <c r="T111" s="281" t="e">
        <f>#REF!</f>
        <v>#REF!</v>
      </c>
      <c r="U111" s="281" t="e">
        <f>#REF!</f>
        <v>#REF!</v>
      </c>
      <c r="V111" s="281" t="e">
        <f>#REF!</f>
        <v>#REF!</v>
      </c>
      <c r="W111" s="281" t="e">
        <f>#REF!</f>
        <v>#REF!</v>
      </c>
      <c r="X111" s="281" t="e">
        <f>#REF!</f>
        <v>#REF!</v>
      </c>
    </row>
    <row r="112" spans="1:24" ht="24.95" customHeight="1">
      <c r="A112" s="274" t="e">
        <f>#REF!</f>
        <v>#REF!</v>
      </c>
      <c r="B112" s="275" t="e">
        <f>#REF!</f>
        <v>#REF!</v>
      </c>
      <c r="C112" s="276" t="e">
        <f>#REF!</f>
        <v>#REF!</v>
      </c>
      <c r="D112" s="277" t="e">
        <f>#REF!</f>
        <v>#REF!</v>
      </c>
      <c r="E112" s="277" t="e">
        <f>#REF!</f>
        <v>#REF!</v>
      </c>
      <c r="F112" s="277" t="e">
        <f>#REF!</f>
        <v>#REF!</v>
      </c>
      <c r="G112" s="277" t="e">
        <f>#REF!</f>
        <v>#REF!</v>
      </c>
      <c r="H112" s="277" t="e">
        <f>#REF!</f>
        <v>#REF!</v>
      </c>
      <c r="I112" s="277" t="e">
        <f>#REF!</f>
        <v>#REF!</v>
      </c>
      <c r="J112" s="277" t="e">
        <f>#REF!</f>
        <v>#REF!</v>
      </c>
      <c r="K112" s="277" t="e">
        <f>#REF!</f>
        <v>#REF!</v>
      </c>
      <c r="L112" s="277" t="e">
        <f>#REF!</f>
        <v>#REF!</v>
      </c>
      <c r="M112" s="277" t="e">
        <f>#REF!</f>
        <v>#REF!</v>
      </c>
      <c r="N112" s="277" t="e">
        <f>#REF!</f>
        <v>#REF!</v>
      </c>
      <c r="O112" s="277" t="e">
        <f>#REF!</f>
        <v>#REF!</v>
      </c>
      <c r="P112" s="277" t="e">
        <f>#REF!</f>
        <v>#REF!</v>
      </c>
      <c r="Q112" s="277" t="e">
        <f>#REF!</f>
        <v>#REF!</v>
      </c>
      <c r="R112" s="277" t="e">
        <f>#REF!</f>
        <v>#REF!</v>
      </c>
      <c r="S112" s="277" t="e">
        <f>#REF!</f>
        <v>#REF!</v>
      </c>
      <c r="T112" s="281" t="e">
        <f>#REF!</f>
        <v>#REF!</v>
      </c>
      <c r="U112" s="281" t="e">
        <f>#REF!</f>
        <v>#REF!</v>
      </c>
      <c r="V112" s="281" t="e">
        <f>#REF!</f>
        <v>#REF!</v>
      </c>
      <c r="W112" s="281" t="e">
        <f>#REF!</f>
        <v>#REF!</v>
      </c>
      <c r="X112" s="281" t="e">
        <f>#REF!</f>
        <v>#REF!</v>
      </c>
    </row>
    <row r="113" spans="1:24" ht="24.95" customHeight="1">
      <c r="A113" s="274" t="e">
        <f>#REF!</f>
        <v>#REF!</v>
      </c>
      <c r="B113" s="275" t="e">
        <f>#REF!</f>
        <v>#REF!</v>
      </c>
      <c r="C113" s="276" t="e">
        <f>#REF!</f>
        <v>#REF!</v>
      </c>
      <c r="D113" s="277" t="e">
        <f>#REF!</f>
        <v>#REF!</v>
      </c>
      <c r="E113" s="277" t="e">
        <f>#REF!</f>
        <v>#REF!</v>
      </c>
      <c r="F113" s="277" t="e">
        <f>#REF!</f>
        <v>#REF!</v>
      </c>
      <c r="G113" s="277" t="e">
        <f>#REF!</f>
        <v>#REF!</v>
      </c>
      <c r="H113" s="277" t="e">
        <f>#REF!</f>
        <v>#REF!</v>
      </c>
      <c r="I113" s="277" t="e">
        <f>#REF!</f>
        <v>#REF!</v>
      </c>
      <c r="J113" s="277" t="e">
        <f>#REF!</f>
        <v>#REF!</v>
      </c>
      <c r="K113" s="277" t="e">
        <f>#REF!</f>
        <v>#REF!</v>
      </c>
      <c r="L113" s="277" t="e">
        <f>#REF!</f>
        <v>#REF!</v>
      </c>
      <c r="M113" s="277" t="e">
        <f>#REF!</f>
        <v>#REF!</v>
      </c>
      <c r="N113" s="277" t="e">
        <f>#REF!</f>
        <v>#REF!</v>
      </c>
      <c r="O113" s="277" t="e">
        <f>#REF!</f>
        <v>#REF!</v>
      </c>
      <c r="P113" s="277" t="e">
        <f>#REF!</f>
        <v>#REF!</v>
      </c>
      <c r="Q113" s="277" t="e">
        <f>#REF!</f>
        <v>#REF!</v>
      </c>
      <c r="R113" s="277" t="e">
        <f>#REF!</f>
        <v>#REF!</v>
      </c>
      <c r="S113" s="277" t="e">
        <f>#REF!</f>
        <v>#REF!</v>
      </c>
      <c r="T113" s="281" t="e">
        <f>#REF!</f>
        <v>#REF!</v>
      </c>
      <c r="U113" s="281" t="e">
        <f>#REF!</f>
        <v>#REF!</v>
      </c>
      <c r="V113" s="281" t="e">
        <f>#REF!</f>
        <v>#REF!</v>
      </c>
      <c r="W113" s="281" t="e">
        <f>#REF!</f>
        <v>#REF!</v>
      </c>
      <c r="X113" s="281" t="e">
        <f>#REF!</f>
        <v>#REF!</v>
      </c>
    </row>
    <row r="114" spans="1:24" ht="24.95" customHeight="1">
      <c r="A114" s="274" t="e">
        <f>#REF!</f>
        <v>#REF!</v>
      </c>
      <c r="B114" s="275" t="e">
        <f>#REF!</f>
        <v>#REF!</v>
      </c>
      <c r="C114" s="276" t="e">
        <f>#REF!</f>
        <v>#REF!</v>
      </c>
      <c r="D114" s="277" t="e">
        <f>#REF!</f>
        <v>#REF!</v>
      </c>
      <c r="E114" s="277" t="e">
        <f>#REF!</f>
        <v>#REF!</v>
      </c>
      <c r="F114" s="277" t="e">
        <f>#REF!</f>
        <v>#REF!</v>
      </c>
      <c r="G114" s="277" t="e">
        <f>#REF!</f>
        <v>#REF!</v>
      </c>
      <c r="H114" s="277" t="e">
        <f>#REF!</f>
        <v>#REF!</v>
      </c>
      <c r="I114" s="277" t="e">
        <f>#REF!</f>
        <v>#REF!</v>
      </c>
      <c r="J114" s="277" t="e">
        <f>#REF!</f>
        <v>#REF!</v>
      </c>
      <c r="K114" s="277" t="e">
        <f>#REF!</f>
        <v>#REF!</v>
      </c>
      <c r="L114" s="277" t="e">
        <f>#REF!</f>
        <v>#REF!</v>
      </c>
      <c r="M114" s="277" t="e">
        <f>#REF!</f>
        <v>#REF!</v>
      </c>
      <c r="N114" s="277" t="e">
        <f>#REF!</f>
        <v>#REF!</v>
      </c>
      <c r="O114" s="277" t="e">
        <f>#REF!</f>
        <v>#REF!</v>
      </c>
      <c r="P114" s="277" t="e">
        <f>#REF!</f>
        <v>#REF!</v>
      </c>
      <c r="Q114" s="277" t="e">
        <f>#REF!</f>
        <v>#REF!</v>
      </c>
      <c r="R114" s="277" t="e">
        <f>#REF!</f>
        <v>#REF!</v>
      </c>
      <c r="S114" s="277" t="e">
        <f>#REF!</f>
        <v>#REF!</v>
      </c>
      <c r="T114" s="281" t="e">
        <f>#REF!</f>
        <v>#REF!</v>
      </c>
      <c r="U114" s="281" t="e">
        <f>#REF!</f>
        <v>#REF!</v>
      </c>
      <c r="V114" s="281" t="e">
        <f>#REF!</f>
        <v>#REF!</v>
      </c>
      <c r="W114" s="281" t="e">
        <f>#REF!</f>
        <v>#REF!</v>
      </c>
      <c r="X114" s="281" t="e">
        <f>#REF!</f>
        <v>#REF!</v>
      </c>
    </row>
    <row r="115" spans="1:24" ht="24.95" customHeight="1">
      <c r="A115" s="274" t="e">
        <f>#REF!</f>
        <v>#REF!</v>
      </c>
      <c r="B115" s="275" t="e">
        <f>#REF!</f>
        <v>#REF!</v>
      </c>
      <c r="C115" s="276" t="e">
        <f>#REF!</f>
        <v>#REF!</v>
      </c>
      <c r="D115" s="277" t="e">
        <f>#REF!</f>
        <v>#REF!</v>
      </c>
      <c r="E115" s="277" t="e">
        <f>#REF!</f>
        <v>#REF!</v>
      </c>
      <c r="F115" s="277" t="e">
        <f>#REF!</f>
        <v>#REF!</v>
      </c>
      <c r="G115" s="277" t="e">
        <f>#REF!</f>
        <v>#REF!</v>
      </c>
      <c r="H115" s="277" t="e">
        <f>#REF!</f>
        <v>#REF!</v>
      </c>
      <c r="I115" s="277" t="e">
        <f>#REF!</f>
        <v>#REF!</v>
      </c>
      <c r="J115" s="277" t="e">
        <f>#REF!</f>
        <v>#REF!</v>
      </c>
      <c r="K115" s="277" t="e">
        <f>#REF!</f>
        <v>#REF!</v>
      </c>
      <c r="L115" s="277" t="e">
        <f>#REF!</f>
        <v>#REF!</v>
      </c>
      <c r="M115" s="277" t="e">
        <f>#REF!</f>
        <v>#REF!</v>
      </c>
      <c r="N115" s="277" t="e">
        <f>#REF!</f>
        <v>#REF!</v>
      </c>
      <c r="O115" s="277" t="e">
        <f>#REF!</f>
        <v>#REF!</v>
      </c>
      <c r="P115" s="277" t="e">
        <f>#REF!</f>
        <v>#REF!</v>
      </c>
      <c r="Q115" s="277" t="e">
        <f>#REF!</f>
        <v>#REF!</v>
      </c>
      <c r="R115" s="277" t="e">
        <f>#REF!</f>
        <v>#REF!</v>
      </c>
      <c r="S115" s="277" t="e">
        <f>#REF!</f>
        <v>#REF!</v>
      </c>
      <c r="T115" s="281" t="e">
        <f>#REF!</f>
        <v>#REF!</v>
      </c>
      <c r="U115" s="281" t="e">
        <f>#REF!</f>
        <v>#REF!</v>
      </c>
      <c r="V115" s="281" t="e">
        <f>#REF!</f>
        <v>#REF!</v>
      </c>
      <c r="W115" s="281" t="e">
        <f>#REF!</f>
        <v>#REF!</v>
      </c>
      <c r="X115" s="281" t="e">
        <f>#REF!</f>
        <v>#REF!</v>
      </c>
    </row>
    <row r="116" spans="1:24" ht="24.95" customHeight="1">
      <c r="A116" s="274" t="e">
        <f>#REF!</f>
        <v>#REF!</v>
      </c>
      <c r="B116" s="275" t="e">
        <f>#REF!</f>
        <v>#REF!</v>
      </c>
      <c r="C116" s="276" t="e">
        <f>#REF!</f>
        <v>#REF!</v>
      </c>
      <c r="D116" s="277" t="e">
        <f>#REF!</f>
        <v>#REF!</v>
      </c>
      <c r="E116" s="277" t="e">
        <f>#REF!</f>
        <v>#REF!</v>
      </c>
      <c r="F116" s="277" t="e">
        <f>#REF!</f>
        <v>#REF!</v>
      </c>
      <c r="G116" s="277" t="e">
        <f>#REF!</f>
        <v>#REF!</v>
      </c>
      <c r="H116" s="277" t="e">
        <f>#REF!</f>
        <v>#REF!</v>
      </c>
      <c r="I116" s="277" t="e">
        <f>#REF!</f>
        <v>#REF!</v>
      </c>
      <c r="J116" s="277" t="e">
        <f>#REF!</f>
        <v>#REF!</v>
      </c>
      <c r="K116" s="277" t="e">
        <f>#REF!</f>
        <v>#REF!</v>
      </c>
      <c r="L116" s="277" t="e">
        <f>#REF!</f>
        <v>#REF!</v>
      </c>
      <c r="M116" s="277" t="e">
        <f>#REF!</f>
        <v>#REF!</v>
      </c>
      <c r="N116" s="277" t="e">
        <f>#REF!</f>
        <v>#REF!</v>
      </c>
      <c r="O116" s="277" t="e">
        <f>#REF!</f>
        <v>#REF!</v>
      </c>
      <c r="P116" s="277" t="e">
        <f>#REF!</f>
        <v>#REF!</v>
      </c>
      <c r="Q116" s="277" t="e">
        <f>#REF!</f>
        <v>#REF!</v>
      </c>
      <c r="R116" s="277" t="e">
        <f>#REF!</f>
        <v>#REF!</v>
      </c>
      <c r="S116" s="277" t="e">
        <f>#REF!</f>
        <v>#REF!</v>
      </c>
      <c r="T116" s="281" t="e">
        <f>#REF!</f>
        <v>#REF!</v>
      </c>
      <c r="U116" s="281" t="e">
        <f>#REF!</f>
        <v>#REF!</v>
      </c>
      <c r="V116" s="281" t="e">
        <f>#REF!</f>
        <v>#REF!</v>
      </c>
      <c r="W116" s="281" t="e">
        <f>#REF!</f>
        <v>#REF!</v>
      </c>
      <c r="X116" s="281" t="e">
        <f>#REF!</f>
        <v>#REF!</v>
      </c>
    </row>
    <row r="117" spans="1:24" ht="24.95" customHeight="1">
      <c r="A117" s="274" t="e">
        <f>#REF!</f>
        <v>#REF!</v>
      </c>
      <c r="B117" s="275" t="e">
        <f>#REF!</f>
        <v>#REF!</v>
      </c>
      <c r="C117" s="276" t="e">
        <f>#REF!</f>
        <v>#REF!</v>
      </c>
      <c r="D117" s="277" t="e">
        <f>#REF!</f>
        <v>#REF!</v>
      </c>
      <c r="E117" s="277" t="e">
        <f>#REF!</f>
        <v>#REF!</v>
      </c>
      <c r="F117" s="277" t="e">
        <f>#REF!</f>
        <v>#REF!</v>
      </c>
      <c r="G117" s="277" t="e">
        <f>#REF!</f>
        <v>#REF!</v>
      </c>
      <c r="H117" s="277" t="e">
        <f>#REF!</f>
        <v>#REF!</v>
      </c>
      <c r="I117" s="277" t="e">
        <f>#REF!</f>
        <v>#REF!</v>
      </c>
      <c r="J117" s="277" t="e">
        <f>#REF!</f>
        <v>#REF!</v>
      </c>
      <c r="K117" s="277" t="e">
        <f>#REF!</f>
        <v>#REF!</v>
      </c>
      <c r="L117" s="277" t="e">
        <f>#REF!</f>
        <v>#REF!</v>
      </c>
      <c r="M117" s="277" t="e">
        <f>#REF!</f>
        <v>#REF!</v>
      </c>
      <c r="N117" s="277" t="e">
        <f>#REF!</f>
        <v>#REF!</v>
      </c>
      <c r="O117" s="277" t="e">
        <f>#REF!</f>
        <v>#REF!</v>
      </c>
      <c r="P117" s="277" t="e">
        <f>#REF!</f>
        <v>#REF!</v>
      </c>
      <c r="Q117" s="277" t="e">
        <f>#REF!</f>
        <v>#REF!</v>
      </c>
      <c r="R117" s="277" t="e">
        <f>#REF!</f>
        <v>#REF!</v>
      </c>
      <c r="S117" s="277" t="e">
        <f>#REF!</f>
        <v>#REF!</v>
      </c>
      <c r="T117" s="281" t="e">
        <f>#REF!</f>
        <v>#REF!</v>
      </c>
      <c r="U117" s="281" t="e">
        <f>#REF!</f>
        <v>#REF!</v>
      </c>
      <c r="V117" s="281" t="e">
        <f>#REF!</f>
        <v>#REF!</v>
      </c>
      <c r="W117" s="281" t="e">
        <f>#REF!</f>
        <v>#REF!</v>
      </c>
      <c r="X117" s="281" t="e">
        <f>#REF!</f>
        <v>#REF!</v>
      </c>
    </row>
    <row r="118" spans="1:24" ht="24.95" customHeight="1">
      <c r="A118" s="274" t="e">
        <f>#REF!</f>
        <v>#REF!</v>
      </c>
      <c r="B118" s="275" t="e">
        <f>#REF!</f>
        <v>#REF!</v>
      </c>
      <c r="C118" s="276" t="e">
        <f>#REF!</f>
        <v>#REF!</v>
      </c>
      <c r="D118" s="277" t="e">
        <f>#REF!</f>
        <v>#REF!</v>
      </c>
      <c r="E118" s="277" t="e">
        <f>#REF!</f>
        <v>#REF!</v>
      </c>
      <c r="F118" s="277" t="e">
        <f>#REF!</f>
        <v>#REF!</v>
      </c>
      <c r="G118" s="277" t="e">
        <f>#REF!</f>
        <v>#REF!</v>
      </c>
      <c r="H118" s="277" t="e">
        <f>#REF!</f>
        <v>#REF!</v>
      </c>
      <c r="I118" s="277" t="e">
        <f>#REF!</f>
        <v>#REF!</v>
      </c>
      <c r="J118" s="277" t="e">
        <f>#REF!</f>
        <v>#REF!</v>
      </c>
      <c r="K118" s="277" t="e">
        <f>#REF!</f>
        <v>#REF!</v>
      </c>
      <c r="L118" s="277" t="e">
        <f>#REF!</f>
        <v>#REF!</v>
      </c>
      <c r="M118" s="277" t="e">
        <f>#REF!</f>
        <v>#REF!</v>
      </c>
      <c r="N118" s="277" t="e">
        <f>#REF!</f>
        <v>#REF!</v>
      </c>
      <c r="O118" s="277" t="e">
        <f>#REF!</f>
        <v>#REF!</v>
      </c>
      <c r="P118" s="277" t="e">
        <f>#REF!</f>
        <v>#REF!</v>
      </c>
      <c r="Q118" s="277" t="e">
        <f>#REF!</f>
        <v>#REF!</v>
      </c>
      <c r="R118" s="277" t="e">
        <f>#REF!</f>
        <v>#REF!</v>
      </c>
      <c r="S118" s="277" t="e">
        <f>#REF!</f>
        <v>#REF!</v>
      </c>
      <c r="T118" s="281" t="e">
        <f>#REF!</f>
        <v>#REF!</v>
      </c>
      <c r="U118" s="281" t="e">
        <f>#REF!</f>
        <v>#REF!</v>
      </c>
      <c r="V118" s="281" t="e">
        <f>#REF!</f>
        <v>#REF!</v>
      </c>
      <c r="W118" s="281" t="e">
        <f>#REF!</f>
        <v>#REF!</v>
      </c>
      <c r="X118" s="281" t="e">
        <f>#REF!</f>
        <v>#REF!</v>
      </c>
    </row>
    <row r="119" spans="1:24" ht="24.95" customHeight="1">
      <c r="A119" s="274" t="e">
        <f>#REF!</f>
        <v>#REF!</v>
      </c>
      <c r="B119" s="275" t="e">
        <f>#REF!</f>
        <v>#REF!</v>
      </c>
      <c r="C119" s="276" t="e">
        <f>#REF!</f>
        <v>#REF!</v>
      </c>
      <c r="D119" s="277" t="e">
        <f>#REF!</f>
        <v>#REF!</v>
      </c>
      <c r="E119" s="277" t="e">
        <f>#REF!</f>
        <v>#REF!</v>
      </c>
      <c r="F119" s="277" t="e">
        <f>#REF!</f>
        <v>#REF!</v>
      </c>
      <c r="G119" s="277" t="e">
        <f>#REF!</f>
        <v>#REF!</v>
      </c>
      <c r="H119" s="277" t="e">
        <f>#REF!</f>
        <v>#REF!</v>
      </c>
      <c r="I119" s="277" t="e">
        <f>#REF!</f>
        <v>#REF!</v>
      </c>
      <c r="J119" s="277" t="e">
        <f>#REF!</f>
        <v>#REF!</v>
      </c>
      <c r="K119" s="277" t="e">
        <f>#REF!</f>
        <v>#REF!</v>
      </c>
      <c r="L119" s="277" t="e">
        <f>#REF!</f>
        <v>#REF!</v>
      </c>
      <c r="M119" s="277" t="e">
        <f>#REF!</f>
        <v>#REF!</v>
      </c>
      <c r="N119" s="277" t="e">
        <f>#REF!</f>
        <v>#REF!</v>
      </c>
      <c r="O119" s="277" t="e">
        <f>#REF!</f>
        <v>#REF!</v>
      </c>
      <c r="P119" s="277" t="e">
        <f>#REF!</f>
        <v>#REF!</v>
      </c>
      <c r="Q119" s="277" t="e">
        <f>#REF!</f>
        <v>#REF!</v>
      </c>
      <c r="R119" s="277" t="e">
        <f>#REF!</f>
        <v>#REF!</v>
      </c>
      <c r="S119" s="277" t="e">
        <f>#REF!</f>
        <v>#REF!</v>
      </c>
      <c r="T119" s="281" t="e">
        <f>#REF!</f>
        <v>#REF!</v>
      </c>
      <c r="U119" s="281" t="e">
        <f>#REF!</f>
        <v>#REF!</v>
      </c>
      <c r="V119" s="281" t="e">
        <f>#REF!</f>
        <v>#REF!</v>
      </c>
      <c r="W119" s="281" t="e">
        <f>#REF!</f>
        <v>#REF!</v>
      </c>
      <c r="X119" s="281" t="e">
        <f>#REF!</f>
        <v>#REF!</v>
      </c>
    </row>
    <row r="120" spans="1:24" ht="24.95" customHeight="1">
      <c r="A120" s="274" t="e">
        <f>#REF!</f>
        <v>#REF!</v>
      </c>
      <c r="B120" s="275" t="e">
        <f>#REF!</f>
        <v>#REF!</v>
      </c>
      <c r="C120" s="276" t="e">
        <f>#REF!</f>
        <v>#REF!</v>
      </c>
      <c r="D120" s="277" t="e">
        <f>#REF!</f>
        <v>#REF!</v>
      </c>
      <c r="E120" s="277" t="e">
        <f>#REF!</f>
        <v>#REF!</v>
      </c>
      <c r="F120" s="277" t="e">
        <f>#REF!</f>
        <v>#REF!</v>
      </c>
      <c r="G120" s="277" t="e">
        <f>#REF!</f>
        <v>#REF!</v>
      </c>
      <c r="H120" s="277" t="e">
        <f>#REF!</f>
        <v>#REF!</v>
      </c>
      <c r="I120" s="277" t="e">
        <f>#REF!</f>
        <v>#REF!</v>
      </c>
      <c r="J120" s="277" t="e">
        <f>#REF!</f>
        <v>#REF!</v>
      </c>
      <c r="K120" s="277" t="e">
        <f>#REF!</f>
        <v>#REF!</v>
      </c>
      <c r="L120" s="277" t="e">
        <f>#REF!</f>
        <v>#REF!</v>
      </c>
      <c r="M120" s="277" t="e">
        <f>#REF!</f>
        <v>#REF!</v>
      </c>
      <c r="N120" s="277" t="e">
        <f>#REF!</f>
        <v>#REF!</v>
      </c>
      <c r="O120" s="277" t="e">
        <f>#REF!</f>
        <v>#REF!</v>
      </c>
      <c r="P120" s="277" t="e">
        <f>#REF!</f>
        <v>#REF!</v>
      </c>
      <c r="Q120" s="277" t="e">
        <f>#REF!</f>
        <v>#REF!</v>
      </c>
      <c r="R120" s="277" t="e">
        <f>#REF!</f>
        <v>#REF!</v>
      </c>
      <c r="S120" s="277" t="e">
        <f>#REF!</f>
        <v>#REF!</v>
      </c>
      <c r="T120" s="281" t="e">
        <f>#REF!</f>
        <v>#REF!</v>
      </c>
      <c r="U120" s="281" t="e">
        <f>#REF!</f>
        <v>#REF!</v>
      </c>
      <c r="V120" s="281" t="e">
        <f>#REF!</f>
        <v>#REF!</v>
      </c>
      <c r="W120" s="281" t="e">
        <f>#REF!</f>
        <v>#REF!</v>
      </c>
      <c r="X120" s="281" t="e">
        <f>#REF!</f>
        <v>#REF!</v>
      </c>
    </row>
    <row r="121" spans="1:24" ht="24.95" customHeight="1">
      <c r="A121" s="274" t="e">
        <f>#REF!</f>
        <v>#REF!</v>
      </c>
      <c r="B121" s="275" t="e">
        <f>#REF!</f>
        <v>#REF!</v>
      </c>
      <c r="C121" s="276" t="e">
        <f>#REF!</f>
        <v>#REF!</v>
      </c>
      <c r="D121" s="277" t="e">
        <f>#REF!</f>
        <v>#REF!</v>
      </c>
      <c r="E121" s="277" t="e">
        <f>#REF!</f>
        <v>#REF!</v>
      </c>
      <c r="F121" s="277" t="e">
        <f>#REF!</f>
        <v>#REF!</v>
      </c>
      <c r="G121" s="277" t="e">
        <f>#REF!</f>
        <v>#REF!</v>
      </c>
      <c r="H121" s="277" t="e">
        <f>#REF!</f>
        <v>#REF!</v>
      </c>
      <c r="I121" s="277" t="e">
        <f>#REF!</f>
        <v>#REF!</v>
      </c>
      <c r="J121" s="277" t="e">
        <f>#REF!</f>
        <v>#REF!</v>
      </c>
      <c r="K121" s="277" t="e">
        <f>#REF!</f>
        <v>#REF!</v>
      </c>
      <c r="L121" s="277" t="e">
        <f>#REF!</f>
        <v>#REF!</v>
      </c>
      <c r="M121" s="277" t="e">
        <f>#REF!</f>
        <v>#REF!</v>
      </c>
      <c r="N121" s="277" t="e">
        <f>#REF!</f>
        <v>#REF!</v>
      </c>
      <c r="O121" s="277" t="e">
        <f>#REF!</f>
        <v>#REF!</v>
      </c>
      <c r="P121" s="277" t="e">
        <f>#REF!</f>
        <v>#REF!</v>
      </c>
      <c r="Q121" s="277" t="e">
        <f>#REF!</f>
        <v>#REF!</v>
      </c>
      <c r="R121" s="277" t="e">
        <f>#REF!</f>
        <v>#REF!</v>
      </c>
      <c r="S121" s="277" t="e">
        <f>#REF!</f>
        <v>#REF!</v>
      </c>
      <c r="T121" s="281" t="e">
        <f>#REF!</f>
        <v>#REF!</v>
      </c>
      <c r="U121" s="281" t="e">
        <f>#REF!</f>
        <v>#REF!</v>
      </c>
      <c r="V121" s="281" t="e">
        <f>#REF!</f>
        <v>#REF!</v>
      </c>
      <c r="W121" s="281" t="e">
        <f>#REF!</f>
        <v>#REF!</v>
      </c>
      <c r="X121" s="281" t="e">
        <f>#REF!</f>
        <v>#REF!</v>
      </c>
    </row>
    <row r="122" spans="1:24" ht="24.95" customHeight="1">
      <c r="A122" s="274" t="e">
        <f>#REF!</f>
        <v>#REF!</v>
      </c>
      <c r="B122" s="275" t="e">
        <f>#REF!</f>
        <v>#REF!</v>
      </c>
      <c r="C122" s="276" t="e">
        <f>#REF!</f>
        <v>#REF!</v>
      </c>
      <c r="D122" s="277" t="e">
        <f>#REF!</f>
        <v>#REF!</v>
      </c>
      <c r="E122" s="277" t="e">
        <f>#REF!</f>
        <v>#REF!</v>
      </c>
      <c r="F122" s="277" t="e">
        <f>#REF!</f>
        <v>#REF!</v>
      </c>
      <c r="G122" s="277" t="e">
        <f>#REF!</f>
        <v>#REF!</v>
      </c>
      <c r="H122" s="277" t="e">
        <f>#REF!</f>
        <v>#REF!</v>
      </c>
      <c r="I122" s="277" t="e">
        <f>#REF!</f>
        <v>#REF!</v>
      </c>
      <c r="J122" s="277" t="e">
        <f>#REF!</f>
        <v>#REF!</v>
      </c>
      <c r="K122" s="277" t="e">
        <f>#REF!</f>
        <v>#REF!</v>
      </c>
      <c r="L122" s="277" t="e">
        <f>#REF!</f>
        <v>#REF!</v>
      </c>
      <c r="M122" s="277" t="e">
        <f>#REF!</f>
        <v>#REF!</v>
      </c>
      <c r="N122" s="277" t="e">
        <f>#REF!</f>
        <v>#REF!</v>
      </c>
      <c r="O122" s="277" t="e">
        <f>#REF!</f>
        <v>#REF!</v>
      </c>
      <c r="P122" s="277" t="e">
        <f>#REF!</f>
        <v>#REF!</v>
      </c>
      <c r="Q122" s="277" t="e">
        <f>#REF!</f>
        <v>#REF!</v>
      </c>
      <c r="R122" s="277" t="e">
        <f>#REF!</f>
        <v>#REF!</v>
      </c>
      <c r="S122" s="277" t="e">
        <f>#REF!</f>
        <v>#REF!</v>
      </c>
      <c r="T122" s="281" t="e">
        <f>#REF!</f>
        <v>#REF!</v>
      </c>
      <c r="U122" s="281" t="e">
        <f>#REF!</f>
        <v>#REF!</v>
      </c>
      <c r="V122" s="281" t="e">
        <f>#REF!</f>
        <v>#REF!</v>
      </c>
      <c r="W122" s="281" t="e">
        <f>#REF!</f>
        <v>#REF!</v>
      </c>
      <c r="X122" s="281" t="e">
        <f>#REF!</f>
        <v>#REF!</v>
      </c>
    </row>
    <row r="123" spans="1:24" ht="24.95" customHeight="1">
      <c r="A123" s="274" t="e">
        <f>#REF!</f>
        <v>#REF!</v>
      </c>
      <c r="B123" s="275" t="e">
        <f>#REF!</f>
        <v>#REF!</v>
      </c>
      <c r="C123" s="276" t="e">
        <f>#REF!</f>
        <v>#REF!</v>
      </c>
      <c r="D123" s="277" t="e">
        <f>#REF!</f>
        <v>#REF!</v>
      </c>
      <c r="E123" s="277" t="e">
        <f>#REF!</f>
        <v>#REF!</v>
      </c>
      <c r="F123" s="277" t="e">
        <f>#REF!</f>
        <v>#REF!</v>
      </c>
      <c r="G123" s="277" t="e">
        <f>#REF!</f>
        <v>#REF!</v>
      </c>
      <c r="H123" s="277" t="e">
        <f>#REF!</f>
        <v>#REF!</v>
      </c>
      <c r="I123" s="277" t="e">
        <f>#REF!</f>
        <v>#REF!</v>
      </c>
      <c r="J123" s="277" t="e">
        <f>#REF!</f>
        <v>#REF!</v>
      </c>
      <c r="K123" s="277" t="e">
        <f>#REF!</f>
        <v>#REF!</v>
      </c>
      <c r="L123" s="277" t="e">
        <f>#REF!</f>
        <v>#REF!</v>
      </c>
      <c r="M123" s="277" t="e">
        <f>#REF!</f>
        <v>#REF!</v>
      </c>
      <c r="N123" s="277" t="e">
        <f>#REF!</f>
        <v>#REF!</v>
      </c>
      <c r="O123" s="277" t="e">
        <f>#REF!</f>
        <v>#REF!</v>
      </c>
      <c r="P123" s="277" t="e">
        <f>#REF!</f>
        <v>#REF!</v>
      </c>
      <c r="Q123" s="277" t="e">
        <f>#REF!</f>
        <v>#REF!</v>
      </c>
      <c r="R123" s="277" t="e">
        <f>#REF!</f>
        <v>#REF!</v>
      </c>
      <c r="S123" s="277" t="e">
        <f>#REF!</f>
        <v>#REF!</v>
      </c>
      <c r="T123" s="281" t="e">
        <f>#REF!</f>
        <v>#REF!</v>
      </c>
      <c r="U123" s="281" t="e">
        <f>#REF!</f>
        <v>#REF!</v>
      </c>
      <c r="V123" s="281" t="e">
        <f>#REF!</f>
        <v>#REF!</v>
      </c>
      <c r="W123" s="281" t="e">
        <f>#REF!</f>
        <v>#REF!</v>
      </c>
      <c r="X123" s="281" t="e">
        <f>#REF!</f>
        <v>#REF!</v>
      </c>
    </row>
    <row r="124" spans="1:24" ht="24.95" customHeight="1">
      <c r="A124" s="274" t="e">
        <f>#REF!</f>
        <v>#REF!</v>
      </c>
      <c r="B124" s="275" t="e">
        <f>#REF!</f>
        <v>#REF!</v>
      </c>
      <c r="C124" s="276" t="e">
        <f>#REF!</f>
        <v>#REF!</v>
      </c>
      <c r="D124" s="277" t="e">
        <f>#REF!</f>
        <v>#REF!</v>
      </c>
      <c r="E124" s="277" t="e">
        <f>#REF!</f>
        <v>#REF!</v>
      </c>
      <c r="F124" s="277" t="e">
        <f>#REF!</f>
        <v>#REF!</v>
      </c>
      <c r="G124" s="277" t="e">
        <f>#REF!</f>
        <v>#REF!</v>
      </c>
      <c r="H124" s="277" t="e">
        <f>#REF!</f>
        <v>#REF!</v>
      </c>
      <c r="I124" s="277" t="e">
        <f>#REF!</f>
        <v>#REF!</v>
      </c>
      <c r="J124" s="277" t="e">
        <f>#REF!</f>
        <v>#REF!</v>
      </c>
      <c r="K124" s="277" t="e">
        <f>#REF!</f>
        <v>#REF!</v>
      </c>
      <c r="L124" s="277" t="e">
        <f>#REF!</f>
        <v>#REF!</v>
      </c>
      <c r="M124" s="277" t="e">
        <f>#REF!</f>
        <v>#REF!</v>
      </c>
      <c r="N124" s="277" t="e">
        <f>#REF!</f>
        <v>#REF!</v>
      </c>
      <c r="O124" s="277" t="e">
        <f>#REF!</f>
        <v>#REF!</v>
      </c>
      <c r="P124" s="277" t="e">
        <f>#REF!</f>
        <v>#REF!</v>
      </c>
      <c r="Q124" s="277" t="e">
        <f>#REF!</f>
        <v>#REF!</v>
      </c>
      <c r="R124" s="277" t="e">
        <f>#REF!</f>
        <v>#REF!</v>
      </c>
      <c r="S124" s="277" t="e">
        <f>#REF!</f>
        <v>#REF!</v>
      </c>
      <c r="T124" s="281" t="e">
        <f>#REF!</f>
        <v>#REF!</v>
      </c>
      <c r="U124" s="281" t="e">
        <f>#REF!</f>
        <v>#REF!</v>
      </c>
      <c r="V124" s="281" t="e">
        <f>#REF!</f>
        <v>#REF!</v>
      </c>
      <c r="W124" s="281" t="e">
        <f>#REF!</f>
        <v>#REF!</v>
      </c>
      <c r="X124" s="281" t="e">
        <f>#REF!</f>
        <v>#REF!</v>
      </c>
    </row>
    <row r="125" spans="1:24" ht="24.95" customHeight="1">
      <c r="A125" s="274" t="e">
        <f>#REF!</f>
        <v>#REF!</v>
      </c>
      <c r="B125" s="275" t="e">
        <f>#REF!</f>
        <v>#REF!</v>
      </c>
      <c r="C125" s="276" t="e">
        <f>#REF!</f>
        <v>#REF!</v>
      </c>
      <c r="D125" s="277" t="e">
        <f>#REF!</f>
        <v>#REF!</v>
      </c>
      <c r="E125" s="277" t="e">
        <f>#REF!</f>
        <v>#REF!</v>
      </c>
      <c r="F125" s="277" t="e">
        <f>#REF!</f>
        <v>#REF!</v>
      </c>
      <c r="G125" s="277" t="e">
        <f>#REF!</f>
        <v>#REF!</v>
      </c>
      <c r="H125" s="277" t="e">
        <f>#REF!</f>
        <v>#REF!</v>
      </c>
      <c r="I125" s="277" t="e">
        <f>#REF!</f>
        <v>#REF!</v>
      </c>
      <c r="J125" s="277" t="e">
        <f>#REF!</f>
        <v>#REF!</v>
      </c>
      <c r="K125" s="277" t="e">
        <f>#REF!</f>
        <v>#REF!</v>
      </c>
      <c r="L125" s="277" t="e">
        <f>#REF!</f>
        <v>#REF!</v>
      </c>
      <c r="M125" s="277" t="e">
        <f>#REF!</f>
        <v>#REF!</v>
      </c>
      <c r="N125" s="277" t="e">
        <f>#REF!</f>
        <v>#REF!</v>
      </c>
      <c r="O125" s="277" t="e">
        <f>#REF!</f>
        <v>#REF!</v>
      </c>
      <c r="P125" s="277" t="e">
        <f>#REF!</f>
        <v>#REF!</v>
      </c>
      <c r="Q125" s="277" t="e">
        <f>#REF!</f>
        <v>#REF!</v>
      </c>
      <c r="R125" s="277" t="e">
        <f>#REF!</f>
        <v>#REF!</v>
      </c>
      <c r="S125" s="277" t="e">
        <f>#REF!</f>
        <v>#REF!</v>
      </c>
      <c r="T125" s="281" t="e">
        <f>#REF!</f>
        <v>#REF!</v>
      </c>
      <c r="U125" s="281" t="e">
        <f>#REF!</f>
        <v>#REF!</v>
      </c>
      <c r="V125" s="281" t="e">
        <f>#REF!</f>
        <v>#REF!</v>
      </c>
      <c r="W125" s="281" t="e">
        <f>#REF!</f>
        <v>#REF!</v>
      </c>
      <c r="X125" s="281" t="e">
        <f>#REF!</f>
        <v>#REF!</v>
      </c>
    </row>
    <row r="126" spans="1:24" ht="24.95" customHeight="1">
      <c r="A126" s="274" t="e">
        <f>#REF!</f>
        <v>#REF!</v>
      </c>
      <c r="B126" s="275" t="e">
        <f>#REF!</f>
        <v>#REF!</v>
      </c>
      <c r="C126" s="276" t="e">
        <f>#REF!</f>
        <v>#REF!</v>
      </c>
      <c r="D126" s="277" t="e">
        <f>#REF!</f>
        <v>#REF!</v>
      </c>
      <c r="E126" s="277" t="e">
        <f>#REF!</f>
        <v>#REF!</v>
      </c>
      <c r="F126" s="277" t="e">
        <f>#REF!</f>
        <v>#REF!</v>
      </c>
      <c r="G126" s="277" t="e">
        <f>#REF!</f>
        <v>#REF!</v>
      </c>
      <c r="H126" s="277" t="e">
        <f>#REF!</f>
        <v>#REF!</v>
      </c>
      <c r="I126" s="277" t="e">
        <f>#REF!</f>
        <v>#REF!</v>
      </c>
      <c r="J126" s="277" t="e">
        <f>#REF!</f>
        <v>#REF!</v>
      </c>
      <c r="K126" s="277" t="e">
        <f>#REF!</f>
        <v>#REF!</v>
      </c>
      <c r="L126" s="277" t="e">
        <f>#REF!</f>
        <v>#REF!</v>
      </c>
      <c r="M126" s="277" t="e">
        <f>#REF!</f>
        <v>#REF!</v>
      </c>
      <c r="N126" s="277" t="e">
        <f>#REF!</f>
        <v>#REF!</v>
      </c>
      <c r="O126" s="277" t="e">
        <f>#REF!</f>
        <v>#REF!</v>
      </c>
      <c r="P126" s="277" t="e">
        <f>#REF!</f>
        <v>#REF!</v>
      </c>
      <c r="Q126" s="277" t="e">
        <f>#REF!</f>
        <v>#REF!</v>
      </c>
      <c r="R126" s="277" t="e">
        <f>#REF!</f>
        <v>#REF!</v>
      </c>
      <c r="S126" s="277" t="e">
        <f>#REF!</f>
        <v>#REF!</v>
      </c>
      <c r="T126" s="281" t="e">
        <f>#REF!</f>
        <v>#REF!</v>
      </c>
      <c r="U126" s="281" t="e">
        <f>#REF!</f>
        <v>#REF!</v>
      </c>
      <c r="V126" s="281" t="e">
        <f>#REF!</f>
        <v>#REF!</v>
      </c>
      <c r="W126" s="281" t="e">
        <f>#REF!</f>
        <v>#REF!</v>
      </c>
      <c r="X126" s="281" t="e">
        <f>#REF!</f>
        <v>#REF!</v>
      </c>
    </row>
    <row r="127" spans="1:24" ht="24.95" customHeight="1">
      <c r="A127" s="274" t="e">
        <f>#REF!</f>
        <v>#REF!</v>
      </c>
      <c r="B127" s="275" t="e">
        <f>#REF!</f>
        <v>#REF!</v>
      </c>
      <c r="C127" s="276" t="e">
        <f>#REF!</f>
        <v>#REF!</v>
      </c>
      <c r="D127" s="277" t="e">
        <f>#REF!</f>
        <v>#REF!</v>
      </c>
      <c r="E127" s="277" t="e">
        <f>#REF!</f>
        <v>#REF!</v>
      </c>
      <c r="F127" s="277" t="e">
        <f>#REF!</f>
        <v>#REF!</v>
      </c>
      <c r="G127" s="277" t="e">
        <f>#REF!</f>
        <v>#REF!</v>
      </c>
      <c r="H127" s="277" t="e">
        <f>#REF!</f>
        <v>#REF!</v>
      </c>
      <c r="I127" s="277" t="e">
        <f>#REF!</f>
        <v>#REF!</v>
      </c>
      <c r="J127" s="277" t="e">
        <f>#REF!</f>
        <v>#REF!</v>
      </c>
      <c r="K127" s="277" t="e">
        <f>#REF!</f>
        <v>#REF!</v>
      </c>
      <c r="L127" s="277" t="e">
        <f>#REF!</f>
        <v>#REF!</v>
      </c>
      <c r="M127" s="277" t="e">
        <f>#REF!</f>
        <v>#REF!</v>
      </c>
      <c r="N127" s="277" t="e">
        <f>#REF!</f>
        <v>#REF!</v>
      </c>
      <c r="O127" s="277" t="e">
        <f>#REF!</f>
        <v>#REF!</v>
      </c>
      <c r="P127" s="277" t="e">
        <f>#REF!</f>
        <v>#REF!</v>
      </c>
      <c r="Q127" s="277" t="e">
        <f>#REF!</f>
        <v>#REF!</v>
      </c>
      <c r="R127" s="277" t="e">
        <f>#REF!</f>
        <v>#REF!</v>
      </c>
      <c r="S127" s="277" t="e">
        <f>#REF!</f>
        <v>#REF!</v>
      </c>
      <c r="T127" s="281" t="e">
        <f>#REF!</f>
        <v>#REF!</v>
      </c>
      <c r="U127" s="281" t="e">
        <f>#REF!</f>
        <v>#REF!</v>
      </c>
      <c r="V127" s="281" t="e">
        <f>#REF!</f>
        <v>#REF!</v>
      </c>
      <c r="W127" s="281" t="e">
        <f>#REF!</f>
        <v>#REF!</v>
      </c>
      <c r="X127" s="281" t="e">
        <f>#REF!</f>
        <v>#REF!</v>
      </c>
    </row>
    <row r="128" spans="1:24" ht="24.95" customHeight="1">
      <c r="A128" s="274" t="e">
        <f>#REF!</f>
        <v>#REF!</v>
      </c>
      <c r="B128" s="275" t="e">
        <f>#REF!</f>
        <v>#REF!</v>
      </c>
      <c r="C128" s="276" t="e">
        <f>#REF!</f>
        <v>#REF!</v>
      </c>
      <c r="D128" s="277" t="e">
        <f>#REF!</f>
        <v>#REF!</v>
      </c>
      <c r="E128" s="277" t="e">
        <f>#REF!</f>
        <v>#REF!</v>
      </c>
      <c r="F128" s="277" t="e">
        <f>#REF!</f>
        <v>#REF!</v>
      </c>
      <c r="G128" s="277" t="e">
        <f>#REF!</f>
        <v>#REF!</v>
      </c>
      <c r="H128" s="277" t="e">
        <f>#REF!</f>
        <v>#REF!</v>
      </c>
      <c r="I128" s="277" t="e">
        <f>#REF!</f>
        <v>#REF!</v>
      </c>
      <c r="J128" s="277" t="e">
        <f>#REF!</f>
        <v>#REF!</v>
      </c>
      <c r="K128" s="277" t="e">
        <f>#REF!</f>
        <v>#REF!</v>
      </c>
      <c r="L128" s="277" t="e">
        <f>#REF!</f>
        <v>#REF!</v>
      </c>
      <c r="M128" s="277" t="e">
        <f>#REF!</f>
        <v>#REF!</v>
      </c>
      <c r="N128" s="277" t="e">
        <f>#REF!</f>
        <v>#REF!</v>
      </c>
      <c r="O128" s="277" t="e">
        <f>#REF!</f>
        <v>#REF!</v>
      </c>
      <c r="P128" s="277" t="e">
        <f>#REF!</f>
        <v>#REF!</v>
      </c>
      <c r="Q128" s="277" t="e">
        <f>#REF!</f>
        <v>#REF!</v>
      </c>
      <c r="R128" s="277" t="e">
        <f>#REF!</f>
        <v>#REF!</v>
      </c>
      <c r="S128" s="277" t="e">
        <f>#REF!</f>
        <v>#REF!</v>
      </c>
      <c r="T128" s="281" t="e">
        <f>#REF!</f>
        <v>#REF!</v>
      </c>
      <c r="U128" s="281" t="e">
        <f>#REF!</f>
        <v>#REF!</v>
      </c>
      <c r="V128" s="281" t="e">
        <f>#REF!</f>
        <v>#REF!</v>
      </c>
      <c r="W128" s="281" t="e">
        <f>#REF!</f>
        <v>#REF!</v>
      </c>
      <c r="X128" s="281" t="e">
        <f>#REF!</f>
        <v>#REF!</v>
      </c>
    </row>
    <row r="129" spans="1:24" ht="24.95" customHeight="1">
      <c r="A129" s="274" t="e">
        <f>#REF!</f>
        <v>#REF!</v>
      </c>
      <c r="B129" s="275" t="e">
        <f>#REF!</f>
        <v>#REF!</v>
      </c>
      <c r="C129" s="276" t="e">
        <f>#REF!</f>
        <v>#REF!</v>
      </c>
      <c r="D129" s="277" t="e">
        <f>#REF!</f>
        <v>#REF!</v>
      </c>
      <c r="E129" s="277" t="e">
        <f>#REF!</f>
        <v>#REF!</v>
      </c>
      <c r="F129" s="277" t="e">
        <f>#REF!</f>
        <v>#REF!</v>
      </c>
      <c r="G129" s="277" t="e">
        <f>#REF!</f>
        <v>#REF!</v>
      </c>
      <c r="H129" s="277" t="e">
        <f>#REF!</f>
        <v>#REF!</v>
      </c>
      <c r="I129" s="277" t="e">
        <f>#REF!</f>
        <v>#REF!</v>
      </c>
      <c r="J129" s="277" t="e">
        <f>#REF!</f>
        <v>#REF!</v>
      </c>
      <c r="K129" s="277" t="e">
        <f>#REF!</f>
        <v>#REF!</v>
      </c>
      <c r="L129" s="277" t="e">
        <f>#REF!</f>
        <v>#REF!</v>
      </c>
      <c r="M129" s="277" t="e">
        <f>#REF!</f>
        <v>#REF!</v>
      </c>
      <c r="N129" s="277" t="e">
        <f>#REF!</f>
        <v>#REF!</v>
      </c>
      <c r="O129" s="277" t="e">
        <f>#REF!</f>
        <v>#REF!</v>
      </c>
      <c r="P129" s="277" t="e">
        <f>#REF!</f>
        <v>#REF!</v>
      </c>
      <c r="Q129" s="277" t="e">
        <f>#REF!</f>
        <v>#REF!</v>
      </c>
      <c r="R129" s="277" t="e">
        <f>#REF!</f>
        <v>#REF!</v>
      </c>
      <c r="S129" s="277" t="e">
        <f>#REF!</f>
        <v>#REF!</v>
      </c>
      <c r="T129" s="281" t="e">
        <f>#REF!</f>
        <v>#REF!</v>
      </c>
      <c r="U129" s="281" t="e">
        <f>#REF!</f>
        <v>#REF!</v>
      </c>
      <c r="V129" s="281" t="e">
        <f>#REF!</f>
        <v>#REF!</v>
      </c>
      <c r="W129" s="281" t="e">
        <f>#REF!</f>
        <v>#REF!</v>
      </c>
      <c r="X129" s="281" t="e">
        <f>#REF!</f>
        <v>#REF!</v>
      </c>
    </row>
    <row r="130" spans="1:24" ht="24.95" customHeight="1">
      <c r="A130" s="274" t="e">
        <f>#REF!</f>
        <v>#REF!</v>
      </c>
      <c r="B130" s="275" t="e">
        <f>#REF!</f>
        <v>#REF!</v>
      </c>
      <c r="C130" s="276" t="e">
        <f>#REF!</f>
        <v>#REF!</v>
      </c>
      <c r="D130" s="277" t="e">
        <f>#REF!</f>
        <v>#REF!</v>
      </c>
      <c r="E130" s="277" t="e">
        <f>#REF!</f>
        <v>#REF!</v>
      </c>
      <c r="F130" s="277" t="e">
        <f>#REF!</f>
        <v>#REF!</v>
      </c>
      <c r="G130" s="277" t="e">
        <f>#REF!</f>
        <v>#REF!</v>
      </c>
      <c r="H130" s="277" t="e">
        <f>#REF!</f>
        <v>#REF!</v>
      </c>
      <c r="I130" s="277" t="e">
        <f>#REF!</f>
        <v>#REF!</v>
      </c>
      <c r="J130" s="277" t="e">
        <f>#REF!</f>
        <v>#REF!</v>
      </c>
      <c r="K130" s="277" t="e">
        <f>#REF!</f>
        <v>#REF!</v>
      </c>
      <c r="L130" s="277" t="e">
        <f>#REF!</f>
        <v>#REF!</v>
      </c>
      <c r="M130" s="277" t="e">
        <f>#REF!</f>
        <v>#REF!</v>
      </c>
      <c r="N130" s="277" t="e">
        <f>#REF!</f>
        <v>#REF!</v>
      </c>
      <c r="O130" s="277" t="e">
        <f>#REF!</f>
        <v>#REF!</v>
      </c>
      <c r="P130" s="277" t="e">
        <f>#REF!</f>
        <v>#REF!</v>
      </c>
      <c r="Q130" s="277" t="e">
        <f>#REF!</f>
        <v>#REF!</v>
      </c>
      <c r="R130" s="277" t="e">
        <f>#REF!</f>
        <v>#REF!</v>
      </c>
      <c r="S130" s="277" t="e">
        <f>#REF!</f>
        <v>#REF!</v>
      </c>
      <c r="T130" s="281" t="e">
        <f>#REF!</f>
        <v>#REF!</v>
      </c>
      <c r="U130" s="281" t="e">
        <f>#REF!</f>
        <v>#REF!</v>
      </c>
      <c r="V130" s="281" t="e">
        <f>#REF!</f>
        <v>#REF!</v>
      </c>
      <c r="W130" s="281" t="e">
        <f>#REF!</f>
        <v>#REF!</v>
      </c>
      <c r="X130" s="281" t="e">
        <f>#REF!</f>
        <v>#REF!</v>
      </c>
    </row>
    <row r="131" spans="1:24" ht="24.95" customHeight="1">
      <c r="A131" s="274" t="e">
        <f>#REF!</f>
        <v>#REF!</v>
      </c>
      <c r="B131" s="275" t="e">
        <f>#REF!</f>
        <v>#REF!</v>
      </c>
      <c r="C131" s="276" t="e">
        <f>#REF!</f>
        <v>#REF!</v>
      </c>
      <c r="D131" s="277" t="e">
        <f>#REF!</f>
        <v>#REF!</v>
      </c>
      <c r="E131" s="277" t="e">
        <f>#REF!</f>
        <v>#REF!</v>
      </c>
      <c r="F131" s="277" t="e">
        <f>#REF!</f>
        <v>#REF!</v>
      </c>
      <c r="G131" s="277" t="e">
        <f>#REF!</f>
        <v>#REF!</v>
      </c>
      <c r="H131" s="277" t="e">
        <f>#REF!</f>
        <v>#REF!</v>
      </c>
      <c r="I131" s="277" t="e">
        <f>#REF!</f>
        <v>#REF!</v>
      </c>
      <c r="J131" s="277" t="e">
        <f>#REF!</f>
        <v>#REF!</v>
      </c>
      <c r="K131" s="277" t="e">
        <f>#REF!</f>
        <v>#REF!</v>
      </c>
      <c r="L131" s="277" t="e">
        <f>#REF!</f>
        <v>#REF!</v>
      </c>
      <c r="M131" s="277" t="e">
        <f>#REF!</f>
        <v>#REF!</v>
      </c>
      <c r="N131" s="277" t="e">
        <f>#REF!</f>
        <v>#REF!</v>
      </c>
      <c r="O131" s="277" t="e">
        <f>#REF!</f>
        <v>#REF!</v>
      </c>
      <c r="P131" s="277" t="e">
        <f>#REF!</f>
        <v>#REF!</v>
      </c>
      <c r="Q131" s="277" t="e">
        <f>#REF!</f>
        <v>#REF!</v>
      </c>
      <c r="R131" s="277" t="e">
        <f>#REF!</f>
        <v>#REF!</v>
      </c>
      <c r="S131" s="277" t="e">
        <f>#REF!</f>
        <v>#REF!</v>
      </c>
      <c r="T131" s="281" t="e">
        <f>#REF!</f>
        <v>#REF!</v>
      </c>
      <c r="U131" s="281" t="e">
        <f>#REF!</f>
        <v>#REF!</v>
      </c>
      <c r="V131" s="281" t="e">
        <f>#REF!</f>
        <v>#REF!</v>
      </c>
      <c r="W131" s="281" t="e">
        <f>#REF!</f>
        <v>#REF!</v>
      </c>
      <c r="X131" s="281" t="e">
        <f>#REF!</f>
        <v>#REF!</v>
      </c>
    </row>
    <row r="132" spans="1:24" ht="24.95" customHeight="1">
      <c r="A132" s="274" t="e">
        <f>#REF!</f>
        <v>#REF!</v>
      </c>
      <c r="B132" s="275" t="e">
        <f>#REF!</f>
        <v>#REF!</v>
      </c>
      <c r="C132" s="276" t="e">
        <f>#REF!</f>
        <v>#REF!</v>
      </c>
      <c r="D132" s="277" t="e">
        <f>#REF!</f>
        <v>#REF!</v>
      </c>
      <c r="E132" s="277" t="e">
        <f>#REF!</f>
        <v>#REF!</v>
      </c>
      <c r="F132" s="277" t="e">
        <f>#REF!</f>
        <v>#REF!</v>
      </c>
      <c r="G132" s="277" t="e">
        <f>#REF!</f>
        <v>#REF!</v>
      </c>
      <c r="H132" s="277" t="e">
        <f>#REF!</f>
        <v>#REF!</v>
      </c>
      <c r="I132" s="277" t="e">
        <f>#REF!</f>
        <v>#REF!</v>
      </c>
      <c r="J132" s="277" t="e">
        <f>#REF!</f>
        <v>#REF!</v>
      </c>
      <c r="K132" s="277" t="e">
        <f>#REF!</f>
        <v>#REF!</v>
      </c>
      <c r="L132" s="277" t="e">
        <f>#REF!</f>
        <v>#REF!</v>
      </c>
      <c r="M132" s="277" t="e">
        <f>#REF!</f>
        <v>#REF!</v>
      </c>
      <c r="N132" s="277" t="e">
        <f>#REF!</f>
        <v>#REF!</v>
      </c>
      <c r="O132" s="277" t="e">
        <f>#REF!</f>
        <v>#REF!</v>
      </c>
      <c r="P132" s="277" t="e">
        <f>#REF!</f>
        <v>#REF!</v>
      </c>
      <c r="Q132" s="277" t="e">
        <f>#REF!</f>
        <v>#REF!</v>
      </c>
      <c r="R132" s="277" t="e">
        <f>#REF!</f>
        <v>#REF!</v>
      </c>
      <c r="S132" s="277" t="e">
        <f>#REF!</f>
        <v>#REF!</v>
      </c>
      <c r="T132" s="281" t="e">
        <f>#REF!</f>
        <v>#REF!</v>
      </c>
      <c r="U132" s="281" t="e">
        <f>#REF!</f>
        <v>#REF!</v>
      </c>
      <c r="V132" s="281" t="e">
        <f>#REF!</f>
        <v>#REF!</v>
      </c>
      <c r="W132" s="281" t="e">
        <f>#REF!</f>
        <v>#REF!</v>
      </c>
      <c r="X132" s="281" t="e">
        <f>#REF!</f>
        <v>#REF!</v>
      </c>
    </row>
    <row r="133" spans="1:24" ht="24.95" customHeight="1">
      <c r="A133" s="274" t="e">
        <f>#REF!</f>
        <v>#REF!</v>
      </c>
      <c r="B133" s="275" t="e">
        <f>#REF!</f>
        <v>#REF!</v>
      </c>
      <c r="C133" s="276" t="e">
        <f>#REF!</f>
        <v>#REF!</v>
      </c>
      <c r="D133" s="277" t="e">
        <f>#REF!</f>
        <v>#REF!</v>
      </c>
      <c r="E133" s="277" t="e">
        <f>#REF!</f>
        <v>#REF!</v>
      </c>
      <c r="F133" s="277" t="e">
        <f>#REF!</f>
        <v>#REF!</v>
      </c>
      <c r="G133" s="277" t="e">
        <f>#REF!</f>
        <v>#REF!</v>
      </c>
      <c r="H133" s="277" t="e">
        <f>#REF!</f>
        <v>#REF!</v>
      </c>
      <c r="I133" s="277" t="e">
        <f>#REF!</f>
        <v>#REF!</v>
      </c>
      <c r="J133" s="277" t="e">
        <f>#REF!</f>
        <v>#REF!</v>
      </c>
      <c r="K133" s="277" t="e">
        <f>#REF!</f>
        <v>#REF!</v>
      </c>
      <c r="L133" s="277" t="e">
        <f>#REF!</f>
        <v>#REF!</v>
      </c>
      <c r="M133" s="277" t="e">
        <f>#REF!</f>
        <v>#REF!</v>
      </c>
      <c r="N133" s="277" t="e">
        <f>#REF!</f>
        <v>#REF!</v>
      </c>
      <c r="O133" s="277" t="e">
        <f>#REF!</f>
        <v>#REF!</v>
      </c>
      <c r="P133" s="277" t="e">
        <f>#REF!</f>
        <v>#REF!</v>
      </c>
      <c r="Q133" s="277" t="e">
        <f>#REF!</f>
        <v>#REF!</v>
      </c>
      <c r="R133" s="277" t="e">
        <f>#REF!</f>
        <v>#REF!</v>
      </c>
      <c r="S133" s="277" t="e">
        <f>#REF!</f>
        <v>#REF!</v>
      </c>
      <c r="T133" s="281" t="e">
        <f>#REF!</f>
        <v>#REF!</v>
      </c>
      <c r="U133" s="281" t="e">
        <f>#REF!</f>
        <v>#REF!</v>
      </c>
      <c r="V133" s="281" t="e">
        <f>#REF!</f>
        <v>#REF!</v>
      </c>
      <c r="W133" s="281" t="e">
        <f>#REF!</f>
        <v>#REF!</v>
      </c>
      <c r="X133" s="281" t="e">
        <f>#REF!</f>
        <v>#REF!</v>
      </c>
    </row>
    <row r="134" spans="1:24" ht="24.95" customHeight="1">
      <c r="A134" s="274" t="e">
        <f>#REF!</f>
        <v>#REF!</v>
      </c>
      <c r="B134" s="275" t="e">
        <f>#REF!</f>
        <v>#REF!</v>
      </c>
      <c r="C134" s="276" t="e">
        <f>#REF!</f>
        <v>#REF!</v>
      </c>
      <c r="D134" s="277" t="e">
        <f>#REF!</f>
        <v>#REF!</v>
      </c>
      <c r="E134" s="277" t="e">
        <f>#REF!</f>
        <v>#REF!</v>
      </c>
      <c r="F134" s="277" t="e">
        <f>#REF!</f>
        <v>#REF!</v>
      </c>
      <c r="G134" s="277" t="e">
        <f>#REF!</f>
        <v>#REF!</v>
      </c>
      <c r="H134" s="277" t="e">
        <f>#REF!</f>
        <v>#REF!</v>
      </c>
      <c r="I134" s="277" t="e">
        <f>#REF!</f>
        <v>#REF!</v>
      </c>
      <c r="J134" s="277" t="e">
        <f>#REF!</f>
        <v>#REF!</v>
      </c>
      <c r="K134" s="277" t="e">
        <f>#REF!</f>
        <v>#REF!</v>
      </c>
      <c r="L134" s="277" t="e">
        <f>#REF!</f>
        <v>#REF!</v>
      </c>
      <c r="M134" s="277" t="e">
        <f>#REF!</f>
        <v>#REF!</v>
      </c>
      <c r="N134" s="277" t="e">
        <f>#REF!</f>
        <v>#REF!</v>
      </c>
      <c r="O134" s="277" t="e">
        <f>#REF!</f>
        <v>#REF!</v>
      </c>
      <c r="P134" s="277" t="e">
        <f>#REF!</f>
        <v>#REF!</v>
      </c>
      <c r="Q134" s="277" t="e">
        <f>#REF!</f>
        <v>#REF!</v>
      </c>
      <c r="R134" s="277" t="e">
        <f>#REF!</f>
        <v>#REF!</v>
      </c>
      <c r="S134" s="277" t="e">
        <f>#REF!</f>
        <v>#REF!</v>
      </c>
      <c r="T134" s="281" t="e">
        <f>#REF!</f>
        <v>#REF!</v>
      </c>
      <c r="U134" s="281" t="e">
        <f>#REF!</f>
        <v>#REF!</v>
      </c>
      <c r="V134" s="281" t="e">
        <f>#REF!</f>
        <v>#REF!</v>
      </c>
      <c r="W134" s="281" t="e">
        <f>#REF!</f>
        <v>#REF!</v>
      </c>
      <c r="X134" s="281" t="e">
        <f>#REF!</f>
        <v>#REF!</v>
      </c>
    </row>
    <row r="135" spans="1:24" ht="24.95" customHeight="1">
      <c r="A135" s="274" t="e">
        <f>#REF!</f>
        <v>#REF!</v>
      </c>
      <c r="B135" s="275" t="e">
        <f>#REF!</f>
        <v>#REF!</v>
      </c>
      <c r="C135" s="276" t="e">
        <f>#REF!</f>
        <v>#REF!</v>
      </c>
      <c r="D135" s="277" t="e">
        <f>#REF!</f>
        <v>#REF!</v>
      </c>
      <c r="E135" s="277" t="e">
        <f>#REF!</f>
        <v>#REF!</v>
      </c>
      <c r="F135" s="277" t="e">
        <f>#REF!</f>
        <v>#REF!</v>
      </c>
      <c r="G135" s="277" t="e">
        <f>#REF!</f>
        <v>#REF!</v>
      </c>
      <c r="H135" s="277" t="e">
        <f>#REF!</f>
        <v>#REF!</v>
      </c>
      <c r="I135" s="277" t="e">
        <f>#REF!</f>
        <v>#REF!</v>
      </c>
      <c r="J135" s="277" t="e">
        <f>#REF!</f>
        <v>#REF!</v>
      </c>
      <c r="K135" s="277" t="e">
        <f>#REF!</f>
        <v>#REF!</v>
      </c>
      <c r="L135" s="277" t="e">
        <f>#REF!</f>
        <v>#REF!</v>
      </c>
      <c r="M135" s="277" t="e">
        <f>#REF!</f>
        <v>#REF!</v>
      </c>
      <c r="N135" s="277" t="e">
        <f>#REF!</f>
        <v>#REF!</v>
      </c>
      <c r="O135" s="277" t="e">
        <f>#REF!</f>
        <v>#REF!</v>
      </c>
      <c r="P135" s="277" t="e">
        <f>#REF!</f>
        <v>#REF!</v>
      </c>
      <c r="Q135" s="277" t="e">
        <f>#REF!</f>
        <v>#REF!</v>
      </c>
      <c r="R135" s="277" t="e">
        <f>#REF!</f>
        <v>#REF!</v>
      </c>
      <c r="S135" s="277" t="e">
        <f>#REF!</f>
        <v>#REF!</v>
      </c>
      <c r="T135" s="281" t="e">
        <f>#REF!</f>
        <v>#REF!</v>
      </c>
      <c r="U135" s="281" t="e">
        <f>#REF!</f>
        <v>#REF!</v>
      </c>
      <c r="V135" s="281" t="e">
        <f>#REF!</f>
        <v>#REF!</v>
      </c>
      <c r="W135" s="281" t="e">
        <f>#REF!</f>
        <v>#REF!</v>
      </c>
      <c r="X135" s="281" t="e">
        <f>#REF!</f>
        <v>#REF!</v>
      </c>
    </row>
    <row r="136" spans="1:24" ht="24.95" customHeight="1">
      <c r="A136" s="274" t="e">
        <f>#REF!</f>
        <v>#REF!</v>
      </c>
      <c r="B136" s="275" t="e">
        <f>#REF!</f>
        <v>#REF!</v>
      </c>
      <c r="C136" s="276" t="e">
        <f>#REF!</f>
        <v>#REF!</v>
      </c>
      <c r="D136" s="277" t="e">
        <f>#REF!</f>
        <v>#REF!</v>
      </c>
      <c r="E136" s="277" t="e">
        <f>#REF!</f>
        <v>#REF!</v>
      </c>
      <c r="F136" s="277" t="e">
        <f>#REF!</f>
        <v>#REF!</v>
      </c>
      <c r="G136" s="277" t="e">
        <f>#REF!</f>
        <v>#REF!</v>
      </c>
      <c r="H136" s="277" t="e">
        <f>#REF!</f>
        <v>#REF!</v>
      </c>
      <c r="I136" s="277" t="e">
        <f>#REF!</f>
        <v>#REF!</v>
      </c>
      <c r="J136" s="277" t="e">
        <f>#REF!</f>
        <v>#REF!</v>
      </c>
      <c r="K136" s="277" t="e">
        <f>#REF!</f>
        <v>#REF!</v>
      </c>
      <c r="L136" s="277" t="e">
        <f>#REF!</f>
        <v>#REF!</v>
      </c>
      <c r="M136" s="277" t="e">
        <f>#REF!</f>
        <v>#REF!</v>
      </c>
      <c r="N136" s="277" t="e">
        <f>#REF!</f>
        <v>#REF!</v>
      </c>
      <c r="O136" s="277" t="e">
        <f>#REF!</f>
        <v>#REF!</v>
      </c>
      <c r="P136" s="277" t="e">
        <f>#REF!</f>
        <v>#REF!</v>
      </c>
      <c r="Q136" s="277" t="e">
        <f>#REF!</f>
        <v>#REF!</v>
      </c>
      <c r="R136" s="277" t="e">
        <f>#REF!</f>
        <v>#REF!</v>
      </c>
      <c r="S136" s="277" t="e">
        <f>#REF!</f>
        <v>#REF!</v>
      </c>
      <c r="T136" s="281" t="e">
        <f>#REF!</f>
        <v>#REF!</v>
      </c>
      <c r="U136" s="281" t="e">
        <f>#REF!</f>
        <v>#REF!</v>
      </c>
      <c r="V136" s="281" t="e">
        <f>#REF!</f>
        <v>#REF!</v>
      </c>
      <c r="W136" s="281" t="e">
        <f>#REF!</f>
        <v>#REF!</v>
      </c>
      <c r="X136" s="281" t="e">
        <f>#REF!</f>
        <v>#REF!</v>
      </c>
    </row>
    <row r="137" spans="1:24" ht="24.95" customHeight="1">
      <c r="A137" s="274" t="e">
        <f>#REF!</f>
        <v>#REF!</v>
      </c>
      <c r="B137" s="275" t="e">
        <f>#REF!</f>
        <v>#REF!</v>
      </c>
      <c r="C137" s="276" t="e">
        <f>#REF!</f>
        <v>#REF!</v>
      </c>
      <c r="D137" s="277" t="e">
        <f>#REF!</f>
        <v>#REF!</v>
      </c>
      <c r="E137" s="277" t="e">
        <f>#REF!</f>
        <v>#REF!</v>
      </c>
      <c r="F137" s="277" t="e">
        <f>#REF!</f>
        <v>#REF!</v>
      </c>
      <c r="G137" s="277" t="e">
        <f>#REF!</f>
        <v>#REF!</v>
      </c>
      <c r="H137" s="277" t="e">
        <f>#REF!</f>
        <v>#REF!</v>
      </c>
      <c r="I137" s="277" t="e">
        <f>#REF!</f>
        <v>#REF!</v>
      </c>
      <c r="J137" s="277" t="e">
        <f>#REF!</f>
        <v>#REF!</v>
      </c>
      <c r="K137" s="277" t="e">
        <f>#REF!</f>
        <v>#REF!</v>
      </c>
      <c r="L137" s="277" t="e">
        <f>#REF!</f>
        <v>#REF!</v>
      </c>
      <c r="M137" s="277" t="e">
        <f>#REF!</f>
        <v>#REF!</v>
      </c>
      <c r="N137" s="277" t="e">
        <f>#REF!</f>
        <v>#REF!</v>
      </c>
      <c r="O137" s="277" t="e">
        <f>#REF!</f>
        <v>#REF!</v>
      </c>
      <c r="P137" s="277" t="e">
        <f>#REF!</f>
        <v>#REF!</v>
      </c>
      <c r="Q137" s="277" t="e">
        <f>#REF!</f>
        <v>#REF!</v>
      </c>
      <c r="R137" s="277" t="e">
        <f>#REF!</f>
        <v>#REF!</v>
      </c>
      <c r="S137" s="277" t="e">
        <f>#REF!</f>
        <v>#REF!</v>
      </c>
      <c r="T137" s="281" t="e">
        <f>#REF!</f>
        <v>#REF!</v>
      </c>
      <c r="U137" s="281" t="e">
        <f>#REF!</f>
        <v>#REF!</v>
      </c>
      <c r="V137" s="281" t="e">
        <f>#REF!</f>
        <v>#REF!</v>
      </c>
      <c r="W137" s="281" t="e">
        <f>#REF!</f>
        <v>#REF!</v>
      </c>
      <c r="X137" s="281" t="e">
        <f>#REF!</f>
        <v>#REF!</v>
      </c>
    </row>
    <row r="138" spans="1:24" ht="24.95" customHeight="1">
      <c r="A138" s="274" t="e">
        <f>#REF!</f>
        <v>#REF!</v>
      </c>
      <c r="B138" s="275" t="e">
        <f>#REF!</f>
        <v>#REF!</v>
      </c>
      <c r="C138" s="276" t="e">
        <f>#REF!</f>
        <v>#REF!</v>
      </c>
      <c r="D138" s="277" t="e">
        <f>#REF!</f>
        <v>#REF!</v>
      </c>
      <c r="E138" s="277" t="e">
        <f>#REF!</f>
        <v>#REF!</v>
      </c>
      <c r="F138" s="277" t="e">
        <f>#REF!</f>
        <v>#REF!</v>
      </c>
      <c r="G138" s="277" t="e">
        <f>#REF!</f>
        <v>#REF!</v>
      </c>
      <c r="H138" s="277" t="e">
        <f>#REF!</f>
        <v>#REF!</v>
      </c>
      <c r="I138" s="277" t="e">
        <f>#REF!</f>
        <v>#REF!</v>
      </c>
      <c r="J138" s="277" t="e">
        <f>#REF!</f>
        <v>#REF!</v>
      </c>
      <c r="K138" s="277" t="e">
        <f>#REF!</f>
        <v>#REF!</v>
      </c>
      <c r="L138" s="277" t="e">
        <f>#REF!</f>
        <v>#REF!</v>
      </c>
      <c r="M138" s="277" t="e">
        <f>#REF!</f>
        <v>#REF!</v>
      </c>
      <c r="N138" s="277" t="e">
        <f>#REF!</f>
        <v>#REF!</v>
      </c>
      <c r="O138" s="277" t="e">
        <f>#REF!</f>
        <v>#REF!</v>
      </c>
      <c r="P138" s="277" t="e">
        <f>#REF!</f>
        <v>#REF!</v>
      </c>
      <c r="Q138" s="277" t="e">
        <f>#REF!</f>
        <v>#REF!</v>
      </c>
      <c r="R138" s="277" t="e">
        <f>#REF!</f>
        <v>#REF!</v>
      </c>
      <c r="S138" s="277" t="e">
        <f>#REF!</f>
        <v>#REF!</v>
      </c>
      <c r="T138" s="281" t="e">
        <f>#REF!</f>
        <v>#REF!</v>
      </c>
      <c r="U138" s="281" t="e">
        <f>#REF!</f>
        <v>#REF!</v>
      </c>
      <c r="V138" s="281" t="e">
        <f>#REF!</f>
        <v>#REF!</v>
      </c>
      <c r="W138" s="281" t="e">
        <f>#REF!</f>
        <v>#REF!</v>
      </c>
      <c r="X138" s="281" t="e">
        <f>#REF!</f>
        <v>#REF!</v>
      </c>
    </row>
    <row r="139" spans="1:24" ht="24.95" customHeight="1">
      <c r="A139" s="274" t="e">
        <f>#REF!</f>
        <v>#REF!</v>
      </c>
      <c r="B139" s="275" t="e">
        <f>#REF!</f>
        <v>#REF!</v>
      </c>
      <c r="C139" s="276" t="e">
        <f>#REF!</f>
        <v>#REF!</v>
      </c>
      <c r="D139" s="277" t="e">
        <f>#REF!</f>
        <v>#REF!</v>
      </c>
      <c r="E139" s="277" t="e">
        <f>#REF!</f>
        <v>#REF!</v>
      </c>
      <c r="F139" s="277" t="e">
        <f>#REF!</f>
        <v>#REF!</v>
      </c>
      <c r="G139" s="277" t="e">
        <f>#REF!</f>
        <v>#REF!</v>
      </c>
      <c r="H139" s="277" t="e">
        <f>#REF!</f>
        <v>#REF!</v>
      </c>
      <c r="I139" s="277" t="e">
        <f>#REF!</f>
        <v>#REF!</v>
      </c>
      <c r="J139" s="277" t="e">
        <f>#REF!</f>
        <v>#REF!</v>
      </c>
      <c r="K139" s="277" t="e">
        <f>#REF!</f>
        <v>#REF!</v>
      </c>
      <c r="L139" s="277" t="e">
        <f>#REF!</f>
        <v>#REF!</v>
      </c>
      <c r="M139" s="277" t="e">
        <f>#REF!</f>
        <v>#REF!</v>
      </c>
      <c r="N139" s="277" t="e">
        <f>#REF!</f>
        <v>#REF!</v>
      </c>
      <c r="O139" s="277" t="e">
        <f>#REF!</f>
        <v>#REF!</v>
      </c>
      <c r="P139" s="277" t="e">
        <f>#REF!</f>
        <v>#REF!</v>
      </c>
      <c r="Q139" s="277" t="e">
        <f>#REF!</f>
        <v>#REF!</v>
      </c>
      <c r="R139" s="277" t="e">
        <f>#REF!</f>
        <v>#REF!</v>
      </c>
      <c r="S139" s="277" t="e">
        <f>#REF!</f>
        <v>#REF!</v>
      </c>
      <c r="T139" s="281" t="e">
        <f>#REF!</f>
        <v>#REF!</v>
      </c>
      <c r="U139" s="281" t="e">
        <f>#REF!</f>
        <v>#REF!</v>
      </c>
      <c r="V139" s="281" t="e">
        <f>#REF!</f>
        <v>#REF!</v>
      </c>
      <c r="W139" s="281" t="e">
        <f>#REF!</f>
        <v>#REF!</v>
      </c>
      <c r="X139" s="281" t="e">
        <f>#REF!</f>
        <v>#REF!</v>
      </c>
    </row>
    <row r="140" spans="1:24">
      <c r="A140" s="274" t="e">
        <f>#REF!</f>
        <v>#REF!</v>
      </c>
      <c r="B140" s="275" t="e">
        <f>#REF!</f>
        <v>#REF!</v>
      </c>
      <c r="C140" s="276" t="e">
        <f>#REF!</f>
        <v>#REF!</v>
      </c>
      <c r="D140" s="277" t="e">
        <f>#REF!</f>
        <v>#REF!</v>
      </c>
      <c r="E140" s="277" t="e">
        <f>#REF!</f>
        <v>#REF!</v>
      </c>
      <c r="F140" s="277" t="e">
        <f>#REF!</f>
        <v>#REF!</v>
      </c>
      <c r="G140" s="277" t="e">
        <f>#REF!</f>
        <v>#REF!</v>
      </c>
      <c r="H140" s="277" t="e">
        <f>#REF!</f>
        <v>#REF!</v>
      </c>
      <c r="I140" s="277" t="e">
        <f>#REF!</f>
        <v>#REF!</v>
      </c>
      <c r="J140" s="277" t="e">
        <f>#REF!</f>
        <v>#REF!</v>
      </c>
      <c r="K140" s="277" t="e">
        <f>#REF!</f>
        <v>#REF!</v>
      </c>
      <c r="L140" s="277" t="e">
        <f>#REF!</f>
        <v>#REF!</v>
      </c>
      <c r="M140" s="277" t="e">
        <f>#REF!</f>
        <v>#REF!</v>
      </c>
      <c r="N140" s="277" t="e">
        <f>#REF!</f>
        <v>#REF!</v>
      </c>
      <c r="O140" s="277" t="e">
        <f>#REF!</f>
        <v>#REF!</v>
      </c>
      <c r="P140" s="277" t="e">
        <f>#REF!</f>
        <v>#REF!</v>
      </c>
      <c r="Q140" s="277" t="e">
        <f>#REF!</f>
        <v>#REF!</v>
      </c>
      <c r="R140" s="277" t="e">
        <f>#REF!</f>
        <v>#REF!</v>
      </c>
      <c r="S140" s="277" t="e">
        <f>#REF!</f>
        <v>#REF!</v>
      </c>
      <c r="T140" s="281" t="e">
        <f>#REF!</f>
        <v>#REF!</v>
      </c>
      <c r="U140" s="281" t="e">
        <f>#REF!</f>
        <v>#REF!</v>
      </c>
      <c r="V140" s="281" t="e">
        <f>#REF!</f>
        <v>#REF!</v>
      </c>
      <c r="W140" s="281" t="e">
        <f>#REF!</f>
        <v>#REF!</v>
      </c>
      <c r="X140" s="281" t="e">
        <f>#REF!</f>
        <v>#REF!</v>
      </c>
    </row>
    <row r="141" spans="1:24" ht="24.95" customHeight="1">
      <c r="A141" s="274" t="e">
        <f>#REF!</f>
        <v>#REF!</v>
      </c>
      <c r="B141" s="275" t="e">
        <f>#REF!</f>
        <v>#REF!</v>
      </c>
      <c r="C141" s="276" t="e">
        <f>#REF!</f>
        <v>#REF!</v>
      </c>
      <c r="D141" s="277" t="e">
        <f>#REF!</f>
        <v>#REF!</v>
      </c>
      <c r="E141" s="277" t="e">
        <f>#REF!</f>
        <v>#REF!</v>
      </c>
      <c r="F141" s="277" t="e">
        <f>#REF!</f>
        <v>#REF!</v>
      </c>
      <c r="G141" s="277" t="e">
        <f>#REF!</f>
        <v>#REF!</v>
      </c>
      <c r="H141" s="277" t="e">
        <f>#REF!</f>
        <v>#REF!</v>
      </c>
      <c r="I141" s="277" t="e">
        <f>#REF!</f>
        <v>#REF!</v>
      </c>
      <c r="J141" s="277" t="e">
        <f>#REF!</f>
        <v>#REF!</v>
      </c>
      <c r="K141" s="277" t="e">
        <f>#REF!</f>
        <v>#REF!</v>
      </c>
      <c r="L141" s="277" t="e">
        <f>#REF!</f>
        <v>#REF!</v>
      </c>
      <c r="M141" s="277" t="e">
        <f>#REF!</f>
        <v>#REF!</v>
      </c>
      <c r="N141" s="277" t="e">
        <f>#REF!</f>
        <v>#REF!</v>
      </c>
      <c r="O141" s="277" t="e">
        <f>#REF!</f>
        <v>#REF!</v>
      </c>
      <c r="P141" s="277" t="e">
        <f>#REF!</f>
        <v>#REF!</v>
      </c>
      <c r="Q141" s="277" t="e">
        <f>#REF!</f>
        <v>#REF!</v>
      </c>
      <c r="R141" s="277" t="e">
        <f>#REF!</f>
        <v>#REF!</v>
      </c>
      <c r="S141" s="277" t="e">
        <f>#REF!</f>
        <v>#REF!</v>
      </c>
      <c r="T141" s="281" t="e">
        <f>#REF!</f>
        <v>#REF!</v>
      </c>
      <c r="U141" s="281" t="e">
        <f>#REF!</f>
        <v>#REF!</v>
      </c>
      <c r="V141" s="281" t="e">
        <f>#REF!</f>
        <v>#REF!</v>
      </c>
      <c r="W141" s="281" t="e">
        <f>#REF!</f>
        <v>#REF!</v>
      </c>
      <c r="X141" s="281" t="e">
        <f>#REF!</f>
        <v>#REF!</v>
      </c>
    </row>
    <row r="142" spans="1:24" ht="24.95" customHeight="1">
      <c r="A142" s="274" t="e">
        <f>#REF!</f>
        <v>#REF!</v>
      </c>
      <c r="B142" s="275" t="e">
        <f>#REF!</f>
        <v>#REF!</v>
      </c>
      <c r="C142" s="276" t="e">
        <f>#REF!</f>
        <v>#REF!</v>
      </c>
      <c r="D142" s="277" t="e">
        <f>#REF!</f>
        <v>#REF!</v>
      </c>
      <c r="E142" s="277" t="e">
        <f>#REF!</f>
        <v>#REF!</v>
      </c>
      <c r="F142" s="277" t="e">
        <f>#REF!</f>
        <v>#REF!</v>
      </c>
      <c r="G142" s="277" t="e">
        <f>#REF!</f>
        <v>#REF!</v>
      </c>
      <c r="H142" s="277" t="e">
        <f>#REF!</f>
        <v>#REF!</v>
      </c>
      <c r="I142" s="277" t="e">
        <f>#REF!</f>
        <v>#REF!</v>
      </c>
      <c r="J142" s="277" t="e">
        <f>#REF!</f>
        <v>#REF!</v>
      </c>
      <c r="K142" s="277" t="e">
        <f>#REF!</f>
        <v>#REF!</v>
      </c>
      <c r="L142" s="277" t="e">
        <f>#REF!</f>
        <v>#REF!</v>
      </c>
      <c r="M142" s="277" t="e">
        <f>#REF!</f>
        <v>#REF!</v>
      </c>
      <c r="N142" s="277" t="e">
        <f>#REF!</f>
        <v>#REF!</v>
      </c>
      <c r="O142" s="277" t="e">
        <f>#REF!</f>
        <v>#REF!</v>
      </c>
      <c r="P142" s="277" t="e">
        <f>#REF!</f>
        <v>#REF!</v>
      </c>
      <c r="Q142" s="277" t="e">
        <f>#REF!</f>
        <v>#REF!</v>
      </c>
      <c r="R142" s="277" t="e">
        <f>#REF!</f>
        <v>#REF!</v>
      </c>
      <c r="S142" s="277" t="e">
        <f>#REF!</f>
        <v>#REF!</v>
      </c>
      <c r="T142" s="281" t="e">
        <f>#REF!</f>
        <v>#REF!</v>
      </c>
      <c r="U142" s="281" t="e">
        <f>#REF!</f>
        <v>#REF!</v>
      </c>
      <c r="V142" s="281" t="e">
        <f>#REF!</f>
        <v>#REF!</v>
      </c>
      <c r="W142" s="281" t="e">
        <f>#REF!</f>
        <v>#REF!</v>
      </c>
      <c r="X142" s="281" t="e">
        <f>#REF!</f>
        <v>#REF!</v>
      </c>
    </row>
    <row r="143" spans="1:24" ht="24.95" customHeight="1">
      <c r="A143" s="274" t="e">
        <f>#REF!</f>
        <v>#REF!</v>
      </c>
      <c r="B143" s="275" t="e">
        <f>#REF!</f>
        <v>#REF!</v>
      </c>
      <c r="C143" s="276" t="e">
        <f>#REF!</f>
        <v>#REF!</v>
      </c>
      <c r="D143" s="277" t="e">
        <f>#REF!</f>
        <v>#REF!</v>
      </c>
      <c r="E143" s="277" t="e">
        <f>#REF!</f>
        <v>#REF!</v>
      </c>
      <c r="F143" s="277" t="e">
        <f>#REF!</f>
        <v>#REF!</v>
      </c>
      <c r="G143" s="277" t="e">
        <f>#REF!</f>
        <v>#REF!</v>
      </c>
      <c r="H143" s="277" t="e">
        <f>#REF!</f>
        <v>#REF!</v>
      </c>
      <c r="I143" s="277" t="e">
        <f>#REF!</f>
        <v>#REF!</v>
      </c>
      <c r="J143" s="277" t="e">
        <f>#REF!</f>
        <v>#REF!</v>
      </c>
      <c r="K143" s="277" t="e">
        <f>#REF!</f>
        <v>#REF!</v>
      </c>
      <c r="L143" s="277" t="e">
        <f>#REF!</f>
        <v>#REF!</v>
      </c>
      <c r="M143" s="277" t="e">
        <f>#REF!</f>
        <v>#REF!</v>
      </c>
      <c r="N143" s="277" t="e">
        <f>#REF!</f>
        <v>#REF!</v>
      </c>
      <c r="O143" s="277" t="e">
        <f>#REF!</f>
        <v>#REF!</v>
      </c>
      <c r="P143" s="277" t="e">
        <f>#REF!</f>
        <v>#REF!</v>
      </c>
      <c r="Q143" s="277" t="e">
        <f>#REF!</f>
        <v>#REF!</v>
      </c>
      <c r="R143" s="277" t="e">
        <f>#REF!</f>
        <v>#REF!</v>
      </c>
      <c r="S143" s="277" t="e">
        <f>#REF!</f>
        <v>#REF!</v>
      </c>
      <c r="T143" s="281" t="e">
        <f>#REF!</f>
        <v>#REF!</v>
      </c>
      <c r="U143" s="281" t="e">
        <f>#REF!</f>
        <v>#REF!</v>
      </c>
      <c r="V143" s="281" t="e">
        <f>#REF!</f>
        <v>#REF!</v>
      </c>
      <c r="W143" s="281" t="e">
        <f>#REF!</f>
        <v>#REF!</v>
      </c>
      <c r="X143" s="281" t="e">
        <f>#REF!</f>
        <v>#REF!</v>
      </c>
    </row>
    <row r="144" spans="1:24" ht="24.95" customHeight="1">
      <c r="A144" s="274" t="e">
        <f>#REF!</f>
        <v>#REF!</v>
      </c>
      <c r="B144" s="275" t="e">
        <f>#REF!</f>
        <v>#REF!</v>
      </c>
      <c r="C144" s="276" t="e">
        <f>#REF!</f>
        <v>#REF!</v>
      </c>
      <c r="D144" s="277" t="e">
        <f>#REF!</f>
        <v>#REF!</v>
      </c>
      <c r="E144" s="277" t="e">
        <f>#REF!</f>
        <v>#REF!</v>
      </c>
      <c r="F144" s="277" t="e">
        <f>#REF!</f>
        <v>#REF!</v>
      </c>
      <c r="G144" s="277" t="e">
        <f>#REF!</f>
        <v>#REF!</v>
      </c>
      <c r="H144" s="277" t="e">
        <f>#REF!</f>
        <v>#REF!</v>
      </c>
      <c r="I144" s="277" t="e">
        <f>#REF!</f>
        <v>#REF!</v>
      </c>
      <c r="J144" s="277" t="e">
        <f>#REF!</f>
        <v>#REF!</v>
      </c>
      <c r="K144" s="277" t="e">
        <f>#REF!</f>
        <v>#REF!</v>
      </c>
      <c r="L144" s="277" t="e">
        <f>#REF!</f>
        <v>#REF!</v>
      </c>
      <c r="M144" s="277" t="e">
        <f>#REF!</f>
        <v>#REF!</v>
      </c>
      <c r="N144" s="277" t="e">
        <f>#REF!</f>
        <v>#REF!</v>
      </c>
      <c r="O144" s="277" t="e">
        <f>#REF!</f>
        <v>#REF!</v>
      </c>
      <c r="P144" s="277" t="e">
        <f>#REF!</f>
        <v>#REF!</v>
      </c>
      <c r="Q144" s="277" t="e">
        <f>#REF!</f>
        <v>#REF!</v>
      </c>
      <c r="R144" s="277" t="e">
        <f>#REF!</f>
        <v>#REF!</v>
      </c>
      <c r="S144" s="277" t="e">
        <f>#REF!</f>
        <v>#REF!</v>
      </c>
      <c r="T144" s="281" t="e">
        <f>#REF!</f>
        <v>#REF!</v>
      </c>
      <c r="U144" s="281" t="e">
        <f>#REF!</f>
        <v>#REF!</v>
      </c>
      <c r="V144" s="281" t="e">
        <f>#REF!</f>
        <v>#REF!</v>
      </c>
      <c r="W144" s="281" t="e">
        <f>#REF!</f>
        <v>#REF!</v>
      </c>
      <c r="X144" s="281" t="e">
        <f>#REF!</f>
        <v>#REF!</v>
      </c>
    </row>
    <row r="145" spans="1:24" ht="24.95" customHeight="1">
      <c r="A145" s="274" t="e">
        <f>#REF!</f>
        <v>#REF!</v>
      </c>
      <c r="B145" s="275" t="e">
        <f>#REF!</f>
        <v>#REF!</v>
      </c>
      <c r="C145" s="276" t="e">
        <f>#REF!</f>
        <v>#REF!</v>
      </c>
      <c r="D145" s="277" t="e">
        <f>#REF!</f>
        <v>#REF!</v>
      </c>
      <c r="E145" s="277" t="e">
        <f>#REF!</f>
        <v>#REF!</v>
      </c>
      <c r="F145" s="277" t="e">
        <f>#REF!</f>
        <v>#REF!</v>
      </c>
      <c r="G145" s="277" t="e">
        <f>#REF!</f>
        <v>#REF!</v>
      </c>
      <c r="H145" s="277" t="e">
        <f>#REF!</f>
        <v>#REF!</v>
      </c>
      <c r="I145" s="277" t="e">
        <f>#REF!</f>
        <v>#REF!</v>
      </c>
      <c r="J145" s="277" t="e">
        <f>#REF!</f>
        <v>#REF!</v>
      </c>
      <c r="K145" s="277" t="e">
        <f>#REF!</f>
        <v>#REF!</v>
      </c>
      <c r="L145" s="277" t="e">
        <f>#REF!</f>
        <v>#REF!</v>
      </c>
      <c r="M145" s="277" t="e">
        <f>#REF!</f>
        <v>#REF!</v>
      </c>
      <c r="N145" s="277" t="e">
        <f>#REF!</f>
        <v>#REF!</v>
      </c>
      <c r="O145" s="277" t="e">
        <f>#REF!</f>
        <v>#REF!</v>
      </c>
      <c r="P145" s="277" t="e">
        <f>#REF!</f>
        <v>#REF!</v>
      </c>
      <c r="Q145" s="277" t="e">
        <f>#REF!</f>
        <v>#REF!</v>
      </c>
      <c r="R145" s="277" t="e">
        <f>#REF!</f>
        <v>#REF!</v>
      </c>
      <c r="S145" s="277" t="e">
        <f>#REF!</f>
        <v>#REF!</v>
      </c>
      <c r="T145" s="281" t="e">
        <f>#REF!</f>
        <v>#REF!</v>
      </c>
      <c r="U145" s="281" t="e">
        <f>#REF!</f>
        <v>#REF!</v>
      </c>
      <c r="V145" s="281" t="e">
        <f>#REF!</f>
        <v>#REF!</v>
      </c>
      <c r="W145" s="281" t="e">
        <f>#REF!</f>
        <v>#REF!</v>
      </c>
      <c r="X145" s="281" t="e">
        <f>#REF!</f>
        <v>#REF!</v>
      </c>
    </row>
    <row r="146" spans="1:24" ht="24.95" customHeight="1">
      <c r="A146" s="274" t="e">
        <f>#REF!</f>
        <v>#REF!</v>
      </c>
      <c r="B146" s="275" t="e">
        <f>#REF!</f>
        <v>#REF!</v>
      </c>
      <c r="C146" s="276" t="e">
        <f>#REF!</f>
        <v>#REF!</v>
      </c>
      <c r="D146" s="277" t="e">
        <f>#REF!</f>
        <v>#REF!</v>
      </c>
      <c r="E146" s="277" t="e">
        <f>#REF!</f>
        <v>#REF!</v>
      </c>
      <c r="F146" s="277" t="e">
        <f>#REF!</f>
        <v>#REF!</v>
      </c>
      <c r="G146" s="277" t="e">
        <f>#REF!</f>
        <v>#REF!</v>
      </c>
      <c r="H146" s="277" t="e">
        <f>#REF!</f>
        <v>#REF!</v>
      </c>
      <c r="I146" s="277" t="e">
        <f>#REF!</f>
        <v>#REF!</v>
      </c>
      <c r="J146" s="277" t="e">
        <f>#REF!</f>
        <v>#REF!</v>
      </c>
      <c r="K146" s="277" t="e">
        <f>#REF!</f>
        <v>#REF!</v>
      </c>
      <c r="L146" s="277" t="e">
        <f>#REF!</f>
        <v>#REF!</v>
      </c>
      <c r="M146" s="277" t="e">
        <f>#REF!</f>
        <v>#REF!</v>
      </c>
      <c r="N146" s="277" t="e">
        <f>#REF!</f>
        <v>#REF!</v>
      </c>
      <c r="O146" s="277" t="e">
        <f>#REF!</f>
        <v>#REF!</v>
      </c>
      <c r="P146" s="277" t="e">
        <f>#REF!</f>
        <v>#REF!</v>
      </c>
      <c r="Q146" s="277" t="e">
        <f>#REF!</f>
        <v>#REF!</v>
      </c>
      <c r="R146" s="277" t="e">
        <f>#REF!</f>
        <v>#REF!</v>
      </c>
      <c r="S146" s="277" t="e">
        <f>#REF!</f>
        <v>#REF!</v>
      </c>
      <c r="T146" s="281" t="e">
        <f>#REF!</f>
        <v>#REF!</v>
      </c>
      <c r="U146" s="281" t="e">
        <f>#REF!</f>
        <v>#REF!</v>
      </c>
      <c r="V146" s="281" t="e">
        <f>#REF!</f>
        <v>#REF!</v>
      </c>
      <c r="W146" s="281" t="e">
        <f>#REF!</f>
        <v>#REF!</v>
      </c>
      <c r="X146" s="281" t="e">
        <f>#REF!</f>
        <v>#REF!</v>
      </c>
    </row>
    <row r="147" spans="1:24" ht="24.95" customHeight="1">
      <c r="A147" s="274" t="e">
        <f>#REF!</f>
        <v>#REF!</v>
      </c>
      <c r="B147" s="275" t="e">
        <f>#REF!</f>
        <v>#REF!</v>
      </c>
      <c r="C147" s="276" t="e">
        <f>#REF!</f>
        <v>#REF!</v>
      </c>
      <c r="D147" s="277" t="e">
        <f>#REF!</f>
        <v>#REF!</v>
      </c>
      <c r="E147" s="277" t="e">
        <f>#REF!</f>
        <v>#REF!</v>
      </c>
      <c r="F147" s="277" t="e">
        <f>#REF!</f>
        <v>#REF!</v>
      </c>
      <c r="G147" s="277" t="e">
        <f>#REF!</f>
        <v>#REF!</v>
      </c>
      <c r="H147" s="277" t="e">
        <f>#REF!</f>
        <v>#REF!</v>
      </c>
      <c r="I147" s="277" t="e">
        <f>#REF!</f>
        <v>#REF!</v>
      </c>
      <c r="J147" s="277" t="e">
        <f>#REF!</f>
        <v>#REF!</v>
      </c>
      <c r="K147" s="277" t="e">
        <f>#REF!</f>
        <v>#REF!</v>
      </c>
      <c r="L147" s="277" t="e">
        <f>#REF!</f>
        <v>#REF!</v>
      </c>
      <c r="M147" s="277" t="e">
        <f>#REF!</f>
        <v>#REF!</v>
      </c>
      <c r="N147" s="277" t="e">
        <f>#REF!</f>
        <v>#REF!</v>
      </c>
      <c r="O147" s="277" t="e">
        <f>#REF!</f>
        <v>#REF!</v>
      </c>
      <c r="P147" s="277" t="e">
        <f>#REF!</f>
        <v>#REF!</v>
      </c>
      <c r="Q147" s="277" t="e">
        <f>#REF!</f>
        <v>#REF!</v>
      </c>
      <c r="R147" s="277" t="e">
        <f>#REF!</f>
        <v>#REF!</v>
      </c>
      <c r="S147" s="277" t="e">
        <f>#REF!</f>
        <v>#REF!</v>
      </c>
      <c r="T147" s="281" t="e">
        <f>#REF!</f>
        <v>#REF!</v>
      </c>
      <c r="U147" s="281" t="e">
        <f>#REF!</f>
        <v>#REF!</v>
      </c>
      <c r="V147" s="281" t="e">
        <f>#REF!</f>
        <v>#REF!</v>
      </c>
      <c r="W147" s="281" t="e">
        <f>#REF!</f>
        <v>#REF!</v>
      </c>
      <c r="X147" s="281" t="e">
        <f>#REF!</f>
        <v>#REF!</v>
      </c>
    </row>
    <row r="148" spans="1:24" ht="24.95" customHeight="1">
      <c r="A148" s="274" t="e">
        <f>#REF!</f>
        <v>#REF!</v>
      </c>
      <c r="B148" s="275" t="e">
        <f>#REF!</f>
        <v>#REF!</v>
      </c>
      <c r="C148" s="276" t="e">
        <f>#REF!</f>
        <v>#REF!</v>
      </c>
      <c r="D148" s="277" t="e">
        <f>#REF!</f>
        <v>#REF!</v>
      </c>
      <c r="E148" s="277" t="e">
        <f>#REF!</f>
        <v>#REF!</v>
      </c>
      <c r="F148" s="277" t="e">
        <f>#REF!</f>
        <v>#REF!</v>
      </c>
      <c r="G148" s="277" t="e">
        <f>#REF!</f>
        <v>#REF!</v>
      </c>
      <c r="H148" s="277" t="e">
        <f>#REF!</f>
        <v>#REF!</v>
      </c>
      <c r="I148" s="277" t="e">
        <f>#REF!</f>
        <v>#REF!</v>
      </c>
      <c r="J148" s="277" t="e">
        <f>#REF!</f>
        <v>#REF!</v>
      </c>
      <c r="K148" s="277" t="e">
        <f>#REF!</f>
        <v>#REF!</v>
      </c>
      <c r="L148" s="277" t="e">
        <f>#REF!</f>
        <v>#REF!</v>
      </c>
      <c r="M148" s="277" t="e">
        <f>#REF!</f>
        <v>#REF!</v>
      </c>
      <c r="N148" s="277" t="e">
        <f>#REF!</f>
        <v>#REF!</v>
      </c>
      <c r="O148" s="277" t="e">
        <f>#REF!</f>
        <v>#REF!</v>
      </c>
      <c r="P148" s="277" t="e">
        <f>#REF!</f>
        <v>#REF!</v>
      </c>
      <c r="Q148" s="277" t="e">
        <f>#REF!</f>
        <v>#REF!</v>
      </c>
      <c r="R148" s="277" t="e">
        <f>#REF!</f>
        <v>#REF!</v>
      </c>
      <c r="S148" s="277" t="e">
        <f>#REF!</f>
        <v>#REF!</v>
      </c>
      <c r="T148" s="281" t="e">
        <f>#REF!</f>
        <v>#REF!</v>
      </c>
      <c r="U148" s="281" t="e">
        <f>#REF!</f>
        <v>#REF!</v>
      </c>
      <c r="V148" s="281" t="e">
        <f>#REF!</f>
        <v>#REF!</v>
      </c>
      <c r="W148" s="281" t="e">
        <f>#REF!</f>
        <v>#REF!</v>
      </c>
      <c r="X148" s="281" t="e">
        <f>#REF!</f>
        <v>#REF!</v>
      </c>
    </row>
    <row r="149" spans="1:24" ht="24.95" customHeight="1">
      <c r="A149" s="274" t="e">
        <f>#REF!</f>
        <v>#REF!</v>
      </c>
      <c r="B149" s="275" t="e">
        <f>#REF!</f>
        <v>#REF!</v>
      </c>
      <c r="C149" s="276" t="e">
        <f>#REF!</f>
        <v>#REF!</v>
      </c>
      <c r="D149" s="277" t="e">
        <f>#REF!</f>
        <v>#REF!</v>
      </c>
      <c r="E149" s="277" t="e">
        <f>#REF!</f>
        <v>#REF!</v>
      </c>
      <c r="F149" s="277" t="e">
        <f>#REF!</f>
        <v>#REF!</v>
      </c>
      <c r="G149" s="277" t="e">
        <f>#REF!</f>
        <v>#REF!</v>
      </c>
      <c r="H149" s="277" t="e">
        <f>#REF!</f>
        <v>#REF!</v>
      </c>
      <c r="I149" s="277" t="e">
        <f>#REF!</f>
        <v>#REF!</v>
      </c>
      <c r="J149" s="277" t="e">
        <f>#REF!</f>
        <v>#REF!</v>
      </c>
      <c r="K149" s="277" t="e">
        <f>#REF!</f>
        <v>#REF!</v>
      </c>
      <c r="L149" s="277" t="e">
        <f>#REF!</f>
        <v>#REF!</v>
      </c>
      <c r="M149" s="277" t="e">
        <f>#REF!</f>
        <v>#REF!</v>
      </c>
      <c r="N149" s="277" t="e">
        <f>#REF!</f>
        <v>#REF!</v>
      </c>
      <c r="O149" s="277" t="e">
        <f>#REF!</f>
        <v>#REF!</v>
      </c>
      <c r="P149" s="277" t="e">
        <f>#REF!</f>
        <v>#REF!</v>
      </c>
      <c r="Q149" s="277" t="e">
        <f>#REF!</f>
        <v>#REF!</v>
      </c>
      <c r="R149" s="277" t="e">
        <f>#REF!</f>
        <v>#REF!</v>
      </c>
      <c r="S149" s="277" t="e">
        <f>#REF!</f>
        <v>#REF!</v>
      </c>
      <c r="T149" s="281" t="e">
        <f>#REF!</f>
        <v>#REF!</v>
      </c>
      <c r="U149" s="281" t="e">
        <f>#REF!</f>
        <v>#REF!</v>
      </c>
      <c r="V149" s="281" t="e">
        <f>#REF!</f>
        <v>#REF!</v>
      </c>
      <c r="W149" s="281" t="e">
        <f>#REF!</f>
        <v>#REF!</v>
      </c>
      <c r="X149" s="281" t="e">
        <f>#REF!</f>
        <v>#REF!</v>
      </c>
    </row>
    <row r="150" spans="1:24" ht="24.95" customHeight="1">
      <c r="A150" s="274" t="e">
        <f>#REF!</f>
        <v>#REF!</v>
      </c>
      <c r="B150" s="275" t="e">
        <f>#REF!</f>
        <v>#REF!</v>
      </c>
      <c r="C150" s="276" t="e">
        <f>#REF!</f>
        <v>#REF!</v>
      </c>
      <c r="D150" s="277" t="e">
        <f>#REF!</f>
        <v>#REF!</v>
      </c>
      <c r="E150" s="277" t="e">
        <f>#REF!</f>
        <v>#REF!</v>
      </c>
      <c r="F150" s="277" t="e">
        <f>#REF!</f>
        <v>#REF!</v>
      </c>
      <c r="G150" s="277" t="e">
        <f>#REF!</f>
        <v>#REF!</v>
      </c>
      <c r="H150" s="277" t="e">
        <f>#REF!</f>
        <v>#REF!</v>
      </c>
      <c r="I150" s="277" t="e">
        <f>#REF!</f>
        <v>#REF!</v>
      </c>
      <c r="J150" s="277" t="e">
        <f>#REF!</f>
        <v>#REF!</v>
      </c>
      <c r="K150" s="277" t="e">
        <f>#REF!</f>
        <v>#REF!</v>
      </c>
      <c r="L150" s="277" t="e">
        <f>#REF!</f>
        <v>#REF!</v>
      </c>
      <c r="M150" s="277" t="e">
        <f>#REF!</f>
        <v>#REF!</v>
      </c>
      <c r="N150" s="277" t="e">
        <f>#REF!</f>
        <v>#REF!</v>
      </c>
      <c r="O150" s="277" t="e">
        <f>#REF!</f>
        <v>#REF!</v>
      </c>
      <c r="P150" s="277" t="e">
        <f>#REF!</f>
        <v>#REF!</v>
      </c>
      <c r="Q150" s="277" t="e">
        <f>#REF!</f>
        <v>#REF!</v>
      </c>
      <c r="R150" s="277" t="e">
        <f>#REF!</f>
        <v>#REF!</v>
      </c>
      <c r="S150" s="277" t="e">
        <f>#REF!</f>
        <v>#REF!</v>
      </c>
      <c r="T150" s="281" t="e">
        <f>#REF!</f>
        <v>#REF!</v>
      </c>
      <c r="U150" s="281" t="e">
        <f>#REF!</f>
        <v>#REF!</v>
      </c>
      <c r="V150" s="281" t="e">
        <f>#REF!</f>
        <v>#REF!</v>
      </c>
      <c r="W150" s="281" t="e">
        <f>#REF!</f>
        <v>#REF!</v>
      </c>
      <c r="X150" s="281" t="e">
        <f>#REF!</f>
        <v>#REF!</v>
      </c>
    </row>
    <row r="151" spans="1:24" ht="24.95" customHeight="1">
      <c r="A151" s="274" t="e">
        <f>#REF!</f>
        <v>#REF!</v>
      </c>
      <c r="B151" s="275" t="e">
        <f>#REF!</f>
        <v>#REF!</v>
      </c>
      <c r="C151" s="276" t="e">
        <f>#REF!</f>
        <v>#REF!</v>
      </c>
      <c r="D151" s="277" t="e">
        <f>#REF!</f>
        <v>#REF!</v>
      </c>
      <c r="E151" s="277" t="e">
        <f>#REF!</f>
        <v>#REF!</v>
      </c>
      <c r="F151" s="277" t="e">
        <f>#REF!</f>
        <v>#REF!</v>
      </c>
      <c r="G151" s="277" t="e">
        <f>#REF!</f>
        <v>#REF!</v>
      </c>
      <c r="H151" s="277" t="e">
        <f>#REF!</f>
        <v>#REF!</v>
      </c>
      <c r="I151" s="277" t="e">
        <f>#REF!</f>
        <v>#REF!</v>
      </c>
      <c r="J151" s="277" t="e">
        <f>#REF!</f>
        <v>#REF!</v>
      </c>
      <c r="K151" s="277" t="e">
        <f>#REF!</f>
        <v>#REF!</v>
      </c>
      <c r="L151" s="277" t="e">
        <f>#REF!</f>
        <v>#REF!</v>
      </c>
      <c r="M151" s="277" t="e">
        <f>#REF!</f>
        <v>#REF!</v>
      </c>
      <c r="N151" s="277" t="e">
        <f>#REF!</f>
        <v>#REF!</v>
      </c>
      <c r="O151" s="277" t="e">
        <f>#REF!</f>
        <v>#REF!</v>
      </c>
      <c r="P151" s="277" t="e">
        <f>#REF!</f>
        <v>#REF!</v>
      </c>
      <c r="Q151" s="277" t="e">
        <f>#REF!</f>
        <v>#REF!</v>
      </c>
      <c r="R151" s="277" t="e">
        <f>#REF!</f>
        <v>#REF!</v>
      </c>
      <c r="S151" s="277" t="e">
        <f>#REF!</f>
        <v>#REF!</v>
      </c>
      <c r="T151" s="281" t="e">
        <f>#REF!</f>
        <v>#REF!</v>
      </c>
      <c r="U151" s="281" t="e">
        <f>#REF!</f>
        <v>#REF!</v>
      </c>
      <c r="V151" s="281" t="e">
        <f>#REF!</f>
        <v>#REF!</v>
      </c>
      <c r="W151" s="281" t="e">
        <f>#REF!</f>
        <v>#REF!</v>
      </c>
      <c r="X151" s="281" t="e">
        <f>#REF!</f>
        <v>#REF!</v>
      </c>
    </row>
    <row r="152" spans="1:24" ht="24.95" customHeight="1">
      <c r="A152" s="274" t="e">
        <f>#REF!</f>
        <v>#REF!</v>
      </c>
      <c r="B152" s="275" t="e">
        <f>#REF!</f>
        <v>#REF!</v>
      </c>
      <c r="C152" s="276" t="e">
        <f>#REF!</f>
        <v>#REF!</v>
      </c>
      <c r="D152" s="277" t="e">
        <f>#REF!</f>
        <v>#REF!</v>
      </c>
      <c r="E152" s="277" t="e">
        <f>#REF!</f>
        <v>#REF!</v>
      </c>
      <c r="F152" s="277" t="e">
        <f>#REF!</f>
        <v>#REF!</v>
      </c>
      <c r="G152" s="277" t="e">
        <f>#REF!</f>
        <v>#REF!</v>
      </c>
      <c r="H152" s="277" t="e">
        <f>#REF!</f>
        <v>#REF!</v>
      </c>
      <c r="I152" s="277" t="e">
        <f>#REF!</f>
        <v>#REF!</v>
      </c>
      <c r="J152" s="277" t="e">
        <f>#REF!</f>
        <v>#REF!</v>
      </c>
      <c r="K152" s="277" t="e">
        <f>#REF!</f>
        <v>#REF!</v>
      </c>
      <c r="L152" s="277" t="e">
        <f>#REF!</f>
        <v>#REF!</v>
      </c>
      <c r="M152" s="277" t="e">
        <f>#REF!</f>
        <v>#REF!</v>
      </c>
      <c r="N152" s="277" t="e">
        <f>#REF!</f>
        <v>#REF!</v>
      </c>
      <c r="O152" s="277" t="e">
        <f>#REF!</f>
        <v>#REF!</v>
      </c>
      <c r="P152" s="277" t="e">
        <f>#REF!</f>
        <v>#REF!</v>
      </c>
      <c r="Q152" s="277" t="e">
        <f>#REF!</f>
        <v>#REF!</v>
      </c>
      <c r="R152" s="277" t="e">
        <f>#REF!</f>
        <v>#REF!</v>
      </c>
      <c r="S152" s="277" t="e">
        <f>#REF!</f>
        <v>#REF!</v>
      </c>
      <c r="T152" s="281" t="e">
        <f>#REF!</f>
        <v>#REF!</v>
      </c>
      <c r="U152" s="281" t="e">
        <f>#REF!</f>
        <v>#REF!</v>
      </c>
      <c r="V152" s="281" t="e">
        <f>#REF!</f>
        <v>#REF!</v>
      </c>
      <c r="W152" s="281" t="e">
        <f>#REF!</f>
        <v>#REF!</v>
      </c>
      <c r="X152" s="281" t="e">
        <f>#REF!</f>
        <v>#REF!</v>
      </c>
    </row>
    <row r="153" spans="1:24" ht="24.95" customHeight="1">
      <c r="A153" s="274" t="e">
        <f>#REF!</f>
        <v>#REF!</v>
      </c>
      <c r="B153" s="275" t="e">
        <f>#REF!</f>
        <v>#REF!</v>
      </c>
      <c r="C153" s="276" t="e">
        <f>#REF!</f>
        <v>#REF!</v>
      </c>
      <c r="D153" s="277" t="e">
        <f>#REF!</f>
        <v>#REF!</v>
      </c>
      <c r="E153" s="277" t="e">
        <f>#REF!</f>
        <v>#REF!</v>
      </c>
      <c r="F153" s="277" t="e">
        <f>#REF!</f>
        <v>#REF!</v>
      </c>
      <c r="G153" s="277" t="e">
        <f>#REF!</f>
        <v>#REF!</v>
      </c>
      <c r="H153" s="277" t="e">
        <f>#REF!</f>
        <v>#REF!</v>
      </c>
      <c r="I153" s="277" t="e">
        <f>#REF!</f>
        <v>#REF!</v>
      </c>
      <c r="J153" s="277" t="e">
        <f>#REF!</f>
        <v>#REF!</v>
      </c>
      <c r="K153" s="277" t="e">
        <f>#REF!</f>
        <v>#REF!</v>
      </c>
      <c r="L153" s="277" t="e">
        <f>#REF!</f>
        <v>#REF!</v>
      </c>
      <c r="M153" s="277" t="e">
        <f>#REF!</f>
        <v>#REF!</v>
      </c>
      <c r="N153" s="277" t="e">
        <f>#REF!</f>
        <v>#REF!</v>
      </c>
      <c r="O153" s="277" t="e">
        <f>#REF!</f>
        <v>#REF!</v>
      </c>
      <c r="P153" s="277" t="e">
        <f>#REF!</f>
        <v>#REF!</v>
      </c>
      <c r="Q153" s="277" t="e">
        <f>#REF!</f>
        <v>#REF!</v>
      </c>
      <c r="R153" s="277" t="e">
        <f>#REF!</f>
        <v>#REF!</v>
      </c>
      <c r="S153" s="277" t="e">
        <f>#REF!</f>
        <v>#REF!</v>
      </c>
      <c r="T153" s="281" t="e">
        <f>#REF!</f>
        <v>#REF!</v>
      </c>
      <c r="U153" s="281" t="e">
        <f>#REF!</f>
        <v>#REF!</v>
      </c>
      <c r="V153" s="281" t="e">
        <f>#REF!</f>
        <v>#REF!</v>
      </c>
      <c r="W153" s="281" t="e">
        <f>#REF!</f>
        <v>#REF!</v>
      </c>
      <c r="X153" s="281" t="e">
        <f>#REF!</f>
        <v>#REF!</v>
      </c>
    </row>
    <row r="154" spans="1:24" ht="24.95" customHeight="1">
      <c r="A154" s="274" t="e">
        <f>#REF!</f>
        <v>#REF!</v>
      </c>
      <c r="B154" s="275" t="e">
        <f>#REF!</f>
        <v>#REF!</v>
      </c>
      <c r="C154" s="276" t="e">
        <f>#REF!</f>
        <v>#REF!</v>
      </c>
      <c r="D154" s="277" t="e">
        <f>#REF!</f>
        <v>#REF!</v>
      </c>
      <c r="E154" s="277" t="e">
        <f>#REF!</f>
        <v>#REF!</v>
      </c>
      <c r="F154" s="277" t="e">
        <f>#REF!</f>
        <v>#REF!</v>
      </c>
      <c r="G154" s="277" t="e">
        <f>#REF!</f>
        <v>#REF!</v>
      </c>
      <c r="H154" s="277" t="e">
        <f>#REF!</f>
        <v>#REF!</v>
      </c>
      <c r="I154" s="277" t="e">
        <f>#REF!</f>
        <v>#REF!</v>
      </c>
      <c r="J154" s="277" t="e">
        <f>#REF!</f>
        <v>#REF!</v>
      </c>
      <c r="K154" s="277" t="e">
        <f>#REF!</f>
        <v>#REF!</v>
      </c>
      <c r="L154" s="277" t="e">
        <f>#REF!</f>
        <v>#REF!</v>
      </c>
      <c r="M154" s="277" t="e">
        <f>#REF!</f>
        <v>#REF!</v>
      </c>
      <c r="N154" s="277" t="e">
        <f>#REF!</f>
        <v>#REF!</v>
      </c>
      <c r="O154" s="277" t="e">
        <f>#REF!</f>
        <v>#REF!</v>
      </c>
      <c r="P154" s="277" t="e">
        <f>#REF!</f>
        <v>#REF!</v>
      </c>
      <c r="Q154" s="277" t="e">
        <f>#REF!</f>
        <v>#REF!</v>
      </c>
      <c r="R154" s="277" t="e">
        <f>#REF!</f>
        <v>#REF!</v>
      </c>
      <c r="S154" s="277" t="e">
        <f>#REF!</f>
        <v>#REF!</v>
      </c>
      <c r="T154" s="281" t="e">
        <f>#REF!</f>
        <v>#REF!</v>
      </c>
      <c r="U154" s="281" t="e">
        <f>#REF!</f>
        <v>#REF!</v>
      </c>
      <c r="V154" s="281" t="e">
        <f>#REF!</f>
        <v>#REF!</v>
      </c>
      <c r="W154" s="281" t="e">
        <f>#REF!</f>
        <v>#REF!</v>
      </c>
      <c r="X154" s="281" t="e">
        <f>#REF!</f>
        <v>#REF!</v>
      </c>
    </row>
    <row r="155" spans="1:24" ht="24.95" customHeight="1">
      <c r="A155" s="274" t="e">
        <f>#REF!</f>
        <v>#REF!</v>
      </c>
      <c r="B155" s="275" t="e">
        <f>#REF!</f>
        <v>#REF!</v>
      </c>
      <c r="C155" s="276" t="e">
        <f>#REF!</f>
        <v>#REF!</v>
      </c>
      <c r="D155" s="277" t="e">
        <f>#REF!</f>
        <v>#REF!</v>
      </c>
      <c r="E155" s="277" t="e">
        <f>#REF!</f>
        <v>#REF!</v>
      </c>
      <c r="F155" s="277" t="e">
        <f>#REF!</f>
        <v>#REF!</v>
      </c>
      <c r="G155" s="277" t="e">
        <f>#REF!</f>
        <v>#REF!</v>
      </c>
      <c r="H155" s="277" t="e">
        <f>#REF!</f>
        <v>#REF!</v>
      </c>
      <c r="I155" s="277" t="e">
        <f>#REF!</f>
        <v>#REF!</v>
      </c>
      <c r="J155" s="277" t="e">
        <f>#REF!</f>
        <v>#REF!</v>
      </c>
      <c r="K155" s="277" t="e">
        <f>#REF!</f>
        <v>#REF!</v>
      </c>
      <c r="L155" s="277" t="e">
        <f>#REF!</f>
        <v>#REF!</v>
      </c>
      <c r="M155" s="277" t="e">
        <f>#REF!</f>
        <v>#REF!</v>
      </c>
      <c r="N155" s="277" t="e">
        <f>#REF!</f>
        <v>#REF!</v>
      </c>
      <c r="O155" s="277" t="e">
        <f>#REF!</f>
        <v>#REF!</v>
      </c>
      <c r="P155" s="277" t="e">
        <f>#REF!</f>
        <v>#REF!</v>
      </c>
      <c r="Q155" s="277" t="e">
        <f>#REF!</f>
        <v>#REF!</v>
      </c>
      <c r="R155" s="277" t="e">
        <f>#REF!</f>
        <v>#REF!</v>
      </c>
      <c r="S155" s="277" t="e">
        <f>#REF!</f>
        <v>#REF!</v>
      </c>
      <c r="T155" s="281" t="e">
        <f>#REF!</f>
        <v>#REF!</v>
      </c>
      <c r="U155" s="281" t="e">
        <f>#REF!</f>
        <v>#REF!</v>
      </c>
      <c r="V155" s="281" t="e">
        <f>#REF!</f>
        <v>#REF!</v>
      </c>
      <c r="W155" s="281" t="e">
        <f>#REF!</f>
        <v>#REF!</v>
      </c>
      <c r="X155" s="281" t="e">
        <f>#REF!</f>
        <v>#REF!</v>
      </c>
    </row>
    <row r="156" spans="1:24" ht="24.95" customHeight="1">
      <c r="A156" s="274" t="e">
        <f>#REF!</f>
        <v>#REF!</v>
      </c>
      <c r="B156" s="275" t="e">
        <f>#REF!</f>
        <v>#REF!</v>
      </c>
      <c r="C156" s="276" t="e">
        <f>#REF!</f>
        <v>#REF!</v>
      </c>
      <c r="D156" s="277" t="e">
        <f>#REF!</f>
        <v>#REF!</v>
      </c>
      <c r="E156" s="277" t="e">
        <f>#REF!</f>
        <v>#REF!</v>
      </c>
      <c r="F156" s="277" t="e">
        <f>#REF!</f>
        <v>#REF!</v>
      </c>
      <c r="G156" s="277" t="e">
        <f>#REF!</f>
        <v>#REF!</v>
      </c>
      <c r="H156" s="277" t="e">
        <f>#REF!</f>
        <v>#REF!</v>
      </c>
      <c r="I156" s="277" t="e">
        <f>#REF!</f>
        <v>#REF!</v>
      </c>
      <c r="J156" s="277" t="e">
        <f>#REF!</f>
        <v>#REF!</v>
      </c>
      <c r="K156" s="277" t="e">
        <f>#REF!</f>
        <v>#REF!</v>
      </c>
      <c r="L156" s="277" t="e">
        <f>#REF!</f>
        <v>#REF!</v>
      </c>
      <c r="M156" s="277" t="e">
        <f>#REF!</f>
        <v>#REF!</v>
      </c>
      <c r="N156" s="277" t="e">
        <f>#REF!</f>
        <v>#REF!</v>
      </c>
      <c r="O156" s="277" t="e">
        <f>#REF!</f>
        <v>#REF!</v>
      </c>
      <c r="P156" s="277" t="e">
        <f>#REF!</f>
        <v>#REF!</v>
      </c>
      <c r="Q156" s="277" t="e">
        <f>#REF!</f>
        <v>#REF!</v>
      </c>
      <c r="R156" s="277" t="e">
        <f>#REF!</f>
        <v>#REF!</v>
      </c>
      <c r="S156" s="277" t="e">
        <f>#REF!</f>
        <v>#REF!</v>
      </c>
      <c r="T156" s="281" t="e">
        <f>#REF!</f>
        <v>#REF!</v>
      </c>
      <c r="U156" s="281" t="e">
        <f>#REF!</f>
        <v>#REF!</v>
      </c>
      <c r="V156" s="281" t="e">
        <f>#REF!</f>
        <v>#REF!</v>
      </c>
      <c r="W156" s="281" t="e">
        <f>#REF!</f>
        <v>#REF!</v>
      </c>
      <c r="X156" s="281" t="e">
        <f>#REF!</f>
        <v>#REF!</v>
      </c>
    </row>
    <row r="157" spans="1:24" ht="24.95" customHeight="1">
      <c r="A157" s="274" t="e">
        <f>#REF!</f>
        <v>#REF!</v>
      </c>
      <c r="B157" s="275" t="e">
        <f>#REF!</f>
        <v>#REF!</v>
      </c>
      <c r="C157" s="276" t="e">
        <f>#REF!</f>
        <v>#REF!</v>
      </c>
      <c r="D157" s="277" t="e">
        <f>#REF!</f>
        <v>#REF!</v>
      </c>
      <c r="E157" s="277" t="e">
        <f>#REF!</f>
        <v>#REF!</v>
      </c>
      <c r="F157" s="277" t="e">
        <f>#REF!</f>
        <v>#REF!</v>
      </c>
      <c r="G157" s="277" t="e">
        <f>#REF!</f>
        <v>#REF!</v>
      </c>
      <c r="H157" s="277" t="e">
        <f>#REF!</f>
        <v>#REF!</v>
      </c>
      <c r="I157" s="277" t="e">
        <f>#REF!</f>
        <v>#REF!</v>
      </c>
      <c r="J157" s="277" t="e">
        <f>#REF!</f>
        <v>#REF!</v>
      </c>
      <c r="K157" s="277" t="e">
        <f>#REF!</f>
        <v>#REF!</v>
      </c>
      <c r="L157" s="277" t="e">
        <f>#REF!</f>
        <v>#REF!</v>
      </c>
      <c r="M157" s="277" t="e">
        <f>#REF!</f>
        <v>#REF!</v>
      </c>
      <c r="N157" s="277" t="e">
        <f>#REF!</f>
        <v>#REF!</v>
      </c>
      <c r="O157" s="277" t="e">
        <f>#REF!</f>
        <v>#REF!</v>
      </c>
      <c r="P157" s="277" t="e">
        <f>#REF!</f>
        <v>#REF!</v>
      </c>
      <c r="Q157" s="277" t="e">
        <f>#REF!</f>
        <v>#REF!</v>
      </c>
      <c r="R157" s="277" t="e">
        <f>#REF!</f>
        <v>#REF!</v>
      </c>
      <c r="S157" s="277" t="e">
        <f>#REF!</f>
        <v>#REF!</v>
      </c>
      <c r="T157" s="281" t="e">
        <f>#REF!</f>
        <v>#REF!</v>
      </c>
      <c r="U157" s="281" t="e">
        <f>#REF!</f>
        <v>#REF!</v>
      </c>
      <c r="V157" s="281" t="e">
        <f>#REF!</f>
        <v>#REF!</v>
      </c>
      <c r="W157" s="281" t="e">
        <f>#REF!</f>
        <v>#REF!</v>
      </c>
      <c r="X157" s="281" t="e">
        <f>#REF!</f>
        <v>#REF!</v>
      </c>
    </row>
    <row r="158" spans="1:24" ht="24.95" customHeight="1">
      <c r="A158" s="274" t="e">
        <f>#REF!</f>
        <v>#REF!</v>
      </c>
      <c r="B158" s="275" t="e">
        <f>#REF!</f>
        <v>#REF!</v>
      </c>
      <c r="C158" s="276" t="e">
        <f>#REF!</f>
        <v>#REF!</v>
      </c>
      <c r="D158" s="277" t="e">
        <f>#REF!</f>
        <v>#REF!</v>
      </c>
      <c r="E158" s="277" t="e">
        <f>#REF!</f>
        <v>#REF!</v>
      </c>
      <c r="F158" s="277" t="e">
        <f>#REF!</f>
        <v>#REF!</v>
      </c>
      <c r="G158" s="277" t="e">
        <f>#REF!</f>
        <v>#REF!</v>
      </c>
      <c r="H158" s="277" t="e">
        <f>#REF!</f>
        <v>#REF!</v>
      </c>
      <c r="I158" s="277" t="e">
        <f>#REF!</f>
        <v>#REF!</v>
      </c>
      <c r="J158" s="277" t="e">
        <f>#REF!</f>
        <v>#REF!</v>
      </c>
      <c r="K158" s="277" t="e">
        <f>#REF!</f>
        <v>#REF!</v>
      </c>
      <c r="L158" s="277" t="e">
        <f>#REF!</f>
        <v>#REF!</v>
      </c>
      <c r="M158" s="277" t="e">
        <f>#REF!</f>
        <v>#REF!</v>
      </c>
      <c r="N158" s="277" t="e">
        <f>#REF!</f>
        <v>#REF!</v>
      </c>
      <c r="O158" s="277" t="e">
        <f>#REF!</f>
        <v>#REF!</v>
      </c>
      <c r="P158" s="277" t="e">
        <f>#REF!</f>
        <v>#REF!</v>
      </c>
      <c r="Q158" s="277" t="e">
        <f>#REF!</f>
        <v>#REF!</v>
      </c>
      <c r="R158" s="277" t="e">
        <f>#REF!</f>
        <v>#REF!</v>
      </c>
      <c r="S158" s="277" t="e">
        <f>#REF!</f>
        <v>#REF!</v>
      </c>
      <c r="T158" s="281" t="e">
        <f>#REF!</f>
        <v>#REF!</v>
      </c>
      <c r="U158" s="281" t="e">
        <f>#REF!</f>
        <v>#REF!</v>
      </c>
      <c r="V158" s="281" t="e">
        <f>#REF!</f>
        <v>#REF!</v>
      </c>
      <c r="W158" s="281" t="e">
        <f>#REF!</f>
        <v>#REF!</v>
      </c>
      <c r="X158" s="281" t="e">
        <f>#REF!</f>
        <v>#REF!</v>
      </c>
    </row>
    <row r="159" spans="1:24" ht="24.95" customHeight="1">
      <c r="A159" s="274" t="e">
        <f>#REF!</f>
        <v>#REF!</v>
      </c>
      <c r="B159" s="275" t="e">
        <f>#REF!</f>
        <v>#REF!</v>
      </c>
      <c r="C159" s="276" t="e">
        <f>#REF!</f>
        <v>#REF!</v>
      </c>
      <c r="D159" s="277" t="e">
        <f>#REF!</f>
        <v>#REF!</v>
      </c>
      <c r="E159" s="277" t="e">
        <f>#REF!</f>
        <v>#REF!</v>
      </c>
      <c r="F159" s="277" t="e">
        <f>#REF!</f>
        <v>#REF!</v>
      </c>
      <c r="G159" s="277" t="e">
        <f>#REF!</f>
        <v>#REF!</v>
      </c>
      <c r="H159" s="277" t="e">
        <f>#REF!</f>
        <v>#REF!</v>
      </c>
      <c r="I159" s="277" t="e">
        <f>#REF!</f>
        <v>#REF!</v>
      </c>
      <c r="J159" s="277" t="e">
        <f>#REF!</f>
        <v>#REF!</v>
      </c>
      <c r="K159" s="277" t="e">
        <f>#REF!</f>
        <v>#REF!</v>
      </c>
      <c r="L159" s="277" t="e">
        <f>#REF!</f>
        <v>#REF!</v>
      </c>
      <c r="M159" s="277" t="e">
        <f>#REF!</f>
        <v>#REF!</v>
      </c>
      <c r="N159" s="277" t="e">
        <f>#REF!</f>
        <v>#REF!</v>
      </c>
      <c r="O159" s="277" t="e">
        <f>#REF!</f>
        <v>#REF!</v>
      </c>
      <c r="P159" s="277" t="e">
        <f>#REF!</f>
        <v>#REF!</v>
      </c>
      <c r="Q159" s="277" t="e">
        <f>#REF!</f>
        <v>#REF!</v>
      </c>
      <c r="R159" s="277" t="e">
        <f>#REF!</f>
        <v>#REF!</v>
      </c>
      <c r="S159" s="277" t="e">
        <f>#REF!</f>
        <v>#REF!</v>
      </c>
      <c r="T159" s="281" t="e">
        <f>#REF!</f>
        <v>#REF!</v>
      </c>
      <c r="U159" s="281" t="e">
        <f>#REF!</f>
        <v>#REF!</v>
      </c>
      <c r="V159" s="281" t="e">
        <f>#REF!</f>
        <v>#REF!</v>
      </c>
      <c r="W159" s="281" t="e">
        <f>#REF!</f>
        <v>#REF!</v>
      </c>
      <c r="X159" s="281" t="e">
        <f>#REF!</f>
        <v>#REF!</v>
      </c>
    </row>
    <row r="160" spans="1:24" ht="24.95" customHeight="1">
      <c r="A160" s="274" t="e">
        <f>#REF!</f>
        <v>#REF!</v>
      </c>
      <c r="B160" s="275" t="e">
        <f>#REF!</f>
        <v>#REF!</v>
      </c>
      <c r="C160" s="276" t="e">
        <f>#REF!</f>
        <v>#REF!</v>
      </c>
      <c r="D160" s="277" t="e">
        <f>#REF!</f>
        <v>#REF!</v>
      </c>
      <c r="E160" s="277" t="e">
        <f>#REF!</f>
        <v>#REF!</v>
      </c>
      <c r="F160" s="277" t="e">
        <f>#REF!</f>
        <v>#REF!</v>
      </c>
      <c r="G160" s="277" t="e">
        <f>#REF!</f>
        <v>#REF!</v>
      </c>
      <c r="H160" s="277" t="e">
        <f>#REF!</f>
        <v>#REF!</v>
      </c>
      <c r="I160" s="277" t="e">
        <f>#REF!</f>
        <v>#REF!</v>
      </c>
      <c r="J160" s="277" t="e">
        <f>#REF!</f>
        <v>#REF!</v>
      </c>
      <c r="K160" s="277" t="e">
        <f>#REF!</f>
        <v>#REF!</v>
      </c>
      <c r="L160" s="277" t="e">
        <f>#REF!</f>
        <v>#REF!</v>
      </c>
      <c r="M160" s="277" t="e">
        <f>#REF!</f>
        <v>#REF!</v>
      </c>
      <c r="N160" s="277" t="e">
        <f>#REF!</f>
        <v>#REF!</v>
      </c>
      <c r="O160" s="277" t="e">
        <f>#REF!</f>
        <v>#REF!</v>
      </c>
      <c r="P160" s="277" t="e">
        <f>#REF!</f>
        <v>#REF!</v>
      </c>
      <c r="Q160" s="277" t="e">
        <f>#REF!</f>
        <v>#REF!</v>
      </c>
      <c r="R160" s="277" t="e">
        <f>#REF!</f>
        <v>#REF!</v>
      </c>
      <c r="S160" s="277" t="e">
        <f>#REF!</f>
        <v>#REF!</v>
      </c>
      <c r="T160" s="281" t="e">
        <f>#REF!</f>
        <v>#REF!</v>
      </c>
      <c r="U160" s="281" t="e">
        <f>#REF!</f>
        <v>#REF!</v>
      </c>
      <c r="V160" s="281" t="e">
        <f>#REF!</f>
        <v>#REF!</v>
      </c>
      <c r="W160" s="281" t="e">
        <f>#REF!</f>
        <v>#REF!</v>
      </c>
      <c r="X160" s="281" t="e">
        <f>#REF!</f>
        <v>#REF!</v>
      </c>
    </row>
    <row r="161" spans="1:24" ht="24.95" customHeight="1">
      <c r="A161" s="274" t="e">
        <f>#REF!</f>
        <v>#REF!</v>
      </c>
      <c r="B161" s="275" t="e">
        <f>#REF!</f>
        <v>#REF!</v>
      </c>
      <c r="C161" s="276" t="e">
        <f>#REF!</f>
        <v>#REF!</v>
      </c>
      <c r="D161" s="277" t="e">
        <f>#REF!</f>
        <v>#REF!</v>
      </c>
      <c r="E161" s="277" t="e">
        <f>#REF!</f>
        <v>#REF!</v>
      </c>
      <c r="F161" s="277" t="e">
        <f>#REF!</f>
        <v>#REF!</v>
      </c>
      <c r="G161" s="277" t="e">
        <f>#REF!</f>
        <v>#REF!</v>
      </c>
      <c r="H161" s="277" t="e">
        <f>#REF!</f>
        <v>#REF!</v>
      </c>
      <c r="I161" s="277" t="e">
        <f>#REF!</f>
        <v>#REF!</v>
      </c>
      <c r="J161" s="277" t="e">
        <f>#REF!</f>
        <v>#REF!</v>
      </c>
      <c r="K161" s="277" t="e">
        <f>#REF!</f>
        <v>#REF!</v>
      </c>
      <c r="L161" s="277" t="e">
        <f>#REF!</f>
        <v>#REF!</v>
      </c>
      <c r="M161" s="277" t="e">
        <f>#REF!</f>
        <v>#REF!</v>
      </c>
      <c r="N161" s="277" t="e">
        <f>#REF!</f>
        <v>#REF!</v>
      </c>
      <c r="O161" s="277" t="e">
        <f>#REF!</f>
        <v>#REF!</v>
      </c>
      <c r="P161" s="277" t="e">
        <f>#REF!</f>
        <v>#REF!</v>
      </c>
      <c r="Q161" s="277" t="e">
        <f>#REF!</f>
        <v>#REF!</v>
      </c>
      <c r="R161" s="277" t="e">
        <f>#REF!</f>
        <v>#REF!</v>
      </c>
      <c r="S161" s="277" t="e">
        <f>#REF!</f>
        <v>#REF!</v>
      </c>
      <c r="T161" s="281" t="e">
        <f>#REF!</f>
        <v>#REF!</v>
      </c>
      <c r="U161" s="281" t="e">
        <f>#REF!</f>
        <v>#REF!</v>
      </c>
      <c r="V161" s="281" t="e">
        <f>#REF!</f>
        <v>#REF!</v>
      </c>
      <c r="W161" s="281" t="e">
        <f>#REF!</f>
        <v>#REF!</v>
      </c>
      <c r="X161" s="281" t="e">
        <f>#REF!</f>
        <v>#REF!</v>
      </c>
    </row>
    <row r="162" spans="1:24" ht="24.95" customHeight="1">
      <c r="A162" s="274" t="e">
        <f>#REF!</f>
        <v>#REF!</v>
      </c>
      <c r="B162" s="275" t="e">
        <f>#REF!</f>
        <v>#REF!</v>
      </c>
      <c r="C162" s="276" t="e">
        <f>#REF!</f>
        <v>#REF!</v>
      </c>
      <c r="D162" s="277" t="e">
        <f>#REF!</f>
        <v>#REF!</v>
      </c>
      <c r="E162" s="277" t="e">
        <f>#REF!</f>
        <v>#REF!</v>
      </c>
      <c r="F162" s="277" t="e">
        <f>#REF!</f>
        <v>#REF!</v>
      </c>
      <c r="G162" s="277" t="e">
        <f>#REF!</f>
        <v>#REF!</v>
      </c>
      <c r="H162" s="277" t="e">
        <f>#REF!</f>
        <v>#REF!</v>
      </c>
      <c r="I162" s="277" t="e">
        <f>#REF!</f>
        <v>#REF!</v>
      </c>
      <c r="J162" s="277" t="e">
        <f>#REF!</f>
        <v>#REF!</v>
      </c>
      <c r="K162" s="277" t="e">
        <f>#REF!</f>
        <v>#REF!</v>
      </c>
      <c r="L162" s="277" t="e">
        <f>#REF!</f>
        <v>#REF!</v>
      </c>
      <c r="M162" s="277" t="e">
        <f>#REF!</f>
        <v>#REF!</v>
      </c>
      <c r="N162" s="277" t="e">
        <f>#REF!</f>
        <v>#REF!</v>
      </c>
      <c r="O162" s="277" t="e">
        <f>#REF!</f>
        <v>#REF!</v>
      </c>
      <c r="P162" s="277" t="e">
        <f>#REF!</f>
        <v>#REF!</v>
      </c>
      <c r="Q162" s="277" t="e">
        <f>#REF!</f>
        <v>#REF!</v>
      </c>
      <c r="R162" s="277" t="e">
        <f>#REF!</f>
        <v>#REF!</v>
      </c>
      <c r="S162" s="277" t="e">
        <f>#REF!</f>
        <v>#REF!</v>
      </c>
      <c r="T162" s="281" t="e">
        <f>#REF!</f>
        <v>#REF!</v>
      </c>
      <c r="U162" s="281" t="e">
        <f>#REF!</f>
        <v>#REF!</v>
      </c>
      <c r="V162" s="281" t="e">
        <f>#REF!</f>
        <v>#REF!</v>
      </c>
      <c r="W162" s="281" t="e">
        <f>#REF!</f>
        <v>#REF!</v>
      </c>
      <c r="X162" s="281" t="e">
        <f>#REF!</f>
        <v>#REF!</v>
      </c>
    </row>
    <row r="163" spans="1:24" ht="24.95" customHeight="1">
      <c r="A163" s="274" t="e">
        <f>#REF!</f>
        <v>#REF!</v>
      </c>
      <c r="B163" s="275" t="e">
        <f>#REF!</f>
        <v>#REF!</v>
      </c>
      <c r="C163" s="276" t="e">
        <f>#REF!</f>
        <v>#REF!</v>
      </c>
      <c r="D163" s="277" t="e">
        <f>#REF!</f>
        <v>#REF!</v>
      </c>
      <c r="E163" s="277" t="e">
        <f>#REF!</f>
        <v>#REF!</v>
      </c>
      <c r="F163" s="277" t="e">
        <f>#REF!</f>
        <v>#REF!</v>
      </c>
      <c r="G163" s="277" t="e">
        <f>#REF!</f>
        <v>#REF!</v>
      </c>
      <c r="H163" s="277" t="e">
        <f>#REF!</f>
        <v>#REF!</v>
      </c>
      <c r="I163" s="277" t="e">
        <f>#REF!</f>
        <v>#REF!</v>
      </c>
      <c r="J163" s="277" t="e">
        <f>#REF!</f>
        <v>#REF!</v>
      </c>
      <c r="K163" s="277" t="e">
        <f>#REF!</f>
        <v>#REF!</v>
      </c>
      <c r="L163" s="277" t="e">
        <f>#REF!</f>
        <v>#REF!</v>
      </c>
      <c r="M163" s="277" t="e">
        <f>#REF!</f>
        <v>#REF!</v>
      </c>
      <c r="N163" s="277" t="e">
        <f>#REF!</f>
        <v>#REF!</v>
      </c>
      <c r="O163" s="277" t="e">
        <f>#REF!</f>
        <v>#REF!</v>
      </c>
      <c r="P163" s="277" t="e">
        <f>#REF!</f>
        <v>#REF!</v>
      </c>
      <c r="Q163" s="277" t="e">
        <f>#REF!</f>
        <v>#REF!</v>
      </c>
      <c r="R163" s="277" t="e">
        <f>#REF!</f>
        <v>#REF!</v>
      </c>
      <c r="S163" s="277" t="e">
        <f>#REF!</f>
        <v>#REF!</v>
      </c>
      <c r="T163" s="281" t="e">
        <f>#REF!</f>
        <v>#REF!</v>
      </c>
      <c r="U163" s="281" t="e">
        <f>#REF!</f>
        <v>#REF!</v>
      </c>
      <c r="V163" s="281" t="e">
        <f>#REF!</f>
        <v>#REF!</v>
      </c>
      <c r="W163" s="281" t="e">
        <f>#REF!</f>
        <v>#REF!</v>
      </c>
      <c r="X163" s="281" t="e">
        <f>#REF!</f>
        <v>#REF!</v>
      </c>
    </row>
    <row r="164" spans="1:24" ht="24.95" customHeight="1">
      <c r="A164" s="274" t="e">
        <f>#REF!</f>
        <v>#REF!</v>
      </c>
      <c r="B164" s="275" t="e">
        <f>#REF!</f>
        <v>#REF!</v>
      </c>
      <c r="C164" s="276" t="e">
        <f>#REF!</f>
        <v>#REF!</v>
      </c>
      <c r="D164" s="277" t="e">
        <f>#REF!</f>
        <v>#REF!</v>
      </c>
      <c r="E164" s="277" t="e">
        <f>#REF!</f>
        <v>#REF!</v>
      </c>
      <c r="F164" s="277" t="e">
        <f>#REF!</f>
        <v>#REF!</v>
      </c>
      <c r="G164" s="277" t="e">
        <f>#REF!</f>
        <v>#REF!</v>
      </c>
      <c r="H164" s="277" t="e">
        <f>#REF!</f>
        <v>#REF!</v>
      </c>
      <c r="I164" s="277" t="e">
        <f>#REF!</f>
        <v>#REF!</v>
      </c>
      <c r="J164" s="277" t="e">
        <f>#REF!</f>
        <v>#REF!</v>
      </c>
      <c r="K164" s="277" t="e">
        <f>#REF!</f>
        <v>#REF!</v>
      </c>
      <c r="L164" s="277" t="e">
        <f>#REF!</f>
        <v>#REF!</v>
      </c>
      <c r="M164" s="277" t="e">
        <f>#REF!</f>
        <v>#REF!</v>
      </c>
      <c r="N164" s="277" t="e">
        <f>#REF!</f>
        <v>#REF!</v>
      </c>
      <c r="O164" s="277" t="e">
        <f>#REF!</f>
        <v>#REF!</v>
      </c>
      <c r="P164" s="277" t="e">
        <f>#REF!</f>
        <v>#REF!</v>
      </c>
      <c r="Q164" s="277" t="e">
        <f>#REF!</f>
        <v>#REF!</v>
      </c>
      <c r="R164" s="277" t="e">
        <f>#REF!</f>
        <v>#REF!</v>
      </c>
      <c r="S164" s="277" t="e">
        <f>#REF!</f>
        <v>#REF!</v>
      </c>
      <c r="T164" s="281" t="e">
        <f>#REF!</f>
        <v>#REF!</v>
      </c>
      <c r="U164" s="281" t="e">
        <f>#REF!</f>
        <v>#REF!</v>
      </c>
      <c r="V164" s="281" t="e">
        <f>#REF!</f>
        <v>#REF!</v>
      </c>
      <c r="W164" s="281" t="e">
        <f>#REF!</f>
        <v>#REF!</v>
      </c>
      <c r="X164" s="281" t="e">
        <f>#REF!</f>
        <v>#REF!</v>
      </c>
    </row>
    <row r="165" spans="1:24" ht="24.95" customHeight="1">
      <c r="A165" s="274" t="e">
        <f>#REF!</f>
        <v>#REF!</v>
      </c>
      <c r="B165" s="275" t="e">
        <f>#REF!</f>
        <v>#REF!</v>
      </c>
      <c r="C165" s="276" t="e">
        <f>#REF!</f>
        <v>#REF!</v>
      </c>
      <c r="D165" s="277" t="e">
        <f>#REF!</f>
        <v>#REF!</v>
      </c>
      <c r="E165" s="277" t="e">
        <f>#REF!</f>
        <v>#REF!</v>
      </c>
      <c r="F165" s="277" t="e">
        <f>#REF!</f>
        <v>#REF!</v>
      </c>
      <c r="G165" s="277" t="e">
        <f>#REF!</f>
        <v>#REF!</v>
      </c>
      <c r="H165" s="277" t="e">
        <f>#REF!</f>
        <v>#REF!</v>
      </c>
      <c r="I165" s="277" t="e">
        <f>#REF!</f>
        <v>#REF!</v>
      </c>
      <c r="J165" s="277" t="e">
        <f>#REF!</f>
        <v>#REF!</v>
      </c>
      <c r="K165" s="277" t="e">
        <f>#REF!</f>
        <v>#REF!</v>
      </c>
      <c r="L165" s="277" t="e">
        <f>#REF!</f>
        <v>#REF!</v>
      </c>
      <c r="M165" s="277" t="e">
        <f>#REF!</f>
        <v>#REF!</v>
      </c>
      <c r="N165" s="277" t="e">
        <f>#REF!</f>
        <v>#REF!</v>
      </c>
      <c r="O165" s="277" t="e">
        <f>#REF!</f>
        <v>#REF!</v>
      </c>
      <c r="P165" s="277" t="e">
        <f>#REF!</f>
        <v>#REF!</v>
      </c>
      <c r="Q165" s="277" t="e">
        <f>#REF!</f>
        <v>#REF!</v>
      </c>
      <c r="R165" s="277" t="e">
        <f>#REF!</f>
        <v>#REF!</v>
      </c>
      <c r="S165" s="277" t="e">
        <f>#REF!</f>
        <v>#REF!</v>
      </c>
      <c r="T165" s="281" t="e">
        <f>#REF!</f>
        <v>#REF!</v>
      </c>
      <c r="U165" s="281" t="e">
        <f>#REF!</f>
        <v>#REF!</v>
      </c>
      <c r="V165" s="281" t="e">
        <f>#REF!</f>
        <v>#REF!</v>
      </c>
      <c r="W165" s="281" t="e">
        <f>#REF!</f>
        <v>#REF!</v>
      </c>
      <c r="X165" s="281" t="e">
        <f>#REF!</f>
        <v>#REF!</v>
      </c>
    </row>
    <row r="166" spans="1:24" ht="24.95" customHeight="1">
      <c r="A166" s="274" t="e">
        <f>#REF!</f>
        <v>#REF!</v>
      </c>
      <c r="B166" s="275" t="e">
        <f>#REF!</f>
        <v>#REF!</v>
      </c>
      <c r="C166" s="276" t="e">
        <f>#REF!</f>
        <v>#REF!</v>
      </c>
      <c r="D166" s="277" t="e">
        <f>#REF!</f>
        <v>#REF!</v>
      </c>
      <c r="E166" s="277" t="e">
        <f>#REF!</f>
        <v>#REF!</v>
      </c>
      <c r="F166" s="277" t="e">
        <f>#REF!</f>
        <v>#REF!</v>
      </c>
      <c r="G166" s="277" t="e">
        <f>#REF!</f>
        <v>#REF!</v>
      </c>
      <c r="H166" s="277" t="e">
        <f>#REF!</f>
        <v>#REF!</v>
      </c>
      <c r="I166" s="277" t="e">
        <f>#REF!</f>
        <v>#REF!</v>
      </c>
      <c r="J166" s="277" t="e">
        <f>#REF!</f>
        <v>#REF!</v>
      </c>
      <c r="K166" s="277" t="e">
        <f>#REF!</f>
        <v>#REF!</v>
      </c>
      <c r="L166" s="277" t="e">
        <f>#REF!</f>
        <v>#REF!</v>
      </c>
      <c r="M166" s="277" t="e">
        <f>#REF!</f>
        <v>#REF!</v>
      </c>
      <c r="N166" s="277" t="e">
        <f>#REF!</f>
        <v>#REF!</v>
      </c>
      <c r="O166" s="277" t="e">
        <f>#REF!</f>
        <v>#REF!</v>
      </c>
      <c r="P166" s="277" t="e">
        <f>#REF!</f>
        <v>#REF!</v>
      </c>
      <c r="Q166" s="277" t="e">
        <f>#REF!</f>
        <v>#REF!</v>
      </c>
      <c r="R166" s="277" t="e">
        <f>#REF!</f>
        <v>#REF!</v>
      </c>
      <c r="S166" s="277" t="e">
        <f>#REF!</f>
        <v>#REF!</v>
      </c>
      <c r="T166" s="281" t="e">
        <f>#REF!</f>
        <v>#REF!</v>
      </c>
      <c r="U166" s="281" t="e">
        <f>#REF!</f>
        <v>#REF!</v>
      </c>
      <c r="V166" s="281" t="e">
        <f>#REF!</f>
        <v>#REF!</v>
      </c>
      <c r="W166" s="281" t="e">
        <f>#REF!</f>
        <v>#REF!</v>
      </c>
      <c r="X166" s="281" t="e">
        <f>#REF!</f>
        <v>#REF!</v>
      </c>
    </row>
    <row r="167" spans="1:24" ht="24.95" customHeight="1">
      <c r="A167" s="274" t="e">
        <f>#REF!</f>
        <v>#REF!</v>
      </c>
      <c r="B167" s="275" t="e">
        <f>#REF!</f>
        <v>#REF!</v>
      </c>
      <c r="C167" s="276" t="e">
        <f>#REF!</f>
        <v>#REF!</v>
      </c>
      <c r="D167" s="277" t="e">
        <f>#REF!</f>
        <v>#REF!</v>
      </c>
      <c r="E167" s="277" t="e">
        <f>#REF!</f>
        <v>#REF!</v>
      </c>
      <c r="F167" s="277" t="e">
        <f>#REF!</f>
        <v>#REF!</v>
      </c>
      <c r="G167" s="277" t="e">
        <f>#REF!</f>
        <v>#REF!</v>
      </c>
      <c r="H167" s="277" t="e">
        <f>#REF!</f>
        <v>#REF!</v>
      </c>
      <c r="I167" s="277" t="e">
        <f>#REF!</f>
        <v>#REF!</v>
      </c>
      <c r="J167" s="277" t="e">
        <f>#REF!</f>
        <v>#REF!</v>
      </c>
      <c r="K167" s="277" t="e">
        <f>#REF!</f>
        <v>#REF!</v>
      </c>
      <c r="L167" s="277" t="e">
        <f>#REF!</f>
        <v>#REF!</v>
      </c>
      <c r="M167" s="277" t="e">
        <f>#REF!</f>
        <v>#REF!</v>
      </c>
      <c r="N167" s="277" t="e">
        <f>#REF!</f>
        <v>#REF!</v>
      </c>
      <c r="O167" s="277" t="e">
        <f>#REF!</f>
        <v>#REF!</v>
      </c>
      <c r="P167" s="277" t="e">
        <f>#REF!</f>
        <v>#REF!</v>
      </c>
      <c r="Q167" s="277" t="e">
        <f>#REF!</f>
        <v>#REF!</v>
      </c>
      <c r="R167" s="277" t="e">
        <f>#REF!</f>
        <v>#REF!</v>
      </c>
      <c r="S167" s="277" t="e">
        <f>#REF!</f>
        <v>#REF!</v>
      </c>
      <c r="T167" s="281" t="e">
        <f>#REF!</f>
        <v>#REF!</v>
      </c>
      <c r="U167" s="281" t="e">
        <f>#REF!</f>
        <v>#REF!</v>
      </c>
      <c r="V167" s="281" t="e">
        <f>#REF!</f>
        <v>#REF!</v>
      </c>
      <c r="W167" s="281" t="e">
        <f>#REF!</f>
        <v>#REF!</v>
      </c>
      <c r="X167" s="281" t="e">
        <f>#REF!</f>
        <v>#REF!</v>
      </c>
    </row>
    <row r="168" spans="1:24" ht="24.95" customHeight="1">
      <c r="A168" s="274" t="e">
        <f>#REF!</f>
        <v>#REF!</v>
      </c>
      <c r="B168" s="275" t="e">
        <f>#REF!</f>
        <v>#REF!</v>
      </c>
      <c r="C168" s="276" t="e">
        <f>#REF!</f>
        <v>#REF!</v>
      </c>
      <c r="D168" s="277" t="e">
        <f>#REF!</f>
        <v>#REF!</v>
      </c>
      <c r="E168" s="277" t="e">
        <f>#REF!</f>
        <v>#REF!</v>
      </c>
      <c r="F168" s="277" t="e">
        <f>#REF!</f>
        <v>#REF!</v>
      </c>
      <c r="G168" s="277" t="e">
        <f>#REF!</f>
        <v>#REF!</v>
      </c>
      <c r="H168" s="277" t="e">
        <f>#REF!</f>
        <v>#REF!</v>
      </c>
      <c r="I168" s="277" t="e">
        <f>#REF!</f>
        <v>#REF!</v>
      </c>
      <c r="J168" s="277" t="e">
        <f>#REF!</f>
        <v>#REF!</v>
      </c>
      <c r="K168" s="277" t="e">
        <f>#REF!</f>
        <v>#REF!</v>
      </c>
      <c r="L168" s="277" t="e">
        <f>#REF!</f>
        <v>#REF!</v>
      </c>
      <c r="M168" s="277" t="e">
        <f>#REF!</f>
        <v>#REF!</v>
      </c>
      <c r="N168" s="277" t="e">
        <f>#REF!</f>
        <v>#REF!</v>
      </c>
      <c r="O168" s="277" t="e">
        <f>#REF!</f>
        <v>#REF!</v>
      </c>
      <c r="P168" s="277" t="e">
        <f>#REF!</f>
        <v>#REF!</v>
      </c>
      <c r="Q168" s="277" t="e">
        <f>#REF!</f>
        <v>#REF!</v>
      </c>
      <c r="R168" s="277" t="e">
        <f>#REF!</f>
        <v>#REF!</v>
      </c>
      <c r="S168" s="277" t="e">
        <f>#REF!</f>
        <v>#REF!</v>
      </c>
      <c r="T168" s="281" t="e">
        <f>#REF!</f>
        <v>#REF!</v>
      </c>
      <c r="U168" s="281" t="e">
        <f>#REF!</f>
        <v>#REF!</v>
      </c>
      <c r="V168" s="281" t="e">
        <f>#REF!</f>
        <v>#REF!</v>
      </c>
      <c r="W168" s="281" t="e">
        <f>#REF!</f>
        <v>#REF!</v>
      </c>
      <c r="X168" s="281" t="e">
        <f>#REF!</f>
        <v>#REF!</v>
      </c>
    </row>
    <row r="169" spans="1:24" ht="24.95" customHeight="1">
      <c r="A169" s="274" t="e">
        <f>#REF!</f>
        <v>#REF!</v>
      </c>
      <c r="B169" s="275" t="e">
        <f>#REF!</f>
        <v>#REF!</v>
      </c>
      <c r="C169" s="276" t="e">
        <f>#REF!</f>
        <v>#REF!</v>
      </c>
      <c r="D169" s="277" t="e">
        <f>#REF!</f>
        <v>#REF!</v>
      </c>
      <c r="E169" s="277" t="e">
        <f>#REF!</f>
        <v>#REF!</v>
      </c>
      <c r="F169" s="277" t="e">
        <f>#REF!</f>
        <v>#REF!</v>
      </c>
      <c r="G169" s="277" t="e">
        <f>#REF!</f>
        <v>#REF!</v>
      </c>
      <c r="H169" s="277" t="e">
        <f>#REF!</f>
        <v>#REF!</v>
      </c>
      <c r="I169" s="277" t="e">
        <f>#REF!</f>
        <v>#REF!</v>
      </c>
      <c r="J169" s="277" t="e">
        <f>#REF!</f>
        <v>#REF!</v>
      </c>
      <c r="K169" s="277" t="e">
        <f>#REF!</f>
        <v>#REF!</v>
      </c>
      <c r="L169" s="277" t="e">
        <f>#REF!</f>
        <v>#REF!</v>
      </c>
      <c r="M169" s="277" t="e">
        <f>#REF!</f>
        <v>#REF!</v>
      </c>
      <c r="N169" s="277" t="e">
        <f>#REF!</f>
        <v>#REF!</v>
      </c>
      <c r="O169" s="277" t="e">
        <f>#REF!</f>
        <v>#REF!</v>
      </c>
      <c r="P169" s="277" t="e">
        <f>#REF!</f>
        <v>#REF!</v>
      </c>
      <c r="Q169" s="277" t="e">
        <f>#REF!</f>
        <v>#REF!</v>
      </c>
      <c r="R169" s="277" t="e">
        <f>#REF!</f>
        <v>#REF!</v>
      </c>
      <c r="S169" s="277" t="e">
        <f>#REF!</f>
        <v>#REF!</v>
      </c>
      <c r="T169" s="281" t="e">
        <f>#REF!</f>
        <v>#REF!</v>
      </c>
      <c r="U169" s="281" t="e">
        <f>#REF!</f>
        <v>#REF!</v>
      </c>
      <c r="V169" s="281" t="e">
        <f>#REF!</f>
        <v>#REF!</v>
      </c>
      <c r="W169" s="281" t="e">
        <f>#REF!</f>
        <v>#REF!</v>
      </c>
      <c r="X169" s="281" t="e">
        <f>#REF!</f>
        <v>#REF!</v>
      </c>
    </row>
    <row r="170" spans="1:24" ht="24.95" customHeight="1">
      <c r="A170" s="274" t="e">
        <f>#REF!</f>
        <v>#REF!</v>
      </c>
      <c r="B170" s="275" t="e">
        <f>#REF!</f>
        <v>#REF!</v>
      </c>
      <c r="C170" s="276" t="e">
        <f>#REF!</f>
        <v>#REF!</v>
      </c>
      <c r="D170" s="277" t="e">
        <f>#REF!</f>
        <v>#REF!</v>
      </c>
      <c r="E170" s="277" t="e">
        <f>#REF!</f>
        <v>#REF!</v>
      </c>
      <c r="F170" s="277" t="e">
        <f>#REF!</f>
        <v>#REF!</v>
      </c>
      <c r="G170" s="277" t="e">
        <f>#REF!</f>
        <v>#REF!</v>
      </c>
      <c r="H170" s="277" t="e">
        <f>#REF!</f>
        <v>#REF!</v>
      </c>
      <c r="I170" s="277" t="e">
        <f>#REF!</f>
        <v>#REF!</v>
      </c>
      <c r="J170" s="277" t="e">
        <f>#REF!</f>
        <v>#REF!</v>
      </c>
      <c r="K170" s="277" t="e">
        <f>#REF!</f>
        <v>#REF!</v>
      </c>
      <c r="L170" s="277" t="e">
        <f>#REF!</f>
        <v>#REF!</v>
      </c>
      <c r="M170" s="277" t="e">
        <f>#REF!</f>
        <v>#REF!</v>
      </c>
      <c r="N170" s="277" t="e">
        <f>#REF!</f>
        <v>#REF!</v>
      </c>
      <c r="O170" s="277" t="e">
        <f>#REF!</f>
        <v>#REF!</v>
      </c>
      <c r="P170" s="277" t="e">
        <f>#REF!</f>
        <v>#REF!</v>
      </c>
      <c r="Q170" s="277" t="e">
        <f>#REF!</f>
        <v>#REF!</v>
      </c>
      <c r="R170" s="277" t="e">
        <f>#REF!</f>
        <v>#REF!</v>
      </c>
      <c r="S170" s="277" t="e">
        <f>#REF!</f>
        <v>#REF!</v>
      </c>
      <c r="T170" s="281" t="e">
        <f>#REF!</f>
        <v>#REF!</v>
      </c>
      <c r="U170" s="281" t="e">
        <f>#REF!</f>
        <v>#REF!</v>
      </c>
      <c r="V170" s="281" t="e">
        <f>#REF!</f>
        <v>#REF!</v>
      </c>
      <c r="W170" s="281" t="e">
        <f>#REF!</f>
        <v>#REF!</v>
      </c>
      <c r="X170" s="281" t="e">
        <f>#REF!</f>
        <v>#REF!</v>
      </c>
    </row>
    <row r="171" spans="1:24" ht="24.95" customHeight="1">
      <c r="A171" s="274" t="e">
        <f>#REF!</f>
        <v>#REF!</v>
      </c>
      <c r="B171" s="275" t="e">
        <f>#REF!</f>
        <v>#REF!</v>
      </c>
      <c r="C171" s="276" t="e">
        <f>#REF!</f>
        <v>#REF!</v>
      </c>
      <c r="D171" s="277" t="e">
        <f>#REF!</f>
        <v>#REF!</v>
      </c>
      <c r="E171" s="277" t="e">
        <f>#REF!</f>
        <v>#REF!</v>
      </c>
      <c r="F171" s="277" t="e">
        <f>#REF!</f>
        <v>#REF!</v>
      </c>
      <c r="G171" s="277" t="e">
        <f>#REF!</f>
        <v>#REF!</v>
      </c>
      <c r="H171" s="277" t="e">
        <f>#REF!</f>
        <v>#REF!</v>
      </c>
      <c r="I171" s="277" t="e">
        <f>#REF!</f>
        <v>#REF!</v>
      </c>
      <c r="J171" s="277" t="e">
        <f>#REF!</f>
        <v>#REF!</v>
      </c>
      <c r="K171" s="277" t="e">
        <f>#REF!</f>
        <v>#REF!</v>
      </c>
      <c r="L171" s="277" t="e">
        <f>#REF!</f>
        <v>#REF!</v>
      </c>
      <c r="M171" s="277" t="e">
        <f>#REF!</f>
        <v>#REF!</v>
      </c>
      <c r="N171" s="277" t="e">
        <f>#REF!</f>
        <v>#REF!</v>
      </c>
      <c r="O171" s="277" t="e">
        <f>#REF!</f>
        <v>#REF!</v>
      </c>
      <c r="P171" s="277" t="e">
        <f>#REF!</f>
        <v>#REF!</v>
      </c>
      <c r="Q171" s="277" t="e">
        <f>#REF!</f>
        <v>#REF!</v>
      </c>
      <c r="R171" s="277" t="e">
        <f>#REF!</f>
        <v>#REF!</v>
      </c>
      <c r="S171" s="277" t="e">
        <f>#REF!</f>
        <v>#REF!</v>
      </c>
      <c r="T171" s="281" t="e">
        <f>#REF!</f>
        <v>#REF!</v>
      </c>
      <c r="U171" s="281" t="e">
        <f>#REF!</f>
        <v>#REF!</v>
      </c>
      <c r="V171" s="281" t="e">
        <f>#REF!</f>
        <v>#REF!</v>
      </c>
      <c r="W171" s="281" t="e">
        <f>#REF!</f>
        <v>#REF!</v>
      </c>
      <c r="X171" s="281" t="e">
        <f>#REF!</f>
        <v>#REF!</v>
      </c>
    </row>
    <row r="172" spans="1:24" ht="24.95" customHeight="1">
      <c r="A172" s="274" t="e">
        <f>#REF!</f>
        <v>#REF!</v>
      </c>
      <c r="B172" s="275" t="e">
        <f>#REF!</f>
        <v>#REF!</v>
      </c>
      <c r="C172" s="276" t="e">
        <f>#REF!</f>
        <v>#REF!</v>
      </c>
      <c r="D172" s="277" t="e">
        <f>#REF!</f>
        <v>#REF!</v>
      </c>
      <c r="E172" s="277" t="e">
        <f>#REF!</f>
        <v>#REF!</v>
      </c>
      <c r="F172" s="277" t="e">
        <f>#REF!</f>
        <v>#REF!</v>
      </c>
      <c r="G172" s="277" t="e">
        <f>#REF!</f>
        <v>#REF!</v>
      </c>
      <c r="H172" s="277" t="e">
        <f>#REF!</f>
        <v>#REF!</v>
      </c>
      <c r="I172" s="277" t="e">
        <f>#REF!</f>
        <v>#REF!</v>
      </c>
      <c r="J172" s="277" t="e">
        <f>#REF!</f>
        <v>#REF!</v>
      </c>
      <c r="K172" s="277" t="e">
        <f>#REF!</f>
        <v>#REF!</v>
      </c>
      <c r="L172" s="277" t="e">
        <f>#REF!</f>
        <v>#REF!</v>
      </c>
      <c r="M172" s="277" t="e">
        <f>#REF!</f>
        <v>#REF!</v>
      </c>
      <c r="N172" s="277" t="e">
        <f>#REF!</f>
        <v>#REF!</v>
      </c>
      <c r="O172" s="277" t="e">
        <f>#REF!</f>
        <v>#REF!</v>
      </c>
      <c r="P172" s="277" t="e">
        <f>#REF!</f>
        <v>#REF!</v>
      </c>
      <c r="Q172" s="277" t="e">
        <f>#REF!</f>
        <v>#REF!</v>
      </c>
      <c r="R172" s="277" t="e">
        <f>#REF!</f>
        <v>#REF!</v>
      </c>
      <c r="S172" s="277" t="e">
        <f>#REF!</f>
        <v>#REF!</v>
      </c>
      <c r="T172" s="281" t="e">
        <f>#REF!</f>
        <v>#REF!</v>
      </c>
      <c r="U172" s="281" t="e">
        <f>#REF!</f>
        <v>#REF!</v>
      </c>
      <c r="V172" s="281" t="e">
        <f>#REF!</f>
        <v>#REF!</v>
      </c>
      <c r="W172" s="281" t="e">
        <f>#REF!</f>
        <v>#REF!</v>
      </c>
      <c r="X172" s="281" t="e">
        <f>#REF!</f>
        <v>#REF!</v>
      </c>
    </row>
    <row r="173" spans="1:24" ht="24.95" customHeight="1">
      <c r="A173" s="274" t="e">
        <f>#REF!</f>
        <v>#REF!</v>
      </c>
      <c r="B173" s="275" t="e">
        <f>#REF!</f>
        <v>#REF!</v>
      </c>
      <c r="C173" s="276" t="e">
        <f>#REF!</f>
        <v>#REF!</v>
      </c>
      <c r="D173" s="277" t="e">
        <f>#REF!</f>
        <v>#REF!</v>
      </c>
      <c r="E173" s="277" t="e">
        <f>#REF!</f>
        <v>#REF!</v>
      </c>
      <c r="F173" s="277" t="e">
        <f>#REF!</f>
        <v>#REF!</v>
      </c>
      <c r="G173" s="277" t="e">
        <f>#REF!</f>
        <v>#REF!</v>
      </c>
      <c r="H173" s="277" t="e">
        <f>#REF!</f>
        <v>#REF!</v>
      </c>
      <c r="I173" s="277" t="e">
        <f>#REF!</f>
        <v>#REF!</v>
      </c>
      <c r="J173" s="277" t="e">
        <f>#REF!</f>
        <v>#REF!</v>
      </c>
      <c r="K173" s="277" t="e">
        <f>#REF!</f>
        <v>#REF!</v>
      </c>
      <c r="L173" s="277" t="e">
        <f>#REF!</f>
        <v>#REF!</v>
      </c>
      <c r="M173" s="277" t="e">
        <f>#REF!</f>
        <v>#REF!</v>
      </c>
      <c r="N173" s="277" t="e">
        <f>#REF!</f>
        <v>#REF!</v>
      </c>
      <c r="O173" s="277" t="e">
        <f>#REF!</f>
        <v>#REF!</v>
      </c>
      <c r="P173" s="277" t="e">
        <f>#REF!</f>
        <v>#REF!</v>
      </c>
      <c r="Q173" s="277" t="e">
        <f>#REF!</f>
        <v>#REF!</v>
      </c>
      <c r="R173" s="277" t="e">
        <f>#REF!</f>
        <v>#REF!</v>
      </c>
      <c r="S173" s="277" t="e">
        <f>#REF!</f>
        <v>#REF!</v>
      </c>
      <c r="T173" s="281" t="e">
        <f>#REF!</f>
        <v>#REF!</v>
      </c>
      <c r="U173" s="281" t="e">
        <f>#REF!</f>
        <v>#REF!</v>
      </c>
      <c r="V173" s="281" t="e">
        <f>#REF!</f>
        <v>#REF!</v>
      </c>
      <c r="W173" s="281" t="e">
        <f>#REF!</f>
        <v>#REF!</v>
      </c>
      <c r="X173" s="281" t="e">
        <f>#REF!</f>
        <v>#REF!</v>
      </c>
    </row>
    <row r="174" spans="1:24" ht="24.95" customHeight="1">
      <c r="A174" s="274" t="e">
        <f>#REF!</f>
        <v>#REF!</v>
      </c>
      <c r="B174" s="275" t="e">
        <f>#REF!</f>
        <v>#REF!</v>
      </c>
      <c r="C174" s="276" t="e">
        <f>#REF!</f>
        <v>#REF!</v>
      </c>
      <c r="D174" s="277" t="e">
        <f>#REF!</f>
        <v>#REF!</v>
      </c>
      <c r="E174" s="277" t="e">
        <f>#REF!</f>
        <v>#REF!</v>
      </c>
      <c r="F174" s="277" t="e">
        <f>#REF!</f>
        <v>#REF!</v>
      </c>
      <c r="G174" s="277" t="e">
        <f>#REF!</f>
        <v>#REF!</v>
      </c>
      <c r="H174" s="277" t="e">
        <f>#REF!</f>
        <v>#REF!</v>
      </c>
      <c r="I174" s="277" t="e">
        <f>#REF!</f>
        <v>#REF!</v>
      </c>
      <c r="J174" s="277" t="e">
        <f>#REF!</f>
        <v>#REF!</v>
      </c>
      <c r="K174" s="277" t="e">
        <f>#REF!</f>
        <v>#REF!</v>
      </c>
      <c r="L174" s="277" t="e">
        <f>#REF!</f>
        <v>#REF!</v>
      </c>
      <c r="M174" s="277" t="e">
        <f>#REF!</f>
        <v>#REF!</v>
      </c>
      <c r="N174" s="277" t="e">
        <f>#REF!</f>
        <v>#REF!</v>
      </c>
      <c r="O174" s="277" t="e">
        <f>#REF!</f>
        <v>#REF!</v>
      </c>
      <c r="P174" s="277" t="e">
        <f>#REF!</f>
        <v>#REF!</v>
      </c>
      <c r="Q174" s="277" t="e">
        <f>#REF!</f>
        <v>#REF!</v>
      </c>
      <c r="R174" s="277" t="e">
        <f>#REF!</f>
        <v>#REF!</v>
      </c>
      <c r="S174" s="277" t="e">
        <f>#REF!</f>
        <v>#REF!</v>
      </c>
      <c r="T174" s="281" t="e">
        <f>#REF!</f>
        <v>#REF!</v>
      </c>
      <c r="U174" s="281" t="e">
        <f>#REF!</f>
        <v>#REF!</v>
      </c>
      <c r="V174" s="281" t="e">
        <f>#REF!</f>
        <v>#REF!</v>
      </c>
      <c r="W174" s="281" t="e">
        <f>#REF!</f>
        <v>#REF!</v>
      </c>
      <c r="X174" s="281" t="e">
        <f>#REF!</f>
        <v>#REF!</v>
      </c>
    </row>
    <row r="175" spans="1:24" ht="24.95" customHeight="1">
      <c r="A175" s="274" t="e">
        <f>#REF!</f>
        <v>#REF!</v>
      </c>
      <c r="B175" s="275" t="e">
        <f>#REF!</f>
        <v>#REF!</v>
      </c>
      <c r="C175" s="276" t="e">
        <f>#REF!</f>
        <v>#REF!</v>
      </c>
      <c r="D175" s="277" t="e">
        <f>#REF!</f>
        <v>#REF!</v>
      </c>
      <c r="E175" s="277" t="e">
        <f>#REF!</f>
        <v>#REF!</v>
      </c>
      <c r="F175" s="277" t="e">
        <f>#REF!</f>
        <v>#REF!</v>
      </c>
      <c r="G175" s="277" t="e">
        <f>#REF!</f>
        <v>#REF!</v>
      </c>
      <c r="H175" s="277" t="e">
        <f>#REF!</f>
        <v>#REF!</v>
      </c>
      <c r="I175" s="277" t="e">
        <f>#REF!</f>
        <v>#REF!</v>
      </c>
      <c r="J175" s="277" t="e">
        <f>#REF!</f>
        <v>#REF!</v>
      </c>
      <c r="K175" s="277" t="e">
        <f>#REF!</f>
        <v>#REF!</v>
      </c>
      <c r="L175" s="277" t="e">
        <f>#REF!</f>
        <v>#REF!</v>
      </c>
      <c r="M175" s="277" t="e">
        <f>#REF!</f>
        <v>#REF!</v>
      </c>
      <c r="N175" s="277" t="e">
        <f>#REF!</f>
        <v>#REF!</v>
      </c>
      <c r="O175" s="277" t="e">
        <f>#REF!</f>
        <v>#REF!</v>
      </c>
      <c r="P175" s="277" t="e">
        <f>#REF!</f>
        <v>#REF!</v>
      </c>
      <c r="Q175" s="277" t="e">
        <f>#REF!</f>
        <v>#REF!</v>
      </c>
      <c r="R175" s="277" t="e">
        <f>#REF!</f>
        <v>#REF!</v>
      </c>
      <c r="S175" s="277" t="e">
        <f>#REF!</f>
        <v>#REF!</v>
      </c>
      <c r="T175" s="281" t="e">
        <f>#REF!</f>
        <v>#REF!</v>
      </c>
      <c r="U175" s="281" t="e">
        <f>#REF!</f>
        <v>#REF!</v>
      </c>
      <c r="V175" s="281" t="e">
        <f>#REF!</f>
        <v>#REF!</v>
      </c>
      <c r="W175" s="281" t="e">
        <f>#REF!</f>
        <v>#REF!</v>
      </c>
      <c r="X175" s="281" t="e">
        <f>#REF!</f>
        <v>#REF!</v>
      </c>
    </row>
    <row r="176" spans="1:24" ht="24.95" customHeight="1">
      <c r="A176" s="274" t="e">
        <f>#REF!</f>
        <v>#REF!</v>
      </c>
      <c r="B176" s="275" t="e">
        <f>#REF!</f>
        <v>#REF!</v>
      </c>
      <c r="C176" s="276" t="e">
        <f>#REF!</f>
        <v>#REF!</v>
      </c>
      <c r="D176" s="277" t="e">
        <f>#REF!</f>
        <v>#REF!</v>
      </c>
      <c r="E176" s="277" t="e">
        <f>#REF!</f>
        <v>#REF!</v>
      </c>
      <c r="F176" s="277" t="e">
        <f>#REF!</f>
        <v>#REF!</v>
      </c>
      <c r="G176" s="277" t="e">
        <f>#REF!</f>
        <v>#REF!</v>
      </c>
      <c r="H176" s="277" t="e">
        <f>#REF!</f>
        <v>#REF!</v>
      </c>
      <c r="I176" s="277" t="e">
        <f>#REF!</f>
        <v>#REF!</v>
      </c>
      <c r="J176" s="277" t="e">
        <f>#REF!</f>
        <v>#REF!</v>
      </c>
      <c r="K176" s="277" t="e">
        <f>#REF!</f>
        <v>#REF!</v>
      </c>
      <c r="L176" s="277" t="e">
        <f>#REF!</f>
        <v>#REF!</v>
      </c>
      <c r="M176" s="277" t="e">
        <f>#REF!</f>
        <v>#REF!</v>
      </c>
      <c r="N176" s="277" t="e">
        <f>#REF!</f>
        <v>#REF!</v>
      </c>
      <c r="O176" s="277" t="e">
        <f>#REF!</f>
        <v>#REF!</v>
      </c>
      <c r="P176" s="277" t="e">
        <f>#REF!</f>
        <v>#REF!</v>
      </c>
      <c r="Q176" s="277" t="e">
        <f>#REF!</f>
        <v>#REF!</v>
      </c>
      <c r="R176" s="277" t="e">
        <f>#REF!</f>
        <v>#REF!</v>
      </c>
      <c r="S176" s="277" t="e">
        <f>#REF!</f>
        <v>#REF!</v>
      </c>
      <c r="T176" s="281" t="e">
        <f>#REF!</f>
        <v>#REF!</v>
      </c>
      <c r="U176" s="281" t="e">
        <f>#REF!</f>
        <v>#REF!</v>
      </c>
      <c r="V176" s="281" t="e">
        <f>#REF!</f>
        <v>#REF!</v>
      </c>
      <c r="W176" s="281" t="e">
        <f>#REF!</f>
        <v>#REF!</v>
      </c>
      <c r="X176" s="281" t="e">
        <f>#REF!</f>
        <v>#REF!</v>
      </c>
    </row>
    <row r="177" spans="1:24" ht="24.95" customHeight="1">
      <c r="A177" s="274" t="e">
        <f>#REF!</f>
        <v>#REF!</v>
      </c>
      <c r="B177" s="275" t="e">
        <f>#REF!</f>
        <v>#REF!</v>
      </c>
      <c r="C177" s="276" t="e">
        <f>#REF!</f>
        <v>#REF!</v>
      </c>
      <c r="D177" s="277" t="e">
        <f>#REF!</f>
        <v>#REF!</v>
      </c>
      <c r="E177" s="277" t="e">
        <f>#REF!</f>
        <v>#REF!</v>
      </c>
      <c r="F177" s="277" t="e">
        <f>#REF!</f>
        <v>#REF!</v>
      </c>
      <c r="G177" s="277" t="e">
        <f>#REF!</f>
        <v>#REF!</v>
      </c>
      <c r="H177" s="277" t="e">
        <f>#REF!</f>
        <v>#REF!</v>
      </c>
      <c r="I177" s="277" t="e">
        <f>#REF!</f>
        <v>#REF!</v>
      </c>
      <c r="J177" s="277" t="e">
        <f>#REF!</f>
        <v>#REF!</v>
      </c>
      <c r="K177" s="277" t="e">
        <f>#REF!</f>
        <v>#REF!</v>
      </c>
      <c r="L177" s="277" t="e">
        <f>#REF!</f>
        <v>#REF!</v>
      </c>
      <c r="M177" s="277" t="e">
        <f>#REF!</f>
        <v>#REF!</v>
      </c>
      <c r="N177" s="277" t="e">
        <f>#REF!</f>
        <v>#REF!</v>
      </c>
      <c r="O177" s="277" t="e">
        <f>#REF!</f>
        <v>#REF!</v>
      </c>
      <c r="P177" s="277" t="e">
        <f>#REF!</f>
        <v>#REF!</v>
      </c>
      <c r="Q177" s="277" t="e">
        <f>#REF!</f>
        <v>#REF!</v>
      </c>
      <c r="R177" s="277" t="e">
        <f>#REF!</f>
        <v>#REF!</v>
      </c>
      <c r="S177" s="277" t="e">
        <f>#REF!</f>
        <v>#REF!</v>
      </c>
      <c r="T177" s="281" t="e">
        <f>#REF!</f>
        <v>#REF!</v>
      </c>
      <c r="U177" s="281" t="e">
        <f>#REF!</f>
        <v>#REF!</v>
      </c>
      <c r="V177" s="281" t="e">
        <f>#REF!</f>
        <v>#REF!</v>
      </c>
      <c r="W177" s="281" t="e">
        <f>#REF!</f>
        <v>#REF!</v>
      </c>
      <c r="X177" s="281" t="e">
        <f>#REF!</f>
        <v>#REF!</v>
      </c>
    </row>
    <row r="178" spans="1:24" ht="24.95" customHeight="1">
      <c r="A178" s="274" t="e">
        <f>#REF!</f>
        <v>#REF!</v>
      </c>
      <c r="B178" s="275" t="e">
        <f>#REF!</f>
        <v>#REF!</v>
      </c>
      <c r="C178" s="276" t="e">
        <f>#REF!</f>
        <v>#REF!</v>
      </c>
      <c r="D178" s="277" t="e">
        <f>#REF!</f>
        <v>#REF!</v>
      </c>
      <c r="E178" s="277" t="e">
        <f>#REF!</f>
        <v>#REF!</v>
      </c>
      <c r="F178" s="277" t="e">
        <f>#REF!</f>
        <v>#REF!</v>
      </c>
      <c r="G178" s="277" t="e">
        <f>#REF!</f>
        <v>#REF!</v>
      </c>
      <c r="H178" s="277" t="e">
        <f>#REF!</f>
        <v>#REF!</v>
      </c>
      <c r="I178" s="277" t="e">
        <f>#REF!</f>
        <v>#REF!</v>
      </c>
      <c r="J178" s="277" t="e">
        <f>#REF!</f>
        <v>#REF!</v>
      </c>
      <c r="K178" s="277" t="e">
        <f>#REF!</f>
        <v>#REF!</v>
      </c>
      <c r="L178" s="277" t="e">
        <f>#REF!</f>
        <v>#REF!</v>
      </c>
      <c r="M178" s="277" t="e">
        <f>#REF!</f>
        <v>#REF!</v>
      </c>
      <c r="N178" s="277" t="e">
        <f>#REF!</f>
        <v>#REF!</v>
      </c>
      <c r="O178" s="277" t="e">
        <f>#REF!</f>
        <v>#REF!</v>
      </c>
      <c r="P178" s="277" t="e">
        <f>#REF!</f>
        <v>#REF!</v>
      </c>
      <c r="Q178" s="277" t="e">
        <f>#REF!</f>
        <v>#REF!</v>
      </c>
      <c r="R178" s="277" t="e">
        <f>#REF!</f>
        <v>#REF!</v>
      </c>
      <c r="S178" s="277" t="e">
        <f>#REF!</f>
        <v>#REF!</v>
      </c>
      <c r="T178" s="281" t="e">
        <f>#REF!</f>
        <v>#REF!</v>
      </c>
      <c r="U178" s="281" t="e">
        <f>#REF!</f>
        <v>#REF!</v>
      </c>
      <c r="V178" s="281" t="e">
        <f>#REF!</f>
        <v>#REF!</v>
      </c>
      <c r="W178" s="281" t="e">
        <f>#REF!</f>
        <v>#REF!</v>
      </c>
      <c r="X178" s="281" t="e">
        <f>#REF!</f>
        <v>#REF!</v>
      </c>
    </row>
    <row r="179" spans="1:24" ht="24.95" customHeight="1">
      <c r="A179" s="274" t="e">
        <f>#REF!</f>
        <v>#REF!</v>
      </c>
      <c r="B179" s="275" t="e">
        <f>#REF!</f>
        <v>#REF!</v>
      </c>
      <c r="C179" s="276" t="e">
        <f>#REF!</f>
        <v>#REF!</v>
      </c>
      <c r="D179" s="277" t="e">
        <f>#REF!</f>
        <v>#REF!</v>
      </c>
      <c r="E179" s="277" t="e">
        <f>#REF!</f>
        <v>#REF!</v>
      </c>
      <c r="F179" s="277" t="e">
        <f>#REF!</f>
        <v>#REF!</v>
      </c>
      <c r="G179" s="277" t="e">
        <f>#REF!</f>
        <v>#REF!</v>
      </c>
      <c r="H179" s="277" t="e">
        <f>#REF!</f>
        <v>#REF!</v>
      </c>
      <c r="I179" s="277" t="e">
        <f>#REF!</f>
        <v>#REF!</v>
      </c>
      <c r="J179" s="277" t="e">
        <f>#REF!</f>
        <v>#REF!</v>
      </c>
      <c r="K179" s="277" t="e">
        <f>#REF!</f>
        <v>#REF!</v>
      </c>
      <c r="L179" s="277" t="e">
        <f>#REF!</f>
        <v>#REF!</v>
      </c>
      <c r="M179" s="277" t="e">
        <f>#REF!</f>
        <v>#REF!</v>
      </c>
      <c r="N179" s="277" t="e">
        <f>#REF!</f>
        <v>#REF!</v>
      </c>
      <c r="O179" s="277" t="e">
        <f>#REF!</f>
        <v>#REF!</v>
      </c>
      <c r="P179" s="277" t="e">
        <f>#REF!</f>
        <v>#REF!</v>
      </c>
      <c r="Q179" s="277" t="e">
        <f>#REF!</f>
        <v>#REF!</v>
      </c>
      <c r="R179" s="277" t="e">
        <f>#REF!</f>
        <v>#REF!</v>
      </c>
      <c r="S179" s="277" t="e">
        <f>#REF!</f>
        <v>#REF!</v>
      </c>
      <c r="T179" s="281" t="e">
        <f>#REF!</f>
        <v>#REF!</v>
      </c>
      <c r="U179" s="281" t="e">
        <f>#REF!</f>
        <v>#REF!</v>
      </c>
      <c r="V179" s="281" t="e">
        <f>#REF!</f>
        <v>#REF!</v>
      </c>
      <c r="W179" s="281" t="e">
        <f>#REF!</f>
        <v>#REF!</v>
      </c>
      <c r="X179" s="281" t="e">
        <f>#REF!</f>
        <v>#REF!</v>
      </c>
    </row>
    <row r="180" spans="1:24" ht="24.95" customHeight="1">
      <c r="A180" s="274" t="e">
        <f>#REF!</f>
        <v>#REF!</v>
      </c>
      <c r="B180" s="275" t="e">
        <f>#REF!</f>
        <v>#REF!</v>
      </c>
      <c r="C180" s="276" t="e">
        <f>#REF!</f>
        <v>#REF!</v>
      </c>
      <c r="D180" s="277" t="e">
        <f>#REF!</f>
        <v>#REF!</v>
      </c>
      <c r="E180" s="277" t="e">
        <f>#REF!</f>
        <v>#REF!</v>
      </c>
      <c r="F180" s="277" t="e">
        <f>#REF!</f>
        <v>#REF!</v>
      </c>
      <c r="G180" s="277" t="e">
        <f>#REF!</f>
        <v>#REF!</v>
      </c>
      <c r="H180" s="277" t="e">
        <f>#REF!</f>
        <v>#REF!</v>
      </c>
      <c r="I180" s="277" t="e">
        <f>#REF!</f>
        <v>#REF!</v>
      </c>
      <c r="J180" s="277" t="e">
        <f>#REF!</f>
        <v>#REF!</v>
      </c>
      <c r="K180" s="277" t="e">
        <f>#REF!</f>
        <v>#REF!</v>
      </c>
      <c r="L180" s="277" t="e">
        <f>#REF!</f>
        <v>#REF!</v>
      </c>
      <c r="M180" s="277" t="e">
        <f>#REF!</f>
        <v>#REF!</v>
      </c>
      <c r="N180" s="277" t="e">
        <f>#REF!</f>
        <v>#REF!</v>
      </c>
      <c r="O180" s="277" t="e">
        <f>#REF!</f>
        <v>#REF!</v>
      </c>
      <c r="P180" s="277" t="e">
        <f>#REF!</f>
        <v>#REF!</v>
      </c>
      <c r="Q180" s="277" t="e">
        <f>#REF!</f>
        <v>#REF!</v>
      </c>
      <c r="R180" s="277" t="e">
        <f>#REF!</f>
        <v>#REF!</v>
      </c>
      <c r="S180" s="277" t="e">
        <f>#REF!</f>
        <v>#REF!</v>
      </c>
      <c r="T180" s="281" t="e">
        <f>#REF!</f>
        <v>#REF!</v>
      </c>
      <c r="U180" s="281" t="e">
        <f>#REF!</f>
        <v>#REF!</v>
      </c>
      <c r="V180" s="281" t="e">
        <f>#REF!</f>
        <v>#REF!</v>
      </c>
      <c r="W180" s="281" t="e">
        <f>#REF!</f>
        <v>#REF!</v>
      </c>
      <c r="X180" s="281" t="e">
        <f>#REF!</f>
        <v>#REF!</v>
      </c>
    </row>
    <row r="181" spans="1:24" ht="24.95" customHeight="1">
      <c r="A181" s="274" t="e">
        <f>#REF!</f>
        <v>#REF!</v>
      </c>
      <c r="B181" s="275" t="e">
        <f>#REF!</f>
        <v>#REF!</v>
      </c>
      <c r="C181" s="276" t="e">
        <f>#REF!</f>
        <v>#REF!</v>
      </c>
      <c r="D181" s="277" t="e">
        <f>#REF!</f>
        <v>#REF!</v>
      </c>
      <c r="E181" s="277" t="e">
        <f>#REF!</f>
        <v>#REF!</v>
      </c>
      <c r="F181" s="277" t="e">
        <f>#REF!</f>
        <v>#REF!</v>
      </c>
      <c r="G181" s="277" t="e">
        <f>#REF!</f>
        <v>#REF!</v>
      </c>
      <c r="H181" s="277" t="e">
        <f>#REF!</f>
        <v>#REF!</v>
      </c>
      <c r="I181" s="277" t="e">
        <f>#REF!</f>
        <v>#REF!</v>
      </c>
      <c r="J181" s="277" t="e">
        <f>#REF!</f>
        <v>#REF!</v>
      </c>
      <c r="K181" s="277" t="e">
        <f>#REF!</f>
        <v>#REF!</v>
      </c>
      <c r="L181" s="277" t="e">
        <f>#REF!</f>
        <v>#REF!</v>
      </c>
      <c r="M181" s="277" t="e">
        <f>#REF!</f>
        <v>#REF!</v>
      </c>
      <c r="N181" s="277" t="e">
        <f>#REF!</f>
        <v>#REF!</v>
      </c>
      <c r="O181" s="277" t="e">
        <f>#REF!</f>
        <v>#REF!</v>
      </c>
      <c r="P181" s="277" t="e">
        <f>#REF!</f>
        <v>#REF!</v>
      </c>
      <c r="Q181" s="277" t="e">
        <f>#REF!</f>
        <v>#REF!</v>
      </c>
      <c r="R181" s="277" t="e">
        <f>#REF!</f>
        <v>#REF!</v>
      </c>
      <c r="S181" s="277" t="e">
        <f>#REF!</f>
        <v>#REF!</v>
      </c>
      <c r="T181" s="281" t="e">
        <f>#REF!</f>
        <v>#REF!</v>
      </c>
      <c r="U181" s="281" t="e">
        <f>#REF!</f>
        <v>#REF!</v>
      </c>
      <c r="V181" s="281" t="e">
        <f>#REF!</f>
        <v>#REF!</v>
      </c>
      <c r="W181" s="281" t="e">
        <f>#REF!</f>
        <v>#REF!</v>
      </c>
      <c r="X181" s="281" t="e">
        <f>#REF!</f>
        <v>#REF!</v>
      </c>
    </row>
    <row r="182" spans="1:24" ht="24.95" customHeight="1">
      <c r="A182" s="274" t="e">
        <f>#REF!</f>
        <v>#REF!</v>
      </c>
      <c r="B182" s="275" t="e">
        <f>#REF!</f>
        <v>#REF!</v>
      </c>
      <c r="C182" s="276" t="e">
        <f>#REF!</f>
        <v>#REF!</v>
      </c>
      <c r="D182" s="277" t="e">
        <f>#REF!</f>
        <v>#REF!</v>
      </c>
      <c r="E182" s="277" t="e">
        <f>#REF!</f>
        <v>#REF!</v>
      </c>
      <c r="F182" s="277" t="e">
        <f>#REF!</f>
        <v>#REF!</v>
      </c>
      <c r="G182" s="277" t="e">
        <f>#REF!</f>
        <v>#REF!</v>
      </c>
      <c r="H182" s="277" t="e">
        <f>#REF!</f>
        <v>#REF!</v>
      </c>
      <c r="I182" s="277" t="e">
        <f>#REF!</f>
        <v>#REF!</v>
      </c>
      <c r="J182" s="277" t="e">
        <f>#REF!</f>
        <v>#REF!</v>
      </c>
      <c r="K182" s="277" t="e">
        <f>#REF!</f>
        <v>#REF!</v>
      </c>
      <c r="L182" s="277" t="e">
        <f>#REF!</f>
        <v>#REF!</v>
      </c>
      <c r="M182" s="277" t="e">
        <f>#REF!</f>
        <v>#REF!</v>
      </c>
      <c r="N182" s="277" t="e">
        <f>#REF!</f>
        <v>#REF!</v>
      </c>
      <c r="O182" s="277" t="e">
        <f>#REF!</f>
        <v>#REF!</v>
      </c>
      <c r="P182" s="277" t="e">
        <f>#REF!</f>
        <v>#REF!</v>
      </c>
      <c r="Q182" s="277" t="e">
        <f>#REF!</f>
        <v>#REF!</v>
      </c>
      <c r="R182" s="277" t="e">
        <f>#REF!</f>
        <v>#REF!</v>
      </c>
      <c r="S182" s="277" t="e">
        <f>#REF!</f>
        <v>#REF!</v>
      </c>
      <c r="T182" s="281" t="e">
        <f>#REF!</f>
        <v>#REF!</v>
      </c>
      <c r="U182" s="281" t="e">
        <f>#REF!</f>
        <v>#REF!</v>
      </c>
      <c r="V182" s="281" t="e">
        <f>#REF!</f>
        <v>#REF!</v>
      </c>
      <c r="W182" s="281" t="e">
        <f>#REF!</f>
        <v>#REF!</v>
      </c>
      <c r="X182" s="281" t="e">
        <f>#REF!</f>
        <v>#REF!</v>
      </c>
    </row>
    <row r="183" spans="1:24" ht="24.95" customHeight="1">
      <c r="A183" s="274" t="e">
        <f>#REF!</f>
        <v>#REF!</v>
      </c>
      <c r="B183" s="275" t="e">
        <f>#REF!</f>
        <v>#REF!</v>
      </c>
      <c r="C183" s="276" t="e">
        <f>#REF!</f>
        <v>#REF!</v>
      </c>
      <c r="D183" s="277" t="e">
        <f>#REF!</f>
        <v>#REF!</v>
      </c>
      <c r="E183" s="277" t="e">
        <f>#REF!</f>
        <v>#REF!</v>
      </c>
      <c r="F183" s="277" t="e">
        <f>#REF!</f>
        <v>#REF!</v>
      </c>
      <c r="G183" s="277" t="e">
        <f>#REF!</f>
        <v>#REF!</v>
      </c>
      <c r="H183" s="277" t="e">
        <f>#REF!</f>
        <v>#REF!</v>
      </c>
      <c r="I183" s="277" t="e">
        <f>#REF!</f>
        <v>#REF!</v>
      </c>
      <c r="J183" s="277" t="e">
        <f>#REF!</f>
        <v>#REF!</v>
      </c>
      <c r="K183" s="277" t="e">
        <f>#REF!</f>
        <v>#REF!</v>
      </c>
      <c r="L183" s="277" t="e">
        <f>#REF!</f>
        <v>#REF!</v>
      </c>
      <c r="M183" s="277" t="e">
        <f>#REF!</f>
        <v>#REF!</v>
      </c>
      <c r="N183" s="277" t="e">
        <f>#REF!</f>
        <v>#REF!</v>
      </c>
      <c r="O183" s="277" t="e">
        <f>#REF!</f>
        <v>#REF!</v>
      </c>
      <c r="P183" s="277" t="e">
        <f>#REF!</f>
        <v>#REF!</v>
      </c>
      <c r="Q183" s="277" t="e">
        <f>#REF!</f>
        <v>#REF!</v>
      </c>
      <c r="R183" s="277" t="e">
        <f>#REF!</f>
        <v>#REF!</v>
      </c>
      <c r="S183" s="277" t="e">
        <f>#REF!</f>
        <v>#REF!</v>
      </c>
      <c r="T183" s="281" t="e">
        <f>#REF!</f>
        <v>#REF!</v>
      </c>
      <c r="U183" s="281" t="e">
        <f>#REF!</f>
        <v>#REF!</v>
      </c>
      <c r="V183" s="281" t="e">
        <f>#REF!</f>
        <v>#REF!</v>
      </c>
      <c r="W183" s="281" t="e">
        <f>#REF!</f>
        <v>#REF!</v>
      </c>
      <c r="X183" s="281" t="e">
        <f>#REF!</f>
        <v>#REF!</v>
      </c>
    </row>
    <row r="184" spans="1:24" ht="24.95" customHeight="1">
      <c r="A184" s="274" t="e">
        <f>#REF!</f>
        <v>#REF!</v>
      </c>
      <c r="B184" s="275" t="e">
        <f>#REF!</f>
        <v>#REF!</v>
      </c>
      <c r="C184" s="276" t="e">
        <f>#REF!</f>
        <v>#REF!</v>
      </c>
      <c r="D184" s="277" t="e">
        <f>#REF!</f>
        <v>#REF!</v>
      </c>
      <c r="E184" s="277" t="e">
        <f>#REF!</f>
        <v>#REF!</v>
      </c>
      <c r="F184" s="277" t="e">
        <f>#REF!</f>
        <v>#REF!</v>
      </c>
      <c r="G184" s="277" t="e">
        <f>#REF!</f>
        <v>#REF!</v>
      </c>
      <c r="H184" s="277" t="e">
        <f>#REF!</f>
        <v>#REF!</v>
      </c>
      <c r="I184" s="277" t="e">
        <f>#REF!</f>
        <v>#REF!</v>
      </c>
      <c r="J184" s="277" t="e">
        <f>#REF!</f>
        <v>#REF!</v>
      </c>
      <c r="K184" s="277" t="e">
        <f>#REF!</f>
        <v>#REF!</v>
      </c>
      <c r="L184" s="277" t="e">
        <f>#REF!</f>
        <v>#REF!</v>
      </c>
      <c r="M184" s="277" t="e">
        <f>#REF!</f>
        <v>#REF!</v>
      </c>
      <c r="N184" s="277" t="e">
        <f>#REF!</f>
        <v>#REF!</v>
      </c>
      <c r="O184" s="277" t="e">
        <f>#REF!</f>
        <v>#REF!</v>
      </c>
      <c r="P184" s="277" t="e">
        <f>#REF!</f>
        <v>#REF!</v>
      </c>
      <c r="Q184" s="277" t="e">
        <f>#REF!</f>
        <v>#REF!</v>
      </c>
      <c r="R184" s="277" t="e">
        <f>#REF!</f>
        <v>#REF!</v>
      </c>
      <c r="S184" s="277" t="e">
        <f>#REF!</f>
        <v>#REF!</v>
      </c>
      <c r="T184" s="281" t="e">
        <f>#REF!</f>
        <v>#REF!</v>
      </c>
      <c r="U184" s="281" t="e">
        <f>#REF!</f>
        <v>#REF!</v>
      </c>
      <c r="V184" s="281" t="e">
        <f>#REF!</f>
        <v>#REF!</v>
      </c>
      <c r="W184" s="281" t="e">
        <f>#REF!</f>
        <v>#REF!</v>
      </c>
      <c r="X184" s="281" t="e">
        <f>#REF!</f>
        <v>#REF!</v>
      </c>
    </row>
    <row r="185" spans="1:24" ht="24.95" customHeight="1">
      <c r="A185" s="274" t="e">
        <f>#REF!</f>
        <v>#REF!</v>
      </c>
      <c r="B185" s="275" t="e">
        <f>#REF!</f>
        <v>#REF!</v>
      </c>
      <c r="C185" s="276" t="e">
        <f>#REF!</f>
        <v>#REF!</v>
      </c>
      <c r="D185" s="277" t="e">
        <f>#REF!</f>
        <v>#REF!</v>
      </c>
      <c r="E185" s="277" t="e">
        <f>#REF!</f>
        <v>#REF!</v>
      </c>
      <c r="F185" s="277" t="e">
        <f>#REF!</f>
        <v>#REF!</v>
      </c>
      <c r="G185" s="277" t="e">
        <f>#REF!</f>
        <v>#REF!</v>
      </c>
      <c r="H185" s="277" t="e">
        <f>#REF!</f>
        <v>#REF!</v>
      </c>
      <c r="I185" s="277" t="e">
        <f>#REF!</f>
        <v>#REF!</v>
      </c>
      <c r="J185" s="277" t="e">
        <f>#REF!</f>
        <v>#REF!</v>
      </c>
      <c r="K185" s="277" t="e">
        <f>#REF!</f>
        <v>#REF!</v>
      </c>
      <c r="L185" s="277" t="e">
        <f>#REF!</f>
        <v>#REF!</v>
      </c>
      <c r="M185" s="277" t="e">
        <f>#REF!</f>
        <v>#REF!</v>
      </c>
      <c r="N185" s="277" t="e">
        <f>#REF!</f>
        <v>#REF!</v>
      </c>
      <c r="O185" s="277" t="e">
        <f>#REF!</f>
        <v>#REF!</v>
      </c>
      <c r="P185" s="277" t="e">
        <f>#REF!</f>
        <v>#REF!</v>
      </c>
      <c r="Q185" s="277" t="e">
        <f>#REF!</f>
        <v>#REF!</v>
      </c>
      <c r="R185" s="277" t="e">
        <f>#REF!</f>
        <v>#REF!</v>
      </c>
      <c r="S185" s="277" t="e">
        <f>#REF!</f>
        <v>#REF!</v>
      </c>
      <c r="T185" s="281" t="e">
        <f>#REF!</f>
        <v>#REF!</v>
      </c>
      <c r="U185" s="281" t="e">
        <f>#REF!</f>
        <v>#REF!</v>
      </c>
      <c r="V185" s="281" t="e">
        <f>#REF!</f>
        <v>#REF!</v>
      </c>
      <c r="W185" s="281" t="e">
        <f>#REF!</f>
        <v>#REF!</v>
      </c>
      <c r="X185" s="281" t="e">
        <f>#REF!</f>
        <v>#REF!</v>
      </c>
    </row>
    <row r="186" spans="1:24" ht="24.95" customHeight="1">
      <c r="A186" s="274" t="e">
        <f>#REF!</f>
        <v>#REF!</v>
      </c>
      <c r="B186" s="275" t="e">
        <f>#REF!</f>
        <v>#REF!</v>
      </c>
      <c r="C186" s="276" t="e">
        <f>#REF!</f>
        <v>#REF!</v>
      </c>
      <c r="D186" s="277" t="e">
        <f>#REF!</f>
        <v>#REF!</v>
      </c>
      <c r="E186" s="277" t="e">
        <f>#REF!</f>
        <v>#REF!</v>
      </c>
      <c r="F186" s="277" t="e">
        <f>#REF!</f>
        <v>#REF!</v>
      </c>
      <c r="G186" s="277" t="e">
        <f>#REF!</f>
        <v>#REF!</v>
      </c>
      <c r="H186" s="277" t="e">
        <f>#REF!</f>
        <v>#REF!</v>
      </c>
      <c r="I186" s="277" t="e">
        <f>#REF!</f>
        <v>#REF!</v>
      </c>
      <c r="J186" s="277" t="e">
        <f>#REF!</f>
        <v>#REF!</v>
      </c>
      <c r="K186" s="277" t="e">
        <f>#REF!</f>
        <v>#REF!</v>
      </c>
      <c r="L186" s="277" t="e">
        <f>#REF!</f>
        <v>#REF!</v>
      </c>
      <c r="M186" s="277" t="e">
        <f>#REF!</f>
        <v>#REF!</v>
      </c>
      <c r="N186" s="277" t="e">
        <f>#REF!</f>
        <v>#REF!</v>
      </c>
      <c r="O186" s="277" t="e">
        <f>#REF!</f>
        <v>#REF!</v>
      </c>
      <c r="P186" s="277" t="e">
        <f>#REF!</f>
        <v>#REF!</v>
      </c>
      <c r="Q186" s="277" t="e">
        <f>#REF!</f>
        <v>#REF!</v>
      </c>
      <c r="R186" s="277" t="e">
        <f>#REF!</f>
        <v>#REF!</v>
      </c>
      <c r="S186" s="277" t="e">
        <f>#REF!</f>
        <v>#REF!</v>
      </c>
      <c r="T186" s="281" t="e">
        <f>#REF!</f>
        <v>#REF!</v>
      </c>
      <c r="U186" s="281" t="e">
        <f>#REF!</f>
        <v>#REF!</v>
      </c>
      <c r="V186" s="281" t="e">
        <f>#REF!</f>
        <v>#REF!</v>
      </c>
      <c r="W186" s="281" t="e">
        <f>#REF!</f>
        <v>#REF!</v>
      </c>
      <c r="X186" s="281" t="e">
        <f>#REF!</f>
        <v>#REF!</v>
      </c>
    </row>
    <row r="187" spans="1:24" ht="24.95" customHeight="1">
      <c r="A187" s="274" t="e">
        <f>#REF!</f>
        <v>#REF!</v>
      </c>
      <c r="B187" s="275" t="e">
        <f>#REF!</f>
        <v>#REF!</v>
      </c>
      <c r="C187" s="276" t="e">
        <f>#REF!</f>
        <v>#REF!</v>
      </c>
      <c r="D187" s="277" t="e">
        <f>#REF!</f>
        <v>#REF!</v>
      </c>
      <c r="E187" s="277" t="e">
        <f>#REF!</f>
        <v>#REF!</v>
      </c>
      <c r="F187" s="277" t="e">
        <f>#REF!</f>
        <v>#REF!</v>
      </c>
      <c r="G187" s="277" t="e">
        <f>#REF!</f>
        <v>#REF!</v>
      </c>
      <c r="H187" s="277" t="e">
        <f>#REF!</f>
        <v>#REF!</v>
      </c>
      <c r="I187" s="277" t="e">
        <f>#REF!</f>
        <v>#REF!</v>
      </c>
      <c r="J187" s="277" t="e">
        <f>#REF!</f>
        <v>#REF!</v>
      </c>
      <c r="K187" s="277" t="e">
        <f>#REF!</f>
        <v>#REF!</v>
      </c>
      <c r="L187" s="277" t="e">
        <f>#REF!</f>
        <v>#REF!</v>
      </c>
      <c r="M187" s="277" t="e">
        <f>#REF!</f>
        <v>#REF!</v>
      </c>
      <c r="N187" s="277" t="e">
        <f>#REF!</f>
        <v>#REF!</v>
      </c>
      <c r="O187" s="277" t="e">
        <f>#REF!</f>
        <v>#REF!</v>
      </c>
      <c r="P187" s="277" t="e">
        <f>#REF!</f>
        <v>#REF!</v>
      </c>
      <c r="Q187" s="277" t="e">
        <f>#REF!</f>
        <v>#REF!</v>
      </c>
      <c r="R187" s="277" t="e">
        <f>#REF!</f>
        <v>#REF!</v>
      </c>
      <c r="S187" s="277" t="e">
        <f>#REF!</f>
        <v>#REF!</v>
      </c>
      <c r="T187" s="281" t="e">
        <f>#REF!</f>
        <v>#REF!</v>
      </c>
      <c r="U187" s="281" t="e">
        <f>#REF!</f>
        <v>#REF!</v>
      </c>
      <c r="V187" s="281" t="e">
        <f>#REF!</f>
        <v>#REF!</v>
      </c>
      <c r="W187" s="281" t="e">
        <f>#REF!</f>
        <v>#REF!</v>
      </c>
      <c r="X187" s="281" t="e">
        <f>#REF!</f>
        <v>#REF!</v>
      </c>
    </row>
    <row r="188" spans="1:24" ht="24.95" customHeight="1">
      <c r="A188" s="274" t="e">
        <f>#REF!</f>
        <v>#REF!</v>
      </c>
      <c r="B188" s="275" t="e">
        <f>#REF!</f>
        <v>#REF!</v>
      </c>
      <c r="C188" s="276" t="e">
        <f>#REF!</f>
        <v>#REF!</v>
      </c>
      <c r="D188" s="277" t="e">
        <f>#REF!</f>
        <v>#REF!</v>
      </c>
      <c r="E188" s="277" t="e">
        <f>#REF!</f>
        <v>#REF!</v>
      </c>
      <c r="F188" s="277" t="e">
        <f>#REF!</f>
        <v>#REF!</v>
      </c>
      <c r="G188" s="277" t="e">
        <f>#REF!</f>
        <v>#REF!</v>
      </c>
      <c r="H188" s="277" t="e">
        <f>#REF!</f>
        <v>#REF!</v>
      </c>
      <c r="I188" s="277" t="e">
        <f>#REF!</f>
        <v>#REF!</v>
      </c>
      <c r="J188" s="277" t="e">
        <f>#REF!</f>
        <v>#REF!</v>
      </c>
      <c r="K188" s="277" t="e">
        <f>#REF!</f>
        <v>#REF!</v>
      </c>
      <c r="L188" s="277" t="e">
        <f>#REF!</f>
        <v>#REF!</v>
      </c>
      <c r="M188" s="277" t="e">
        <f>#REF!</f>
        <v>#REF!</v>
      </c>
      <c r="N188" s="277" t="e">
        <f>#REF!</f>
        <v>#REF!</v>
      </c>
      <c r="O188" s="277" t="e">
        <f>#REF!</f>
        <v>#REF!</v>
      </c>
      <c r="P188" s="277" t="e">
        <f>#REF!</f>
        <v>#REF!</v>
      </c>
      <c r="Q188" s="277" t="e">
        <f>#REF!</f>
        <v>#REF!</v>
      </c>
      <c r="R188" s="277" t="e">
        <f>#REF!</f>
        <v>#REF!</v>
      </c>
      <c r="S188" s="277" t="e">
        <f>#REF!</f>
        <v>#REF!</v>
      </c>
      <c r="T188" s="281" t="e">
        <f>#REF!</f>
        <v>#REF!</v>
      </c>
      <c r="U188" s="281" t="e">
        <f>#REF!</f>
        <v>#REF!</v>
      </c>
      <c r="V188" s="281" t="e">
        <f>#REF!</f>
        <v>#REF!</v>
      </c>
      <c r="W188" s="281" t="e">
        <f>#REF!</f>
        <v>#REF!</v>
      </c>
      <c r="X188" s="281" t="e">
        <f>#REF!</f>
        <v>#REF!</v>
      </c>
    </row>
    <row r="189" spans="1:24" ht="24.95" customHeight="1">
      <c r="A189" s="274" t="e">
        <f>#REF!</f>
        <v>#REF!</v>
      </c>
      <c r="B189" s="275" t="e">
        <f>#REF!</f>
        <v>#REF!</v>
      </c>
      <c r="C189" s="276" t="e">
        <f>#REF!</f>
        <v>#REF!</v>
      </c>
      <c r="D189" s="277" t="e">
        <f>#REF!</f>
        <v>#REF!</v>
      </c>
      <c r="E189" s="277" t="e">
        <f>#REF!</f>
        <v>#REF!</v>
      </c>
      <c r="F189" s="277" t="e">
        <f>#REF!</f>
        <v>#REF!</v>
      </c>
      <c r="G189" s="277" t="e">
        <f>#REF!</f>
        <v>#REF!</v>
      </c>
      <c r="H189" s="277" t="e">
        <f>#REF!</f>
        <v>#REF!</v>
      </c>
      <c r="I189" s="277" t="e">
        <f>#REF!</f>
        <v>#REF!</v>
      </c>
      <c r="J189" s="277" t="e">
        <f>#REF!</f>
        <v>#REF!</v>
      </c>
      <c r="K189" s="277" t="e">
        <f>#REF!</f>
        <v>#REF!</v>
      </c>
      <c r="L189" s="277" t="e">
        <f>#REF!</f>
        <v>#REF!</v>
      </c>
      <c r="M189" s="277" t="e">
        <f>#REF!</f>
        <v>#REF!</v>
      </c>
      <c r="N189" s="277" t="e">
        <f>#REF!</f>
        <v>#REF!</v>
      </c>
      <c r="O189" s="277" t="e">
        <f>#REF!</f>
        <v>#REF!</v>
      </c>
      <c r="P189" s="277" t="e">
        <f>#REF!</f>
        <v>#REF!</v>
      </c>
      <c r="Q189" s="277" t="e">
        <f>#REF!</f>
        <v>#REF!</v>
      </c>
      <c r="R189" s="277" t="e">
        <f>#REF!</f>
        <v>#REF!</v>
      </c>
      <c r="S189" s="277" t="e">
        <f>#REF!</f>
        <v>#REF!</v>
      </c>
      <c r="T189" s="281" t="e">
        <f>#REF!</f>
        <v>#REF!</v>
      </c>
      <c r="U189" s="281" t="e">
        <f>#REF!</f>
        <v>#REF!</v>
      </c>
      <c r="V189" s="281" t="e">
        <f>#REF!</f>
        <v>#REF!</v>
      </c>
      <c r="W189" s="281" t="e">
        <f>#REF!</f>
        <v>#REF!</v>
      </c>
      <c r="X189" s="281" t="e">
        <f>#REF!</f>
        <v>#REF!</v>
      </c>
    </row>
    <row r="190" spans="1:24" ht="24.95" customHeight="1">
      <c r="A190" s="274" t="e">
        <f>#REF!</f>
        <v>#REF!</v>
      </c>
      <c r="B190" s="275" t="e">
        <f>#REF!</f>
        <v>#REF!</v>
      </c>
      <c r="C190" s="276" t="e">
        <f>#REF!</f>
        <v>#REF!</v>
      </c>
      <c r="D190" s="277" t="e">
        <f>#REF!</f>
        <v>#REF!</v>
      </c>
      <c r="E190" s="277" t="e">
        <f>#REF!</f>
        <v>#REF!</v>
      </c>
      <c r="F190" s="277" t="e">
        <f>#REF!</f>
        <v>#REF!</v>
      </c>
      <c r="G190" s="277" t="e">
        <f>#REF!</f>
        <v>#REF!</v>
      </c>
      <c r="H190" s="277" t="e">
        <f>#REF!</f>
        <v>#REF!</v>
      </c>
      <c r="I190" s="277" t="e">
        <f>#REF!</f>
        <v>#REF!</v>
      </c>
      <c r="J190" s="277" t="e">
        <f>#REF!</f>
        <v>#REF!</v>
      </c>
      <c r="K190" s="277" t="e">
        <f>#REF!</f>
        <v>#REF!</v>
      </c>
      <c r="L190" s="277" t="e">
        <f>#REF!</f>
        <v>#REF!</v>
      </c>
      <c r="M190" s="277" t="e">
        <f>#REF!</f>
        <v>#REF!</v>
      </c>
      <c r="N190" s="277" t="e">
        <f>#REF!</f>
        <v>#REF!</v>
      </c>
      <c r="O190" s="277" t="e">
        <f>#REF!</f>
        <v>#REF!</v>
      </c>
      <c r="P190" s="277" t="e">
        <f>#REF!</f>
        <v>#REF!</v>
      </c>
      <c r="Q190" s="277" t="e">
        <f>#REF!</f>
        <v>#REF!</v>
      </c>
      <c r="R190" s="277" t="e">
        <f>#REF!</f>
        <v>#REF!</v>
      </c>
      <c r="S190" s="277" t="e">
        <f>#REF!</f>
        <v>#REF!</v>
      </c>
      <c r="T190" s="281" t="e">
        <f>#REF!</f>
        <v>#REF!</v>
      </c>
      <c r="U190" s="281" t="e">
        <f>#REF!</f>
        <v>#REF!</v>
      </c>
      <c r="V190" s="281" t="e">
        <f>#REF!</f>
        <v>#REF!</v>
      </c>
      <c r="W190" s="281" t="e">
        <f>#REF!</f>
        <v>#REF!</v>
      </c>
      <c r="X190" s="281" t="e">
        <f>#REF!</f>
        <v>#REF!</v>
      </c>
    </row>
    <row r="191" spans="1:24" ht="24.95" customHeight="1">
      <c r="A191" s="274" t="e">
        <f>#REF!</f>
        <v>#REF!</v>
      </c>
      <c r="B191" s="275" t="e">
        <f>#REF!</f>
        <v>#REF!</v>
      </c>
      <c r="C191" s="276" t="e">
        <f>#REF!</f>
        <v>#REF!</v>
      </c>
      <c r="D191" s="277" t="e">
        <f>#REF!</f>
        <v>#REF!</v>
      </c>
      <c r="E191" s="277" t="e">
        <f>#REF!</f>
        <v>#REF!</v>
      </c>
      <c r="F191" s="277" t="e">
        <f>#REF!</f>
        <v>#REF!</v>
      </c>
      <c r="G191" s="277" t="e">
        <f>#REF!</f>
        <v>#REF!</v>
      </c>
      <c r="H191" s="277" t="e">
        <f>#REF!</f>
        <v>#REF!</v>
      </c>
      <c r="I191" s="277" t="e">
        <f>#REF!</f>
        <v>#REF!</v>
      </c>
      <c r="J191" s="277" t="e">
        <f>#REF!</f>
        <v>#REF!</v>
      </c>
      <c r="K191" s="277" t="e">
        <f>#REF!</f>
        <v>#REF!</v>
      </c>
      <c r="L191" s="277" t="e">
        <f>#REF!</f>
        <v>#REF!</v>
      </c>
      <c r="M191" s="277" t="e">
        <f>#REF!</f>
        <v>#REF!</v>
      </c>
      <c r="N191" s="277" t="e">
        <f>#REF!</f>
        <v>#REF!</v>
      </c>
      <c r="O191" s="277" t="e">
        <f>#REF!</f>
        <v>#REF!</v>
      </c>
      <c r="P191" s="277" t="e">
        <f>#REF!</f>
        <v>#REF!</v>
      </c>
      <c r="Q191" s="277" t="e">
        <f>#REF!</f>
        <v>#REF!</v>
      </c>
      <c r="R191" s="277" t="e">
        <f>#REF!</f>
        <v>#REF!</v>
      </c>
      <c r="S191" s="277" t="e">
        <f>#REF!</f>
        <v>#REF!</v>
      </c>
      <c r="T191" s="281" t="e">
        <f>#REF!</f>
        <v>#REF!</v>
      </c>
      <c r="U191" s="281" t="e">
        <f>#REF!</f>
        <v>#REF!</v>
      </c>
      <c r="V191" s="281" t="e">
        <f>#REF!</f>
        <v>#REF!</v>
      </c>
      <c r="W191" s="281" t="e">
        <f>#REF!</f>
        <v>#REF!</v>
      </c>
      <c r="X191" s="281" t="e">
        <f>#REF!</f>
        <v>#REF!</v>
      </c>
    </row>
    <row r="192" spans="1:24" ht="24.95" customHeight="1">
      <c r="A192" s="274" t="e">
        <f>#REF!</f>
        <v>#REF!</v>
      </c>
      <c r="B192" s="275" t="e">
        <f>#REF!</f>
        <v>#REF!</v>
      </c>
      <c r="C192" s="276" t="e">
        <f>#REF!</f>
        <v>#REF!</v>
      </c>
      <c r="D192" s="277" t="e">
        <f>#REF!</f>
        <v>#REF!</v>
      </c>
      <c r="E192" s="277" t="e">
        <f>#REF!</f>
        <v>#REF!</v>
      </c>
      <c r="F192" s="277" t="e">
        <f>#REF!</f>
        <v>#REF!</v>
      </c>
      <c r="G192" s="277" t="e">
        <f>#REF!</f>
        <v>#REF!</v>
      </c>
      <c r="H192" s="277" t="e">
        <f>#REF!</f>
        <v>#REF!</v>
      </c>
      <c r="I192" s="277" t="e">
        <f>#REF!</f>
        <v>#REF!</v>
      </c>
      <c r="J192" s="277" t="e">
        <f>#REF!</f>
        <v>#REF!</v>
      </c>
      <c r="K192" s="277" t="e">
        <f>#REF!</f>
        <v>#REF!</v>
      </c>
      <c r="L192" s="277" t="e">
        <f>#REF!</f>
        <v>#REF!</v>
      </c>
      <c r="M192" s="277" t="e">
        <f>#REF!</f>
        <v>#REF!</v>
      </c>
      <c r="N192" s="277" t="e">
        <f>#REF!</f>
        <v>#REF!</v>
      </c>
      <c r="O192" s="277" t="e">
        <f>#REF!</f>
        <v>#REF!</v>
      </c>
      <c r="P192" s="277" t="e">
        <f>#REF!</f>
        <v>#REF!</v>
      </c>
      <c r="Q192" s="277" t="e">
        <f>#REF!</f>
        <v>#REF!</v>
      </c>
      <c r="R192" s="277" t="e">
        <f>#REF!</f>
        <v>#REF!</v>
      </c>
      <c r="S192" s="277" t="e">
        <f>#REF!</f>
        <v>#REF!</v>
      </c>
      <c r="T192" s="281" t="e">
        <f>#REF!</f>
        <v>#REF!</v>
      </c>
      <c r="U192" s="281" t="e">
        <f>#REF!</f>
        <v>#REF!</v>
      </c>
      <c r="V192" s="281" t="e">
        <f>#REF!</f>
        <v>#REF!</v>
      </c>
      <c r="W192" s="281" t="e">
        <f>#REF!</f>
        <v>#REF!</v>
      </c>
      <c r="X192" s="281" t="e">
        <f>#REF!</f>
        <v>#REF!</v>
      </c>
    </row>
    <row r="193" spans="1:24" ht="24.95" customHeight="1">
      <c r="A193" s="274" t="e">
        <f>#REF!</f>
        <v>#REF!</v>
      </c>
      <c r="B193" s="275" t="e">
        <f>#REF!</f>
        <v>#REF!</v>
      </c>
      <c r="C193" s="276" t="e">
        <f>#REF!</f>
        <v>#REF!</v>
      </c>
      <c r="D193" s="277" t="e">
        <f>#REF!</f>
        <v>#REF!</v>
      </c>
      <c r="E193" s="277" t="e">
        <f>#REF!</f>
        <v>#REF!</v>
      </c>
      <c r="F193" s="277" t="e">
        <f>#REF!</f>
        <v>#REF!</v>
      </c>
      <c r="G193" s="277" t="e">
        <f>#REF!</f>
        <v>#REF!</v>
      </c>
      <c r="H193" s="277" t="e">
        <f>#REF!</f>
        <v>#REF!</v>
      </c>
      <c r="I193" s="277" t="e">
        <f>#REF!</f>
        <v>#REF!</v>
      </c>
      <c r="J193" s="277" t="e">
        <f>#REF!</f>
        <v>#REF!</v>
      </c>
      <c r="K193" s="277" t="e">
        <f>#REF!</f>
        <v>#REF!</v>
      </c>
      <c r="L193" s="277" t="e">
        <f>#REF!</f>
        <v>#REF!</v>
      </c>
      <c r="M193" s="277" t="e">
        <f>#REF!</f>
        <v>#REF!</v>
      </c>
      <c r="N193" s="277" t="e">
        <f>#REF!</f>
        <v>#REF!</v>
      </c>
      <c r="O193" s="277" t="e">
        <f>#REF!</f>
        <v>#REF!</v>
      </c>
      <c r="P193" s="277" t="e">
        <f>#REF!</f>
        <v>#REF!</v>
      </c>
      <c r="Q193" s="277" t="e">
        <f>#REF!</f>
        <v>#REF!</v>
      </c>
      <c r="R193" s="277" t="e">
        <f>#REF!</f>
        <v>#REF!</v>
      </c>
      <c r="S193" s="277" t="e">
        <f>#REF!</f>
        <v>#REF!</v>
      </c>
      <c r="T193" s="281" t="e">
        <f>#REF!</f>
        <v>#REF!</v>
      </c>
      <c r="U193" s="281" t="e">
        <f>#REF!</f>
        <v>#REF!</v>
      </c>
      <c r="V193" s="281" t="e">
        <f>#REF!</f>
        <v>#REF!</v>
      </c>
      <c r="W193" s="281" t="e">
        <f>#REF!</f>
        <v>#REF!</v>
      </c>
      <c r="X193" s="281" t="e">
        <f>#REF!</f>
        <v>#REF!</v>
      </c>
    </row>
    <row r="194" spans="1:24" ht="24.95" customHeight="1">
      <c r="A194" s="274" t="e">
        <f>#REF!</f>
        <v>#REF!</v>
      </c>
      <c r="B194" s="275" t="e">
        <f>#REF!</f>
        <v>#REF!</v>
      </c>
      <c r="C194" s="276" t="e">
        <f>#REF!</f>
        <v>#REF!</v>
      </c>
      <c r="D194" s="277" t="e">
        <f>#REF!</f>
        <v>#REF!</v>
      </c>
      <c r="E194" s="277" t="e">
        <f>#REF!</f>
        <v>#REF!</v>
      </c>
      <c r="F194" s="277" t="e">
        <f>#REF!</f>
        <v>#REF!</v>
      </c>
      <c r="G194" s="277" t="e">
        <f>#REF!</f>
        <v>#REF!</v>
      </c>
      <c r="H194" s="277" t="e">
        <f>#REF!</f>
        <v>#REF!</v>
      </c>
      <c r="I194" s="277" t="e">
        <f>#REF!</f>
        <v>#REF!</v>
      </c>
      <c r="J194" s="277" t="e">
        <f>#REF!</f>
        <v>#REF!</v>
      </c>
      <c r="K194" s="277" t="e">
        <f>#REF!</f>
        <v>#REF!</v>
      </c>
      <c r="L194" s="277" t="e">
        <f>#REF!</f>
        <v>#REF!</v>
      </c>
      <c r="M194" s="277" t="e">
        <f>#REF!</f>
        <v>#REF!</v>
      </c>
      <c r="N194" s="277" t="e">
        <f>#REF!</f>
        <v>#REF!</v>
      </c>
      <c r="O194" s="277" t="e">
        <f>#REF!</f>
        <v>#REF!</v>
      </c>
      <c r="P194" s="277" t="e">
        <f>#REF!</f>
        <v>#REF!</v>
      </c>
      <c r="Q194" s="277" t="e">
        <f>#REF!</f>
        <v>#REF!</v>
      </c>
      <c r="R194" s="277" t="e">
        <f>#REF!</f>
        <v>#REF!</v>
      </c>
      <c r="S194" s="277" t="e">
        <f>#REF!</f>
        <v>#REF!</v>
      </c>
      <c r="T194" s="281" t="e">
        <f>#REF!</f>
        <v>#REF!</v>
      </c>
      <c r="U194" s="281" t="e">
        <f>#REF!</f>
        <v>#REF!</v>
      </c>
      <c r="V194" s="281" t="e">
        <f>#REF!</f>
        <v>#REF!</v>
      </c>
      <c r="W194" s="281" t="e">
        <f>#REF!</f>
        <v>#REF!</v>
      </c>
      <c r="X194" s="281" t="e">
        <f>#REF!</f>
        <v>#REF!</v>
      </c>
    </row>
    <row r="195" spans="1:24" ht="24.95" customHeight="1">
      <c r="A195" s="274" t="e">
        <f>#REF!</f>
        <v>#REF!</v>
      </c>
      <c r="B195" s="275" t="e">
        <f>#REF!</f>
        <v>#REF!</v>
      </c>
      <c r="C195" s="276" t="e">
        <f>#REF!</f>
        <v>#REF!</v>
      </c>
      <c r="D195" s="277" t="e">
        <f>#REF!</f>
        <v>#REF!</v>
      </c>
      <c r="E195" s="277" t="e">
        <f>#REF!</f>
        <v>#REF!</v>
      </c>
      <c r="F195" s="277" t="e">
        <f>#REF!</f>
        <v>#REF!</v>
      </c>
      <c r="G195" s="277" t="e">
        <f>#REF!</f>
        <v>#REF!</v>
      </c>
      <c r="H195" s="277" t="e">
        <f>#REF!</f>
        <v>#REF!</v>
      </c>
      <c r="I195" s="277" t="e">
        <f>#REF!</f>
        <v>#REF!</v>
      </c>
      <c r="J195" s="277" t="e">
        <f>#REF!</f>
        <v>#REF!</v>
      </c>
      <c r="K195" s="277" t="e">
        <f>#REF!</f>
        <v>#REF!</v>
      </c>
      <c r="L195" s="277" t="e">
        <f>#REF!</f>
        <v>#REF!</v>
      </c>
      <c r="M195" s="277" t="e">
        <f>#REF!</f>
        <v>#REF!</v>
      </c>
      <c r="N195" s="277" t="e">
        <f>#REF!</f>
        <v>#REF!</v>
      </c>
      <c r="O195" s="277" t="e">
        <f>#REF!</f>
        <v>#REF!</v>
      </c>
      <c r="P195" s="277" t="e">
        <f>#REF!</f>
        <v>#REF!</v>
      </c>
      <c r="Q195" s="277" t="e">
        <f>#REF!</f>
        <v>#REF!</v>
      </c>
      <c r="R195" s="277" t="e">
        <f>#REF!</f>
        <v>#REF!</v>
      </c>
      <c r="S195" s="277" t="e">
        <f>#REF!</f>
        <v>#REF!</v>
      </c>
      <c r="T195" s="281" t="e">
        <f>#REF!</f>
        <v>#REF!</v>
      </c>
      <c r="U195" s="281" t="e">
        <f>#REF!</f>
        <v>#REF!</v>
      </c>
      <c r="V195" s="281" t="e">
        <f>#REF!</f>
        <v>#REF!</v>
      </c>
      <c r="W195" s="281" t="e">
        <f>#REF!</f>
        <v>#REF!</v>
      </c>
      <c r="X195" s="281" t="e">
        <f>#REF!</f>
        <v>#REF!</v>
      </c>
    </row>
    <row r="196" spans="1:24" ht="24.95" customHeight="1">
      <c r="A196" s="274" t="e">
        <f>#REF!</f>
        <v>#REF!</v>
      </c>
      <c r="B196" s="275" t="e">
        <f>#REF!</f>
        <v>#REF!</v>
      </c>
      <c r="C196" s="276" t="e">
        <f>#REF!</f>
        <v>#REF!</v>
      </c>
      <c r="D196" s="277" t="e">
        <f>#REF!</f>
        <v>#REF!</v>
      </c>
      <c r="E196" s="277" t="e">
        <f>#REF!</f>
        <v>#REF!</v>
      </c>
      <c r="F196" s="277" t="e">
        <f>#REF!</f>
        <v>#REF!</v>
      </c>
      <c r="G196" s="277" t="e">
        <f>#REF!</f>
        <v>#REF!</v>
      </c>
      <c r="H196" s="277" t="e">
        <f>#REF!</f>
        <v>#REF!</v>
      </c>
      <c r="I196" s="277" t="e">
        <f>#REF!</f>
        <v>#REF!</v>
      </c>
      <c r="J196" s="277" t="e">
        <f>#REF!</f>
        <v>#REF!</v>
      </c>
      <c r="K196" s="277" t="e">
        <f>#REF!</f>
        <v>#REF!</v>
      </c>
      <c r="L196" s="277" t="e">
        <f>#REF!</f>
        <v>#REF!</v>
      </c>
      <c r="M196" s="277" t="e">
        <f>#REF!</f>
        <v>#REF!</v>
      </c>
      <c r="N196" s="277" t="e">
        <f>#REF!</f>
        <v>#REF!</v>
      </c>
      <c r="O196" s="277" t="e">
        <f>#REF!</f>
        <v>#REF!</v>
      </c>
      <c r="P196" s="277" t="e">
        <f>#REF!</f>
        <v>#REF!</v>
      </c>
      <c r="Q196" s="277" t="e">
        <f>#REF!</f>
        <v>#REF!</v>
      </c>
      <c r="R196" s="277" t="e">
        <f>#REF!</f>
        <v>#REF!</v>
      </c>
      <c r="S196" s="277" t="e">
        <f>#REF!</f>
        <v>#REF!</v>
      </c>
      <c r="T196" s="281" t="e">
        <f>#REF!</f>
        <v>#REF!</v>
      </c>
      <c r="U196" s="281" t="e">
        <f>#REF!</f>
        <v>#REF!</v>
      </c>
      <c r="V196" s="281" t="e">
        <f>#REF!</f>
        <v>#REF!</v>
      </c>
      <c r="W196" s="281" t="e">
        <f>#REF!</f>
        <v>#REF!</v>
      </c>
      <c r="X196" s="281" t="e">
        <f>#REF!</f>
        <v>#REF!</v>
      </c>
    </row>
    <row r="197" spans="1:24" ht="24.95" customHeight="1">
      <c r="A197" s="274" t="e">
        <f>#REF!</f>
        <v>#REF!</v>
      </c>
      <c r="B197" s="275" t="e">
        <f>#REF!</f>
        <v>#REF!</v>
      </c>
      <c r="C197" s="276" t="e">
        <f>#REF!</f>
        <v>#REF!</v>
      </c>
      <c r="D197" s="277" t="e">
        <f>#REF!</f>
        <v>#REF!</v>
      </c>
      <c r="E197" s="277" t="e">
        <f>#REF!</f>
        <v>#REF!</v>
      </c>
      <c r="F197" s="277" t="e">
        <f>#REF!</f>
        <v>#REF!</v>
      </c>
      <c r="G197" s="277" t="e">
        <f>#REF!</f>
        <v>#REF!</v>
      </c>
      <c r="H197" s="277" t="e">
        <f>#REF!</f>
        <v>#REF!</v>
      </c>
      <c r="I197" s="277" t="e">
        <f>#REF!</f>
        <v>#REF!</v>
      </c>
      <c r="J197" s="277" t="e">
        <f>#REF!</f>
        <v>#REF!</v>
      </c>
      <c r="K197" s="277" t="e">
        <f>#REF!</f>
        <v>#REF!</v>
      </c>
      <c r="L197" s="277" t="e">
        <f>#REF!</f>
        <v>#REF!</v>
      </c>
      <c r="M197" s="277" t="e">
        <f>#REF!</f>
        <v>#REF!</v>
      </c>
      <c r="N197" s="277" t="e">
        <f>#REF!</f>
        <v>#REF!</v>
      </c>
      <c r="O197" s="277" t="e">
        <f>#REF!</f>
        <v>#REF!</v>
      </c>
      <c r="P197" s="277" t="e">
        <f>#REF!</f>
        <v>#REF!</v>
      </c>
      <c r="Q197" s="277" t="e">
        <f>#REF!</f>
        <v>#REF!</v>
      </c>
      <c r="R197" s="277" t="e">
        <f>#REF!</f>
        <v>#REF!</v>
      </c>
      <c r="S197" s="277" t="e">
        <f>#REF!</f>
        <v>#REF!</v>
      </c>
      <c r="T197" s="281" t="e">
        <f>#REF!</f>
        <v>#REF!</v>
      </c>
      <c r="U197" s="281" t="e">
        <f>#REF!</f>
        <v>#REF!</v>
      </c>
      <c r="V197" s="281" t="e">
        <f>#REF!</f>
        <v>#REF!</v>
      </c>
      <c r="W197" s="281" t="e">
        <f>#REF!</f>
        <v>#REF!</v>
      </c>
      <c r="X197" s="281" t="e">
        <f>#REF!</f>
        <v>#REF!</v>
      </c>
    </row>
    <row r="198" spans="1:24" ht="24.95" customHeight="1">
      <c r="A198" s="274" t="e">
        <f>#REF!</f>
        <v>#REF!</v>
      </c>
      <c r="B198" s="275" t="e">
        <f>#REF!</f>
        <v>#REF!</v>
      </c>
      <c r="C198" s="276" t="e">
        <f>#REF!</f>
        <v>#REF!</v>
      </c>
      <c r="D198" s="277" t="e">
        <f>#REF!</f>
        <v>#REF!</v>
      </c>
      <c r="E198" s="277" t="e">
        <f>#REF!</f>
        <v>#REF!</v>
      </c>
      <c r="F198" s="277" t="e">
        <f>#REF!</f>
        <v>#REF!</v>
      </c>
      <c r="G198" s="277" t="e">
        <f>#REF!</f>
        <v>#REF!</v>
      </c>
      <c r="H198" s="277" t="e">
        <f>#REF!</f>
        <v>#REF!</v>
      </c>
      <c r="I198" s="277" t="e">
        <f>#REF!</f>
        <v>#REF!</v>
      </c>
      <c r="J198" s="277" t="e">
        <f>#REF!</f>
        <v>#REF!</v>
      </c>
      <c r="K198" s="277" t="e">
        <f>#REF!</f>
        <v>#REF!</v>
      </c>
      <c r="L198" s="277" t="e">
        <f>#REF!</f>
        <v>#REF!</v>
      </c>
      <c r="M198" s="277" t="e">
        <f>#REF!</f>
        <v>#REF!</v>
      </c>
      <c r="N198" s="277" t="e">
        <f>#REF!</f>
        <v>#REF!</v>
      </c>
      <c r="O198" s="277" t="e">
        <f>#REF!</f>
        <v>#REF!</v>
      </c>
      <c r="P198" s="277" t="e">
        <f>#REF!</f>
        <v>#REF!</v>
      </c>
      <c r="Q198" s="277" t="e">
        <f>#REF!</f>
        <v>#REF!</v>
      </c>
      <c r="R198" s="277" t="e">
        <f>#REF!</f>
        <v>#REF!</v>
      </c>
      <c r="S198" s="277" t="e">
        <f>#REF!</f>
        <v>#REF!</v>
      </c>
      <c r="T198" s="281" t="e">
        <f>#REF!</f>
        <v>#REF!</v>
      </c>
      <c r="U198" s="281" t="e">
        <f>#REF!</f>
        <v>#REF!</v>
      </c>
      <c r="V198" s="281" t="e">
        <f>#REF!</f>
        <v>#REF!</v>
      </c>
      <c r="W198" s="281" t="e">
        <f>#REF!</f>
        <v>#REF!</v>
      </c>
      <c r="X198" s="281" t="e">
        <f>#REF!</f>
        <v>#REF!</v>
      </c>
    </row>
    <row r="199" spans="1:24" ht="24.95" customHeight="1">
      <c r="A199" s="274" t="e">
        <f>#REF!</f>
        <v>#REF!</v>
      </c>
      <c r="B199" s="275" t="e">
        <f>#REF!</f>
        <v>#REF!</v>
      </c>
      <c r="C199" s="276" t="e">
        <f>#REF!</f>
        <v>#REF!</v>
      </c>
      <c r="D199" s="277" t="e">
        <f>#REF!</f>
        <v>#REF!</v>
      </c>
      <c r="E199" s="277" t="e">
        <f>#REF!</f>
        <v>#REF!</v>
      </c>
      <c r="F199" s="277" t="e">
        <f>#REF!</f>
        <v>#REF!</v>
      </c>
      <c r="G199" s="277" t="e">
        <f>#REF!</f>
        <v>#REF!</v>
      </c>
      <c r="H199" s="277" t="e">
        <f>#REF!</f>
        <v>#REF!</v>
      </c>
      <c r="I199" s="277" t="e">
        <f>#REF!</f>
        <v>#REF!</v>
      </c>
      <c r="J199" s="277" t="e">
        <f>#REF!</f>
        <v>#REF!</v>
      </c>
      <c r="K199" s="277" t="e">
        <f>#REF!</f>
        <v>#REF!</v>
      </c>
      <c r="L199" s="277" t="e">
        <f>#REF!</f>
        <v>#REF!</v>
      </c>
      <c r="M199" s="277" t="e">
        <f>#REF!</f>
        <v>#REF!</v>
      </c>
      <c r="N199" s="277" t="e">
        <f>#REF!</f>
        <v>#REF!</v>
      </c>
      <c r="O199" s="277" t="e">
        <f>#REF!</f>
        <v>#REF!</v>
      </c>
      <c r="P199" s="277" t="e">
        <f>#REF!</f>
        <v>#REF!</v>
      </c>
      <c r="Q199" s="277" t="e">
        <f>#REF!</f>
        <v>#REF!</v>
      </c>
      <c r="R199" s="277" t="e">
        <f>#REF!</f>
        <v>#REF!</v>
      </c>
      <c r="S199" s="277" t="e">
        <f>#REF!</f>
        <v>#REF!</v>
      </c>
      <c r="T199" s="281" t="e">
        <f>#REF!</f>
        <v>#REF!</v>
      </c>
      <c r="U199" s="281" t="e">
        <f>#REF!</f>
        <v>#REF!</v>
      </c>
      <c r="V199" s="281" t="e">
        <f>#REF!</f>
        <v>#REF!</v>
      </c>
      <c r="W199" s="281" t="e">
        <f>#REF!</f>
        <v>#REF!</v>
      </c>
      <c r="X199" s="281" t="e">
        <f>#REF!</f>
        <v>#REF!</v>
      </c>
    </row>
    <row r="200" spans="1:24" ht="24.95" customHeight="1">
      <c r="A200" s="274" t="e">
        <f>#REF!</f>
        <v>#REF!</v>
      </c>
      <c r="B200" s="275" t="e">
        <f>#REF!</f>
        <v>#REF!</v>
      </c>
      <c r="C200" s="276" t="e">
        <f>#REF!</f>
        <v>#REF!</v>
      </c>
      <c r="D200" s="277" t="e">
        <f>#REF!</f>
        <v>#REF!</v>
      </c>
      <c r="E200" s="277" t="e">
        <f>#REF!</f>
        <v>#REF!</v>
      </c>
      <c r="F200" s="277" t="e">
        <f>#REF!</f>
        <v>#REF!</v>
      </c>
      <c r="G200" s="277" t="e">
        <f>#REF!</f>
        <v>#REF!</v>
      </c>
      <c r="H200" s="277" t="e">
        <f>#REF!</f>
        <v>#REF!</v>
      </c>
      <c r="I200" s="277" t="e">
        <f>#REF!</f>
        <v>#REF!</v>
      </c>
      <c r="J200" s="277" t="e">
        <f>#REF!</f>
        <v>#REF!</v>
      </c>
      <c r="K200" s="277" t="e">
        <f>#REF!</f>
        <v>#REF!</v>
      </c>
      <c r="L200" s="277" t="e">
        <f>#REF!</f>
        <v>#REF!</v>
      </c>
      <c r="M200" s="277" t="e">
        <f>#REF!</f>
        <v>#REF!</v>
      </c>
      <c r="N200" s="277" t="e">
        <f>#REF!</f>
        <v>#REF!</v>
      </c>
      <c r="O200" s="277" t="e">
        <f>#REF!</f>
        <v>#REF!</v>
      </c>
      <c r="P200" s="277" t="e">
        <f>#REF!</f>
        <v>#REF!</v>
      </c>
      <c r="Q200" s="277" t="e">
        <f>#REF!</f>
        <v>#REF!</v>
      </c>
      <c r="R200" s="277" t="e">
        <f>#REF!</f>
        <v>#REF!</v>
      </c>
      <c r="S200" s="277" t="e">
        <f>#REF!</f>
        <v>#REF!</v>
      </c>
      <c r="T200" s="281" t="e">
        <f>#REF!</f>
        <v>#REF!</v>
      </c>
      <c r="U200" s="281" t="e">
        <f>#REF!</f>
        <v>#REF!</v>
      </c>
      <c r="V200" s="281" t="e">
        <f>#REF!</f>
        <v>#REF!</v>
      </c>
      <c r="W200" s="281" t="e">
        <f>#REF!</f>
        <v>#REF!</v>
      </c>
      <c r="X200" s="281" t="e">
        <f>#REF!</f>
        <v>#REF!</v>
      </c>
    </row>
    <row r="201" spans="1:24" ht="24.95" customHeight="1">
      <c r="A201" s="274" t="e">
        <f>#REF!</f>
        <v>#REF!</v>
      </c>
      <c r="B201" s="275" t="e">
        <f>#REF!</f>
        <v>#REF!</v>
      </c>
      <c r="C201" s="276" t="e">
        <f>#REF!</f>
        <v>#REF!</v>
      </c>
      <c r="D201" s="277" t="e">
        <f>#REF!</f>
        <v>#REF!</v>
      </c>
      <c r="E201" s="277" t="e">
        <f>#REF!</f>
        <v>#REF!</v>
      </c>
      <c r="F201" s="277" t="e">
        <f>#REF!</f>
        <v>#REF!</v>
      </c>
      <c r="G201" s="277" t="e">
        <f>#REF!</f>
        <v>#REF!</v>
      </c>
      <c r="H201" s="277" t="e">
        <f>#REF!</f>
        <v>#REF!</v>
      </c>
      <c r="I201" s="277" t="e">
        <f>#REF!</f>
        <v>#REF!</v>
      </c>
      <c r="J201" s="277" t="e">
        <f>#REF!</f>
        <v>#REF!</v>
      </c>
      <c r="K201" s="277" t="e">
        <f>#REF!</f>
        <v>#REF!</v>
      </c>
      <c r="L201" s="277" t="e">
        <f>#REF!</f>
        <v>#REF!</v>
      </c>
      <c r="M201" s="277" t="e">
        <f>#REF!</f>
        <v>#REF!</v>
      </c>
      <c r="N201" s="277" t="e">
        <f>#REF!</f>
        <v>#REF!</v>
      </c>
      <c r="O201" s="277" t="e">
        <f>#REF!</f>
        <v>#REF!</v>
      </c>
      <c r="P201" s="277" t="e">
        <f>#REF!</f>
        <v>#REF!</v>
      </c>
      <c r="Q201" s="277" t="e">
        <f>#REF!</f>
        <v>#REF!</v>
      </c>
      <c r="R201" s="277" t="e">
        <f>#REF!</f>
        <v>#REF!</v>
      </c>
      <c r="S201" s="277" t="e">
        <f>#REF!</f>
        <v>#REF!</v>
      </c>
      <c r="T201" s="281" t="e">
        <f>#REF!</f>
        <v>#REF!</v>
      </c>
      <c r="U201" s="281" t="e">
        <f>#REF!</f>
        <v>#REF!</v>
      </c>
      <c r="V201" s="281" t="e">
        <f>#REF!</f>
        <v>#REF!</v>
      </c>
      <c r="W201" s="281" t="e">
        <f>#REF!</f>
        <v>#REF!</v>
      </c>
      <c r="X201" s="281" t="e">
        <f>#REF!</f>
        <v>#REF!</v>
      </c>
    </row>
    <row r="202" spans="1:24" ht="24.95" customHeight="1">
      <c r="A202" s="274" t="e">
        <f>#REF!</f>
        <v>#REF!</v>
      </c>
      <c r="B202" s="275" t="e">
        <f>#REF!</f>
        <v>#REF!</v>
      </c>
      <c r="C202" s="276" t="e">
        <f>#REF!</f>
        <v>#REF!</v>
      </c>
      <c r="D202" s="277" t="e">
        <f>#REF!</f>
        <v>#REF!</v>
      </c>
      <c r="E202" s="277" t="e">
        <f>#REF!</f>
        <v>#REF!</v>
      </c>
      <c r="F202" s="277" t="e">
        <f>#REF!</f>
        <v>#REF!</v>
      </c>
      <c r="G202" s="277" t="e">
        <f>#REF!</f>
        <v>#REF!</v>
      </c>
      <c r="H202" s="277" t="e">
        <f>#REF!</f>
        <v>#REF!</v>
      </c>
      <c r="I202" s="277" t="e">
        <f>#REF!</f>
        <v>#REF!</v>
      </c>
      <c r="J202" s="277" t="e">
        <f>#REF!</f>
        <v>#REF!</v>
      </c>
      <c r="K202" s="277" t="e">
        <f>#REF!</f>
        <v>#REF!</v>
      </c>
      <c r="L202" s="277" t="e">
        <f>#REF!</f>
        <v>#REF!</v>
      </c>
      <c r="M202" s="277" t="e">
        <f>#REF!</f>
        <v>#REF!</v>
      </c>
      <c r="N202" s="277" t="e">
        <f>#REF!</f>
        <v>#REF!</v>
      </c>
      <c r="O202" s="277" t="e">
        <f>#REF!</f>
        <v>#REF!</v>
      </c>
      <c r="P202" s="277" t="e">
        <f>#REF!</f>
        <v>#REF!</v>
      </c>
      <c r="Q202" s="277" t="e">
        <f>#REF!</f>
        <v>#REF!</v>
      </c>
      <c r="R202" s="277" t="e">
        <f>#REF!</f>
        <v>#REF!</v>
      </c>
      <c r="S202" s="277" t="e">
        <f>#REF!</f>
        <v>#REF!</v>
      </c>
      <c r="T202" s="281" t="e">
        <f>#REF!</f>
        <v>#REF!</v>
      </c>
      <c r="U202" s="281" t="e">
        <f>#REF!</f>
        <v>#REF!</v>
      </c>
      <c r="V202" s="281" t="e">
        <f>#REF!</f>
        <v>#REF!</v>
      </c>
      <c r="W202" s="281" t="e">
        <f>#REF!</f>
        <v>#REF!</v>
      </c>
      <c r="X202" s="281" t="e">
        <f>#REF!</f>
        <v>#REF!</v>
      </c>
    </row>
    <row r="203" spans="1:24" ht="24.95" customHeight="1">
      <c r="A203" s="274" t="e">
        <f>#REF!</f>
        <v>#REF!</v>
      </c>
      <c r="B203" s="275" t="e">
        <f>#REF!</f>
        <v>#REF!</v>
      </c>
      <c r="C203" s="276" t="e">
        <f>#REF!</f>
        <v>#REF!</v>
      </c>
      <c r="D203" s="277" t="e">
        <f>#REF!</f>
        <v>#REF!</v>
      </c>
      <c r="E203" s="277" t="e">
        <f>#REF!</f>
        <v>#REF!</v>
      </c>
      <c r="F203" s="277" t="e">
        <f>#REF!</f>
        <v>#REF!</v>
      </c>
      <c r="G203" s="277" t="e">
        <f>#REF!</f>
        <v>#REF!</v>
      </c>
      <c r="H203" s="277" t="e">
        <f>#REF!</f>
        <v>#REF!</v>
      </c>
      <c r="I203" s="277" t="e">
        <f>#REF!</f>
        <v>#REF!</v>
      </c>
      <c r="J203" s="277" t="e">
        <f>#REF!</f>
        <v>#REF!</v>
      </c>
      <c r="K203" s="277" t="e">
        <f>#REF!</f>
        <v>#REF!</v>
      </c>
      <c r="L203" s="277" t="e">
        <f>#REF!</f>
        <v>#REF!</v>
      </c>
      <c r="M203" s="277" t="e">
        <f>#REF!</f>
        <v>#REF!</v>
      </c>
      <c r="N203" s="277" t="e">
        <f>#REF!</f>
        <v>#REF!</v>
      </c>
      <c r="O203" s="277" t="e">
        <f>#REF!</f>
        <v>#REF!</v>
      </c>
      <c r="P203" s="277" t="e">
        <f>#REF!</f>
        <v>#REF!</v>
      </c>
      <c r="Q203" s="277" t="e">
        <f>#REF!</f>
        <v>#REF!</v>
      </c>
      <c r="R203" s="277" t="e">
        <f>#REF!</f>
        <v>#REF!</v>
      </c>
      <c r="S203" s="277" t="e">
        <f>#REF!</f>
        <v>#REF!</v>
      </c>
      <c r="T203" s="281" t="e">
        <f>#REF!</f>
        <v>#REF!</v>
      </c>
      <c r="U203" s="281" t="e">
        <f>#REF!</f>
        <v>#REF!</v>
      </c>
      <c r="V203" s="281" t="e">
        <f>#REF!</f>
        <v>#REF!</v>
      </c>
      <c r="W203" s="281" t="e">
        <f>#REF!</f>
        <v>#REF!</v>
      </c>
      <c r="X203" s="281" t="e">
        <f>#REF!</f>
        <v>#REF!</v>
      </c>
    </row>
    <row r="204" spans="1:24" ht="24.95" customHeight="1">
      <c r="A204" s="274" t="e">
        <f>#REF!</f>
        <v>#REF!</v>
      </c>
      <c r="B204" s="275" t="e">
        <f>#REF!</f>
        <v>#REF!</v>
      </c>
      <c r="C204" s="276" t="e">
        <f>#REF!</f>
        <v>#REF!</v>
      </c>
      <c r="D204" s="277" t="e">
        <f>#REF!</f>
        <v>#REF!</v>
      </c>
      <c r="E204" s="277" t="e">
        <f>#REF!</f>
        <v>#REF!</v>
      </c>
      <c r="F204" s="277" t="e">
        <f>#REF!</f>
        <v>#REF!</v>
      </c>
      <c r="G204" s="277" t="e">
        <f>#REF!</f>
        <v>#REF!</v>
      </c>
      <c r="H204" s="277" t="e">
        <f>#REF!</f>
        <v>#REF!</v>
      </c>
      <c r="I204" s="277" t="e">
        <f>#REF!</f>
        <v>#REF!</v>
      </c>
      <c r="J204" s="277" t="e">
        <f>#REF!</f>
        <v>#REF!</v>
      </c>
      <c r="K204" s="277" t="e">
        <f>#REF!</f>
        <v>#REF!</v>
      </c>
      <c r="L204" s="277" t="e">
        <f>#REF!</f>
        <v>#REF!</v>
      </c>
      <c r="M204" s="277" t="e">
        <f>#REF!</f>
        <v>#REF!</v>
      </c>
      <c r="N204" s="277" t="e">
        <f>#REF!</f>
        <v>#REF!</v>
      </c>
      <c r="O204" s="277" t="e">
        <f>#REF!</f>
        <v>#REF!</v>
      </c>
      <c r="P204" s="277" t="e">
        <f>#REF!</f>
        <v>#REF!</v>
      </c>
      <c r="Q204" s="277" t="e">
        <f>#REF!</f>
        <v>#REF!</v>
      </c>
      <c r="R204" s="277" t="e">
        <f>#REF!</f>
        <v>#REF!</v>
      </c>
      <c r="S204" s="277" t="e">
        <f>#REF!</f>
        <v>#REF!</v>
      </c>
      <c r="T204" s="281" t="e">
        <f>#REF!</f>
        <v>#REF!</v>
      </c>
      <c r="U204" s="281" t="e">
        <f>#REF!</f>
        <v>#REF!</v>
      </c>
      <c r="V204" s="281" t="e">
        <f>#REF!</f>
        <v>#REF!</v>
      </c>
      <c r="W204" s="281" t="e">
        <f>#REF!</f>
        <v>#REF!</v>
      </c>
      <c r="X204" s="281" t="e">
        <f>#REF!</f>
        <v>#REF!</v>
      </c>
    </row>
    <row r="205" spans="1:24" ht="24.95" customHeight="1">
      <c r="A205" s="274" t="e">
        <f>#REF!</f>
        <v>#REF!</v>
      </c>
      <c r="B205" s="275" t="e">
        <f>#REF!</f>
        <v>#REF!</v>
      </c>
      <c r="C205" s="276" t="e">
        <f>#REF!</f>
        <v>#REF!</v>
      </c>
      <c r="D205" s="277" t="e">
        <f>#REF!</f>
        <v>#REF!</v>
      </c>
      <c r="E205" s="277" t="e">
        <f>#REF!</f>
        <v>#REF!</v>
      </c>
      <c r="F205" s="277" t="e">
        <f>#REF!</f>
        <v>#REF!</v>
      </c>
      <c r="G205" s="277" t="e">
        <f>#REF!</f>
        <v>#REF!</v>
      </c>
      <c r="H205" s="277" t="e">
        <f>#REF!</f>
        <v>#REF!</v>
      </c>
      <c r="I205" s="277" t="e">
        <f>#REF!</f>
        <v>#REF!</v>
      </c>
      <c r="J205" s="277" t="e">
        <f>#REF!</f>
        <v>#REF!</v>
      </c>
      <c r="K205" s="277" t="e">
        <f>#REF!</f>
        <v>#REF!</v>
      </c>
      <c r="L205" s="277" t="e">
        <f>#REF!</f>
        <v>#REF!</v>
      </c>
      <c r="M205" s="277" t="e">
        <f>#REF!</f>
        <v>#REF!</v>
      </c>
      <c r="N205" s="277" t="e">
        <f>#REF!</f>
        <v>#REF!</v>
      </c>
      <c r="O205" s="277" t="e">
        <f>#REF!</f>
        <v>#REF!</v>
      </c>
      <c r="P205" s="277" t="e">
        <f>#REF!</f>
        <v>#REF!</v>
      </c>
      <c r="Q205" s="277" t="e">
        <f>#REF!</f>
        <v>#REF!</v>
      </c>
      <c r="R205" s="277" t="e">
        <f>#REF!</f>
        <v>#REF!</v>
      </c>
      <c r="S205" s="277" t="e">
        <f>#REF!</f>
        <v>#REF!</v>
      </c>
      <c r="T205" s="281" t="e">
        <f>#REF!</f>
        <v>#REF!</v>
      </c>
      <c r="U205" s="281" t="e">
        <f>#REF!</f>
        <v>#REF!</v>
      </c>
      <c r="V205" s="281" t="e">
        <f>#REF!</f>
        <v>#REF!</v>
      </c>
      <c r="W205" s="281" t="e">
        <f>#REF!</f>
        <v>#REF!</v>
      </c>
      <c r="X205" s="281" t="e">
        <f>#REF!</f>
        <v>#REF!</v>
      </c>
    </row>
    <row r="206" spans="1:24" ht="24.95" customHeight="1">
      <c r="A206" s="274" t="e">
        <f>#REF!</f>
        <v>#REF!</v>
      </c>
      <c r="B206" s="275" t="e">
        <f>#REF!</f>
        <v>#REF!</v>
      </c>
      <c r="C206" s="276" t="e">
        <f>#REF!</f>
        <v>#REF!</v>
      </c>
      <c r="D206" s="277" t="e">
        <f>#REF!</f>
        <v>#REF!</v>
      </c>
      <c r="E206" s="277" t="e">
        <f>#REF!</f>
        <v>#REF!</v>
      </c>
      <c r="F206" s="277" t="e">
        <f>#REF!</f>
        <v>#REF!</v>
      </c>
      <c r="G206" s="277" t="e">
        <f>#REF!</f>
        <v>#REF!</v>
      </c>
      <c r="H206" s="277" t="e">
        <f>#REF!</f>
        <v>#REF!</v>
      </c>
      <c r="I206" s="277" t="e">
        <f>#REF!</f>
        <v>#REF!</v>
      </c>
      <c r="J206" s="277" t="e">
        <f>#REF!</f>
        <v>#REF!</v>
      </c>
      <c r="K206" s="277" t="e">
        <f>#REF!</f>
        <v>#REF!</v>
      </c>
      <c r="L206" s="277" t="e">
        <f>#REF!</f>
        <v>#REF!</v>
      </c>
      <c r="M206" s="277" t="e">
        <f>#REF!</f>
        <v>#REF!</v>
      </c>
      <c r="N206" s="277" t="e">
        <f>#REF!</f>
        <v>#REF!</v>
      </c>
      <c r="O206" s="277" t="e">
        <f>#REF!</f>
        <v>#REF!</v>
      </c>
      <c r="P206" s="277" t="e">
        <f>#REF!</f>
        <v>#REF!</v>
      </c>
      <c r="Q206" s="277" t="e">
        <f>#REF!</f>
        <v>#REF!</v>
      </c>
      <c r="R206" s="277" t="e">
        <f>#REF!</f>
        <v>#REF!</v>
      </c>
      <c r="S206" s="277" t="e">
        <f>#REF!</f>
        <v>#REF!</v>
      </c>
      <c r="T206" s="281" t="e">
        <f>#REF!</f>
        <v>#REF!</v>
      </c>
      <c r="U206" s="281" t="e">
        <f>#REF!</f>
        <v>#REF!</v>
      </c>
      <c r="V206" s="281" t="e">
        <f>#REF!</f>
        <v>#REF!</v>
      </c>
      <c r="W206" s="281" t="e">
        <f>#REF!</f>
        <v>#REF!</v>
      </c>
      <c r="X206" s="281" t="e">
        <f>#REF!</f>
        <v>#REF!</v>
      </c>
    </row>
    <row r="207" spans="1:24" ht="24.95" customHeight="1">
      <c r="A207" s="274" t="e">
        <f>#REF!</f>
        <v>#REF!</v>
      </c>
      <c r="B207" s="275" t="e">
        <f>#REF!</f>
        <v>#REF!</v>
      </c>
      <c r="C207" s="276" t="e">
        <f>#REF!</f>
        <v>#REF!</v>
      </c>
      <c r="D207" s="277" t="e">
        <f>#REF!</f>
        <v>#REF!</v>
      </c>
      <c r="E207" s="277" t="e">
        <f>#REF!</f>
        <v>#REF!</v>
      </c>
      <c r="F207" s="277" t="e">
        <f>#REF!</f>
        <v>#REF!</v>
      </c>
      <c r="G207" s="277" t="e">
        <f>#REF!</f>
        <v>#REF!</v>
      </c>
      <c r="H207" s="277" t="e">
        <f>#REF!</f>
        <v>#REF!</v>
      </c>
      <c r="I207" s="277" t="e">
        <f>#REF!</f>
        <v>#REF!</v>
      </c>
      <c r="J207" s="277" t="e">
        <f>#REF!</f>
        <v>#REF!</v>
      </c>
      <c r="K207" s="277" t="e">
        <f>#REF!</f>
        <v>#REF!</v>
      </c>
      <c r="L207" s="277" t="e">
        <f>#REF!</f>
        <v>#REF!</v>
      </c>
      <c r="M207" s="277" t="e">
        <f>#REF!</f>
        <v>#REF!</v>
      </c>
      <c r="N207" s="277" t="e">
        <f>#REF!</f>
        <v>#REF!</v>
      </c>
      <c r="O207" s="277" t="e">
        <f>#REF!</f>
        <v>#REF!</v>
      </c>
      <c r="P207" s="277" t="e">
        <f>#REF!</f>
        <v>#REF!</v>
      </c>
      <c r="Q207" s="277" t="e">
        <f>#REF!</f>
        <v>#REF!</v>
      </c>
      <c r="R207" s="277" t="e">
        <f>#REF!</f>
        <v>#REF!</v>
      </c>
      <c r="S207" s="277" t="e">
        <f>#REF!</f>
        <v>#REF!</v>
      </c>
      <c r="T207" s="281" t="e">
        <f>#REF!</f>
        <v>#REF!</v>
      </c>
      <c r="U207" s="281" t="e">
        <f>#REF!</f>
        <v>#REF!</v>
      </c>
      <c r="V207" s="281" t="e">
        <f>#REF!</f>
        <v>#REF!</v>
      </c>
      <c r="W207" s="281" t="e">
        <f>#REF!</f>
        <v>#REF!</v>
      </c>
      <c r="X207" s="281" t="e">
        <f>#REF!</f>
        <v>#REF!</v>
      </c>
    </row>
    <row r="208" spans="1:24" ht="24.95" customHeight="1">
      <c r="A208" s="274" t="e">
        <f>#REF!</f>
        <v>#REF!</v>
      </c>
      <c r="B208" s="275" t="e">
        <f>#REF!</f>
        <v>#REF!</v>
      </c>
      <c r="C208" s="276" t="e">
        <f>#REF!</f>
        <v>#REF!</v>
      </c>
      <c r="D208" s="277" t="e">
        <f>#REF!</f>
        <v>#REF!</v>
      </c>
      <c r="E208" s="277" t="e">
        <f>#REF!</f>
        <v>#REF!</v>
      </c>
      <c r="F208" s="277" t="e">
        <f>#REF!</f>
        <v>#REF!</v>
      </c>
      <c r="G208" s="277" t="e">
        <f>#REF!</f>
        <v>#REF!</v>
      </c>
      <c r="H208" s="277" t="e">
        <f>#REF!</f>
        <v>#REF!</v>
      </c>
      <c r="I208" s="277" t="e">
        <f>#REF!</f>
        <v>#REF!</v>
      </c>
      <c r="J208" s="277" t="e">
        <f>#REF!</f>
        <v>#REF!</v>
      </c>
      <c r="K208" s="277" t="e">
        <f>#REF!</f>
        <v>#REF!</v>
      </c>
      <c r="L208" s="277" t="e">
        <f>#REF!</f>
        <v>#REF!</v>
      </c>
      <c r="M208" s="277" t="e">
        <f>#REF!</f>
        <v>#REF!</v>
      </c>
      <c r="N208" s="277" t="e">
        <f>#REF!</f>
        <v>#REF!</v>
      </c>
      <c r="O208" s="277" t="e">
        <f>#REF!</f>
        <v>#REF!</v>
      </c>
      <c r="P208" s="277" t="e">
        <f>#REF!</f>
        <v>#REF!</v>
      </c>
      <c r="Q208" s="277" t="e">
        <f>#REF!</f>
        <v>#REF!</v>
      </c>
      <c r="R208" s="277" t="e">
        <f>#REF!</f>
        <v>#REF!</v>
      </c>
      <c r="S208" s="277" t="e">
        <f>#REF!</f>
        <v>#REF!</v>
      </c>
      <c r="T208" s="281" t="e">
        <f>#REF!</f>
        <v>#REF!</v>
      </c>
      <c r="U208" s="281" t="e">
        <f>#REF!</f>
        <v>#REF!</v>
      </c>
      <c r="V208" s="281" t="e">
        <f>#REF!</f>
        <v>#REF!</v>
      </c>
      <c r="W208" s="281" t="e">
        <f>#REF!</f>
        <v>#REF!</v>
      </c>
      <c r="X208" s="281" t="e">
        <f>#REF!</f>
        <v>#REF!</v>
      </c>
    </row>
    <row r="209" spans="1:24" ht="24.95" customHeight="1">
      <c r="A209" s="274" t="e">
        <f>#REF!</f>
        <v>#REF!</v>
      </c>
      <c r="B209" s="275" t="e">
        <f>#REF!</f>
        <v>#REF!</v>
      </c>
      <c r="C209" s="276" t="e">
        <f>#REF!</f>
        <v>#REF!</v>
      </c>
      <c r="D209" s="277" t="e">
        <f>#REF!</f>
        <v>#REF!</v>
      </c>
      <c r="E209" s="277" t="e">
        <f>#REF!</f>
        <v>#REF!</v>
      </c>
      <c r="F209" s="277" t="e">
        <f>#REF!</f>
        <v>#REF!</v>
      </c>
      <c r="G209" s="277" t="e">
        <f>#REF!</f>
        <v>#REF!</v>
      </c>
      <c r="H209" s="277" t="e">
        <f>#REF!</f>
        <v>#REF!</v>
      </c>
      <c r="I209" s="277" t="e">
        <f>#REF!</f>
        <v>#REF!</v>
      </c>
      <c r="J209" s="277" t="e">
        <f>#REF!</f>
        <v>#REF!</v>
      </c>
      <c r="K209" s="277" t="e">
        <f>#REF!</f>
        <v>#REF!</v>
      </c>
      <c r="L209" s="277" t="e">
        <f>#REF!</f>
        <v>#REF!</v>
      </c>
      <c r="M209" s="277" t="e">
        <f>#REF!</f>
        <v>#REF!</v>
      </c>
      <c r="N209" s="277" t="e">
        <f>#REF!</f>
        <v>#REF!</v>
      </c>
      <c r="O209" s="277" t="e">
        <f>#REF!</f>
        <v>#REF!</v>
      </c>
      <c r="P209" s="277" t="e">
        <f>#REF!</f>
        <v>#REF!</v>
      </c>
      <c r="Q209" s="277" t="e">
        <f>#REF!</f>
        <v>#REF!</v>
      </c>
      <c r="R209" s="277" t="e">
        <f>#REF!</f>
        <v>#REF!</v>
      </c>
      <c r="S209" s="277" t="e">
        <f>#REF!</f>
        <v>#REF!</v>
      </c>
      <c r="T209" s="281" t="e">
        <f>#REF!</f>
        <v>#REF!</v>
      </c>
      <c r="U209" s="281" t="e">
        <f>#REF!</f>
        <v>#REF!</v>
      </c>
      <c r="V209" s="281" t="e">
        <f>#REF!</f>
        <v>#REF!</v>
      </c>
      <c r="W209" s="281" t="e">
        <f>#REF!</f>
        <v>#REF!</v>
      </c>
      <c r="X209" s="281" t="e">
        <f>#REF!</f>
        <v>#REF!</v>
      </c>
    </row>
    <row r="210" spans="1:24" ht="24.95" customHeight="1">
      <c r="A210" s="274" t="e">
        <f>#REF!</f>
        <v>#REF!</v>
      </c>
      <c r="B210" s="275" t="e">
        <f>#REF!</f>
        <v>#REF!</v>
      </c>
      <c r="C210" s="276" t="e">
        <f>#REF!</f>
        <v>#REF!</v>
      </c>
      <c r="D210" s="277" t="e">
        <f>#REF!</f>
        <v>#REF!</v>
      </c>
      <c r="E210" s="277" t="e">
        <f>#REF!</f>
        <v>#REF!</v>
      </c>
      <c r="F210" s="277" t="e">
        <f>#REF!</f>
        <v>#REF!</v>
      </c>
      <c r="G210" s="277" t="e">
        <f>#REF!</f>
        <v>#REF!</v>
      </c>
      <c r="H210" s="277" t="e">
        <f>#REF!</f>
        <v>#REF!</v>
      </c>
      <c r="I210" s="277" t="e">
        <f>#REF!</f>
        <v>#REF!</v>
      </c>
      <c r="J210" s="277" t="e">
        <f>#REF!</f>
        <v>#REF!</v>
      </c>
      <c r="K210" s="277" t="e">
        <f>#REF!</f>
        <v>#REF!</v>
      </c>
      <c r="L210" s="277" t="e">
        <f>#REF!</f>
        <v>#REF!</v>
      </c>
      <c r="M210" s="277" t="e">
        <f>#REF!</f>
        <v>#REF!</v>
      </c>
      <c r="N210" s="277" t="e">
        <f>#REF!</f>
        <v>#REF!</v>
      </c>
      <c r="O210" s="277" t="e">
        <f>#REF!</f>
        <v>#REF!</v>
      </c>
      <c r="P210" s="277" t="e">
        <f>#REF!</f>
        <v>#REF!</v>
      </c>
      <c r="Q210" s="277" t="e">
        <f>#REF!</f>
        <v>#REF!</v>
      </c>
      <c r="R210" s="277" t="e">
        <f>#REF!</f>
        <v>#REF!</v>
      </c>
      <c r="S210" s="277" t="e">
        <f>#REF!</f>
        <v>#REF!</v>
      </c>
      <c r="T210" s="281" t="e">
        <f>#REF!</f>
        <v>#REF!</v>
      </c>
      <c r="U210" s="281" t="e">
        <f>#REF!</f>
        <v>#REF!</v>
      </c>
      <c r="V210" s="281" t="e">
        <f>#REF!</f>
        <v>#REF!</v>
      </c>
      <c r="W210" s="281" t="e">
        <f>#REF!</f>
        <v>#REF!</v>
      </c>
      <c r="X210" s="281" t="e">
        <f>#REF!</f>
        <v>#REF!</v>
      </c>
    </row>
    <row r="211" spans="1:24" ht="24.95" customHeight="1">
      <c r="A211" s="274" t="e">
        <f>#REF!</f>
        <v>#REF!</v>
      </c>
      <c r="B211" s="275" t="e">
        <f>#REF!</f>
        <v>#REF!</v>
      </c>
      <c r="C211" s="276" t="e">
        <f>#REF!</f>
        <v>#REF!</v>
      </c>
      <c r="D211" s="277" t="e">
        <f>#REF!</f>
        <v>#REF!</v>
      </c>
      <c r="E211" s="277" t="e">
        <f>#REF!</f>
        <v>#REF!</v>
      </c>
      <c r="F211" s="277" t="e">
        <f>#REF!</f>
        <v>#REF!</v>
      </c>
      <c r="G211" s="277" t="e">
        <f>#REF!</f>
        <v>#REF!</v>
      </c>
      <c r="H211" s="277" t="e">
        <f>#REF!</f>
        <v>#REF!</v>
      </c>
      <c r="I211" s="277" t="e">
        <f>#REF!</f>
        <v>#REF!</v>
      </c>
      <c r="J211" s="277" t="e">
        <f>#REF!</f>
        <v>#REF!</v>
      </c>
      <c r="K211" s="277" t="e">
        <f>#REF!</f>
        <v>#REF!</v>
      </c>
      <c r="L211" s="277" t="e">
        <f>#REF!</f>
        <v>#REF!</v>
      </c>
      <c r="M211" s="277" t="e">
        <f>#REF!</f>
        <v>#REF!</v>
      </c>
      <c r="N211" s="277" t="e">
        <f>#REF!</f>
        <v>#REF!</v>
      </c>
      <c r="O211" s="277" t="e">
        <f>#REF!</f>
        <v>#REF!</v>
      </c>
      <c r="P211" s="277" t="e">
        <f>#REF!</f>
        <v>#REF!</v>
      </c>
      <c r="Q211" s="277" t="e">
        <f>#REF!</f>
        <v>#REF!</v>
      </c>
      <c r="R211" s="277" t="e">
        <f>#REF!</f>
        <v>#REF!</v>
      </c>
      <c r="S211" s="277" t="e">
        <f>#REF!</f>
        <v>#REF!</v>
      </c>
      <c r="T211" s="281" t="e">
        <f>#REF!</f>
        <v>#REF!</v>
      </c>
      <c r="U211" s="281" t="e">
        <f>#REF!</f>
        <v>#REF!</v>
      </c>
      <c r="V211" s="281" t="e">
        <f>#REF!</f>
        <v>#REF!</v>
      </c>
      <c r="W211" s="281" t="e">
        <f>#REF!</f>
        <v>#REF!</v>
      </c>
      <c r="X211" s="281" t="e">
        <f>#REF!</f>
        <v>#REF!</v>
      </c>
    </row>
    <row r="212" spans="1:24" ht="24.95" customHeight="1">
      <c r="A212" s="274" t="e">
        <f>#REF!</f>
        <v>#REF!</v>
      </c>
      <c r="B212" s="275" t="e">
        <f>#REF!</f>
        <v>#REF!</v>
      </c>
      <c r="C212" s="276" t="e">
        <f>#REF!</f>
        <v>#REF!</v>
      </c>
      <c r="D212" s="277" t="e">
        <f>#REF!</f>
        <v>#REF!</v>
      </c>
      <c r="E212" s="277" t="e">
        <f>#REF!</f>
        <v>#REF!</v>
      </c>
      <c r="F212" s="277" t="e">
        <f>#REF!</f>
        <v>#REF!</v>
      </c>
      <c r="G212" s="277" t="e">
        <f>#REF!</f>
        <v>#REF!</v>
      </c>
      <c r="H212" s="277" t="e">
        <f>#REF!</f>
        <v>#REF!</v>
      </c>
      <c r="I212" s="277" t="e">
        <f>#REF!</f>
        <v>#REF!</v>
      </c>
      <c r="J212" s="277" t="e">
        <f>#REF!</f>
        <v>#REF!</v>
      </c>
      <c r="K212" s="277" t="e">
        <f>#REF!</f>
        <v>#REF!</v>
      </c>
      <c r="L212" s="277" t="e">
        <f>#REF!</f>
        <v>#REF!</v>
      </c>
      <c r="M212" s="277" t="e">
        <f>#REF!</f>
        <v>#REF!</v>
      </c>
      <c r="N212" s="277" t="e">
        <f>#REF!</f>
        <v>#REF!</v>
      </c>
      <c r="O212" s="277" t="e">
        <f>#REF!</f>
        <v>#REF!</v>
      </c>
      <c r="P212" s="277" t="e">
        <f>#REF!</f>
        <v>#REF!</v>
      </c>
      <c r="Q212" s="277" t="e">
        <f>#REF!</f>
        <v>#REF!</v>
      </c>
      <c r="R212" s="277" t="e">
        <f>#REF!</f>
        <v>#REF!</v>
      </c>
      <c r="S212" s="277" t="e">
        <f>#REF!</f>
        <v>#REF!</v>
      </c>
      <c r="T212" s="281" t="e">
        <f>#REF!</f>
        <v>#REF!</v>
      </c>
      <c r="U212" s="281" t="e">
        <f>#REF!</f>
        <v>#REF!</v>
      </c>
      <c r="V212" s="281" t="e">
        <f>#REF!</f>
        <v>#REF!</v>
      </c>
      <c r="W212" s="281" t="e">
        <f>#REF!</f>
        <v>#REF!</v>
      </c>
      <c r="X212" s="281" t="e">
        <f>#REF!</f>
        <v>#REF!</v>
      </c>
    </row>
    <row r="213" spans="1:24" ht="24.95" customHeight="1">
      <c r="A213" s="274" t="e">
        <f>#REF!</f>
        <v>#REF!</v>
      </c>
      <c r="B213" s="275" t="e">
        <f>#REF!</f>
        <v>#REF!</v>
      </c>
      <c r="C213" s="276" t="e">
        <f>#REF!</f>
        <v>#REF!</v>
      </c>
      <c r="D213" s="277" t="e">
        <f>#REF!</f>
        <v>#REF!</v>
      </c>
      <c r="E213" s="277" t="e">
        <f>#REF!</f>
        <v>#REF!</v>
      </c>
      <c r="F213" s="277" t="e">
        <f>#REF!</f>
        <v>#REF!</v>
      </c>
      <c r="G213" s="277" t="e">
        <f>#REF!</f>
        <v>#REF!</v>
      </c>
      <c r="H213" s="277" t="e">
        <f>#REF!</f>
        <v>#REF!</v>
      </c>
      <c r="I213" s="277" t="e">
        <f>#REF!</f>
        <v>#REF!</v>
      </c>
      <c r="J213" s="277" t="e">
        <f>#REF!</f>
        <v>#REF!</v>
      </c>
      <c r="K213" s="277" t="e">
        <f>#REF!</f>
        <v>#REF!</v>
      </c>
      <c r="L213" s="277" t="e">
        <f>#REF!</f>
        <v>#REF!</v>
      </c>
      <c r="M213" s="277" t="e">
        <f>#REF!</f>
        <v>#REF!</v>
      </c>
      <c r="N213" s="277" t="e">
        <f>#REF!</f>
        <v>#REF!</v>
      </c>
      <c r="O213" s="277" t="e">
        <f>#REF!</f>
        <v>#REF!</v>
      </c>
      <c r="P213" s="277" t="e">
        <f>#REF!</f>
        <v>#REF!</v>
      </c>
      <c r="Q213" s="277" t="e">
        <f>#REF!</f>
        <v>#REF!</v>
      </c>
      <c r="R213" s="277" t="e">
        <f>#REF!</f>
        <v>#REF!</v>
      </c>
      <c r="S213" s="277" t="e">
        <f>#REF!</f>
        <v>#REF!</v>
      </c>
      <c r="T213" s="281" t="e">
        <f>#REF!</f>
        <v>#REF!</v>
      </c>
      <c r="U213" s="281" t="e">
        <f>#REF!</f>
        <v>#REF!</v>
      </c>
      <c r="V213" s="281" t="e">
        <f>#REF!</f>
        <v>#REF!</v>
      </c>
      <c r="W213" s="281" t="e">
        <f>#REF!</f>
        <v>#REF!</v>
      </c>
      <c r="X213" s="281" t="e">
        <f>#REF!</f>
        <v>#REF!</v>
      </c>
    </row>
    <row r="214" spans="1:24" ht="24.95" customHeight="1">
      <c r="A214" s="274" t="e">
        <f>#REF!</f>
        <v>#REF!</v>
      </c>
      <c r="B214" s="275" t="e">
        <f>#REF!</f>
        <v>#REF!</v>
      </c>
      <c r="C214" s="276" t="e">
        <f>#REF!</f>
        <v>#REF!</v>
      </c>
      <c r="D214" s="277" t="e">
        <f>#REF!</f>
        <v>#REF!</v>
      </c>
      <c r="E214" s="277" t="e">
        <f>#REF!</f>
        <v>#REF!</v>
      </c>
      <c r="F214" s="277" t="e">
        <f>#REF!</f>
        <v>#REF!</v>
      </c>
      <c r="G214" s="277" t="e">
        <f>#REF!</f>
        <v>#REF!</v>
      </c>
      <c r="H214" s="277" t="e">
        <f>#REF!</f>
        <v>#REF!</v>
      </c>
      <c r="I214" s="277" t="e">
        <f>#REF!</f>
        <v>#REF!</v>
      </c>
      <c r="J214" s="277" t="e">
        <f>#REF!</f>
        <v>#REF!</v>
      </c>
      <c r="K214" s="277" t="e">
        <f>#REF!</f>
        <v>#REF!</v>
      </c>
      <c r="L214" s="277" t="e">
        <f>#REF!</f>
        <v>#REF!</v>
      </c>
      <c r="M214" s="277" t="e">
        <f>#REF!</f>
        <v>#REF!</v>
      </c>
      <c r="N214" s="277" t="e">
        <f>#REF!</f>
        <v>#REF!</v>
      </c>
      <c r="O214" s="277" t="e">
        <f>#REF!</f>
        <v>#REF!</v>
      </c>
      <c r="P214" s="277" t="e">
        <f>#REF!</f>
        <v>#REF!</v>
      </c>
      <c r="Q214" s="277" t="e">
        <f>#REF!</f>
        <v>#REF!</v>
      </c>
      <c r="R214" s="277" t="e">
        <f>#REF!</f>
        <v>#REF!</v>
      </c>
      <c r="S214" s="277" t="e">
        <f>#REF!</f>
        <v>#REF!</v>
      </c>
      <c r="T214" s="281" t="e">
        <f>#REF!</f>
        <v>#REF!</v>
      </c>
      <c r="U214" s="281" t="e">
        <f>#REF!</f>
        <v>#REF!</v>
      </c>
      <c r="V214" s="281" t="e">
        <f>#REF!</f>
        <v>#REF!</v>
      </c>
      <c r="W214" s="281" t="e">
        <f>#REF!</f>
        <v>#REF!</v>
      </c>
      <c r="X214" s="281" t="e">
        <f>#REF!</f>
        <v>#REF!</v>
      </c>
    </row>
    <row r="215" spans="1:24" ht="24.95" customHeight="1">
      <c r="A215" s="274" t="e">
        <f>#REF!</f>
        <v>#REF!</v>
      </c>
      <c r="B215" s="275" t="e">
        <f>#REF!</f>
        <v>#REF!</v>
      </c>
      <c r="C215" s="276" t="e">
        <f>#REF!</f>
        <v>#REF!</v>
      </c>
      <c r="D215" s="277" t="e">
        <f>#REF!</f>
        <v>#REF!</v>
      </c>
      <c r="E215" s="277" t="e">
        <f>#REF!</f>
        <v>#REF!</v>
      </c>
      <c r="F215" s="277" t="e">
        <f>#REF!</f>
        <v>#REF!</v>
      </c>
      <c r="G215" s="277" t="e">
        <f>#REF!</f>
        <v>#REF!</v>
      </c>
      <c r="H215" s="277" t="e">
        <f>#REF!</f>
        <v>#REF!</v>
      </c>
      <c r="I215" s="277" t="e">
        <f>#REF!</f>
        <v>#REF!</v>
      </c>
      <c r="J215" s="277" t="e">
        <f>#REF!</f>
        <v>#REF!</v>
      </c>
      <c r="K215" s="277" t="e">
        <f>#REF!</f>
        <v>#REF!</v>
      </c>
      <c r="L215" s="277" t="e">
        <f>#REF!</f>
        <v>#REF!</v>
      </c>
      <c r="M215" s="277" t="e">
        <f>#REF!</f>
        <v>#REF!</v>
      </c>
      <c r="N215" s="277" t="e">
        <f>#REF!</f>
        <v>#REF!</v>
      </c>
      <c r="O215" s="277" t="e">
        <f>#REF!</f>
        <v>#REF!</v>
      </c>
      <c r="P215" s="277" t="e">
        <f>#REF!</f>
        <v>#REF!</v>
      </c>
      <c r="Q215" s="277" t="e">
        <f>#REF!</f>
        <v>#REF!</v>
      </c>
      <c r="R215" s="277" t="e">
        <f>#REF!</f>
        <v>#REF!</v>
      </c>
      <c r="S215" s="277" t="e">
        <f>#REF!</f>
        <v>#REF!</v>
      </c>
      <c r="T215" s="281" t="e">
        <f>#REF!</f>
        <v>#REF!</v>
      </c>
      <c r="U215" s="281" t="e">
        <f>#REF!</f>
        <v>#REF!</v>
      </c>
      <c r="V215" s="281" t="e">
        <f>#REF!</f>
        <v>#REF!</v>
      </c>
      <c r="W215" s="281" t="e">
        <f>#REF!</f>
        <v>#REF!</v>
      </c>
      <c r="X215" s="281" t="e">
        <f>#REF!</f>
        <v>#REF!</v>
      </c>
    </row>
    <row r="216" spans="1:24" ht="24.95" customHeight="1">
      <c r="A216" s="274" t="e">
        <f>#REF!</f>
        <v>#REF!</v>
      </c>
      <c r="B216" s="275" t="e">
        <f>#REF!</f>
        <v>#REF!</v>
      </c>
      <c r="C216" s="276" t="e">
        <f>#REF!</f>
        <v>#REF!</v>
      </c>
      <c r="D216" s="277" t="e">
        <f>#REF!</f>
        <v>#REF!</v>
      </c>
      <c r="E216" s="277" t="e">
        <f>#REF!</f>
        <v>#REF!</v>
      </c>
      <c r="F216" s="277" t="e">
        <f>#REF!</f>
        <v>#REF!</v>
      </c>
      <c r="G216" s="277" t="e">
        <f>#REF!</f>
        <v>#REF!</v>
      </c>
      <c r="H216" s="277" t="e">
        <f>#REF!</f>
        <v>#REF!</v>
      </c>
      <c r="I216" s="277" t="e">
        <f>#REF!</f>
        <v>#REF!</v>
      </c>
      <c r="J216" s="277" t="e">
        <f>#REF!</f>
        <v>#REF!</v>
      </c>
      <c r="K216" s="277" t="e">
        <f>#REF!</f>
        <v>#REF!</v>
      </c>
      <c r="L216" s="277" t="e">
        <f>#REF!</f>
        <v>#REF!</v>
      </c>
      <c r="M216" s="277" t="e">
        <f>#REF!</f>
        <v>#REF!</v>
      </c>
      <c r="N216" s="277" t="e">
        <f>#REF!</f>
        <v>#REF!</v>
      </c>
      <c r="O216" s="277" t="e">
        <f>#REF!</f>
        <v>#REF!</v>
      </c>
      <c r="P216" s="277" t="e">
        <f>#REF!</f>
        <v>#REF!</v>
      </c>
      <c r="Q216" s="277" t="e">
        <f>#REF!</f>
        <v>#REF!</v>
      </c>
      <c r="R216" s="277" t="e">
        <f>#REF!</f>
        <v>#REF!</v>
      </c>
      <c r="S216" s="277" t="e">
        <f>#REF!</f>
        <v>#REF!</v>
      </c>
      <c r="T216" s="281" t="e">
        <f>#REF!</f>
        <v>#REF!</v>
      </c>
      <c r="U216" s="281" t="e">
        <f>#REF!</f>
        <v>#REF!</v>
      </c>
      <c r="V216" s="281" t="e">
        <f>#REF!</f>
        <v>#REF!</v>
      </c>
      <c r="W216" s="281" t="e">
        <f>#REF!</f>
        <v>#REF!</v>
      </c>
      <c r="X216" s="281" t="e">
        <f>#REF!</f>
        <v>#REF!</v>
      </c>
    </row>
    <row r="217" spans="1:24" ht="24.95" customHeight="1">
      <c r="A217" s="274" t="e">
        <f>#REF!</f>
        <v>#REF!</v>
      </c>
      <c r="B217" s="275" t="e">
        <f>#REF!</f>
        <v>#REF!</v>
      </c>
      <c r="C217" s="276" t="e">
        <f>#REF!</f>
        <v>#REF!</v>
      </c>
      <c r="D217" s="277" t="e">
        <f>#REF!</f>
        <v>#REF!</v>
      </c>
      <c r="E217" s="277" t="e">
        <f>#REF!</f>
        <v>#REF!</v>
      </c>
      <c r="F217" s="277" t="e">
        <f>#REF!</f>
        <v>#REF!</v>
      </c>
      <c r="G217" s="277" t="e">
        <f>#REF!</f>
        <v>#REF!</v>
      </c>
      <c r="H217" s="277" t="e">
        <f>#REF!</f>
        <v>#REF!</v>
      </c>
      <c r="I217" s="277" t="e">
        <f>#REF!</f>
        <v>#REF!</v>
      </c>
      <c r="J217" s="277" t="e">
        <f>#REF!</f>
        <v>#REF!</v>
      </c>
      <c r="K217" s="277" t="e">
        <f>#REF!</f>
        <v>#REF!</v>
      </c>
      <c r="L217" s="277" t="e">
        <f>#REF!</f>
        <v>#REF!</v>
      </c>
      <c r="M217" s="277" t="e">
        <f>#REF!</f>
        <v>#REF!</v>
      </c>
      <c r="N217" s="277" t="e">
        <f>#REF!</f>
        <v>#REF!</v>
      </c>
      <c r="O217" s="277" t="e">
        <f>#REF!</f>
        <v>#REF!</v>
      </c>
      <c r="P217" s="277" t="e">
        <f>#REF!</f>
        <v>#REF!</v>
      </c>
      <c r="Q217" s="277" t="e">
        <f>#REF!</f>
        <v>#REF!</v>
      </c>
      <c r="R217" s="277" t="e">
        <f>#REF!</f>
        <v>#REF!</v>
      </c>
      <c r="S217" s="277" t="e">
        <f>#REF!</f>
        <v>#REF!</v>
      </c>
      <c r="T217" s="281" t="e">
        <f>#REF!</f>
        <v>#REF!</v>
      </c>
      <c r="U217" s="281" t="e">
        <f>#REF!</f>
        <v>#REF!</v>
      </c>
      <c r="V217" s="281" t="e">
        <f>#REF!</f>
        <v>#REF!</v>
      </c>
      <c r="W217" s="281" t="e">
        <f>#REF!</f>
        <v>#REF!</v>
      </c>
      <c r="X217" s="281" t="e">
        <f>#REF!</f>
        <v>#REF!</v>
      </c>
    </row>
    <row r="218" spans="1:24" ht="24.95" customHeight="1">
      <c r="A218" s="274" t="e">
        <f>#REF!</f>
        <v>#REF!</v>
      </c>
      <c r="B218" s="275" t="e">
        <f>#REF!</f>
        <v>#REF!</v>
      </c>
      <c r="C218" s="276" t="e">
        <f>#REF!</f>
        <v>#REF!</v>
      </c>
      <c r="D218" s="277" t="e">
        <f>#REF!</f>
        <v>#REF!</v>
      </c>
      <c r="E218" s="277" t="e">
        <f>#REF!</f>
        <v>#REF!</v>
      </c>
      <c r="F218" s="277" t="e">
        <f>#REF!</f>
        <v>#REF!</v>
      </c>
      <c r="G218" s="277" t="e">
        <f>#REF!</f>
        <v>#REF!</v>
      </c>
      <c r="H218" s="277" t="e">
        <f>#REF!</f>
        <v>#REF!</v>
      </c>
      <c r="I218" s="277" t="e">
        <f>#REF!</f>
        <v>#REF!</v>
      </c>
      <c r="J218" s="277" t="e">
        <f>#REF!</f>
        <v>#REF!</v>
      </c>
      <c r="K218" s="277" t="e">
        <f>#REF!</f>
        <v>#REF!</v>
      </c>
      <c r="L218" s="277" t="e">
        <f>#REF!</f>
        <v>#REF!</v>
      </c>
      <c r="M218" s="277" t="e">
        <f>#REF!</f>
        <v>#REF!</v>
      </c>
      <c r="N218" s="277" t="e">
        <f>#REF!</f>
        <v>#REF!</v>
      </c>
      <c r="O218" s="277" t="e">
        <f>#REF!</f>
        <v>#REF!</v>
      </c>
      <c r="P218" s="277" t="e">
        <f>#REF!</f>
        <v>#REF!</v>
      </c>
      <c r="Q218" s="277" t="e">
        <f>#REF!</f>
        <v>#REF!</v>
      </c>
      <c r="R218" s="277" t="e">
        <f>#REF!</f>
        <v>#REF!</v>
      </c>
      <c r="S218" s="277" t="e">
        <f>#REF!</f>
        <v>#REF!</v>
      </c>
      <c r="T218" s="281" t="e">
        <f>#REF!</f>
        <v>#REF!</v>
      </c>
      <c r="U218" s="281" t="e">
        <f>#REF!</f>
        <v>#REF!</v>
      </c>
      <c r="V218" s="281" t="e">
        <f>#REF!</f>
        <v>#REF!</v>
      </c>
      <c r="W218" s="281" t="e">
        <f>#REF!</f>
        <v>#REF!</v>
      </c>
      <c r="X218" s="281" t="e">
        <f>#REF!</f>
        <v>#REF!</v>
      </c>
    </row>
    <row r="219" spans="1:24" ht="24.95" customHeight="1">
      <c r="A219" s="274" t="e">
        <f>#REF!</f>
        <v>#REF!</v>
      </c>
      <c r="B219" s="275" t="e">
        <f>#REF!</f>
        <v>#REF!</v>
      </c>
      <c r="C219" s="276" t="e">
        <f>#REF!</f>
        <v>#REF!</v>
      </c>
      <c r="D219" s="277" t="e">
        <f>#REF!</f>
        <v>#REF!</v>
      </c>
      <c r="E219" s="277" t="e">
        <f>#REF!</f>
        <v>#REF!</v>
      </c>
      <c r="F219" s="277" t="e">
        <f>#REF!</f>
        <v>#REF!</v>
      </c>
      <c r="G219" s="277" t="e">
        <f>#REF!</f>
        <v>#REF!</v>
      </c>
      <c r="H219" s="277" t="e">
        <f>#REF!</f>
        <v>#REF!</v>
      </c>
      <c r="I219" s="277" t="e">
        <f>#REF!</f>
        <v>#REF!</v>
      </c>
      <c r="J219" s="277" t="e">
        <f>#REF!</f>
        <v>#REF!</v>
      </c>
      <c r="K219" s="277" t="e">
        <f>#REF!</f>
        <v>#REF!</v>
      </c>
      <c r="L219" s="277" t="e">
        <f>#REF!</f>
        <v>#REF!</v>
      </c>
      <c r="M219" s="277" t="e">
        <f>#REF!</f>
        <v>#REF!</v>
      </c>
      <c r="N219" s="277" t="e">
        <f>#REF!</f>
        <v>#REF!</v>
      </c>
      <c r="O219" s="277" t="e">
        <f>#REF!</f>
        <v>#REF!</v>
      </c>
      <c r="P219" s="277" t="e">
        <f>#REF!</f>
        <v>#REF!</v>
      </c>
      <c r="Q219" s="277" t="e">
        <f>#REF!</f>
        <v>#REF!</v>
      </c>
      <c r="R219" s="277" t="e">
        <f>#REF!</f>
        <v>#REF!</v>
      </c>
      <c r="S219" s="277" t="e">
        <f>#REF!</f>
        <v>#REF!</v>
      </c>
      <c r="T219" s="281" t="e">
        <f>#REF!</f>
        <v>#REF!</v>
      </c>
      <c r="U219" s="281" t="e">
        <f>#REF!</f>
        <v>#REF!</v>
      </c>
      <c r="V219" s="281" t="e">
        <f>#REF!</f>
        <v>#REF!</v>
      </c>
      <c r="W219" s="281" t="e">
        <f>#REF!</f>
        <v>#REF!</v>
      </c>
      <c r="X219" s="281" t="e">
        <f>#REF!</f>
        <v>#REF!</v>
      </c>
    </row>
    <row r="220" spans="1:24" ht="24.95" customHeight="1">
      <c r="A220" s="274" t="e">
        <f>#REF!</f>
        <v>#REF!</v>
      </c>
      <c r="B220" s="275" t="e">
        <f>#REF!</f>
        <v>#REF!</v>
      </c>
      <c r="C220" s="276" t="e">
        <f>#REF!</f>
        <v>#REF!</v>
      </c>
      <c r="D220" s="277" t="e">
        <f>#REF!</f>
        <v>#REF!</v>
      </c>
      <c r="E220" s="277" t="e">
        <f>#REF!</f>
        <v>#REF!</v>
      </c>
      <c r="F220" s="277" t="e">
        <f>#REF!</f>
        <v>#REF!</v>
      </c>
      <c r="G220" s="277" t="e">
        <f>#REF!</f>
        <v>#REF!</v>
      </c>
      <c r="H220" s="277" t="e">
        <f>#REF!</f>
        <v>#REF!</v>
      </c>
      <c r="I220" s="277" t="e">
        <f>#REF!</f>
        <v>#REF!</v>
      </c>
      <c r="J220" s="277" t="e">
        <f>#REF!</f>
        <v>#REF!</v>
      </c>
      <c r="K220" s="277" t="e">
        <f>#REF!</f>
        <v>#REF!</v>
      </c>
      <c r="L220" s="277" t="e">
        <f>#REF!</f>
        <v>#REF!</v>
      </c>
      <c r="M220" s="277" t="e">
        <f>#REF!</f>
        <v>#REF!</v>
      </c>
      <c r="N220" s="277" t="e">
        <f>#REF!</f>
        <v>#REF!</v>
      </c>
      <c r="O220" s="277" t="e">
        <f>#REF!</f>
        <v>#REF!</v>
      </c>
      <c r="P220" s="277" t="e">
        <f>#REF!</f>
        <v>#REF!</v>
      </c>
      <c r="Q220" s="277" t="e">
        <f>#REF!</f>
        <v>#REF!</v>
      </c>
      <c r="R220" s="277" t="e">
        <f>#REF!</f>
        <v>#REF!</v>
      </c>
      <c r="S220" s="277" t="e">
        <f>#REF!</f>
        <v>#REF!</v>
      </c>
      <c r="T220" s="281" t="e">
        <f>#REF!</f>
        <v>#REF!</v>
      </c>
      <c r="U220" s="281" t="e">
        <f>#REF!</f>
        <v>#REF!</v>
      </c>
      <c r="V220" s="281" t="e">
        <f>#REF!</f>
        <v>#REF!</v>
      </c>
      <c r="W220" s="281" t="e">
        <f>#REF!</f>
        <v>#REF!</v>
      </c>
      <c r="X220" s="281" t="e">
        <f>#REF!</f>
        <v>#REF!</v>
      </c>
    </row>
    <row r="221" spans="1:24" ht="24.95" customHeight="1">
      <c r="A221" s="274" t="e">
        <f>#REF!</f>
        <v>#REF!</v>
      </c>
      <c r="B221" s="275" t="e">
        <f>#REF!</f>
        <v>#REF!</v>
      </c>
      <c r="C221" s="276" t="e">
        <f>#REF!</f>
        <v>#REF!</v>
      </c>
      <c r="D221" s="277" t="e">
        <f>#REF!</f>
        <v>#REF!</v>
      </c>
      <c r="E221" s="277" t="e">
        <f>#REF!</f>
        <v>#REF!</v>
      </c>
      <c r="F221" s="277" t="e">
        <f>#REF!</f>
        <v>#REF!</v>
      </c>
      <c r="G221" s="277" t="e">
        <f>#REF!</f>
        <v>#REF!</v>
      </c>
      <c r="H221" s="277" t="e">
        <f>#REF!</f>
        <v>#REF!</v>
      </c>
      <c r="I221" s="277" t="e">
        <f>#REF!</f>
        <v>#REF!</v>
      </c>
      <c r="J221" s="277" t="e">
        <f>#REF!</f>
        <v>#REF!</v>
      </c>
      <c r="K221" s="277" t="e">
        <f>#REF!</f>
        <v>#REF!</v>
      </c>
      <c r="L221" s="277" t="e">
        <f>#REF!</f>
        <v>#REF!</v>
      </c>
      <c r="M221" s="277" t="e">
        <f>#REF!</f>
        <v>#REF!</v>
      </c>
      <c r="N221" s="277" t="e">
        <f>#REF!</f>
        <v>#REF!</v>
      </c>
      <c r="O221" s="277" t="e">
        <f>#REF!</f>
        <v>#REF!</v>
      </c>
      <c r="P221" s="277" t="e">
        <f>#REF!</f>
        <v>#REF!</v>
      </c>
      <c r="Q221" s="277" t="e">
        <f>#REF!</f>
        <v>#REF!</v>
      </c>
      <c r="R221" s="277" t="e">
        <f>#REF!</f>
        <v>#REF!</v>
      </c>
      <c r="S221" s="277" t="e">
        <f>#REF!</f>
        <v>#REF!</v>
      </c>
      <c r="T221" s="281" t="e">
        <f>#REF!</f>
        <v>#REF!</v>
      </c>
      <c r="U221" s="281" t="e">
        <f>#REF!</f>
        <v>#REF!</v>
      </c>
      <c r="V221" s="281" t="e">
        <f>#REF!</f>
        <v>#REF!</v>
      </c>
      <c r="W221" s="281" t="e">
        <f>#REF!</f>
        <v>#REF!</v>
      </c>
      <c r="X221" s="281" t="e">
        <f>#REF!</f>
        <v>#REF!</v>
      </c>
    </row>
    <row r="222" spans="1:24" ht="24.95" customHeight="1">
      <c r="A222" s="274" t="e">
        <f>#REF!</f>
        <v>#REF!</v>
      </c>
      <c r="B222" s="275" t="e">
        <f>#REF!</f>
        <v>#REF!</v>
      </c>
      <c r="C222" s="276" t="e">
        <f>#REF!</f>
        <v>#REF!</v>
      </c>
      <c r="D222" s="277" t="e">
        <f>#REF!</f>
        <v>#REF!</v>
      </c>
      <c r="E222" s="277" t="e">
        <f>#REF!</f>
        <v>#REF!</v>
      </c>
      <c r="F222" s="277" t="e">
        <f>#REF!</f>
        <v>#REF!</v>
      </c>
      <c r="G222" s="277" t="e">
        <f>#REF!</f>
        <v>#REF!</v>
      </c>
      <c r="H222" s="277" t="e">
        <f>#REF!</f>
        <v>#REF!</v>
      </c>
      <c r="I222" s="277" t="e">
        <f>#REF!</f>
        <v>#REF!</v>
      </c>
      <c r="J222" s="277" t="e">
        <f>#REF!</f>
        <v>#REF!</v>
      </c>
      <c r="K222" s="277" t="e">
        <f>#REF!</f>
        <v>#REF!</v>
      </c>
      <c r="L222" s="277" t="e">
        <f>#REF!</f>
        <v>#REF!</v>
      </c>
      <c r="M222" s="277" t="e">
        <f>#REF!</f>
        <v>#REF!</v>
      </c>
      <c r="N222" s="277" t="e">
        <f>#REF!</f>
        <v>#REF!</v>
      </c>
      <c r="O222" s="277" t="e">
        <f>#REF!</f>
        <v>#REF!</v>
      </c>
      <c r="P222" s="277" t="e">
        <f>#REF!</f>
        <v>#REF!</v>
      </c>
      <c r="Q222" s="277" t="e">
        <f>#REF!</f>
        <v>#REF!</v>
      </c>
      <c r="R222" s="277" t="e">
        <f>#REF!</f>
        <v>#REF!</v>
      </c>
      <c r="S222" s="277" t="e">
        <f>#REF!</f>
        <v>#REF!</v>
      </c>
      <c r="T222" s="281" t="e">
        <f>#REF!</f>
        <v>#REF!</v>
      </c>
      <c r="U222" s="281" t="e">
        <f>#REF!</f>
        <v>#REF!</v>
      </c>
      <c r="V222" s="281" t="e">
        <f>#REF!</f>
        <v>#REF!</v>
      </c>
      <c r="W222" s="281" t="e">
        <f>#REF!</f>
        <v>#REF!</v>
      </c>
      <c r="X222" s="281" t="e">
        <f>#REF!</f>
        <v>#REF!</v>
      </c>
    </row>
    <row r="223" spans="1:24" ht="24.95" customHeight="1">
      <c r="A223" s="274" t="e">
        <f>#REF!</f>
        <v>#REF!</v>
      </c>
      <c r="B223" s="275" t="e">
        <f>#REF!</f>
        <v>#REF!</v>
      </c>
      <c r="C223" s="276" t="e">
        <f>#REF!</f>
        <v>#REF!</v>
      </c>
      <c r="D223" s="277" t="e">
        <f>#REF!</f>
        <v>#REF!</v>
      </c>
      <c r="E223" s="277" t="e">
        <f>#REF!</f>
        <v>#REF!</v>
      </c>
      <c r="F223" s="277" t="e">
        <f>#REF!</f>
        <v>#REF!</v>
      </c>
      <c r="G223" s="277" t="e">
        <f>#REF!</f>
        <v>#REF!</v>
      </c>
      <c r="H223" s="277" t="e">
        <f>#REF!</f>
        <v>#REF!</v>
      </c>
      <c r="I223" s="277" t="e">
        <f>#REF!</f>
        <v>#REF!</v>
      </c>
      <c r="J223" s="277" t="e">
        <f>#REF!</f>
        <v>#REF!</v>
      </c>
      <c r="K223" s="277" t="e">
        <f>#REF!</f>
        <v>#REF!</v>
      </c>
      <c r="L223" s="277" t="e">
        <f>#REF!</f>
        <v>#REF!</v>
      </c>
      <c r="M223" s="277" t="e">
        <f>#REF!</f>
        <v>#REF!</v>
      </c>
      <c r="N223" s="277" t="e">
        <f>#REF!</f>
        <v>#REF!</v>
      </c>
      <c r="O223" s="277" t="e">
        <f>#REF!</f>
        <v>#REF!</v>
      </c>
      <c r="P223" s="277" t="e">
        <f>#REF!</f>
        <v>#REF!</v>
      </c>
      <c r="Q223" s="277" t="e">
        <f>#REF!</f>
        <v>#REF!</v>
      </c>
      <c r="R223" s="277" t="e">
        <f>#REF!</f>
        <v>#REF!</v>
      </c>
      <c r="S223" s="277" t="e">
        <f>#REF!</f>
        <v>#REF!</v>
      </c>
      <c r="T223" s="281" t="e">
        <f>#REF!</f>
        <v>#REF!</v>
      </c>
      <c r="U223" s="281" t="e">
        <f>#REF!</f>
        <v>#REF!</v>
      </c>
      <c r="V223" s="281" t="e">
        <f>#REF!</f>
        <v>#REF!</v>
      </c>
      <c r="W223" s="281" t="e">
        <f>#REF!</f>
        <v>#REF!</v>
      </c>
      <c r="X223" s="281" t="e">
        <f>#REF!</f>
        <v>#REF!</v>
      </c>
    </row>
    <row r="224" spans="1:24" ht="24.95" customHeight="1">
      <c r="A224" s="274" t="e">
        <f>#REF!</f>
        <v>#REF!</v>
      </c>
      <c r="B224" s="275" t="e">
        <f>#REF!</f>
        <v>#REF!</v>
      </c>
      <c r="C224" s="276" t="e">
        <f>#REF!</f>
        <v>#REF!</v>
      </c>
      <c r="D224" s="277" t="e">
        <f>#REF!</f>
        <v>#REF!</v>
      </c>
      <c r="E224" s="277" t="e">
        <f>#REF!</f>
        <v>#REF!</v>
      </c>
      <c r="F224" s="277" t="e">
        <f>#REF!</f>
        <v>#REF!</v>
      </c>
      <c r="G224" s="277" t="e">
        <f>#REF!</f>
        <v>#REF!</v>
      </c>
      <c r="H224" s="277" t="e">
        <f>#REF!</f>
        <v>#REF!</v>
      </c>
      <c r="I224" s="277" t="e">
        <f>#REF!</f>
        <v>#REF!</v>
      </c>
      <c r="J224" s="277" t="e">
        <f>#REF!</f>
        <v>#REF!</v>
      </c>
      <c r="K224" s="277" t="e">
        <f>#REF!</f>
        <v>#REF!</v>
      </c>
      <c r="L224" s="277" t="e">
        <f>#REF!</f>
        <v>#REF!</v>
      </c>
      <c r="M224" s="277" t="e">
        <f>#REF!</f>
        <v>#REF!</v>
      </c>
      <c r="N224" s="277" t="e">
        <f>#REF!</f>
        <v>#REF!</v>
      </c>
      <c r="O224" s="277" t="e">
        <f>#REF!</f>
        <v>#REF!</v>
      </c>
      <c r="P224" s="277" t="e">
        <f>#REF!</f>
        <v>#REF!</v>
      </c>
      <c r="Q224" s="277" t="e">
        <f>#REF!</f>
        <v>#REF!</v>
      </c>
      <c r="R224" s="277" t="e">
        <f>#REF!</f>
        <v>#REF!</v>
      </c>
      <c r="S224" s="277" t="e">
        <f>#REF!</f>
        <v>#REF!</v>
      </c>
      <c r="T224" s="281" t="e">
        <f>#REF!</f>
        <v>#REF!</v>
      </c>
      <c r="U224" s="281" t="e">
        <f>#REF!</f>
        <v>#REF!</v>
      </c>
      <c r="V224" s="281" t="e">
        <f>#REF!</f>
        <v>#REF!</v>
      </c>
      <c r="W224" s="281" t="e">
        <f>#REF!</f>
        <v>#REF!</v>
      </c>
      <c r="X224" s="281" t="e">
        <f>#REF!</f>
        <v>#REF!</v>
      </c>
    </row>
    <row r="225" spans="1:24" ht="24.95" customHeight="1">
      <c r="A225" s="274" t="e">
        <f>#REF!</f>
        <v>#REF!</v>
      </c>
      <c r="B225" s="275" t="e">
        <f>#REF!</f>
        <v>#REF!</v>
      </c>
      <c r="C225" s="276" t="e">
        <f>#REF!</f>
        <v>#REF!</v>
      </c>
      <c r="D225" s="277" t="e">
        <f>#REF!</f>
        <v>#REF!</v>
      </c>
      <c r="E225" s="277" t="e">
        <f>#REF!</f>
        <v>#REF!</v>
      </c>
      <c r="F225" s="277" t="e">
        <f>#REF!</f>
        <v>#REF!</v>
      </c>
      <c r="G225" s="277" t="e">
        <f>#REF!</f>
        <v>#REF!</v>
      </c>
      <c r="H225" s="277" t="e">
        <f>#REF!</f>
        <v>#REF!</v>
      </c>
      <c r="I225" s="277" t="e">
        <f>#REF!</f>
        <v>#REF!</v>
      </c>
      <c r="J225" s="277" t="e">
        <f>#REF!</f>
        <v>#REF!</v>
      </c>
      <c r="K225" s="277" t="e">
        <f>#REF!</f>
        <v>#REF!</v>
      </c>
      <c r="L225" s="277" t="e">
        <f>#REF!</f>
        <v>#REF!</v>
      </c>
      <c r="M225" s="277" t="e">
        <f>#REF!</f>
        <v>#REF!</v>
      </c>
      <c r="N225" s="277" t="e">
        <f>#REF!</f>
        <v>#REF!</v>
      </c>
      <c r="O225" s="277" t="e">
        <f>#REF!</f>
        <v>#REF!</v>
      </c>
      <c r="P225" s="277" t="e">
        <f>#REF!</f>
        <v>#REF!</v>
      </c>
      <c r="Q225" s="277" t="e">
        <f>#REF!</f>
        <v>#REF!</v>
      </c>
      <c r="R225" s="277" t="e">
        <f>#REF!</f>
        <v>#REF!</v>
      </c>
      <c r="S225" s="277" t="e">
        <f>#REF!</f>
        <v>#REF!</v>
      </c>
      <c r="T225" s="281" t="e">
        <f>#REF!</f>
        <v>#REF!</v>
      </c>
      <c r="U225" s="281" t="e">
        <f>#REF!</f>
        <v>#REF!</v>
      </c>
      <c r="V225" s="281" t="e">
        <f>#REF!</f>
        <v>#REF!</v>
      </c>
      <c r="W225" s="281" t="e">
        <f>#REF!</f>
        <v>#REF!</v>
      </c>
      <c r="X225" s="281" t="e">
        <f>#REF!</f>
        <v>#REF!</v>
      </c>
    </row>
    <row r="226" spans="1:24" ht="24.95" customHeight="1">
      <c r="A226" s="274" t="e">
        <f>#REF!</f>
        <v>#REF!</v>
      </c>
      <c r="B226" s="275" t="e">
        <f>#REF!</f>
        <v>#REF!</v>
      </c>
      <c r="C226" s="276" t="e">
        <f>#REF!</f>
        <v>#REF!</v>
      </c>
      <c r="D226" s="277" t="e">
        <f>#REF!</f>
        <v>#REF!</v>
      </c>
      <c r="E226" s="277" t="e">
        <f>#REF!</f>
        <v>#REF!</v>
      </c>
      <c r="F226" s="277" t="e">
        <f>#REF!</f>
        <v>#REF!</v>
      </c>
      <c r="G226" s="277" t="e">
        <f>#REF!</f>
        <v>#REF!</v>
      </c>
      <c r="H226" s="277" t="e">
        <f>#REF!</f>
        <v>#REF!</v>
      </c>
      <c r="I226" s="277" t="e">
        <f>#REF!</f>
        <v>#REF!</v>
      </c>
      <c r="J226" s="277" t="e">
        <f>#REF!</f>
        <v>#REF!</v>
      </c>
      <c r="K226" s="277" t="e">
        <f>#REF!</f>
        <v>#REF!</v>
      </c>
      <c r="L226" s="277" t="e">
        <f>#REF!</f>
        <v>#REF!</v>
      </c>
      <c r="M226" s="277" t="e">
        <f>#REF!</f>
        <v>#REF!</v>
      </c>
      <c r="N226" s="277" t="e">
        <f>#REF!</f>
        <v>#REF!</v>
      </c>
      <c r="O226" s="277" t="e">
        <f>#REF!</f>
        <v>#REF!</v>
      </c>
      <c r="P226" s="277" t="e">
        <f>#REF!</f>
        <v>#REF!</v>
      </c>
      <c r="Q226" s="277" t="e">
        <f>#REF!</f>
        <v>#REF!</v>
      </c>
      <c r="R226" s="277" t="e">
        <f>#REF!</f>
        <v>#REF!</v>
      </c>
      <c r="S226" s="277" t="e">
        <f>#REF!</f>
        <v>#REF!</v>
      </c>
      <c r="T226" s="281" t="e">
        <f>#REF!</f>
        <v>#REF!</v>
      </c>
      <c r="U226" s="281" t="e">
        <f>#REF!</f>
        <v>#REF!</v>
      </c>
      <c r="V226" s="281" t="e">
        <f>#REF!</f>
        <v>#REF!</v>
      </c>
      <c r="W226" s="281" t="e">
        <f>#REF!</f>
        <v>#REF!</v>
      </c>
      <c r="X226" s="281" t="e">
        <f>#REF!</f>
        <v>#REF!</v>
      </c>
    </row>
    <row r="227" spans="1:24" ht="24.95" customHeight="1">
      <c r="A227" s="274" t="e">
        <f>#REF!</f>
        <v>#REF!</v>
      </c>
      <c r="B227" s="275" t="e">
        <f>#REF!</f>
        <v>#REF!</v>
      </c>
      <c r="C227" s="276" t="e">
        <f>#REF!</f>
        <v>#REF!</v>
      </c>
      <c r="D227" s="277" t="e">
        <f>#REF!</f>
        <v>#REF!</v>
      </c>
      <c r="E227" s="277" t="e">
        <f>#REF!</f>
        <v>#REF!</v>
      </c>
      <c r="F227" s="277" t="e">
        <f>#REF!</f>
        <v>#REF!</v>
      </c>
      <c r="G227" s="277" t="e">
        <f>#REF!</f>
        <v>#REF!</v>
      </c>
      <c r="H227" s="277" t="e">
        <f>#REF!</f>
        <v>#REF!</v>
      </c>
      <c r="I227" s="277" t="e">
        <f>#REF!</f>
        <v>#REF!</v>
      </c>
      <c r="J227" s="277" t="e">
        <f>#REF!</f>
        <v>#REF!</v>
      </c>
      <c r="K227" s="277" t="e">
        <f>#REF!</f>
        <v>#REF!</v>
      </c>
      <c r="L227" s="277" t="e">
        <f>#REF!</f>
        <v>#REF!</v>
      </c>
      <c r="M227" s="277" t="e">
        <f>#REF!</f>
        <v>#REF!</v>
      </c>
      <c r="N227" s="277" t="e">
        <f>#REF!</f>
        <v>#REF!</v>
      </c>
      <c r="O227" s="277" t="e">
        <f>#REF!</f>
        <v>#REF!</v>
      </c>
      <c r="P227" s="277" t="e">
        <f>#REF!</f>
        <v>#REF!</v>
      </c>
      <c r="Q227" s="277" t="e">
        <f>#REF!</f>
        <v>#REF!</v>
      </c>
      <c r="R227" s="277" t="e">
        <f>#REF!</f>
        <v>#REF!</v>
      </c>
      <c r="S227" s="277" t="e">
        <f>#REF!</f>
        <v>#REF!</v>
      </c>
      <c r="T227" s="281" t="e">
        <f>#REF!</f>
        <v>#REF!</v>
      </c>
      <c r="U227" s="281" t="e">
        <f>#REF!</f>
        <v>#REF!</v>
      </c>
      <c r="V227" s="281" t="e">
        <f>#REF!</f>
        <v>#REF!</v>
      </c>
      <c r="W227" s="281" t="e">
        <f>#REF!</f>
        <v>#REF!</v>
      </c>
      <c r="X227" s="281" t="e">
        <f>#REF!</f>
        <v>#REF!</v>
      </c>
    </row>
    <row r="228" spans="1:24" ht="24.95" customHeight="1">
      <c r="A228" s="274" t="e">
        <f>#REF!</f>
        <v>#REF!</v>
      </c>
      <c r="B228" s="275" t="e">
        <f>#REF!</f>
        <v>#REF!</v>
      </c>
      <c r="C228" s="276" t="e">
        <f>#REF!</f>
        <v>#REF!</v>
      </c>
      <c r="D228" s="277" t="e">
        <f>#REF!</f>
        <v>#REF!</v>
      </c>
      <c r="E228" s="277" t="e">
        <f>#REF!</f>
        <v>#REF!</v>
      </c>
      <c r="F228" s="277" t="e">
        <f>#REF!</f>
        <v>#REF!</v>
      </c>
      <c r="G228" s="277" t="e">
        <f>#REF!</f>
        <v>#REF!</v>
      </c>
      <c r="H228" s="277" t="e">
        <f>#REF!</f>
        <v>#REF!</v>
      </c>
      <c r="I228" s="277" t="e">
        <f>#REF!</f>
        <v>#REF!</v>
      </c>
      <c r="J228" s="277" t="e">
        <f>#REF!</f>
        <v>#REF!</v>
      </c>
      <c r="K228" s="277" t="e">
        <f>#REF!</f>
        <v>#REF!</v>
      </c>
      <c r="L228" s="277" t="e">
        <f>#REF!</f>
        <v>#REF!</v>
      </c>
      <c r="M228" s="277" t="e">
        <f>#REF!</f>
        <v>#REF!</v>
      </c>
      <c r="N228" s="277" t="e">
        <f>#REF!</f>
        <v>#REF!</v>
      </c>
      <c r="O228" s="277" t="e">
        <f>#REF!</f>
        <v>#REF!</v>
      </c>
      <c r="P228" s="277" t="e">
        <f>#REF!</f>
        <v>#REF!</v>
      </c>
      <c r="Q228" s="277" t="e">
        <f>#REF!</f>
        <v>#REF!</v>
      </c>
      <c r="R228" s="277" t="e">
        <f>#REF!</f>
        <v>#REF!</v>
      </c>
      <c r="S228" s="277" t="e">
        <f>#REF!</f>
        <v>#REF!</v>
      </c>
      <c r="T228" s="281" t="e">
        <f>#REF!</f>
        <v>#REF!</v>
      </c>
      <c r="U228" s="281" t="e">
        <f>#REF!</f>
        <v>#REF!</v>
      </c>
      <c r="V228" s="281" t="e">
        <f>#REF!</f>
        <v>#REF!</v>
      </c>
      <c r="W228" s="281" t="e">
        <f>#REF!</f>
        <v>#REF!</v>
      </c>
      <c r="X228" s="281" t="e">
        <f>#REF!</f>
        <v>#REF!</v>
      </c>
    </row>
    <row r="229" spans="1:24" ht="24.95" customHeight="1">
      <c r="A229" s="274" t="e">
        <f>#REF!</f>
        <v>#REF!</v>
      </c>
      <c r="B229" s="275" t="e">
        <f>#REF!</f>
        <v>#REF!</v>
      </c>
      <c r="C229" s="276" t="e">
        <f>#REF!</f>
        <v>#REF!</v>
      </c>
      <c r="D229" s="277" t="e">
        <f>#REF!</f>
        <v>#REF!</v>
      </c>
      <c r="E229" s="277" t="e">
        <f>#REF!</f>
        <v>#REF!</v>
      </c>
      <c r="F229" s="277" t="e">
        <f>#REF!</f>
        <v>#REF!</v>
      </c>
      <c r="G229" s="277" t="e">
        <f>#REF!</f>
        <v>#REF!</v>
      </c>
      <c r="H229" s="277" t="e">
        <f>#REF!</f>
        <v>#REF!</v>
      </c>
      <c r="I229" s="277" t="e">
        <f>#REF!</f>
        <v>#REF!</v>
      </c>
      <c r="J229" s="277" t="e">
        <f>#REF!</f>
        <v>#REF!</v>
      </c>
      <c r="K229" s="277" t="e">
        <f>#REF!</f>
        <v>#REF!</v>
      </c>
      <c r="L229" s="277" t="e">
        <f>#REF!</f>
        <v>#REF!</v>
      </c>
      <c r="M229" s="277" t="e">
        <f>#REF!</f>
        <v>#REF!</v>
      </c>
      <c r="N229" s="277" t="e">
        <f>#REF!</f>
        <v>#REF!</v>
      </c>
      <c r="O229" s="277" t="e">
        <f>#REF!</f>
        <v>#REF!</v>
      </c>
      <c r="P229" s="277" t="e">
        <f>#REF!</f>
        <v>#REF!</v>
      </c>
      <c r="Q229" s="277" t="e">
        <f>#REF!</f>
        <v>#REF!</v>
      </c>
      <c r="R229" s="277" t="e">
        <f>#REF!</f>
        <v>#REF!</v>
      </c>
      <c r="S229" s="277" t="e">
        <f>#REF!</f>
        <v>#REF!</v>
      </c>
      <c r="T229" s="281" t="e">
        <f>#REF!</f>
        <v>#REF!</v>
      </c>
      <c r="U229" s="281" t="e">
        <f>#REF!</f>
        <v>#REF!</v>
      </c>
      <c r="V229" s="281" t="e">
        <f>#REF!</f>
        <v>#REF!</v>
      </c>
      <c r="W229" s="281" t="e">
        <f>#REF!</f>
        <v>#REF!</v>
      </c>
      <c r="X229" s="281" t="e">
        <f>#REF!</f>
        <v>#REF!</v>
      </c>
    </row>
    <row r="230" spans="1:24" ht="24.95" customHeight="1">
      <c r="A230" s="274" t="e">
        <f>#REF!</f>
        <v>#REF!</v>
      </c>
      <c r="B230" s="275" t="e">
        <f>#REF!</f>
        <v>#REF!</v>
      </c>
      <c r="C230" s="276" t="e">
        <f>#REF!</f>
        <v>#REF!</v>
      </c>
      <c r="D230" s="277" t="e">
        <f>#REF!</f>
        <v>#REF!</v>
      </c>
      <c r="E230" s="277" t="e">
        <f>#REF!</f>
        <v>#REF!</v>
      </c>
      <c r="F230" s="277" t="e">
        <f>#REF!</f>
        <v>#REF!</v>
      </c>
      <c r="G230" s="277" t="e">
        <f>#REF!</f>
        <v>#REF!</v>
      </c>
      <c r="H230" s="277" t="e">
        <f>#REF!</f>
        <v>#REF!</v>
      </c>
      <c r="I230" s="277" t="e">
        <f>#REF!</f>
        <v>#REF!</v>
      </c>
      <c r="J230" s="277" t="e">
        <f>#REF!</f>
        <v>#REF!</v>
      </c>
      <c r="K230" s="277" t="e">
        <f>#REF!</f>
        <v>#REF!</v>
      </c>
      <c r="L230" s="277" t="e">
        <f>#REF!</f>
        <v>#REF!</v>
      </c>
      <c r="M230" s="277" t="e">
        <f>#REF!</f>
        <v>#REF!</v>
      </c>
      <c r="N230" s="277" t="e">
        <f>#REF!</f>
        <v>#REF!</v>
      </c>
      <c r="O230" s="277" t="e">
        <f>#REF!</f>
        <v>#REF!</v>
      </c>
      <c r="P230" s="277" t="e">
        <f>#REF!</f>
        <v>#REF!</v>
      </c>
      <c r="Q230" s="277" t="e">
        <f>#REF!</f>
        <v>#REF!</v>
      </c>
      <c r="R230" s="277" t="e">
        <f>#REF!</f>
        <v>#REF!</v>
      </c>
      <c r="S230" s="277" t="e">
        <f>#REF!</f>
        <v>#REF!</v>
      </c>
      <c r="T230" s="281" t="e">
        <f>#REF!</f>
        <v>#REF!</v>
      </c>
      <c r="U230" s="281" t="e">
        <f>#REF!</f>
        <v>#REF!</v>
      </c>
      <c r="V230" s="281" t="e">
        <f>#REF!</f>
        <v>#REF!</v>
      </c>
      <c r="W230" s="281" t="e">
        <f>#REF!</f>
        <v>#REF!</v>
      </c>
      <c r="X230" s="281" t="e">
        <f>#REF!</f>
        <v>#REF!</v>
      </c>
    </row>
    <row r="231" spans="1:24" ht="24.95" customHeight="1">
      <c r="A231" s="274" t="e">
        <f>#REF!</f>
        <v>#REF!</v>
      </c>
      <c r="B231" s="275" t="e">
        <f>#REF!</f>
        <v>#REF!</v>
      </c>
      <c r="C231" s="276" t="e">
        <f>#REF!</f>
        <v>#REF!</v>
      </c>
      <c r="D231" s="277" t="e">
        <f>#REF!</f>
        <v>#REF!</v>
      </c>
      <c r="E231" s="277" t="e">
        <f>#REF!</f>
        <v>#REF!</v>
      </c>
      <c r="F231" s="277" t="e">
        <f>#REF!</f>
        <v>#REF!</v>
      </c>
      <c r="G231" s="277" t="e">
        <f>#REF!</f>
        <v>#REF!</v>
      </c>
      <c r="H231" s="277" t="e">
        <f>#REF!</f>
        <v>#REF!</v>
      </c>
      <c r="I231" s="277" t="e">
        <f>#REF!</f>
        <v>#REF!</v>
      </c>
      <c r="J231" s="277" t="e">
        <f>#REF!</f>
        <v>#REF!</v>
      </c>
      <c r="K231" s="277" t="e">
        <f>#REF!</f>
        <v>#REF!</v>
      </c>
      <c r="L231" s="277" t="e">
        <f>#REF!</f>
        <v>#REF!</v>
      </c>
      <c r="M231" s="277" t="e">
        <f>#REF!</f>
        <v>#REF!</v>
      </c>
      <c r="N231" s="277" t="e">
        <f>#REF!</f>
        <v>#REF!</v>
      </c>
      <c r="O231" s="277" t="e">
        <f>#REF!</f>
        <v>#REF!</v>
      </c>
      <c r="P231" s="277" t="e">
        <f>#REF!</f>
        <v>#REF!</v>
      </c>
      <c r="Q231" s="277" t="e">
        <f>#REF!</f>
        <v>#REF!</v>
      </c>
      <c r="R231" s="277" t="e">
        <f>#REF!</f>
        <v>#REF!</v>
      </c>
      <c r="S231" s="277" t="e">
        <f>#REF!</f>
        <v>#REF!</v>
      </c>
      <c r="T231" s="281" t="e">
        <f>#REF!</f>
        <v>#REF!</v>
      </c>
      <c r="U231" s="281" t="e">
        <f>#REF!</f>
        <v>#REF!</v>
      </c>
      <c r="V231" s="281" t="e">
        <f>#REF!</f>
        <v>#REF!</v>
      </c>
      <c r="W231" s="281" t="e">
        <f>#REF!</f>
        <v>#REF!</v>
      </c>
      <c r="X231" s="281" t="e">
        <f>#REF!</f>
        <v>#REF!</v>
      </c>
    </row>
    <row r="232" spans="1:24" ht="24.95" customHeight="1">
      <c r="A232" s="274" t="e">
        <f>#REF!</f>
        <v>#REF!</v>
      </c>
      <c r="B232" s="275" t="e">
        <f>#REF!</f>
        <v>#REF!</v>
      </c>
      <c r="C232" s="276" t="e">
        <f>#REF!</f>
        <v>#REF!</v>
      </c>
      <c r="D232" s="277" t="e">
        <f>#REF!</f>
        <v>#REF!</v>
      </c>
      <c r="E232" s="277" t="e">
        <f>#REF!</f>
        <v>#REF!</v>
      </c>
      <c r="F232" s="277" t="e">
        <f>#REF!</f>
        <v>#REF!</v>
      </c>
      <c r="G232" s="277" t="e">
        <f>#REF!</f>
        <v>#REF!</v>
      </c>
      <c r="H232" s="277" t="e">
        <f>#REF!</f>
        <v>#REF!</v>
      </c>
      <c r="I232" s="277" t="e">
        <f>#REF!</f>
        <v>#REF!</v>
      </c>
      <c r="J232" s="277" t="e">
        <f>#REF!</f>
        <v>#REF!</v>
      </c>
      <c r="K232" s="277" t="e">
        <f>#REF!</f>
        <v>#REF!</v>
      </c>
      <c r="L232" s="277" t="e">
        <f>#REF!</f>
        <v>#REF!</v>
      </c>
      <c r="M232" s="277" t="e">
        <f>#REF!</f>
        <v>#REF!</v>
      </c>
      <c r="N232" s="277" t="e">
        <f>#REF!</f>
        <v>#REF!</v>
      </c>
      <c r="O232" s="277" t="e">
        <f>#REF!</f>
        <v>#REF!</v>
      </c>
      <c r="P232" s="277" t="e">
        <f>#REF!</f>
        <v>#REF!</v>
      </c>
      <c r="Q232" s="277" t="e">
        <f>#REF!</f>
        <v>#REF!</v>
      </c>
      <c r="R232" s="277" t="e">
        <f>#REF!</f>
        <v>#REF!</v>
      </c>
      <c r="S232" s="277" t="e">
        <f>#REF!</f>
        <v>#REF!</v>
      </c>
      <c r="T232" s="281" t="e">
        <f>#REF!</f>
        <v>#REF!</v>
      </c>
      <c r="U232" s="281" t="e">
        <f>#REF!</f>
        <v>#REF!</v>
      </c>
      <c r="V232" s="281" t="e">
        <f>#REF!</f>
        <v>#REF!</v>
      </c>
      <c r="W232" s="281" t="e">
        <f>#REF!</f>
        <v>#REF!</v>
      </c>
      <c r="X232" s="281" t="e">
        <f>#REF!</f>
        <v>#REF!</v>
      </c>
    </row>
    <row r="233" spans="1:24" ht="24.95" customHeight="1">
      <c r="A233" s="274" t="e">
        <f>#REF!</f>
        <v>#REF!</v>
      </c>
      <c r="B233" s="275" t="e">
        <f>#REF!</f>
        <v>#REF!</v>
      </c>
      <c r="C233" s="276" t="e">
        <f>#REF!</f>
        <v>#REF!</v>
      </c>
      <c r="D233" s="277" t="e">
        <f>#REF!</f>
        <v>#REF!</v>
      </c>
      <c r="E233" s="277" t="e">
        <f>#REF!</f>
        <v>#REF!</v>
      </c>
      <c r="F233" s="277" t="e">
        <f>#REF!</f>
        <v>#REF!</v>
      </c>
      <c r="G233" s="277" t="e">
        <f>#REF!</f>
        <v>#REF!</v>
      </c>
      <c r="H233" s="277" t="e">
        <f>#REF!</f>
        <v>#REF!</v>
      </c>
      <c r="I233" s="277" t="e">
        <f>#REF!</f>
        <v>#REF!</v>
      </c>
      <c r="J233" s="277" t="e">
        <f>#REF!</f>
        <v>#REF!</v>
      </c>
      <c r="K233" s="277" t="e">
        <f>#REF!</f>
        <v>#REF!</v>
      </c>
      <c r="L233" s="277" t="e">
        <f>#REF!</f>
        <v>#REF!</v>
      </c>
      <c r="M233" s="277" t="e">
        <f>#REF!</f>
        <v>#REF!</v>
      </c>
      <c r="N233" s="277" t="e">
        <f>#REF!</f>
        <v>#REF!</v>
      </c>
      <c r="O233" s="277" t="e">
        <f>#REF!</f>
        <v>#REF!</v>
      </c>
      <c r="P233" s="277" t="e">
        <f>#REF!</f>
        <v>#REF!</v>
      </c>
      <c r="Q233" s="277" t="e">
        <f>#REF!</f>
        <v>#REF!</v>
      </c>
      <c r="R233" s="277" t="e">
        <f>#REF!</f>
        <v>#REF!</v>
      </c>
      <c r="S233" s="277" t="e">
        <f>#REF!</f>
        <v>#REF!</v>
      </c>
      <c r="T233" s="281" t="e">
        <f>#REF!</f>
        <v>#REF!</v>
      </c>
      <c r="U233" s="281" t="e">
        <f>#REF!</f>
        <v>#REF!</v>
      </c>
      <c r="V233" s="281" t="e">
        <f>#REF!</f>
        <v>#REF!</v>
      </c>
      <c r="W233" s="281" t="e">
        <f>#REF!</f>
        <v>#REF!</v>
      </c>
      <c r="X233" s="281" t="e">
        <f>#REF!</f>
        <v>#REF!</v>
      </c>
    </row>
    <row r="234" spans="1:24" ht="24.95" customHeight="1">
      <c r="A234" s="274" t="e">
        <f>#REF!</f>
        <v>#REF!</v>
      </c>
      <c r="B234" s="275" t="e">
        <f>#REF!</f>
        <v>#REF!</v>
      </c>
      <c r="C234" s="276" t="e">
        <f>#REF!</f>
        <v>#REF!</v>
      </c>
      <c r="D234" s="277" t="e">
        <f>#REF!</f>
        <v>#REF!</v>
      </c>
      <c r="E234" s="277" t="e">
        <f>#REF!</f>
        <v>#REF!</v>
      </c>
      <c r="F234" s="277" t="e">
        <f>#REF!</f>
        <v>#REF!</v>
      </c>
      <c r="G234" s="277" t="e">
        <f>#REF!</f>
        <v>#REF!</v>
      </c>
      <c r="H234" s="277" t="e">
        <f>#REF!</f>
        <v>#REF!</v>
      </c>
      <c r="I234" s="277" t="e">
        <f>#REF!</f>
        <v>#REF!</v>
      </c>
      <c r="J234" s="277" t="e">
        <f>#REF!</f>
        <v>#REF!</v>
      </c>
      <c r="K234" s="277" t="e">
        <f>#REF!</f>
        <v>#REF!</v>
      </c>
      <c r="L234" s="277" t="e">
        <f>#REF!</f>
        <v>#REF!</v>
      </c>
      <c r="M234" s="277" t="e">
        <f>#REF!</f>
        <v>#REF!</v>
      </c>
      <c r="N234" s="277" t="e">
        <f>#REF!</f>
        <v>#REF!</v>
      </c>
      <c r="O234" s="277" t="e">
        <f>#REF!</f>
        <v>#REF!</v>
      </c>
      <c r="P234" s="277" t="e">
        <f>#REF!</f>
        <v>#REF!</v>
      </c>
      <c r="Q234" s="277" t="e">
        <f>#REF!</f>
        <v>#REF!</v>
      </c>
      <c r="R234" s="277" t="e">
        <f>#REF!</f>
        <v>#REF!</v>
      </c>
      <c r="S234" s="277" t="e">
        <f>#REF!</f>
        <v>#REF!</v>
      </c>
      <c r="T234" s="281" t="e">
        <f>#REF!</f>
        <v>#REF!</v>
      </c>
      <c r="U234" s="281" t="e">
        <f>#REF!</f>
        <v>#REF!</v>
      </c>
      <c r="V234" s="281" t="e">
        <f>#REF!</f>
        <v>#REF!</v>
      </c>
      <c r="W234" s="281" t="e">
        <f>#REF!</f>
        <v>#REF!</v>
      </c>
      <c r="X234" s="281" t="e">
        <f>#REF!</f>
        <v>#REF!</v>
      </c>
    </row>
    <row r="235" spans="1:24" ht="24.95" customHeight="1">
      <c r="A235" s="274" t="e">
        <f>#REF!</f>
        <v>#REF!</v>
      </c>
      <c r="B235" s="275" t="e">
        <f>#REF!</f>
        <v>#REF!</v>
      </c>
      <c r="C235" s="276" t="e">
        <f>#REF!</f>
        <v>#REF!</v>
      </c>
      <c r="D235" s="277" t="e">
        <f>#REF!</f>
        <v>#REF!</v>
      </c>
      <c r="E235" s="277" t="e">
        <f>#REF!</f>
        <v>#REF!</v>
      </c>
      <c r="F235" s="277" t="e">
        <f>#REF!</f>
        <v>#REF!</v>
      </c>
      <c r="G235" s="277" t="e">
        <f>#REF!</f>
        <v>#REF!</v>
      </c>
      <c r="H235" s="277" t="e">
        <f>#REF!</f>
        <v>#REF!</v>
      </c>
      <c r="I235" s="277" t="e">
        <f>#REF!</f>
        <v>#REF!</v>
      </c>
      <c r="J235" s="277" t="e">
        <f>#REF!</f>
        <v>#REF!</v>
      </c>
      <c r="K235" s="277" t="e">
        <f>#REF!</f>
        <v>#REF!</v>
      </c>
      <c r="L235" s="277" t="e">
        <f>#REF!</f>
        <v>#REF!</v>
      </c>
      <c r="M235" s="277" t="e">
        <f>#REF!</f>
        <v>#REF!</v>
      </c>
      <c r="N235" s="277" t="e">
        <f>#REF!</f>
        <v>#REF!</v>
      </c>
      <c r="O235" s="277" t="e">
        <f>#REF!</f>
        <v>#REF!</v>
      </c>
      <c r="P235" s="277" t="e">
        <f>#REF!</f>
        <v>#REF!</v>
      </c>
      <c r="Q235" s="277" t="e">
        <f>#REF!</f>
        <v>#REF!</v>
      </c>
      <c r="R235" s="277" t="e">
        <f>#REF!</f>
        <v>#REF!</v>
      </c>
      <c r="S235" s="277" t="e">
        <f>#REF!</f>
        <v>#REF!</v>
      </c>
      <c r="T235" s="281" t="e">
        <f>#REF!</f>
        <v>#REF!</v>
      </c>
      <c r="U235" s="281" t="e">
        <f>#REF!</f>
        <v>#REF!</v>
      </c>
      <c r="V235" s="281" t="e">
        <f>#REF!</f>
        <v>#REF!</v>
      </c>
      <c r="W235" s="281" t="e">
        <f>#REF!</f>
        <v>#REF!</v>
      </c>
      <c r="X235" s="281" t="e">
        <f>#REF!</f>
        <v>#REF!</v>
      </c>
    </row>
    <row r="236" spans="1:24" ht="24.95" customHeight="1">
      <c r="A236" s="274" t="e">
        <f>#REF!</f>
        <v>#REF!</v>
      </c>
      <c r="B236" s="275" t="e">
        <f>#REF!</f>
        <v>#REF!</v>
      </c>
      <c r="C236" s="276" t="e">
        <f>#REF!</f>
        <v>#REF!</v>
      </c>
      <c r="D236" s="277" t="e">
        <f>#REF!</f>
        <v>#REF!</v>
      </c>
      <c r="E236" s="277" t="e">
        <f>#REF!</f>
        <v>#REF!</v>
      </c>
      <c r="F236" s="277" t="e">
        <f>#REF!</f>
        <v>#REF!</v>
      </c>
      <c r="G236" s="277" t="e">
        <f>#REF!</f>
        <v>#REF!</v>
      </c>
      <c r="H236" s="277" t="e">
        <f>#REF!</f>
        <v>#REF!</v>
      </c>
      <c r="I236" s="277" t="e">
        <f>#REF!</f>
        <v>#REF!</v>
      </c>
      <c r="J236" s="277" t="e">
        <f>#REF!</f>
        <v>#REF!</v>
      </c>
      <c r="K236" s="277" t="e">
        <f>#REF!</f>
        <v>#REF!</v>
      </c>
      <c r="L236" s="277" t="e">
        <f>#REF!</f>
        <v>#REF!</v>
      </c>
      <c r="M236" s="277" t="e">
        <f>#REF!</f>
        <v>#REF!</v>
      </c>
      <c r="N236" s="277" t="e">
        <f>#REF!</f>
        <v>#REF!</v>
      </c>
      <c r="O236" s="277" t="e">
        <f>#REF!</f>
        <v>#REF!</v>
      </c>
      <c r="P236" s="277" t="e">
        <f>#REF!</f>
        <v>#REF!</v>
      </c>
      <c r="Q236" s="277" t="e">
        <f>#REF!</f>
        <v>#REF!</v>
      </c>
      <c r="R236" s="277" t="e">
        <f>#REF!</f>
        <v>#REF!</v>
      </c>
      <c r="S236" s="277" t="e">
        <f>#REF!</f>
        <v>#REF!</v>
      </c>
      <c r="T236" s="281" t="e">
        <f>#REF!</f>
        <v>#REF!</v>
      </c>
      <c r="U236" s="281" t="e">
        <f>#REF!</f>
        <v>#REF!</v>
      </c>
      <c r="V236" s="281" t="e">
        <f>#REF!</f>
        <v>#REF!</v>
      </c>
      <c r="W236" s="281" t="e">
        <f>#REF!</f>
        <v>#REF!</v>
      </c>
      <c r="X236" s="281" t="e">
        <f>#REF!</f>
        <v>#REF!</v>
      </c>
    </row>
    <row r="237" spans="1:24" ht="24.95" customHeight="1">
      <c r="A237" s="274" t="e">
        <f>#REF!</f>
        <v>#REF!</v>
      </c>
      <c r="B237" s="275" t="e">
        <f>#REF!</f>
        <v>#REF!</v>
      </c>
      <c r="C237" s="276" t="e">
        <f>#REF!</f>
        <v>#REF!</v>
      </c>
      <c r="D237" s="277" t="e">
        <f>#REF!</f>
        <v>#REF!</v>
      </c>
      <c r="E237" s="277" t="e">
        <f>#REF!</f>
        <v>#REF!</v>
      </c>
      <c r="F237" s="277" t="e">
        <f>#REF!</f>
        <v>#REF!</v>
      </c>
      <c r="G237" s="277" t="e">
        <f>#REF!</f>
        <v>#REF!</v>
      </c>
      <c r="H237" s="277" t="e">
        <f>#REF!</f>
        <v>#REF!</v>
      </c>
      <c r="I237" s="277" t="e">
        <f>#REF!</f>
        <v>#REF!</v>
      </c>
      <c r="J237" s="277" t="e">
        <f>#REF!</f>
        <v>#REF!</v>
      </c>
      <c r="K237" s="277" t="e">
        <f>#REF!</f>
        <v>#REF!</v>
      </c>
      <c r="L237" s="277" t="e">
        <f>#REF!</f>
        <v>#REF!</v>
      </c>
      <c r="M237" s="277" t="e">
        <f>#REF!</f>
        <v>#REF!</v>
      </c>
      <c r="N237" s="277" t="e">
        <f>#REF!</f>
        <v>#REF!</v>
      </c>
      <c r="O237" s="277" t="e">
        <f>#REF!</f>
        <v>#REF!</v>
      </c>
      <c r="P237" s="277" t="e">
        <f>#REF!</f>
        <v>#REF!</v>
      </c>
      <c r="Q237" s="277" t="e">
        <f>#REF!</f>
        <v>#REF!</v>
      </c>
      <c r="R237" s="277" t="e">
        <f>#REF!</f>
        <v>#REF!</v>
      </c>
      <c r="S237" s="277" t="e">
        <f>#REF!</f>
        <v>#REF!</v>
      </c>
      <c r="T237" s="281" t="e">
        <f>#REF!</f>
        <v>#REF!</v>
      </c>
      <c r="U237" s="281" t="e">
        <f>#REF!</f>
        <v>#REF!</v>
      </c>
      <c r="V237" s="281" t="e">
        <f>#REF!</f>
        <v>#REF!</v>
      </c>
      <c r="W237" s="281" t="e">
        <f>#REF!</f>
        <v>#REF!</v>
      </c>
      <c r="X237" s="281" t="e">
        <f>#REF!</f>
        <v>#REF!</v>
      </c>
    </row>
    <row r="238" spans="1:24" ht="24.95" customHeight="1">
      <c r="A238" s="274" t="e">
        <f>#REF!</f>
        <v>#REF!</v>
      </c>
      <c r="B238" s="275" t="e">
        <f>#REF!</f>
        <v>#REF!</v>
      </c>
      <c r="C238" s="276" t="e">
        <f>#REF!</f>
        <v>#REF!</v>
      </c>
      <c r="D238" s="277" t="e">
        <f>#REF!</f>
        <v>#REF!</v>
      </c>
      <c r="E238" s="277" t="e">
        <f>#REF!</f>
        <v>#REF!</v>
      </c>
      <c r="F238" s="277" t="e">
        <f>#REF!</f>
        <v>#REF!</v>
      </c>
      <c r="G238" s="277" t="e">
        <f>#REF!</f>
        <v>#REF!</v>
      </c>
      <c r="H238" s="277" t="e">
        <f>#REF!</f>
        <v>#REF!</v>
      </c>
      <c r="I238" s="277" t="e">
        <f>#REF!</f>
        <v>#REF!</v>
      </c>
      <c r="J238" s="277" t="e">
        <f>#REF!</f>
        <v>#REF!</v>
      </c>
      <c r="K238" s="277" t="e">
        <f>#REF!</f>
        <v>#REF!</v>
      </c>
      <c r="L238" s="277" t="e">
        <f>#REF!</f>
        <v>#REF!</v>
      </c>
      <c r="M238" s="277" t="e">
        <f>#REF!</f>
        <v>#REF!</v>
      </c>
      <c r="N238" s="277" t="e">
        <f>#REF!</f>
        <v>#REF!</v>
      </c>
      <c r="O238" s="277" t="e">
        <f>#REF!</f>
        <v>#REF!</v>
      </c>
      <c r="P238" s="277" t="e">
        <f>#REF!</f>
        <v>#REF!</v>
      </c>
      <c r="Q238" s="277" t="e">
        <f>#REF!</f>
        <v>#REF!</v>
      </c>
      <c r="R238" s="277" t="e">
        <f>#REF!</f>
        <v>#REF!</v>
      </c>
      <c r="S238" s="277" t="e">
        <f>#REF!</f>
        <v>#REF!</v>
      </c>
      <c r="T238" s="281" t="e">
        <f>#REF!</f>
        <v>#REF!</v>
      </c>
      <c r="U238" s="281" t="e">
        <f>#REF!</f>
        <v>#REF!</v>
      </c>
      <c r="V238" s="281" t="e">
        <f>#REF!</f>
        <v>#REF!</v>
      </c>
      <c r="W238" s="281" t="e">
        <f>#REF!</f>
        <v>#REF!</v>
      </c>
      <c r="X238" s="281" t="e">
        <f>#REF!</f>
        <v>#REF!</v>
      </c>
    </row>
    <row r="239" spans="1:24" ht="24.95" customHeight="1">
      <c r="A239" s="274" t="e">
        <f>#REF!</f>
        <v>#REF!</v>
      </c>
      <c r="B239" s="275" t="e">
        <f>#REF!</f>
        <v>#REF!</v>
      </c>
      <c r="C239" s="276" t="e">
        <f>#REF!</f>
        <v>#REF!</v>
      </c>
      <c r="D239" s="277" t="e">
        <f>#REF!</f>
        <v>#REF!</v>
      </c>
      <c r="E239" s="277" t="e">
        <f>#REF!</f>
        <v>#REF!</v>
      </c>
      <c r="F239" s="277" t="e">
        <f>#REF!</f>
        <v>#REF!</v>
      </c>
      <c r="G239" s="277" t="e">
        <f>#REF!</f>
        <v>#REF!</v>
      </c>
      <c r="H239" s="277" t="e">
        <f>#REF!</f>
        <v>#REF!</v>
      </c>
      <c r="I239" s="277" t="e">
        <f>#REF!</f>
        <v>#REF!</v>
      </c>
      <c r="J239" s="277" t="e">
        <f>#REF!</f>
        <v>#REF!</v>
      </c>
      <c r="K239" s="277" t="e">
        <f>#REF!</f>
        <v>#REF!</v>
      </c>
      <c r="L239" s="277" t="e">
        <f>#REF!</f>
        <v>#REF!</v>
      </c>
      <c r="M239" s="277" t="e">
        <f>#REF!</f>
        <v>#REF!</v>
      </c>
      <c r="N239" s="277" t="e">
        <f>#REF!</f>
        <v>#REF!</v>
      </c>
      <c r="O239" s="277" t="e">
        <f>#REF!</f>
        <v>#REF!</v>
      </c>
      <c r="P239" s="277" t="e">
        <f>#REF!</f>
        <v>#REF!</v>
      </c>
      <c r="Q239" s="277" t="e">
        <f>#REF!</f>
        <v>#REF!</v>
      </c>
      <c r="R239" s="277" t="e">
        <f>#REF!</f>
        <v>#REF!</v>
      </c>
      <c r="S239" s="277" t="e">
        <f>#REF!</f>
        <v>#REF!</v>
      </c>
      <c r="T239" s="281" t="e">
        <f>#REF!</f>
        <v>#REF!</v>
      </c>
      <c r="U239" s="281" t="e">
        <f>#REF!</f>
        <v>#REF!</v>
      </c>
      <c r="V239" s="281" t="e">
        <f>#REF!</f>
        <v>#REF!</v>
      </c>
      <c r="W239" s="281" t="e">
        <f>#REF!</f>
        <v>#REF!</v>
      </c>
      <c r="X239" s="281" t="e">
        <f>#REF!</f>
        <v>#REF!</v>
      </c>
    </row>
    <row r="240" spans="1:24" ht="24.95" customHeight="1">
      <c r="A240" s="274" t="e">
        <f>#REF!</f>
        <v>#REF!</v>
      </c>
      <c r="B240" s="275" t="e">
        <f>#REF!</f>
        <v>#REF!</v>
      </c>
      <c r="C240" s="276" t="e">
        <f>#REF!</f>
        <v>#REF!</v>
      </c>
      <c r="D240" s="277" t="e">
        <f>#REF!</f>
        <v>#REF!</v>
      </c>
      <c r="E240" s="277" t="e">
        <f>#REF!</f>
        <v>#REF!</v>
      </c>
      <c r="F240" s="277" t="e">
        <f>#REF!</f>
        <v>#REF!</v>
      </c>
      <c r="G240" s="277" t="e">
        <f>#REF!</f>
        <v>#REF!</v>
      </c>
      <c r="H240" s="277" t="e">
        <f>#REF!</f>
        <v>#REF!</v>
      </c>
      <c r="I240" s="277" t="e">
        <f>#REF!</f>
        <v>#REF!</v>
      </c>
      <c r="J240" s="277" t="e">
        <f>#REF!</f>
        <v>#REF!</v>
      </c>
      <c r="K240" s="277" t="e">
        <f>#REF!</f>
        <v>#REF!</v>
      </c>
      <c r="L240" s="277" t="e">
        <f>#REF!</f>
        <v>#REF!</v>
      </c>
      <c r="M240" s="277" t="e">
        <f>#REF!</f>
        <v>#REF!</v>
      </c>
      <c r="N240" s="277" t="e">
        <f>#REF!</f>
        <v>#REF!</v>
      </c>
      <c r="O240" s="277" t="e">
        <f>#REF!</f>
        <v>#REF!</v>
      </c>
      <c r="P240" s="277" t="e">
        <f>#REF!</f>
        <v>#REF!</v>
      </c>
      <c r="Q240" s="277" t="e">
        <f>#REF!</f>
        <v>#REF!</v>
      </c>
      <c r="R240" s="277" t="e">
        <f>#REF!</f>
        <v>#REF!</v>
      </c>
      <c r="S240" s="277" t="e">
        <f>#REF!</f>
        <v>#REF!</v>
      </c>
      <c r="T240" s="281" t="e">
        <f>#REF!</f>
        <v>#REF!</v>
      </c>
      <c r="U240" s="281" t="e">
        <f>#REF!</f>
        <v>#REF!</v>
      </c>
      <c r="V240" s="281" t="e">
        <f>#REF!</f>
        <v>#REF!</v>
      </c>
      <c r="W240" s="281" t="e">
        <f>#REF!</f>
        <v>#REF!</v>
      </c>
      <c r="X240" s="281" t="e">
        <f>#REF!</f>
        <v>#REF!</v>
      </c>
    </row>
    <row r="250"/>
    <row r="251"/>
    <row r="25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78"/>
  <sheetViews>
    <sheetView showGridLines="0" tabSelected="1" zoomScaleNormal="100" workbookViewId="0">
      <selection activeCell="E5" sqref="E5:F5"/>
    </sheetView>
  </sheetViews>
  <sheetFormatPr baseColWidth="10" defaultColWidth="0" defaultRowHeight="14.25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2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452" t="s">
        <v>758</v>
      </c>
      <c r="C2" s="453"/>
      <c r="D2" s="453"/>
      <c r="E2" s="453"/>
      <c r="F2" s="454"/>
      <c r="G2" s="307"/>
    </row>
    <row r="3" spans="2:7" ht="75" customHeight="1">
      <c r="B3" s="455" t="s">
        <v>696</v>
      </c>
      <c r="C3" s="456"/>
      <c r="D3" s="457"/>
      <c r="E3" s="458"/>
      <c r="F3" s="459"/>
      <c r="G3" s="307"/>
    </row>
    <row r="4" spans="2:7" ht="30" customHeight="1" outlineLevel="1">
      <c r="B4" s="310" t="s">
        <v>108</v>
      </c>
      <c r="C4" s="182"/>
      <c r="D4" s="286" t="s">
        <v>106</v>
      </c>
      <c r="E4" s="460">
        <f ca="1">TODAY()</f>
        <v>44143</v>
      </c>
      <c r="F4" s="461"/>
      <c r="G4" s="308"/>
    </row>
    <row r="5" spans="2:7">
      <c r="B5" s="310" t="s">
        <v>109</v>
      </c>
      <c r="C5" s="183"/>
      <c r="D5" s="286" t="s">
        <v>81</v>
      </c>
      <c r="E5" s="462"/>
      <c r="F5" s="463"/>
      <c r="G5" s="308"/>
    </row>
    <row r="6" spans="2:7">
      <c r="B6" s="310" t="s">
        <v>110</v>
      </c>
      <c r="C6" s="183"/>
      <c r="D6" s="446"/>
      <c r="E6" s="447"/>
      <c r="F6" s="448"/>
      <c r="G6" s="309"/>
    </row>
    <row r="7" spans="2:7" ht="25.5">
      <c r="B7" s="310" t="s">
        <v>759</v>
      </c>
      <c r="C7" s="183"/>
      <c r="D7" s="449"/>
      <c r="E7" s="450"/>
      <c r="F7" s="451"/>
      <c r="G7" s="309"/>
    </row>
    <row r="8" spans="2:7" ht="34.5" customHeight="1">
      <c r="B8" s="311" t="s">
        <v>112</v>
      </c>
      <c r="C8" s="444"/>
      <c r="D8" s="444"/>
      <c r="E8" s="444"/>
      <c r="F8" s="445"/>
      <c r="G8" s="308"/>
    </row>
    <row r="9" spans="2:7" ht="15">
      <c r="B9" s="312" t="s">
        <v>71</v>
      </c>
      <c r="C9" s="313" t="s">
        <v>73</v>
      </c>
      <c r="D9" s="313" t="s">
        <v>75</v>
      </c>
      <c r="E9" s="314" t="s">
        <v>755</v>
      </c>
      <c r="F9" s="315" t="s">
        <v>80</v>
      </c>
    </row>
    <row r="10" spans="2:7">
      <c r="B10" s="316"/>
      <c r="C10" s="317"/>
      <c r="D10" s="317"/>
      <c r="E10" s="318"/>
      <c r="F10" s="319"/>
    </row>
    <row r="11" spans="2:7">
      <c r="B11" s="321"/>
      <c r="C11" s="322"/>
      <c r="D11" s="322"/>
      <c r="E11" s="323"/>
      <c r="F11" s="324"/>
    </row>
    <row r="12" spans="2:7" ht="15.75" thickBot="1">
      <c r="B12" s="320"/>
      <c r="C12" s="325" t="s">
        <v>65</v>
      </c>
      <c r="D12" s="326"/>
      <c r="E12" s="326"/>
      <c r="F12" s="327">
        <f>IF($C$4=1,SUM(Tableau4[[#All],[PRIX]])*0.9,SUM(Tableau4[[#All],[PRIX]]))</f>
        <v>0</v>
      </c>
    </row>
    <row r="13" spans="2:7"/>
    <row r="14" spans="2:7"/>
    <row r="15" spans="2:7"/>
    <row r="16" spans="2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23"/>
    <row r="324"/>
    <row r="325"/>
    <row r="326"/>
    <row r="327"/>
    <row r="328"/>
    <row r="334"/>
    <row r="335"/>
    <row r="336"/>
    <row r="337"/>
    <row r="339"/>
    <row r="340"/>
    <row r="341"/>
    <row r="342"/>
    <row r="343"/>
    <row r="344"/>
    <row r="345"/>
    <row r="346"/>
    <row r="347"/>
    <row r="348"/>
    <row r="352"/>
    <row r="353"/>
    <row r="363"/>
    <row r="364"/>
    <row r="365"/>
    <row r="366"/>
    <row r="367"/>
    <row r="368"/>
    <row r="369"/>
    <row r="370"/>
    <row r="374"/>
    <row r="375"/>
    <row r="383"/>
    <row r="384"/>
    <row r="385"/>
    <row r="386"/>
    <row r="387"/>
    <row r="388"/>
    <row r="390"/>
    <row r="391"/>
    <row r="393"/>
    <row r="394"/>
    <row r="395"/>
    <row r="401"/>
    <row r="402"/>
    <row r="403"/>
    <row r="404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51"/>
    <row r="452"/>
    <row r="453"/>
    <row r="454"/>
    <row r="455"/>
    <row r="457"/>
    <row r="458"/>
    <row r="459"/>
    <row r="460"/>
    <row r="461"/>
    <row r="462"/>
    <row r="463"/>
    <row r="464"/>
    <row r="465"/>
    <row r="466"/>
    <row r="477"/>
    <row r="478"/>
    <row r="479"/>
    <row r="480"/>
    <row r="481"/>
    <row r="482"/>
    <row r="483"/>
    <row r="484"/>
    <row r="485"/>
    <row r="491"/>
    <row r="492"/>
    <row r="493"/>
    <row r="494"/>
    <row r="499"/>
    <row r="500"/>
    <row r="501"/>
    <row r="502"/>
    <row r="503"/>
    <row r="509"/>
    <row r="510"/>
    <row r="511"/>
    <row r="512"/>
    <row r="513"/>
    <row r="516"/>
    <row r="517"/>
    <row r="518"/>
    <row r="519"/>
    <row r="520"/>
    <row r="521"/>
    <row r="522"/>
    <row r="523"/>
    <row r="524"/>
    <row r="525"/>
    <row r="526"/>
    <row r="527"/>
    <row r="535"/>
    <row r="538"/>
    <row r="539"/>
    <row r="540"/>
    <row r="541"/>
    <row r="542"/>
    <row r="543"/>
    <row r="544"/>
    <row r="545"/>
    <row r="546"/>
    <row r="557"/>
    <row r="558"/>
    <row r="559"/>
    <row r="560"/>
    <row r="561"/>
    <row r="562"/>
    <row r="563"/>
    <row r="564"/>
    <row r="565"/>
    <row r="571"/>
    <row r="572"/>
    <row r="573"/>
    <row r="574"/>
    <row r="579"/>
    <row r="580"/>
    <row r="581"/>
    <row r="582"/>
    <row r="583"/>
    <row r="589"/>
    <row r="590"/>
    <row r="591"/>
    <row r="592"/>
    <row r="596"/>
    <row r="597"/>
    <row r="598"/>
    <row r="599"/>
    <row r="603"/>
    <row r="604"/>
    <row r="605"/>
    <row r="606"/>
    <row r="607"/>
    <row r="608"/>
    <row r="609"/>
    <row r="610"/>
    <row r="611"/>
    <row r="617"/>
    <row r="618"/>
    <row r="619"/>
    <row r="620"/>
    <row r="627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61"/>
    <row r="671"/>
    <row r="672"/>
    <row r="673"/>
    <row r="674"/>
    <row r="675"/>
    <row r="676"/>
    <row r="677"/>
    <row r="678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86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4206-4954-437A-9B81-F945C6EEFEE8}">
  <sheetPr codeName="Feuil5"/>
  <dimension ref="A1:K670"/>
  <sheetViews>
    <sheetView showGridLines="0" zoomScaleNormal="100" workbookViewId="0">
      <selection activeCell="E5" sqref="E5:F5"/>
    </sheetView>
  </sheetViews>
  <sheetFormatPr baseColWidth="10" defaultColWidth="0" defaultRowHeight="0" customHeight="1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2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452" t="s">
        <v>695</v>
      </c>
      <c r="C2" s="453"/>
      <c r="D2" s="453"/>
      <c r="E2" s="453"/>
      <c r="F2" s="454"/>
      <c r="G2" s="307"/>
    </row>
    <row r="3" spans="2:7" ht="75" customHeight="1">
      <c r="B3" s="455" t="s">
        <v>696</v>
      </c>
      <c r="C3" s="456"/>
      <c r="D3" s="457"/>
      <c r="E3" s="458"/>
      <c r="F3" s="459"/>
      <c r="G3" s="307"/>
    </row>
    <row r="4" spans="2:7" ht="30" customHeight="1" outlineLevel="1">
      <c r="B4" s="310" t="s">
        <v>108</v>
      </c>
      <c r="C4" s="182"/>
      <c r="D4" s="286" t="s">
        <v>106</v>
      </c>
      <c r="E4" s="460">
        <f ca="1">TODAY()</f>
        <v>44143</v>
      </c>
      <c r="F4" s="461"/>
      <c r="G4" s="308"/>
    </row>
    <row r="5" spans="2:7" ht="14.25">
      <c r="B5" s="310" t="s">
        <v>109</v>
      </c>
      <c r="C5" s="183"/>
      <c r="D5" s="286" t="s">
        <v>81</v>
      </c>
      <c r="E5" s="462"/>
      <c r="F5" s="463"/>
      <c r="G5" s="308"/>
    </row>
    <row r="6" spans="2:7" ht="14.25">
      <c r="B6" s="310" t="s">
        <v>110</v>
      </c>
      <c r="C6" s="183"/>
      <c r="D6" s="446"/>
      <c r="E6" s="447"/>
      <c r="F6" s="448"/>
      <c r="G6" s="309"/>
    </row>
    <row r="7" spans="2:7" ht="14.25">
      <c r="B7" s="310" t="s">
        <v>111</v>
      </c>
      <c r="C7" s="183"/>
      <c r="D7" s="449"/>
      <c r="E7" s="450"/>
      <c r="F7" s="451"/>
      <c r="G7" s="309"/>
    </row>
    <row r="8" spans="2:7" ht="34.5" customHeight="1">
      <c r="B8" s="311" t="s">
        <v>112</v>
      </c>
      <c r="C8" s="444"/>
      <c r="D8" s="444"/>
      <c r="E8" s="444"/>
      <c r="F8" s="445"/>
      <c r="G8" s="308"/>
    </row>
    <row r="9" spans="2:7" ht="15">
      <c r="B9" s="312" t="s">
        <v>71</v>
      </c>
      <c r="C9" s="313" t="s">
        <v>73</v>
      </c>
      <c r="D9" s="313" t="s">
        <v>75</v>
      </c>
      <c r="E9" s="314" t="s">
        <v>755</v>
      </c>
      <c r="F9" s="315" t="s">
        <v>80</v>
      </c>
    </row>
    <row r="10" spans="2:7" ht="14.25">
      <c r="B10" s="316"/>
      <c r="C10" s="317"/>
      <c r="D10" s="317"/>
      <c r="E10" s="318"/>
      <c r="F10" s="319"/>
    </row>
    <row r="11" spans="2:7" ht="14.25">
      <c r="B11" s="321"/>
      <c r="C11" s="322"/>
      <c r="D11" s="322"/>
      <c r="E11" s="323"/>
      <c r="F11" s="324"/>
    </row>
    <row r="12" spans="2:7" ht="15.75" thickBot="1">
      <c r="B12" s="320"/>
      <c r="C12" s="325" t="s">
        <v>65</v>
      </c>
      <c r="D12" s="326"/>
      <c r="E12" s="326"/>
      <c r="F12" s="327">
        <f>IF(C4=1, (SUM(Tableau46[PRIX])*0.9), SUM(Tableau46[PRIX]))</f>
        <v>0</v>
      </c>
    </row>
    <row r="13" spans="2:7" ht="14.25"/>
    <row r="14" spans="2:7" ht="14.25"/>
    <row r="15" spans="2:7" ht="14.25"/>
    <row r="16" spans="2:7" ht="14.25"/>
    <row r="17" ht="14.25"/>
    <row r="18" ht="14.25"/>
    <row r="19" ht="14.25"/>
    <row r="20" ht="14.25"/>
    <row r="21" ht="14.25"/>
    <row r="22" ht="14.25"/>
    <row r="23" ht="14.25"/>
    <row r="24" ht="14.25"/>
    <row r="25" ht="14.25"/>
    <row r="26" ht="14.25"/>
    <row r="27" ht="14.25"/>
    <row r="28" ht="14.25"/>
    <row r="29" ht="14.25"/>
    <row r="30" ht="14.25"/>
    <row r="31" ht="14.25"/>
    <row r="32" ht="14.25"/>
    <row r="33" ht="14.25"/>
    <row r="34" ht="14.25"/>
    <row r="35" ht="14.25"/>
    <row r="36" ht="14.25"/>
    <row r="37" ht="14.25"/>
    <row r="38" ht="14.25"/>
    <row r="39" ht="14.25"/>
    <row r="40" ht="14.25"/>
    <row r="41" ht="14.25"/>
    <row r="42" ht="14.25"/>
    <row r="43" ht="14.25"/>
    <row r="44" ht="14.25"/>
    <row r="45" ht="14.25"/>
    <row r="46" ht="14.25"/>
    <row r="47" ht="14.25"/>
    <row r="48" ht="14.25"/>
    <row r="49" ht="14.25"/>
    <row r="50" ht="14.25"/>
    <row r="51" ht="14.25"/>
    <row r="52" ht="14.25"/>
    <row r="53" ht="14.25"/>
    <row r="54" ht="14.25"/>
    <row r="55" ht="14.25"/>
    <row r="56" ht="14.25"/>
    <row r="57" ht="14.25"/>
    <row r="58" ht="14.25"/>
    <row r="59" ht="14.25"/>
    <row r="60" ht="14.25"/>
    <row r="61" ht="14.25"/>
    <row r="62" ht="14.25"/>
    <row r="63" ht="14.25"/>
    <row r="64" ht="14.25"/>
    <row r="65" ht="14.25"/>
    <row r="66" ht="14.25"/>
    <row r="67" ht="14.25"/>
    <row r="68" ht="14.25"/>
    <row r="69" ht="14.25"/>
    <row r="70" ht="14.25"/>
    <row r="71" ht="14.25"/>
    <row r="72" ht="14.25"/>
    <row r="73" ht="14.25"/>
    <row r="74" ht="14.25"/>
    <row r="75" ht="14.25"/>
    <row r="76" ht="14.25"/>
    <row r="77" ht="14.25"/>
    <row r="78" ht="14.25"/>
    <row r="79" ht="14.25"/>
    <row r="80" ht="14.25"/>
    <row r="81" ht="14.25"/>
    <row r="82" ht="14.25"/>
    <row r="83" ht="14.25"/>
    <row r="84" ht="14.25"/>
    <row r="85" ht="14.25"/>
    <row r="86" ht="14.25"/>
    <row r="87" ht="14.25"/>
    <row r="88" ht="14.25"/>
    <row r="89" ht="14.25"/>
    <row r="90" ht="14.25"/>
    <row r="91" ht="14.25"/>
    <row r="92" ht="14.25"/>
    <row r="93" ht="14.25"/>
    <row r="94" ht="14.25"/>
    <row r="95" ht="14.25"/>
    <row r="96" ht="14.25"/>
    <row r="97" ht="14.25"/>
    <row r="98" ht="14.25"/>
    <row r="99" ht="14.25"/>
    <row r="100" ht="14.25"/>
    <row r="101" ht="14.25"/>
    <row r="102" ht="14.25"/>
    <row r="103" ht="14.25"/>
    <row r="104" ht="14.25"/>
    <row r="105" ht="14.25"/>
    <row r="106" ht="14.25"/>
    <row r="107" ht="14.25"/>
    <row r="108" ht="14.25"/>
    <row r="109" ht="14.25"/>
    <row r="110" ht="14.25"/>
    <row r="111" ht="14.25"/>
    <row r="112" ht="14.25"/>
    <row r="113" ht="14.25"/>
    <row r="114" ht="14.25"/>
    <row r="115" ht="14.25"/>
    <row r="116" ht="14.25"/>
    <row r="117" ht="14.25"/>
    <row r="118" ht="14.25"/>
    <row r="119" ht="14.25"/>
    <row r="120" ht="14.25"/>
    <row r="121" ht="14.25"/>
    <row r="122" ht="14.25"/>
    <row r="123" ht="14.25"/>
    <row r="124" ht="14.25"/>
    <row r="125" ht="14.25"/>
    <row r="126" ht="14.25"/>
    <row r="127" ht="14.25"/>
    <row r="128" ht="14.25"/>
    <row r="129" ht="14.25"/>
    <row r="130" ht="14.25"/>
    <row r="131" ht="14.25"/>
    <row r="132" ht="14.25"/>
    <row r="133" ht="14.25"/>
    <row r="134" ht="14.25"/>
    <row r="135" ht="14.25"/>
    <row r="136" ht="14.25"/>
    <row r="137" ht="14.25"/>
    <row r="138" ht="14.25"/>
    <row r="139" ht="14.25"/>
    <row r="140" ht="14.25"/>
    <row r="141" ht="14.25"/>
    <row r="142" ht="14.25"/>
    <row r="143" ht="14.25"/>
    <row r="144" ht="14.25"/>
    <row r="145" ht="14.25"/>
    <row r="146" ht="14.25"/>
    <row r="147" ht="14.25"/>
    <row r="148" ht="14.25"/>
    <row r="149" ht="14.25"/>
    <row r="150" ht="14.25"/>
    <row r="151" ht="14.25"/>
    <row r="152" ht="14.25"/>
    <row r="153" ht="14.25"/>
    <row r="154" ht="14.25"/>
    <row r="155" ht="14.25"/>
    <row r="156" ht="14.25"/>
    <row r="157" ht="14.25"/>
    <row r="158" ht="14.25"/>
    <row r="159" ht="14.25"/>
    <row r="160" ht="14.25"/>
    <row r="161" ht="14.25"/>
    <row r="162" ht="14.25"/>
    <row r="163" ht="14.25"/>
    <row r="164" ht="14.25"/>
    <row r="165" ht="14.25"/>
    <row r="166" ht="14.25"/>
    <row r="167" ht="14.25"/>
    <row r="168" ht="14.25"/>
    <row r="169" ht="14.25"/>
    <row r="170" ht="14.25"/>
    <row r="171" ht="14.25"/>
    <row r="172" ht="14.25"/>
    <row r="173" ht="14.25"/>
    <row r="174" ht="14.25"/>
    <row r="175" ht="14.25"/>
    <row r="176" ht="14.25"/>
    <row r="177" ht="14.25"/>
    <row r="178" ht="14.25"/>
    <row r="179" ht="14.25"/>
    <row r="180" ht="14.25"/>
    <row r="181" ht="14.25"/>
    <row r="182" ht="14.25"/>
    <row r="183" ht="14.25"/>
    <row r="184" ht="14.25"/>
    <row r="185" ht="14.25"/>
    <row r="186" ht="14.25"/>
    <row r="187" ht="14.25"/>
    <row r="188" ht="14.25"/>
    <row r="189" ht="14.25"/>
    <row r="190" ht="14.25"/>
    <row r="191" ht="14.25"/>
    <row r="192" ht="14.25"/>
    <row r="193" ht="14.25"/>
    <row r="194" ht="14.25"/>
    <row r="195" ht="14.25"/>
    <row r="196" ht="14.25"/>
    <row r="197" ht="14.25"/>
    <row r="198" ht="14.25"/>
    <row r="199" ht="14.25"/>
    <row r="200" ht="14.25"/>
    <row r="201" ht="14.25"/>
    <row r="202" ht="14.25"/>
    <row r="203" ht="14.25"/>
    <row r="204" ht="14.25"/>
    <row r="205" ht="14.25"/>
    <row r="206" ht="14.25"/>
    <row r="207" ht="14.25"/>
    <row r="208" ht="14.25"/>
    <row r="209" ht="14.25"/>
    <row r="210" ht="14.25"/>
    <row r="211" ht="14.25"/>
    <row r="212" ht="14.25"/>
    <row r="213" ht="14.25"/>
    <row r="214" ht="14.25"/>
    <row r="215" ht="14.25"/>
    <row r="216" ht="14.25"/>
    <row r="217" ht="14.25"/>
    <row r="218" ht="14.25"/>
    <row r="219" ht="14.25"/>
    <row r="220" ht="14.25"/>
    <row r="221" ht="14.25"/>
    <row r="222" ht="14.25"/>
    <row r="223" ht="14.25"/>
    <row r="224" ht="14.25"/>
    <row r="225" ht="14.25"/>
    <row r="226" ht="14.25"/>
    <row r="227" ht="14.25"/>
    <row r="228" ht="14.25"/>
    <row r="229" ht="14.25"/>
    <row r="230" ht="14.25"/>
    <row r="231" ht="14.25"/>
    <row r="232" ht="14.25"/>
    <row r="233" ht="14.25"/>
    <row r="234" ht="14.25"/>
    <row r="235" ht="14.25"/>
    <row r="236" ht="14.25"/>
    <row r="237" ht="14.25"/>
    <row r="238" ht="14.25"/>
    <row r="239" ht="14.25"/>
    <row r="240" ht="14.25"/>
    <row r="241" ht="14.25"/>
    <row r="242" ht="14.25"/>
    <row r="243" ht="14.25"/>
    <row r="244" ht="14.25"/>
    <row r="245" ht="14.25"/>
    <row r="246" ht="14.25"/>
    <row r="247" ht="14.25"/>
    <row r="248" ht="14.25"/>
    <row r="249" ht="14.25"/>
    <row r="250" ht="14.25"/>
    <row r="251" ht="14.25"/>
    <row r="252" ht="14.25"/>
    <row r="253" ht="14.25"/>
    <row r="254" ht="14.25"/>
    <row r="255" ht="14.25"/>
    <row r="256" ht="14.25"/>
    <row r="257" ht="14.25"/>
    <row r="258" ht="14.25"/>
    <row r="259" ht="14.25"/>
    <row r="260" ht="14.25"/>
    <row r="261" ht="14.25"/>
    <row r="262" ht="14.25"/>
    <row r="263" ht="14.25"/>
    <row r="264" ht="14.25"/>
    <row r="265" ht="14.25"/>
    <row r="266" ht="14.25"/>
    <row r="267" ht="14.25"/>
    <row r="268" ht="14.25"/>
    <row r="269" ht="14.25"/>
    <row r="270" ht="14.25"/>
    <row r="271" ht="14.25"/>
    <row r="272" ht="14.25"/>
    <row r="273" ht="14.25"/>
    <row r="274" ht="14.25"/>
    <row r="275" ht="14.25"/>
    <row r="276" ht="14.25"/>
    <row r="277" ht="14.25"/>
    <row r="278" ht="14.25"/>
    <row r="279" ht="14.25"/>
    <row r="280" ht="14.25"/>
    <row r="281" ht="14.25"/>
    <row r="282" ht="14.25"/>
    <row r="283" ht="14.25"/>
    <row r="284" ht="14.25"/>
    <row r="285" ht="14.25"/>
    <row r="286" ht="14.25"/>
    <row r="287" ht="14.25"/>
    <row r="288" ht="14.25"/>
    <row r="289" ht="14.25"/>
    <row r="290" ht="14.25"/>
    <row r="291" ht="14.25"/>
    <row r="292" ht="14.25"/>
    <row r="293" ht="14.25"/>
    <row r="294" ht="14.25"/>
    <row r="295" ht="14.25"/>
    <row r="296" ht="14.25"/>
    <row r="297" ht="14.25"/>
    <row r="298" ht="14.25"/>
    <row r="299" ht="14.25"/>
    <row r="300" ht="14.25"/>
    <row r="301" ht="14.25"/>
    <row r="302" ht="14.25"/>
    <row r="303" ht="14.25"/>
    <row r="304" ht="14.25"/>
    <row r="305" ht="14.25"/>
    <row r="306" ht="14.25"/>
    <row r="307" ht="14.25"/>
    <row r="308" ht="14.25"/>
    <row r="309" ht="14.25"/>
    <row r="310" ht="14.25"/>
    <row r="311" ht="14.25"/>
    <row r="312" ht="14.25"/>
    <row r="313" ht="14.25"/>
    <row r="314" ht="14.25"/>
    <row r="315" ht="14.25"/>
    <row r="316" ht="14.25"/>
    <row r="317" ht="14.25"/>
    <row r="318" ht="14.25"/>
    <row r="319" ht="14.25"/>
    <row r="320" ht="14.25"/>
    <row r="321" ht="14.25"/>
    <row r="322" ht="14.25"/>
    <row r="323" ht="14.25"/>
    <row r="324" ht="14.25" hidden="1" customHeight="1"/>
    <row r="331" ht="14.25"/>
    <row r="332" ht="14.25"/>
    <row r="333" ht="14.25"/>
    <row r="334" ht="14.25"/>
    <row r="335" ht="14.25"/>
    <row r="336" ht="14.25"/>
    <row r="337" ht="14.25" hidden="1" customHeight="1"/>
    <row r="342" ht="14.25"/>
    <row r="343" ht="14.25"/>
    <row r="344" ht="14.25"/>
    <row r="345" ht="14.25"/>
    <row r="346" ht="14.25" hidden="1" customHeight="1"/>
    <row r="347" ht="14.25"/>
    <row r="348" ht="14.25"/>
    <row r="349" ht="14.25"/>
    <row r="350" ht="14.25"/>
    <row r="351" ht="14.25"/>
    <row r="352" ht="14.25"/>
    <row r="353" ht="14.25"/>
    <row r="354" ht="14.25"/>
    <row r="355" ht="14.25"/>
    <row r="356" ht="14.25"/>
    <row r="357" ht="14.25" hidden="1" customHeight="1"/>
    <row r="360" ht="14.25"/>
    <row r="361" ht="14.25"/>
    <row r="362" ht="14.25" hidden="1" customHeight="1"/>
    <row r="371" ht="14.25"/>
    <row r="372" ht="14.25"/>
    <row r="373" ht="14.25"/>
    <row r="374" ht="14.25"/>
    <row r="375" ht="14.25"/>
    <row r="376" ht="14.25"/>
    <row r="377" ht="14.25"/>
    <row r="378" ht="14.25"/>
    <row r="379" ht="14.25" hidden="1" customHeight="1"/>
    <row r="382" ht="14.25"/>
    <row r="383" ht="14.25"/>
    <row r="384" ht="14.25" hidden="1" customHeight="1"/>
    <row r="391" ht="14.25"/>
    <row r="392" ht="14.25"/>
    <row r="393" ht="14.25"/>
    <row r="394" ht="14.25"/>
    <row r="395" ht="14.25"/>
    <row r="396" ht="14.25"/>
    <row r="397" ht="14.25" hidden="1" customHeight="1"/>
    <row r="398" ht="14.25"/>
    <row r="399" ht="14.25"/>
    <row r="400" ht="14.25" hidden="1" customHeight="1"/>
    <row r="401" ht="14.25"/>
    <row r="402" ht="14.25"/>
    <row r="403" ht="14.25"/>
    <row r="404" ht="14.25" hidden="1" customHeight="1"/>
    <row r="409" ht="14.25"/>
    <row r="410" ht="14.25"/>
    <row r="411" ht="14.25"/>
    <row r="412" ht="14.25"/>
    <row r="413" ht="14.25" hidden="1" customHeight="1"/>
    <row r="418" ht="14.25"/>
    <row r="419" ht="14.25"/>
    <row r="420" ht="14.25"/>
    <row r="421" ht="14.25"/>
    <row r="422" ht="14.25"/>
    <row r="423" ht="14.25"/>
    <row r="424" ht="14.25"/>
    <row r="425" ht="14.25"/>
    <row r="426" ht="14.25"/>
    <row r="427" ht="14.25"/>
    <row r="428" ht="14.25"/>
    <row r="429" ht="14.25"/>
    <row r="430" ht="14.25"/>
    <row r="431" ht="14.25"/>
    <row r="432" ht="14.25"/>
    <row r="433" ht="14.25"/>
    <row r="434" ht="14.25"/>
    <row r="435" ht="14.25"/>
    <row r="436" ht="14.25"/>
    <row r="437" ht="14.25"/>
    <row r="438" ht="14.25"/>
    <row r="439" ht="14.25"/>
    <row r="440" ht="14.25"/>
    <row r="441" ht="14.25"/>
    <row r="442" ht="14.25"/>
    <row r="443" ht="14.25"/>
    <row r="444" ht="14.25"/>
    <row r="445" ht="14.25"/>
    <row r="446" ht="14.25"/>
    <row r="447" ht="14.25"/>
    <row r="448" ht="14.25"/>
    <row r="449" ht="14.25"/>
    <row r="450" ht="14.25"/>
    <row r="451" ht="14.25"/>
    <row r="452" ht="14.25"/>
    <row r="453" ht="14.25"/>
    <row r="454" ht="14.25" hidden="1" customHeight="1"/>
    <row r="459" ht="14.25"/>
    <row r="460" ht="14.25"/>
    <row r="461" ht="14.25"/>
    <row r="462" ht="14.25"/>
    <row r="463" ht="14.25"/>
    <row r="464" ht="14.25" hidden="1" customHeight="1"/>
    <row r="465" ht="14.25"/>
    <row r="466" ht="14.25"/>
    <row r="467" ht="14.25"/>
    <row r="468" ht="14.25"/>
    <row r="469" ht="14.25"/>
    <row r="470" ht="14.25"/>
    <row r="471" ht="14.25"/>
    <row r="472" ht="14.25"/>
    <row r="473" ht="14.25"/>
    <row r="474" ht="14.25"/>
    <row r="475" ht="14.25" hidden="1" customHeight="1"/>
    <row r="485" ht="14.25"/>
    <row r="486" ht="14.25"/>
    <row r="487" ht="14.25"/>
    <row r="488" ht="14.25"/>
    <row r="489" ht="14.25"/>
    <row r="490" ht="14.25"/>
    <row r="491" ht="14.25"/>
    <row r="492" ht="14.25"/>
    <row r="493" ht="14.25"/>
    <row r="494" ht="14.25" hidden="1" customHeight="1"/>
    <row r="499" ht="14.25"/>
    <row r="500" ht="14.25"/>
    <row r="501" ht="14.25"/>
    <row r="502" ht="14.25"/>
    <row r="503" ht="14.25" hidden="1" customHeight="1"/>
    <row r="507" ht="14.25"/>
    <row r="508" ht="14.25"/>
    <row r="509" ht="14.25"/>
    <row r="510" ht="14.25"/>
    <row r="511" ht="14.25"/>
    <row r="512" ht="14.25" hidden="1" customHeight="1"/>
    <row r="517" ht="14.25"/>
    <row r="518" ht="14.25"/>
    <row r="519" ht="14.25"/>
    <row r="520" ht="14.25"/>
    <row r="521" ht="14.25"/>
    <row r="522" ht="14.25" hidden="1" customHeight="1"/>
    <row r="524" ht="14.25"/>
    <row r="525" ht="14.25"/>
    <row r="526" ht="14.25"/>
    <row r="527" ht="14.25"/>
    <row r="528" ht="14.25"/>
    <row r="529" ht="14.25"/>
    <row r="530" ht="14.25"/>
    <row r="531" ht="14.25"/>
    <row r="532" ht="14.25"/>
    <row r="533" ht="14.25"/>
    <row r="534" ht="14.25"/>
    <row r="535" ht="14.25"/>
    <row r="536" ht="14.25" hidden="1" customHeight="1"/>
    <row r="543" ht="14.25"/>
    <row r="544" ht="14.25" hidden="1" customHeight="1"/>
    <row r="546" ht="14.25"/>
    <row r="547" ht="14.25"/>
    <row r="548" ht="14.25"/>
    <row r="549" ht="14.25"/>
    <row r="550" ht="14.25"/>
    <row r="551" ht="14.25"/>
    <row r="552" ht="14.25"/>
    <row r="553" ht="14.25"/>
    <row r="554" ht="14.25"/>
    <row r="555" ht="14.25" hidden="1" customHeight="1"/>
    <row r="565" ht="14.25"/>
    <row r="566" ht="14.25"/>
    <row r="567" ht="14.25"/>
    <row r="568" ht="14.25"/>
    <row r="569" ht="14.25"/>
    <row r="570" ht="14.25"/>
    <row r="571" ht="14.25"/>
    <row r="572" ht="14.25"/>
    <row r="573" ht="14.25"/>
    <row r="574" ht="14.25" hidden="1" customHeight="1"/>
    <row r="579" ht="14.25"/>
    <row r="580" ht="14.25"/>
    <row r="581" ht="14.25"/>
    <row r="582" ht="14.25"/>
    <row r="583" ht="14.25" hidden="1" customHeight="1"/>
    <row r="587" ht="14.25"/>
    <row r="588" ht="14.25"/>
    <row r="589" ht="14.25"/>
    <row r="590" ht="14.25"/>
    <row r="591" ht="14.25"/>
    <row r="592" ht="14.25" hidden="1" customHeight="1"/>
    <row r="597" ht="14.25"/>
    <row r="598" ht="14.25"/>
    <row r="599" ht="14.25"/>
    <row r="600" ht="14.25"/>
    <row r="601" ht="14.25" hidden="1" customHeight="1"/>
    <row r="604" ht="14.25"/>
    <row r="605" ht="14.25"/>
    <row r="606" ht="14.25"/>
    <row r="607" ht="14.25"/>
    <row r="608" ht="14.25" hidden="1" customHeight="1"/>
    <row r="611" ht="14.25"/>
    <row r="612" ht="14.25"/>
    <row r="613" ht="14.25"/>
    <row r="614" ht="14.25"/>
    <row r="615" ht="14.25"/>
    <row r="616" ht="14.25"/>
    <row r="617" ht="14.25"/>
    <row r="618" ht="14.25"/>
    <row r="619" ht="14.25"/>
    <row r="620" ht="14.25" hidden="1" customHeight="1"/>
    <row r="625" ht="14.25"/>
    <row r="626" ht="14.25"/>
    <row r="627" ht="14.25"/>
    <row r="628" ht="14.25"/>
    <row r="629" ht="14.25" hidden="1" customHeight="1"/>
    <row r="635" ht="14.25"/>
    <row r="636" ht="14.25" hidden="1" customHeight="1"/>
    <row r="644" ht="14.25"/>
    <row r="645" ht="14.25"/>
    <row r="646" ht="14.25"/>
    <row r="647" ht="14.25"/>
    <row r="648" ht="14.25"/>
    <row r="649" ht="14.25"/>
    <row r="650" ht="14.25"/>
    <row r="651" ht="14.25"/>
    <row r="652" ht="14.25"/>
    <row r="653" ht="14.25"/>
    <row r="654" ht="14.25"/>
    <row r="655" ht="14.25"/>
    <row r="656" ht="14.25"/>
    <row r="657" ht="14.25"/>
    <row r="658" ht="14.25"/>
    <row r="659" ht="14.25"/>
    <row r="660" ht="14.25"/>
    <row r="661" ht="14.25"/>
    <row r="662" ht="14.25"/>
    <row r="663" ht="14.25" hidden="1" customHeight="1"/>
    <row r="669" ht="14.25"/>
    <row r="670" ht="14.25" hidden="1" customHeight="1"/>
  </sheetData>
  <sheetProtection autoFilter="0"/>
  <mergeCells count="7">
    <mergeCell ref="C8:F8"/>
    <mergeCell ref="B2:F2"/>
    <mergeCell ref="B3:C3"/>
    <mergeCell ref="D3:F3"/>
    <mergeCell ref="E4:F4"/>
    <mergeCell ref="E5:F5"/>
    <mergeCell ref="D6:F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énérer_factures">
                <anchor moveWithCells="1" sizeWithCells="1">
                  <from>
                    <xdr:col>7</xdr:col>
                    <xdr:colOff>1971675</xdr:colOff>
                    <xdr:row>2</xdr:row>
                    <xdr:rowOff>504825</xdr:rowOff>
                  </from>
                  <to>
                    <xdr:col>7</xdr:col>
                    <xdr:colOff>3429000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/>
  <dimension ref="A1:G257"/>
  <sheetViews>
    <sheetView showGridLines="0" topLeftCell="A244" zoomScaleNormal="100" workbookViewId="0">
      <selection activeCell="D253" sqref="D253:F253"/>
    </sheetView>
  </sheetViews>
  <sheetFormatPr baseColWidth="10" defaultColWidth="11.42578125" defaultRowHeight="14.25" zeroHeight="1" outlineLevelRow="1" outlineLevelCol="1"/>
  <cols>
    <col min="1" max="1" width="7.7109375" style="114" customWidth="1" outlineLevel="1"/>
    <col min="2" max="2" width="13.7109375" style="47" customWidth="1"/>
    <col min="3" max="3" width="35.7109375" style="117" customWidth="1"/>
    <col min="4" max="4" width="9.42578125" style="117" customWidth="1"/>
    <col min="5" max="5" width="12.85546875" style="114" bestFit="1" customWidth="1"/>
    <col min="6" max="6" width="14.42578125" style="114" customWidth="1"/>
    <col min="7" max="7" width="4.140625" style="114" customWidth="1"/>
    <col min="8" max="8" width="11.42578125" style="114" customWidth="1"/>
    <col min="9" max="16384" width="11.42578125" style="114"/>
  </cols>
  <sheetData>
    <row r="1" spans="1:6" ht="45" customHeight="1">
      <c r="A1" s="234"/>
      <c r="B1" s="467" t="s">
        <v>695</v>
      </c>
      <c r="C1" s="467"/>
      <c r="D1" s="467"/>
      <c r="E1" s="467"/>
      <c r="F1" s="467"/>
    </row>
    <row r="2" spans="1:6" ht="75" customHeight="1">
      <c r="A2" s="234"/>
      <c r="B2" s="473" t="s">
        <v>696</v>
      </c>
      <c r="C2" s="456"/>
      <c r="D2" s="474"/>
      <c r="E2" s="475"/>
      <c r="F2" s="476"/>
    </row>
    <row r="3" spans="1:6" ht="30" customHeight="1" outlineLevel="1">
      <c r="A3" s="234"/>
      <c r="B3" s="235" t="s">
        <v>108</v>
      </c>
      <c r="C3" s="182">
        <v>1</v>
      </c>
      <c r="D3" s="286" t="s">
        <v>106</v>
      </c>
      <c r="E3" s="469" t="s">
        <v>107</v>
      </c>
      <c r="F3" s="470"/>
    </row>
    <row r="4" spans="1:6">
      <c r="A4" s="234"/>
      <c r="B4" s="235" t="s">
        <v>109</v>
      </c>
      <c r="C4" s="183" t="str">
        <f>_xlfn.IFS(C3=1, COMMANDE!O7, C3=2, COMMANDE!Q7, C3=3, COMMANDE!S7, C3=4, COMMANDE!U7, C3=5, COMMANDE!W7, C3=6, COMMANDE!Y7, C3=7, COMMANDE!AA7, C3=8, COMMANDE!AC7, C3=9, COMMANDE!AE7,C3=10, COMMANDE!AG7, C3=11, COMMANDE!AI7, C3=12, COMMANDE!AK7, C3=13, COMMANDE!AM7, C3=14, COMMANDE!AO7, C3=15, COMMANDE!AQ7, C3=16, COMMANDE!AS7, C3=17, COMMANDE!AU7, C3=18, COMMANDE!AW7, C3=19, COMMANDE!AY7, C3=20, COMMANDE!BA7)</f>
        <v>À REMPLIR</v>
      </c>
      <c r="D4" s="286" t="s">
        <v>81</v>
      </c>
      <c r="E4" s="469" t="e">
        <f>#REF!</f>
        <v>#REF!</v>
      </c>
      <c r="F4" s="470"/>
    </row>
    <row r="5" spans="1:6">
      <c r="A5" s="234"/>
      <c r="B5" s="235" t="s">
        <v>110</v>
      </c>
      <c r="C5" s="183" t="str">
        <f>_xlfn.IFS(C3=1, COMMANDE!E10, C3=2, COMMANDE!Q8, C3=3, COMMANDE!S8, C3=4, COMMANDE!U8, C3=5, COMMANDE!W8, C3=6, COMMANDE!Y8, C3=7, COMMANDE!AA8, C3=8, COMMANDE!AC8, C3=9, COMMANDE!AE8,C3=10, COMMANDE!AG8, C3=11, COMMANDE!AI8, C3=12, COMMANDE!AK8, C3=13, COMMANDE!AM8, C3=14, COMMANDE!AO8, C3=15, COMMANDE!AQ8, C3=16, COMMANDE!AS8, C3=17, COMMANDE!AU8, C3=18, COMMANDE!AW8, C3=19, COMMANDE!AY8, C21, COMMANDE!BA8)</f>
        <v>À REMPLIR</v>
      </c>
      <c r="D5" s="446"/>
      <c r="E5" s="447"/>
      <c r="F5" s="471"/>
    </row>
    <row r="6" spans="1:6" ht="14.1" customHeight="1">
      <c r="A6" s="234"/>
      <c r="B6" s="235" t="s">
        <v>111</v>
      </c>
      <c r="C6" s="183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449"/>
      <c r="E6" s="450"/>
      <c r="F6" s="472"/>
    </row>
    <row r="7" spans="1:6" ht="34.5" customHeight="1">
      <c r="A7" s="234"/>
      <c r="B7" s="235" t="s">
        <v>112</v>
      </c>
      <c r="C7" s="468"/>
      <c r="D7" s="468"/>
      <c r="E7" s="468"/>
      <c r="F7" s="468"/>
    </row>
    <row r="8" spans="1:6" ht="45" customHeight="1">
      <c r="A8" s="236" t="s">
        <v>84</v>
      </c>
      <c r="B8" s="237" t="s">
        <v>71</v>
      </c>
      <c r="C8" s="237" t="s">
        <v>73</v>
      </c>
      <c r="D8" s="237" t="s">
        <v>113</v>
      </c>
      <c r="E8" s="236" t="s">
        <v>79</v>
      </c>
      <c r="F8" s="236" t="s">
        <v>80</v>
      </c>
    </row>
    <row r="9" spans="1:6" s="115" customFormat="1" ht="30" customHeight="1">
      <c r="A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" s="120" t="e">
        <f>#REF!</f>
        <v>#REF!</v>
      </c>
      <c r="C9" s="238" t="e">
        <f>#REF!</f>
        <v>#REF!</v>
      </c>
      <c r="D9" s="120" t="e">
        <f>#REF!</f>
        <v>#REF!</v>
      </c>
      <c r="E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" spans="1:6" s="115" customFormat="1" ht="30" customHeight="1">
      <c r="A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" s="120" t="e">
        <f>#REF!</f>
        <v>#REF!</v>
      </c>
      <c r="C10" s="238" t="e">
        <f>#REF!</f>
        <v>#REF!</v>
      </c>
      <c r="D10" s="120" t="e">
        <f>#REF!</f>
        <v>#REF!</v>
      </c>
      <c r="E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" spans="1:6" s="115" customFormat="1" ht="30" customHeight="1">
      <c r="A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" s="120" t="e">
        <f>#REF!</f>
        <v>#REF!</v>
      </c>
      <c r="C11" s="238" t="e">
        <f>#REF!</f>
        <v>#REF!</v>
      </c>
      <c r="D11" s="120" t="e">
        <f>#REF!</f>
        <v>#REF!</v>
      </c>
      <c r="E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" spans="1:6" s="115" customFormat="1" ht="30" customHeight="1">
      <c r="A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" s="120" t="e">
        <f>#REF!</f>
        <v>#REF!</v>
      </c>
      <c r="C12" s="238" t="e">
        <f>#REF!</f>
        <v>#REF!</v>
      </c>
      <c r="D12" s="120" t="e">
        <f>#REF!</f>
        <v>#REF!</v>
      </c>
      <c r="E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" spans="1:6" s="115" customFormat="1" ht="30" customHeight="1">
      <c r="A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" s="120" t="e">
        <f>#REF!</f>
        <v>#REF!</v>
      </c>
      <c r="C13" s="238" t="e">
        <f>#REF!</f>
        <v>#REF!</v>
      </c>
      <c r="D13" s="120" t="e">
        <f>#REF!</f>
        <v>#REF!</v>
      </c>
      <c r="E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" spans="1:6" s="115" customFormat="1" ht="30" customHeight="1">
      <c r="A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" s="120" t="e">
        <f>#REF!</f>
        <v>#REF!</v>
      </c>
      <c r="C14" s="238" t="e">
        <f>#REF!</f>
        <v>#REF!</v>
      </c>
      <c r="D14" s="120" t="e">
        <f>#REF!</f>
        <v>#REF!</v>
      </c>
      <c r="E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" spans="1:6" s="115" customFormat="1" ht="30" customHeight="1">
      <c r="A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" s="120" t="e">
        <f>#REF!</f>
        <v>#REF!</v>
      </c>
      <c r="C15" s="238" t="e">
        <f>#REF!</f>
        <v>#REF!</v>
      </c>
      <c r="D15" s="120" t="e">
        <f>#REF!</f>
        <v>#REF!</v>
      </c>
      <c r="E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" spans="1:6" s="115" customFormat="1" ht="30" customHeight="1">
      <c r="A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" s="120" t="e">
        <f>#REF!</f>
        <v>#REF!</v>
      </c>
      <c r="C16" s="238" t="e">
        <f>#REF!</f>
        <v>#REF!</v>
      </c>
      <c r="D16" s="120" t="e">
        <f>#REF!</f>
        <v>#REF!</v>
      </c>
      <c r="E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" spans="1:6" s="115" customFormat="1" ht="30" customHeight="1">
      <c r="A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" s="120" t="e">
        <f>#REF!</f>
        <v>#REF!</v>
      </c>
      <c r="C17" s="238" t="e">
        <f>#REF!</f>
        <v>#REF!</v>
      </c>
      <c r="D17" s="120" t="e">
        <f>#REF!</f>
        <v>#REF!</v>
      </c>
      <c r="E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" spans="1:6" s="115" customFormat="1" ht="30" customHeight="1">
      <c r="A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" s="120" t="e">
        <f>#REF!</f>
        <v>#REF!</v>
      </c>
      <c r="C18" s="238" t="e">
        <f>#REF!</f>
        <v>#REF!</v>
      </c>
      <c r="D18" s="120" t="e">
        <f>#REF!</f>
        <v>#REF!</v>
      </c>
      <c r="E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" spans="1:6" s="115" customFormat="1" ht="30" customHeight="1">
      <c r="A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" s="120" t="e">
        <f>#REF!</f>
        <v>#REF!</v>
      </c>
      <c r="C19" s="238" t="e">
        <f>#REF!</f>
        <v>#REF!</v>
      </c>
      <c r="D19" s="120" t="e">
        <f>#REF!</f>
        <v>#REF!</v>
      </c>
      <c r="E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" spans="1:6" s="115" customFormat="1" ht="30" customHeight="1">
      <c r="A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" s="120" t="e">
        <f>#REF!</f>
        <v>#REF!</v>
      </c>
      <c r="C20" s="238" t="e">
        <f>#REF!</f>
        <v>#REF!</v>
      </c>
      <c r="D20" s="120" t="e">
        <f>#REF!</f>
        <v>#REF!</v>
      </c>
      <c r="E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" spans="1:6" s="115" customFormat="1" ht="30" customHeight="1">
      <c r="A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" s="120" t="e">
        <f>#REF!</f>
        <v>#REF!</v>
      </c>
      <c r="C21" s="238" t="e">
        <f>#REF!</f>
        <v>#REF!</v>
      </c>
      <c r="D21" s="120" t="e">
        <f>#REF!</f>
        <v>#REF!</v>
      </c>
      <c r="E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" spans="1:6" s="115" customFormat="1" ht="30" customHeight="1">
      <c r="A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" s="120" t="e">
        <f>#REF!</f>
        <v>#REF!</v>
      </c>
      <c r="C22" s="238" t="e">
        <f>#REF!</f>
        <v>#REF!</v>
      </c>
      <c r="D22" s="120" t="e">
        <f>#REF!</f>
        <v>#REF!</v>
      </c>
      <c r="E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" spans="1:6" s="115" customFormat="1" ht="30" customHeight="1">
      <c r="A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" s="120" t="e">
        <f>#REF!</f>
        <v>#REF!</v>
      </c>
      <c r="C23" s="238" t="e">
        <f>#REF!</f>
        <v>#REF!</v>
      </c>
      <c r="D23" s="120" t="e">
        <f>#REF!</f>
        <v>#REF!</v>
      </c>
      <c r="E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" spans="1:6" s="115" customFormat="1" ht="30" customHeight="1">
      <c r="A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" s="120" t="e">
        <f>#REF!</f>
        <v>#REF!</v>
      </c>
      <c r="C24" s="238" t="e">
        <f>#REF!</f>
        <v>#REF!</v>
      </c>
      <c r="D24" s="120" t="e">
        <f>#REF!</f>
        <v>#REF!</v>
      </c>
      <c r="E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" spans="1:6" s="115" customFormat="1" ht="30" customHeight="1">
      <c r="A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" s="120" t="e">
        <f>#REF!</f>
        <v>#REF!</v>
      </c>
      <c r="C25" s="238" t="e">
        <f>#REF!</f>
        <v>#REF!</v>
      </c>
      <c r="D25" s="120" t="e">
        <f>#REF!</f>
        <v>#REF!</v>
      </c>
      <c r="E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6" spans="1:6" s="115" customFormat="1" ht="30" customHeight="1">
      <c r="A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6" s="120" t="e">
        <f>#REF!</f>
        <v>#REF!</v>
      </c>
      <c r="C26" s="238" t="e">
        <f>#REF!</f>
        <v>#REF!</v>
      </c>
      <c r="D26" s="120" t="e">
        <f>#REF!</f>
        <v>#REF!</v>
      </c>
      <c r="E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7" spans="1:6" s="115" customFormat="1" ht="30" customHeight="1">
      <c r="A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7" s="120" t="e">
        <f>#REF!</f>
        <v>#REF!</v>
      </c>
      <c r="C27" s="238" t="e">
        <f>#REF!</f>
        <v>#REF!</v>
      </c>
      <c r="D27" s="120" t="e">
        <f>#REF!</f>
        <v>#REF!</v>
      </c>
      <c r="E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8" spans="1:6" s="115" customFormat="1" ht="30" customHeight="1">
      <c r="A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8" s="120" t="e">
        <f>#REF!</f>
        <v>#REF!</v>
      </c>
      <c r="C28" s="238" t="e">
        <f>#REF!</f>
        <v>#REF!</v>
      </c>
      <c r="D28" s="120" t="e">
        <f>#REF!</f>
        <v>#REF!</v>
      </c>
      <c r="E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9" spans="1:6" s="115" customFormat="1" ht="30" customHeight="1">
      <c r="A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9" s="120" t="e">
        <f>#REF!</f>
        <v>#REF!</v>
      </c>
      <c r="C29" s="238" t="e">
        <f>#REF!</f>
        <v>#REF!</v>
      </c>
      <c r="D29" s="120" t="e">
        <f>#REF!</f>
        <v>#REF!</v>
      </c>
      <c r="E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0" spans="1:6" s="115" customFormat="1" ht="30" customHeight="1">
      <c r="A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0" s="120" t="e">
        <f>#REF!</f>
        <v>#REF!</v>
      </c>
      <c r="C30" s="238" t="e">
        <f>#REF!</f>
        <v>#REF!</v>
      </c>
      <c r="D30" s="120" t="e">
        <f>#REF!</f>
        <v>#REF!</v>
      </c>
      <c r="E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1" spans="1:6" s="115" customFormat="1" ht="30" customHeight="1">
      <c r="A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1" s="120" t="e">
        <f>#REF!</f>
        <v>#REF!</v>
      </c>
      <c r="C31" s="238" t="e">
        <f>#REF!</f>
        <v>#REF!</v>
      </c>
      <c r="D31" s="120" t="e">
        <f>#REF!</f>
        <v>#REF!</v>
      </c>
      <c r="E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2" spans="1:6" s="115" customFormat="1" ht="30" customHeight="1">
      <c r="A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2" s="120" t="e">
        <f>#REF!</f>
        <v>#REF!</v>
      </c>
      <c r="C32" s="238" t="e">
        <f>#REF!</f>
        <v>#REF!</v>
      </c>
      <c r="D32" s="120" t="e">
        <f>#REF!</f>
        <v>#REF!</v>
      </c>
      <c r="E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3" spans="1:6" s="115" customFormat="1" ht="30" customHeight="1">
      <c r="A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3" s="120" t="e">
        <f>#REF!</f>
        <v>#REF!</v>
      </c>
      <c r="C33" s="238" t="e">
        <f>#REF!</f>
        <v>#REF!</v>
      </c>
      <c r="D33" s="120" t="e">
        <f>#REF!</f>
        <v>#REF!</v>
      </c>
      <c r="E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4" spans="1:6" s="115" customFormat="1" ht="30" customHeight="1">
      <c r="A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4" s="120" t="e">
        <f>#REF!</f>
        <v>#REF!</v>
      </c>
      <c r="C34" s="238" t="e">
        <f>#REF!</f>
        <v>#REF!</v>
      </c>
      <c r="D34" s="120" t="e">
        <f>#REF!</f>
        <v>#REF!</v>
      </c>
      <c r="E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5" spans="1:6" s="115" customFormat="1" ht="30" customHeight="1">
      <c r="A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5" s="120" t="e">
        <f>#REF!</f>
        <v>#REF!</v>
      </c>
      <c r="C35" s="238" t="e">
        <f>#REF!</f>
        <v>#REF!</v>
      </c>
      <c r="D35" s="120" t="e">
        <f>#REF!</f>
        <v>#REF!</v>
      </c>
      <c r="E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6" spans="1:6" s="115" customFormat="1" ht="30" customHeight="1">
      <c r="A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6" s="120" t="e">
        <f>#REF!</f>
        <v>#REF!</v>
      </c>
      <c r="C36" s="238" t="e">
        <f>#REF!</f>
        <v>#REF!</v>
      </c>
      <c r="D36" s="120" t="e">
        <f>#REF!</f>
        <v>#REF!</v>
      </c>
      <c r="E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7" spans="1:6" s="115" customFormat="1" ht="30" customHeight="1">
      <c r="A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7" s="120" t="e">
        <f>#REF!</f>
        <v>#REF!</v>
      </c>
      <c r="C37" s="238" t="e">
        <f>#REF!</f>
        <v>#REF!</v>
      </c>
      <c r="D37" s="120" t="e">
        <f>#REF!</f>
        <v>#REF!</v>
      </c>
      <c r="E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8" spans="1:6" s="115" customFormat="1" ht="30" customHeight="1">
      <c r="A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8" s="120" t="e">
        <f>#REF!</f>
        <v>#REF!</v>
      </c>
      <c r="C38" s="238" t="e">
        <f>#REF!</f>
        <v>#REF!</v>
      </c>
      <c r="D38" s="120" t="e">
        <f>#REF!</f>
        <v>#REF!</v>
      </c>
      <c r="E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9" spans="1:6" s="115" customFormat="1" ht="30" customHeight="1">
      <c r="A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9" s="120" t="e">
        <f>#REF!</f>
        <v>#REF!</v>
      </c>
      <c r="C39" s="238" t="e">
        <f>#REF!</f>
        <v>#REF!</v>
      </c>
      <c r="D39" s="120" t="e">
        <f>#REF!</f>
        <v>#REF!</v>
      </c>
      <c r="E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0" spans="1:6" s="115" customFormat="1" ht="30" customHeight="1">
      <c r="A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0" s="120" t="e">
        <f>#REF!</f>
        <v>#REF!</v>
      </c>
      <c r="C40" s="238" t="e">
        <f>#REF!</f>
        <v>#REF!</v>
      </c>
      <c r="D40" s="120" t="e">
        <f>#REF!</f>
        <v>#REF!</v>
      </c>
      <c r="E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1" spans="1:6" s="115" customFormat="1" ht="30" customHeight="1">
      <c r="A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1" s="120" t="e">
        <f>#REF!</f>
        <v>#REF!</v>
      </c>
      <c r="C41" s="238" t="e">
        <f>#REF!</f>
        <v>#REF!</v>
      </c>
      <c r="D41" s="120" t="e">
        <f>#REF!</f>
        <v>#REF!</v>
      </c>
      <c r="E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2" spans="1:6" s="115" customFormat="1" ht="30" customHeight="1">
      <c r="A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2" s="120" t="e">
        <f>#REF!</f>
        <v>#REF!</v>
      </c>
      <c r="C42" s="238" t="e">
        <f>#REF!</f>
        <v>#REF!</v>
      </c>
      <c r="D42" s="120" t="e">
        <f>#REF!</f>
        <v>#REF!</v>
      </c>
      <c r="E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3" spans="1:6" s="115" customFormat="1" ht="30" customHeight="1">
      <c r="A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3" s="120" t="e">
        <f>#REF!</f>
        <v>#REF!</v>
      </c>
      <c r="C43" s="238" t="e">
        <f>#REF!</f>
        <v>#REF!</v>
      </c>
      <c r="D43" s="120" t="e">
        <f>#REF!</f>
        <v>#REF!</v>
      </c>
      <c r="E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4" spans="1:6" s="115" customFormat="1" ht="30" customHeight="1">
      <c r="A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4" s="120" t="e">
        <f>#REF!</f>
        <v>#REF!</v>
      </c>
      <c r="C44" s="238" t="e">
        <f>#REF!</f>
        <v>#REF!</v>
      </c>
      <c r="D44" s="120" t="e">
        <f>#REF!</f>
        <v>#REF!</v>
      </c>
      <c r="E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5" spans="1:6" s="115" customFormat="1" ht="30" customHeight="1">
      <c r="A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5" s="120" t="e">
        <f>#REF!</f>
        <v>#REF!</v>
      </c>
      <c r="C45" s="238" t="e">
        <f>#REF!</f>
        <v>#REF!</v>
      </c>
      <c r="D45" s="120" t="e">
        <f>#REF!</f>
        <v>#REF!</v>
      </c>
      <c r="E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6" spans="1:6" s="115" customFormat="1" ht="30" customHeight="1">
      <c r="A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6" s="120" t="e">
        <f>#REF!</f>
        <v>#REF!</v>
      </c>
      <c r="C46" s="238" t="e">
        <f>#REF!</f>
        <v>#REF!</v>
      </c>
      <c r="D46" s="120" t="e">
        <f>#REF!</f>
        <v>#REF!</v>
      </c>
      <c r="E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7" spans="1:6" s="115" customFormat="1" ht="30" customHeight="1">
      <c r="A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7" s="120" t="e">
        <f>#REF!</f>
        <v>#REF!</v>
      </c>
      <c r="C47" s="238" t="e">
        <f>#REF!</f>
        <v>#REF!</v>
      </c>
      <c r="D47" s="120" t="e">
        <f>#REF!</f>
        <v>#REF!</v>
      </c>
      <c r="E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8" spans="1:6" s="115" customFormat="1" ht="30" customHeight="1">
      <c r="A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8" s="120" t="e">
        <f>#REF!</f>
        <v>#REF!</v>
      </c>
      <c r="C48" s="238" t="e">
        <f>#REF!</f>
        <v>#REF!</v>
      </c>
      <c r="D48" s="120" t="e">
        <f>#REF!</f>
        <v>#REF!</v>
      </c>
      <c r="E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9" spans="1:6" s="115" customFormat="1" ht="30" customHeight="1">
      <c r="A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9" s="120" t="e">
        <f>#REF!</f>
        <v>#REF!</v>
      </c>
      <c r="C49" s="238" t="e">
        <f>#REF!</f>
        <v>#REF!</v>
      </c>
      <c r="D49" s="120" t="e">
        <f>#REF!</f>
        <v>#REF!</v>
      </c>
      <c r="E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0" spans="1:6" s="115" customFormat="1" ht="30" customHeight="1">
      <c r="A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0" s="120" t="e">
        <f>#REF!</f>
        <v>#REF!</v>
      </c>
      <c r="C50" s="238" t="e">
        <f>#REF!</f>
        <v>#REF!</v>
      </c>
      <c r="D50" s="120" t="e">
        <f>#REF!</f>
        <v>#REF!</v>
      </c>
      <c r="E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1" spans="1:6" s="115" customFormat="1" ht="30" customHeight="1">
      <c r="A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1" s="120" t="e">
        <f>#REF!</f>
        <v>#REF!</v>
      </c>
      <c r="C51" s="238" t="e">
        <f>#REF!</f>
        <v>#REF!</v>
      </c>
      <c r="D51" s="120" t="e">
        <f>#REF!</f>
        <v>#REF!</v>
      </c>
      <c r="E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2" spans="1:6" s="115" customFormat="1" ht="30" customHeight="1">
      <c r="A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2" s="120" t="e">
        <f>#REF!</f>
        <v>#REF!</v>
      </c>
      <c r="C52" s="238" t="e">
        <f>#REF!</f>
        <v>#REF!</v>
      </c>
      <c r="D52" s="120" t="e">
        <f>#REF!</f>
        <v>#REF!</v>
      </c>
      <c r="E5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3" spans="1:6" s="115" customFormat="1" ht="30" customHeight="1">
      <c r="A5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3" s="120" t="e">
        <f>#REF!</f>
        <v>#REF!</v>
      </c>
      <c r="C53" s="238" t="e">
        <f>#REF!</f>
        <v>#REF!</v>
      </c>
      <c r="D53" s="120" t="e">
        <f>#REF!</f>
        <v>#REF!</v>
      </c>
      <c r="E5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4" spans="1:6" s="115" customFormat="1" ht="30" customHeight="1">
      <c r="A5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4" s="120" t="e">
        <f>#REF!</f>
        <v>#REF!</v>
      </c>
      <c r="C54" s="238" t="e">
        <f>#REF!</f>
        <v>#REF!</v>
      </c>
      <c r="D54" s="120" t="e">
        <f>#REF!</f>
        <v>#REF!</v>
      </c>
      <c r="E5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5" spans="1:6" s="115" customFormat="1" ht="30" customHeight="1">
      <c r="A5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5" s="120" t="e">
        <f>#REF!</f>
        <v>#REF!</v>
      </c>
      <c r="C55" s="238" t="e">
        <f>#REF!</f>
        <v>#REF!</v>
      </c>
      <c r="D55" s="120" t="e">
        <f>#REF!</f>
        <v>#REF!</v>
      </c>
      <c r="E5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6" spans="1:6" s="115" customFormat="1" ht="30" customHeight="1">
      <c r="A5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6" s="120" t="e">
        <f>#REF!</f>
        <v>#REF!</v>
      </c>
      <c r="C56" s="238" t="e">
        <f>#REF!</f>
        <v>#REF!</v>
      </c>
      <c r="D56" s="120" t="e">
        <f>#REF!</f>
        <v>#REF!</v>
      </c>
      <c r="E5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7" spans="1:6" s="115" customFormat="1" ht="30" customHeight="1">
      <c r="A5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7" s="120" t="e">
        <f>#REF!</f>
        <v>#REF!</v>
      </c>
      <c r="C57" s="238" t="e">
        <f>#REF!</f>
        <v>#REF!</v>
      </c>
      <c r="D57" s="120" t="e">
        <f>#REF!</f>
        <v>#REF!</v>
      </c>
      <c r="E5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8" spans="1:6" s="115" customFormat="1" ht="30" customHeight="1">
      <c r="A5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8" s="120" t="e">
        <f>#REF!</f>
        <v>#REF!</v>
      </c>
      <c r="C58" s="238" t="e">
        <f>#REF!</f>
        <v>#REF!</v>
      </c>
      <c r="D58" s="120" t="e">
        <f>#REF!</f>
        <v>#REF!</v>
      </c>
      <c r="E5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9" spans="1:6" s="115" customFormat="1" ht="30" customHeight="1">
      <c r="A5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9" s="120" t="e">
        <f>#REF!</f>
        <v>#REF!</v>
      </c>
      <c r="C59" s="238" t="e">
        <f>#REF!</f>
        <v>#REF!</v>
      </c>
      <c r="D59" s="120" t="e">
        <f>#REF!</f>
        <v>#REF!</v>
      </c>
      <c r="E5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0" spans="1:6" s="115" customFormat="1" ht="30" customHeight="1">
      <c r="A6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0" s="120" t="e">
        <f>#REF!</f>
        <v>#REF!</v>
      </c>
      <c r="C60" s="238" t="e">
        <f>#REF!</f>
        <v>#REF!</v>
      </c>
      <c r="D60" s="120" t="e">
        <f>#REF!</f>
        <v>#REF!</v>
      </c>
      <c r="E6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1" spans="1:6" s="115" customFormat="1" ht="30" customHeight="1">
      <c r="A6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1" s="120" t="e">
        <f>#REF!</f>
        <v>#REF!</v>
      </c>
      <c r="C61" s="238" t="e">
        <f>#REF!</f>
        <v>#REF!</v>
      </c>
      <c r="D61" s="120" t="e">
        <f>#REF!</f>
        <v>#REF!</v>
      </c>
      <c r="E6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2" spans="1:6" s="115" customFormat="1" ht="30" customHeight="1">
      <c r="A6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2" s="120" t="e">
        <f>#REF!</f>
        <v>#REF!</v>
      </c>
      <c r="C62" s="238" t="e">
        <f>#REF!</f>
        <v>#REF!</v>
      </c>
      <c r="D62" s="120" t="e">
        <f>#REF!</f>
        <v>#REF!</v>
      </c>
      <c r="E6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3" spans="1:6" s="115" customFormat="1" ht="30" customHeight="1">
      <c r="A6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3" s="120" t="e">
        <f>#REF!</f>
        <v>#REF!</v>
      </c>
      <c r="C63" s="238" t="e">
        <f>#REF!</f>
        <v>#REF!</v>
      </c>
      <c r="D63" s="120" t="e">
        <f>#REF!</f>
        <v>#REF!</v>
      </c>
      <c r="E6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4" spans="1:6" s="115" customFormat="1" ht="30" customHeight="1">
      <c r="A6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4" s="120" t="e">
        <f>#REF!</f>
        <v>#REF!</v>
      </c>
      <c r="C64" s="238" t="e">
        <f>#REF!</f>
        <v>#REF!</v>
      </c>
      <c r="D64" s="120" t="e">
        <f>#REF!</f>
        <v>#REF!</v>
      </c>
      <c r="E6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5" spans="1:6" s="115" customFormat="1" ht="30" customHeight="1">
      <c r="A6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5" s="120" t="e">
        <f>#REF!</f>
        <v>#REF!</v>
      </c>
      <c r="C65" s="238" t="e">
        <f>#REF!</f>
        <v>#REF!</v>
      </c>
      <c r="D65" s="120" t="e">
        <f>#REF!</f>
        <v>#REF!</v>
      </c>
      <c r="E6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6" spans="1:6" s="115" customFormat="1" ht="30" customHeight="1">
      <c r="A6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6" s="120" t="e">
        <f>#REF!</f>
        <v>#REF!</v>
      </c>
      <c r="C66" s="238" t="e">
        <f>#REF!</f>
        <v>#REF!</v>
      </c>
      <c r="D66" s="120" t="e">
        <f>#REF!</f>
        <v>#REF!</v>
      </c>
      <c r="E6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7" spans="1:6" s="115" customFormat="1" ht="30" customHeight="1">
      <c r="A6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7" s="120" t="e">
        <f>#REF!</f>
        <v>#REF!</v>
      </c>
      <c r="C67" s="238" t="e">
        <f>#REF!</f>
        <v>#REF!</v>
      </c>
      <c r="D67" s="120" t="e">
        <f>#REF!</f>
        <v>#REF!</v>
      </c>
      <c r="E6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8" spans="1:6" s="115" customFormat="1" ht="30" customHeight="1">
      <c r="A6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8" s="120" t="e">
        <f>#REF!</f>
        <v>#REF!</v>
      </c>
      <c r="C68" s="238" t="e">
        <f>#REF!</f>
        <v>#REF!</v>
      </c>
      <c r="D68" s="120" t="e">
        <f>#REF!</f>
        <v>#REF!</v>
      </c>
      <c r="E6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9" spans="1:6" s="115" customFormat="1" ht="30" customHeight="1">
      <c r="A6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9" s="120" t="e">
        <f>#REF!</f>
        <v>#REF!</v>
      </c>
      <c r="C69" s="238" t="e">
        <f>#REF!</f>
        <v>#REF!</v>
      </c>
      <c r="D69" s="120" t="e">
        <f>#REF!</f>
        <v>#REF!</v>
      </c>
      <c r="E6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0" spans="1:6" s="115" customFormat="1" ht="30" customHeight="1">
      <c r="A7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0" s="120" t="e">
        <f>#REF!</f>
        <v>#REF!</v>
      </c>
      <c r="C70" s="238" t="e">
        <f>#REF!</f>
        <v>#REF!</v>
      </c>
      <c r="D70" s="120" t="e">
        <f>#REF!</f>
        <v>#REF!</v>
      </c>
      <c r="E7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1" spans="1:6" s="115" customFormat="1" ht="30" customHeight="1">
      <c r="A7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1" s="120" t="e">
        <f>#REF!</f>
        <v>#REF!</v>
      </c>
      <c r="C71" s="238" t="e">
        <f>#REF!</f>
        <v>#REF!</v>
      </c>
      <c r="D71" s="120" t="e">
        <f>#REF!</f>
        <v>#REF!</v>
      </c>
      <c r="E7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2" spans="1:6" s="115" customFormat="1" ht="30" customHeight="1">
      <c r="A7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2" s="120" t="e">
        <f>#REF!</f>
        <v>#REF!</v>
      </c>
      <c r="C72" s="238" t="e">
        <f>#REF!</f>
        <v>#REF!</v>
      </c>
      <c r="D72" s="120" t="e">
        <f>#REF!</f>
        <v>#REF!</v>
      </c>
      <c r="E7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3" spans="1:6" s="115" customFormat="1" ht="30" customHeight="1">
      <c r="A7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3" s="120" t="e">
        <f>#REF!</f>
        <v>#REF!</v>
      </c>
      <c r="C73" s="238" t="e">
        <f>#REF!</f>
        <v>#REF!</v>
      </c>
      <c r="D73" s="120" t="e">
        <f>#REF!</f>
        <v>#REF!</v>
      </c>
      <c r="E7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4" spans="1:6" s="115" customFormat="1" ht="30" customHeight="1">
      <c r="A7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4" s="120" t="e">
        <f>#REF!</f>
        <v>#REF!</v>
      </c>
      <c r="C74" s="238" t="e">
        <f>#REF!</f>
        <v>#REF!</v>
      </c>
      <c r="D74" s="120" t="e">
        <f>#REF!</f>
        <v>#REF!</v>
      </c>
      <c r="E7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5" spans="1:6" s="115" customFormat="1" ht="30" customHeight="1">
      <c r="A7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5" s="120" t="e">
        <f>#REF!</f>
        <v>#REF!</v>
      </c>
      <c r="C75" s="238" t="e">
        <f>#REF!</f>
        <v>#REF!</v>
      </c>
      <c r="D75" s="120" t="e">
        <f>#REF!</f>
        <v>#REF!</v>
      </c>
      <c r="E7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6" spans="1:6" s="115" customFormat="1" ht="30" customHeight="1">
      <c r="A7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6" s="120" t="e">
        <f>#REF!</f>
        <v>#REF!</v>
      </c>
      <c r="C76" s="238" t="e">
        <f>#REF!</f>
        <v>#REF!</v>
      </c>
      <c r="D76" s="120" t="e">
        <f>#REF!</f>
        <v>#REF!</v>
      </c>
      <c r="E7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7" spans="1:6" s="115" customFormat="1" ht="30" customHeight="1">
      <c r="A7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7" s="120" t="e">
        <f>#REF!</f>
        <v>#REF!</v>
      </c>
      <c r="C77" s="238" t="e">
        <f>#REF!</f>
        <v>#REF!</v>
      </c>
      <c r="D77" s="120" t="e">
        <f>#REF!</f>
        <v>#REF!</v>
      </c>
      <c r="E7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8" spans="1:6" s="115" customFormat="1" ht="30" customHeight="1">
      <c r="A7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8" s="120" t="e">
        <f>#REF!</f>
        <v>#REF!</v>
      </c>
      <c r="C78" s="238" t="e">
        <f>#REF!</f>
        <v>#REF!</v>
      </c>
      <c r="D78" s="120" t="e">
        <f>#REF!</f>
        <v>#REF!</v>
      </c>
      <c r="E7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9" spans="1:6" s="115" customFormat="1" ht="30" customHeight="1">
      <c r="A7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9" s="120" t="e">
        <f>#REF!</f>
        <v>#REF!</v>
      </c>
      <c r="C79" s="238" t="e">
        <f>#REF!</f>
        <v>#REF!</v>
      </c>
      <c r="D79" s="120" t="e">
        <f>#REF!</f>
        <v>#REF!</v>
      </c>
      <c r="E7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0" spans="1:6" s="115" customFormat="1" ht="30" customHeight="1">
      <c r="A8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0" s="120" t="e">
        <f>#REF!</f>
        <v>#REF!</v>
      </c>
      <c r="C80" s="238" t="e">
        <f>#REF!</f>
        <v>#REF!</v>
      </c>
      <c r="D80" s="120" t="e">
        <f>#REF!</f>
        <v>#REF!</v>
      </c>
      <c r="E8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1" spans="1:6" s="115" customFormat="1" ht="30" customHeight="1">
      <c r="A8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1" s="120" t="e">
        <f>#REF!</f>
        <v>#REF!</v>
      </c>
      <c r="C81" s="238" t="e">
        <f>#REF!</f>
        <v>#REF!</v>
      </c>
      <c r="D81" s="120" t="e">
        <f>#REF!</f>
        <v>#REF!</v>
      </c>
      <c r="E8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2" spans="1:6" s="115" customFormat="1" ht="30" customHeight="1">
      <c r="A8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2" s="120" t="e">
        <f>#REF!</f>
        <v>#REF!</v>
      </c>
      <c r="C82" s="238" t="e">
        <f>#REF!</f>
        <v>#REF!</v>
      </c>
      <c r="D82" s="120" t="e">
        <f>#REF!</f>
        <v>#REF!</v>
      </c>
      <c r="E8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3" spans="1:6" s="115" customFormat="1" ht="30" customHeight="1">
      <c r="A8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3" s="120" t="e">
        <f>#REF!</f>
        <v>#REF!</v>
      </c>
      <c r="C83" s="238" t="e">
        <f>#REF!</f>
        <v>#REF!</v>
      </c>
      <c r="D83" s="120" t="e">
        <f>#REF!</f>
        <v>#REF!</v>
      </c>
      <c r="E8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4" spans="1:6" s="115" customFormat="1" ht="30" customHeight="1">
      <c r="A8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4" s="120" t="e">
        <f>#REF!</f>
        <v>#REF!</v>
      </c>
      <c r="C84" s="238" t="e">
        <f>#REF!</f>
        <v>#REF!</v>
      </c>
      <c r="D84" s="120" t="e">
        <f>#REF!</f>
        <v>#REF!</v>
      </c>
      <c r="E8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5" spans="1:6" s="115" customFormat="1" ht="30" customHeight="1">
      <c r="A8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5" s="120" t="e">
        <f>#REF!</f>
        <v>#REF!</v>
      </c>
      <c r="C85" s="238" t="e">
        <f>#REF!</f>
        <v>#REF!</v>
      </c>
      <c r="D85" s="120" t="e">
        <f>#REF!</f>
        <v>#REF!</v>
      </c>
      <c r="E8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6" spans="1:6" s="115" customFormat="1" ht="30" customHeight="1">
      <c r="A8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6" s="120" t="e">
        <f>#REF!</f>
        <v>#REF!</v>
      </c>
      <c r="C86" s="238" t="e">
        <f>#REF!</f>
        <v>#REF!</v>
      </c>
      <c r="D86" s="120" t="e">
        <f>#REF!</f>
        <v>#REF!</v>
      </c>
      <c r="E8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7" spans="1:6" s="115" customFormat="1" ht="30" customHeight="1">
      <c r="A8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7" s="120" t="e">
        <f>#REF!</f>
        <v>#REF!</v>
      </c>
      <c r="C87" s="238" t="e">
        <f>#REF!</f>
        <v>#REF!</v>
      </c>
      <c r="D87" s="120" t="e">
        <f>#REF!</f>
        <v>#REF!</v>
      </c>
      <c r="E8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8" spans="1:6" s="115" customFormat="1" ht="30" customHeight="1">
      <c r="A8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8" s="120" t="e">
        <f>#REF!</f>
        <v>#REF!</v>
      </c>
      <c r="C88" s="238" t="e">
        <f>#REF!</f>
        <v>#REF!</v>
      </c>
      <c r="D88" s="120" t="e">
        <f>#REF!</f>
        <v>#REF!</v>
      </c>
      <c r="E8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9" spans="1:6" s="115" customFormat="1" ht="30" customHeight="1">
      <c r="A8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9" s="120" t="e">
        <f>#REF!</f>
        <v>#REF!</v>
      </c>
      <c r="C89" s="238" t="e">
        <f>#REF!</f>
        <v>#REF!</v>
      </c>
      <c r="D89" s="120" t="e">
        <f>#REF!</f>
        <v>#REF!</v>
      </c>
      <c r="E8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0" spans="1:6" s="115" customFormat="1" ht="30" customHeight="1">
      <c r="A9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0" s="120" t="e">
        <f>#REF!</f>
        <v>#REF!</v>
      </c>
      <c r="C90" s="238" t="e">
        <f>#REF!</f>
        <v>#REF!</v>
      </c>
      <c r="D90" s="120" t="e">
        <f>#REF!</f>
        <v>#REF!</v>
      </c>
      <c r="E9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1" spans="1:6" s="115" customFormat="1" ht="30" customHeight="1">
      <c r="A9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1" s="120" t="e">
        <f>#REF!</f>
        <v>#REF!</v>
      </c>
      <c r="C91" s="238" t="e">
        <f>#REF!</f>
        <v>#REF!</v>
      </c>
      <c r="D91" s="120" t="e">
        <f>#REF!</f>
        <v>#REF!</v>
      </c>
      <c r="E9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2" spans="1:6" s="115" customFormat="1" ht="30" customHeight="1">
      <c r="A9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2" s="120" t="e">
        <f>#REF!</f>
        <v>#REF!</v>
      </c>
      <c r="C92" s="238" t="e">
        <f>#REF!</f>
        <v>#REF!</v>
      </c>
      <c r="D92" s="120" t="e">
        <f>#REF!</f>
        <v>#REF!</v>
      </c>
      <c r="E9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3" spans="1:6" s="115" customFormat="1" ht="30" customHeight="1">
      <c r="A9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3" s="120" t="e">
        <f>#REF!</f>
        <v>#REF!</v>
      </c>
      <c r="C93" s="238" t="e">
        <f>#REF!</f>
        <v>#REF!</v>
      </c>
      <c r="D93" s="120" t="e">
        <f>#REF!</f>
        <v>#REF!</v>
      </c>
      <c r="E9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4" spans="1:6" s="115" customFormat="1" ht="30" customHeight="1">
      <c r="A9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4" s="120" t="e">
        <f>#REF!</f>
        <v>#REF!</v>
      </c>
      <c r="C94" s="238" t="e">
        <f>#REF!</f>
        <v>#REF!</v>
      </c>
      <c r="D94" s="120" t="e">
        <f>#REF!</f>
        <v>#REF!</v>
      </c>
      <c r="E9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5" spans="1:6" s="115" customFormat="1" ht="30" customHeight="1">
      <c r="A9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5" s="120" t="e">
        <f>#REF!</f>
        <v>#REF!</v>
      </c>
      <c r="C95" s="238" t="e">
        <f>#REF!</f>
        <v>#REF!</v>
      </c>
      <c r="D95" s="120" t="e">
        <f>#REF!</f>
        <v>#REF!</v>
      </c>
      <c r="E9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6" spans="1:6" s="115" customFormat="1" ht="30" customHeight="1">
      <c r="A9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6" s="120" t="e">
        <f>#REF!</f>
        <v>#REF!</v>
      </c>
      <c r="C96" s="238" t="e">
        <f>#REF!</f>
        <v>#REF!</v>
      </c>
      <c r="D96" s="120" t="e">
        <f>#REF!</f>
        <v>#REF!</v>
      </c>
      <c r="E9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7" spans="1:6" s="115" customFormat="1" ht="30" customHeight="1">
      <c r="A9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7" s="120" t="e">
        <f>#REF!</f>
        <v>#REF!</v>
      </c>
      <c r="C97" s="238" t="e">
        <f>#REF!</f>
        <v>#REF!</v>
      </c>
      <c r="D97" s="120" t="e">
        <f>#REF!</f>
        <v>#REF!</v>
      </c>
      <c r="E9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8" spans="1:6" s="115" customFormat="1" ht="30" customHeight="1">
      <c r="A9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8" s="120" t="e">
        <f>#REF!</f>
        <v>#REF!</v>
      </c>
      <c r="C98" s="238" t="e">
        <f>#REF!</f>
        <v>#REF!</v>
      </c>
      <c r="D98" s="120" t="e">
        <f>#REF!</f>
        <v>#REF!</v>
      </c>
      <c r="E9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9" spans="1:6" s="115" customFormat="1" ht="30" customHeight="1">
      <c r="A9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9" s="120" t="e">
        <f>#REF!</f>
        <v>#REF!</v>
      </c>
      <c r="C99" s="238" t="e">
        <f>#REF!</f>
        <v>#REF!</v>
      </c>
      <c r="D99" s="120" t="e">
        <f>#REF!</f>
        <v>#REF!</v>
      </c>
      <c r="E9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0" spans="1:6" s="115" customFormat="1" ht="30" customHeight="1">
      <c r="A10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0" s="120" t="e">
        <f>#REF!</f>
        <v>#REF!</v>
      </c>
      <c r="C100" s="238" t="e">
        <f>#REF!</f>
        <v>#REF!</v>
      </c>
      <c r="D100" s="120" t="e">
        <f>#REF!</f>
        <v>#REF!</v>
      </c>
      <c r="E10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1" spans="1:6" s="115" customFormat="1" ht="30" customHeight="1">
      <c r="A10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1" s="120" t="e">
        <f>#REF!</f>
        <v>#REF!</v>
      </c>
      <c r="C101" s="238" t="e">
        <f>#REF!</f>
        <v>#REF!</v>
      </c>
      <c r="D101" s="120" t="e">
        <f>#REF!</f>
        <v>#REF!</v>
      </c>
      <c r="E10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2" spans="1:6" s="115" customFormat="1" ht="30" customHeight="1">
      <c r="A10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2" s="120" t="e">
        <f>#REF!</f>
        <v>#REF!</v>
      </c>
      <c r="C102" s="238" t="e">
        <f>#REF!</f>
        <v>#REF!</v>
      </c>
      <c r="D102" s="120" t="e">
        <f>#REF!</f>
        <v>#REF!</v>
      </c>
      <c r="E10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3" spans="1:6" s="115" customFormat="1" ht="30" customHeight="1">
      <c r="A10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3" s="120" t="e">
        <f>#REF!</f>
        <v>#REF!</v>
      </c>
      <c r="C103" s="238" t="e">
        <f>#REF!</f>
        <v>#REF!</v>
      </c>
      <c r="D103" s="120" t="e">
        <f>#REF!</f>
        <v>#REF!</v>
      </c>
      <c r="E10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4" spans="1:6" s="115" customFormat="1" ht="30" customHeight="1">
      <c r="A10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4" s="120" t="e">
        <f>#REF!</f>
        <v>#REF!</v>
      </c>
      <c r="C104" s="238" t="e">
        <f>#REF!</f>
        <v>#REF!</v>
      </c>
      <c r="D104" s="120" t="e">
        <f>#REF!</f>
        <v>#REF!</v>
      </c>
      <c r="E10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5" spans="1:6" s="115" customFormat="1" ht="30" customHeight="1">
      <c r="A10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5" s="120" t="e">
        <f>#REF!</f>
        <v>#REF!</v>
      </c>
      <c r="C105" s="238" t="e">
        <f>#REF!</f>
        <v>#REF!</v>
      </c>
      <c r="D105" s="120" t="e">
        <f>#REF!</f>
        <v>#REF!</v>
      </c>
      <c r="E10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6" spans="1:6" s="115" customFormat="1" ht="30" customHeight="1">
      <c r="A10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6" s="120" t="e">
        <f>#REF!</f>
        <v>#REF!</v>
      </c>
      <c r="C106" s="238" t="e">
        <f>#REF!</f>
        <v>#REF!</v>
      </c>
      <c r="D106" s="120" t="e">
        <f>#REF!</f>
        <v>#REF!</v>
      </c>
      <c r="E10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7" spans="1:6" s="115" customFormat="1" ht="30" customHeight="1">
      <c r="A10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7" s="120" t="e">
        <f>#REF!</f>
        <v>#REF!</v>
      </c>
      <c r="C107" s="238" t="e">
        <f>#REF!</f>
        <v>#REF!</v>
      </c>
      <c r="D107" s="120" t="e">
        <f>#REF!</f>
        <v>#REF!</v>
      </c>
      <c r="E10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8" spans="1:6" s="115" customFormat="1" ht="30" customHeight="1">
      <c r="A10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8" s="120" t="e">
        <f>#REF!</f>
        <v>#REF!</v>
      </c>
      <c r="C108" s="238" t="e">
        <f>#REF!</f>
        <v>#REF!</v>
      </c>
      <c r="D108" s="120" t="e">
        <f>#REF!</f>
        <v>#REF!</v>
      </c>
      <c r="E10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9" spans="1:6" s="115" customFormat="1" ht="30" customHeight="1">
      <c r="A10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9" s="120" t="e">
        <f>#REF!</f>
        <v>#REF!</v>
      </c>
      <c r="C109" s="238" t="e">
        <f>#REF!</f>
        <v>#REF!</v>
      </c>
      <c r="D109" s="120" t="e">
        <f>#REF!</f>
        <v>#REF!</v>
      </c>
      <c r="E10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0" spans="1:6" s="115" customFormat="1" ht="30" customHeight="1">
      <c r="A1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0" s="120" t="e">
        <f>#REF!</f>
        <v>#REF!</v>
      </c>
      <c r="C110" s="238" t="e">
        <f>#REF!</f>
        <v>#REF!</v>
      </c>
      <c r="D110" s="120" t="e">
        <f>#REF!</f>
        <v>#REF!</v>
      </c>
      <c r="E1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1" spans="1:6" s="115" customFormat="1" ht="30" customHeight="1">
      <c r="A1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1" s="120" t="e">
        <f>#REF!</f>
        <v>#REF!</v>
      </c>
      <c r="C111" s="238" t="e">
        <f>#REF!</f>
        <v>#REF!</v>
      </c>
      <c r="D111" s="120" t="e">
        <f>#REF!</f>
        <v>#REF!</v>
      </c>
      <c r="E1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2" spans="1:6" s="115" customFormat="1" ht="30" customHeight="1">
      <c r="A1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2" s="120" t="e">
        <f>#REF!</f>
        <v>#REF!</v>
      </c>
      <c r="C112" s="238" t="e">
        <f>#REF!</f>
        <v>#REF!</v>
      </c>
      <c r="D112" s="120" t="e">
        <f>#REF!</f>
        <v>#REF!</v>
      </c>
      <c r="E1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3" spans="1:6" s="115" customFormat="1" ht="30" customHeight="1">
      <c r="A1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3" s="120" t="e">
        <f>#REF!</f>
        <v>#REF!</v>
      </c>
      <c r="C113" s="238" t="e">
        <f>#REF!</f>
        <v>#REF!</v>
      </c>
      <c r="D113" s="120" t="e">
        <f>#REF!</f>
        <v>#REF!</v>
      </c>
      <c r="E1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4" spans="1:6" s="115" customFormat="1" ht="30" customHeight="1">
      <c r="A1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4" s="120" t="e">
        <f>#REF!</f>
        <v>#REF!</v>
      </c>
      <c r="C114" s="238" t="e">
        <f>#REF!</f>
        <v>#REF!</v>
      </c>
      <c r="D114" s="120" t="e">
        <f>#REF!</f>
        <v>#REF!</v>
      </c>
      <c r="E1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5" spans="1:6" s="115" customFormat="1" ht="30" customHeight="1">
      <c r="A1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5" s="120" t="e">
        <f>#REF!</f>
        <v>#REF!</v>
      </c>
      <c r="C115" s="238" t="e">
        <f>#REF!</f>
        <v>#REF!</v>
      </c>
      <c r="D115" s="120" t="e">
        <f>#REF!</f>
        <v>#REF!</v>
      </c>
      <c r="E1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6" spans="1:6" s="115" customFormat="1" ht="30" customHeight="1">
      <c r="A1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6" s="120" t="e">
        <f>#REF!</f>
        <v>#REF!</v>
      </c>
      <c r="C116" s="238" t="e">
        <f>#REF!</f>
        <v>#REF!</v>
      </c>
      <c r="D116" s="120" t="e">
        <f>#REF!</f>
        <v>#REF!</v>
      </c>
      <c r="E1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7" spans="1:6" s="115" customFormat="1" ht="30" customHeight="1">
      <c r="A1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7" s="120" t="e">
        <f>#REF!</f>
        <v>#REF!</v>
      </c>
      <c r="C117" s="238" t="e">
        <f>#REF!</f>
        <v>#REF!</v>
      </c>
      <c r="D117" s="120" t="e">
        <f>#REF!</f>
        <v>#REF!</v>
      </c>
      <c r="E1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8" spans="1:6" s="115" customFormat="1" ht="30" customHeight="1">
      <c r="A1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8" s="120" t="e">
        <f>#REF!</f>
        <v>#REF!</v>
      </c>
      <c r="C118" s="238" t="e">
        <f>#REF!</f>
        <v>#REF!</v>
      </c>
      <c r="D118" s="120" t="e">
        <f>#REF!</f>
        <v>#REF!</v>
      </c>
      <c r="E1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9" spans="1:6" s="115" customFormat="1" ht="30" customHeight="1">
      <c r="A1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9" s="120" t="e">
        <f>#REF!</f>
        <v>#REF!</v>
      </c>
      <c r="C119" s="238" t="e">
        <f>#REF!</f>
        <v>#REF!</v>
      </c>
      <c r="D119" s="120" t="e">
        <f>#REF!</f>
        <v>#REF!</v>
      </c>
      <c r="E1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0" spans="1:6" s="115" customFormat="1" ht="30" customHeight="1">
      <c r="A1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0" s="120" t="e">
        <f>#REF!</f>
        <v>#REF!</v>
      </c>
      <c r="C120" s="238" t="e">
        <f>#REF!</f>
        <v>#REF!</v>
      </c>
      <c r="D120" s="120" t="e">
        <f>#REF!</f>
        <v>#REF!</v>
      </c>
      <c r="E1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1" spans="1:6" s="115" customFormat="1" ht="30" customHeight="1">
      <c r="A1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1" s="120" t="e">
        <f>#REF!</f>
        <v>#REF!</v>
      </c>
      <c r="C121" s="238" t="e">
        <f>#REF!</f>
        <v>#REF!</v>
      </c>
      <c r="D121" s="120" t="e">
        <f>#REF!</f>
        <v>#REF!</v>
      </c>
      <c r="E1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2" spans="1:6" s="115" customFormat="1" ht="30" customHeight="1">
      <c r="A1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2" s="120" t="e">
        <f>#REF!</f>
        <v>#REF!</v>
      </c>
      <c r="C122" s="238" t="e">
        <f>#REF!</f>
        <v>#REF!</v>
      </c>
      <c r="D122" s="120" t="e">
        <f>#REF!</f>
        <v>#REF!</v>
      </c>
      <c r="E1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3" spans="1:6" s="115" customFormat="1" ht="30" customHeight="1">
      <c r="A1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3" s="120" t="e">
        <f>#REF!</f>
        <v>#REF!</v>
      </c>
      <c r="C123" s="238" t="e">
        <f>#REF!</f>
        <v>#REF!</v>
      </c>
      <c r="D123" s="120" t="e">
        <f>#REF!</f>
        <v>#REF!</v>
      </c>
      <c r="E1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4" spans="1:6" s="115" customFormat="1" ht="30" customHeight="1">
      <c r="A1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4" s="120" t="e">
        <f>#REF!</f>
        <v>#REF!</v>
      </c>
      <c r="C124" s="238" t="e">
        <f>#REF!</f>
        <v>#REF!</v>
      </c>
      <c r="D124" s="120" t="e">
        <f>#REF!</f>
        <v>#REF!</v>
      </c>
      <c r="E1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5" spans="1:6" s="115" customFormat="1" ht="30" customHeight="1">
      <c r="A1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5" s="120" t="e">
        <f>#REF!</f>
        <v>#REF!</v>
      </c>
      <c r="C125" s="238" t="e">
        <f>#REF!</f>
        <v>#REF!</v>
      </c>
      <c r="D125" s="120" t="e">
        <f>#REF!</f>
        <v>#REF!</v>
      </c>
      <c r="E1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6" spans="1:6" s="115" customFormat="1" ht="30" customHeight="1">
      <c r="A1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6" s="120" t="e">
        <f>#REF!</f>
        <v>#REF!</v>
      </c>
      <c r="C126" s="238" t="e">
        <f>#REF!</f>
        <v>#REF!</v>
      </c>
      <c r="D126" s="120" t="e">
        <f>#REF!</f>
        <v>#REF!</v>
      </c>
      <c r="E1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7" spans="1:6" s="115" customFormat="1" ht="30" customHeight="1">
      <c r="A1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7" s="120" t="e">
        <f>#REF!</f>
        <v>#REF!</v>
      </c>
      <c r="C127" s="238" t="e">
        <f>#REF!</f>
        <v>#REF!</v>
      </c>
      <c r="D127" s="120" t="e">
        <f>#REF!</f>
        <v>#REF!</v>
      </c>
      <c r="E1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8" spans="1:6" s="115" customFormat="1" ht="30" customHeight="1">
      <c r="A1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8" s="120" t="e">
        <f>#REF!</f>
        <v>#REF!</v>
      </c>
      <c r="C128" s="238" t="e">
        <f>#REF!</f>
        <v>#REF!</v>
      </c>
      <c r="D128" s="120" t="e">
        <f>#REF!</f>
        <v>#REF!</v>
      </c>
      <c r="E1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9" spans="1:6" s="115" customFormat="1" ht="30" customHeight="1">
      <c r="A1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9" s="120" t="e">
        <f>#REF!</f>
        <v>#REF!</v>
      </c>
      <c r="C129" s="238" t="e">
        <f>#REF!</f>
        <v>#REF!</v>
      </c>
      <c r="D129" s="120" t="e">
        <f>#REF!</f>
        <v>#REF!</v>
      </c>
      <c r="E1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0" spans="1:6" s="115" customFormat="1" ht="30" customHeight="1">
      <c r="A1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0" s="120" t="e">
        <f>#REF!</f>
        <v>#REF!</v>
      </c>
      <c r="C130" s="238" t="e">
        <f>#REF!</f>
        <v>#REF!</v>
      </c>
      <c r="D130" s="120" t="e">
        <f>#REF!</f>
        <v>#REF!</v>
      </c>
      <c r="E1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1" spans="1:6" s="115" customFormat="1" ht="30" customHeight="1">
      <c r="A1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1" s="120" t="e">
        <f>#REF!</f>
        <v>#REF!</v>
      </c>
      <c r="C131" s="238" t="e">
        <f>#REF!</f>
        <v>#REF!</v>
      </c>
      <c r="D131" s="120" t="e">
        <f>#REF!</f>
        <v>#REF!</v>
      </c>
      <c r="E1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2" spans="1:6" s="115" customFormat="1" ht="30" customHeight="1">
      <c r="A1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2" s="120" t="e">
        <f>#REF!</f>
        <v>#REF!</v>
      </c>
      <c r="C132" s="238" t="e">
        <f>#REF!</f>
        <v>#REF!</v>
      </c>
      <c r="D132" s="120" t="e">
        <f>#REF!</f>
        <v>#REF!</v>
      </c>
      <c r="E1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3" spans="1:6" s="115" customFormat="1" ht="30" customHeight="1">
      <c r="A1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3" s="120" t="e">
        <f>#REF!</f>
        <v>#REF!</v>
      </c>
      <c r="C133" s="238" t="e">
        <f>#REF!</f>
        <v>#REF!</v>
      </c>
      <c r="D133" s="120" t="e">
        <f>#REF!</f>
        <v>#REF!</v>
      </c>
      <c r="E1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4" spans="1:6" s="115" customFormat="1" ht="30" customHeight="1">
      <c r="A1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4" s="120" t="e">
        <f>#REF!</f>
        <v>#REF!</v>
      </c>
      <c r="C134" s="238" t="e">
        <f>#REF!</f>
        <v>#REF!</v>
      </c>
      <c r="D134" s="120" t="e">
        <f>#REF!</f>
        <v>#REF!</v>
      </c>
      <c r="E1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5" spans="1:6" s="115" customFormat="1" ht="30" customHeight="1">
      <c r="A1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5" s="120" t="e">
        <f>#REF!</f>
        <v>#REF!</v>
      </c>
      <c r="C135" s="238" t="e">
        <f>#REF!</f>
        <v>#REF!</v>
      </c>
      <c r="D135" s="120" t="e">
        <f>#REF!</f>
        <v>#REF!</v>
      </c>
      <c r="E1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6" spans="1:6" s="115" customFormat="1" ht="30" customHeight="1">
      <c r="A1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6" s="120" t="e">
        <f>#REF!</f>
        <v>#REF!</v>
      </c>
      <c r="C136" s="238" t="e">
        <f>#REF!</f>
        <v>#REF!</v>
      </c>
      <c r="D136" s="120" t="e">
        <f>#REF!</f>
        <v>#REF!</v>
      </c>
      <c r="E1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7" spans="1:6" s="115" customFormat="1" ht="30" customHeight="1">
      <c r="A1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7" s="120" t="e">
        <f>#REF!</f>
        <v>#REF!</v>
      </c>
      <c r="C137" s="238" t="e">
        <f>#REF!</f>
        <v>#REF!</v>
      </c>
      <c r="D137" s="120" t="e">
        <f>#REF!</f>
        <v>#REF!</v>
      </c>
      <c r="E1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8" spans="1:6" s="115" customFormat="1" ht="30" customHeight="1">
      <c r="A1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8" s="120" t="e">
        <f>#REF!</f>
        <v>#REF!</v>
      </c>
      <c r="C138" s="238" t="e">
        <f>#REF!</f>
        <v>#REF!</v>
      </c>
      <c r="D138" s="120" t="e">
        <f>#REF!</f>
        <v>#REF!</v>
      </c>
      <c r="E1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9" spans="1:6" s="115" customFormat="1" ht="30" customHeight="1">
      <c r="A1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9" s="120" t="e">
        <f>#REF!</f>
        <v>#REF!</v>
      </c>
      <c r="C139" s="238" t="e">
        <f>#REF!</f>
        <v>#REF!</v>
      </c>
      <c r="D139" s="120" t="e">
        <f>#REF!</f>
        <v>#REF!</v>
      </c>
      <c r="E1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0" spans="1:6" s="115" customFormat="1" ht="30" customHeight="1">
      <c r="A1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0" s="120" t="e">
        <f>#REF!</f>
        <v>#REF!</v>
      </c>
      <c r="C140" s="238" t="e">
        <f>#REF!</f>
        <v>#REF!</v>
      </c>
      <c r="D140" s="120" t="e">
        <f>#REF!</f>
        <v>#REF!</v>
      </c>
      <c r="E1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1" spans="1:6" s="115" customFormat="1" ht="30" customHeight="1">
      <c r="A1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1" s="120" t="e">
        <f>#REF!</f>
        <v>#REF!</v>
      </c>
      <c r="C141" s="238" t="e">
        <f>#REF!</f>
        <v>#REF!</v>
      </c>
      <c r="D141" s="120" t="e">
        <f>#REF!</f>
        <v>#REF!</v>
      </c>
      <c r="E1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2" spans="1:6" s="115" customFormat="1" ht="30" customHeight="1">
      <c r="A1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2" s="120" t="e">
        <f>#REF!</f>
        <v>#REF!</v>
      </c>
      <c r="C142" s="238" t="e">
        <f>#REF!</f>
        <v>#REF!</v>
      </c>
      <c r="D142" s="120" t="e">
        <f>#REF!</f>
        <v>#REF!</v>
      </c>
      <c r="E1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3" spans="1:6" s="115" customFormat="1" ht="30" customHeight="1">
      <c r="A1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3" s="120" t="e">
        <f>#REF!</f>
        <v>#REF!</v>
      </c>
      <c r="C143" s="238" t="e">
        <f>#REF!</f>
        <v>#REF!</v>
      </c>
      <c r="D143" s="120" t="e">
        <f>#REF!</f>
        <v>#REF!</v>
      </c>
      <c r="E1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4" spans="1:6" s="115" customFormat="1" ht="30" customHeight="1">
      <c r="A1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4" s="120" t="e">
        <f>#REF!</f>
        <v>#REF!</v>
      </c>
      <c r="C144" s="238" t="e">
        <f>#REF!</f>
        <v>#REF!</v>
      </c>
      <c r="D144" s="120" t="e">
        <f>#REF!</f>
        <v>#REF!</v>
      </c>
      <c r="E1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5" spans="1:6" s="115" customFormat="1" ht="30" customHeight="1">
      <c r="A1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5" s="120" t="e">
        <f>#REF!</f>
        <v>#REF!</v>
      </c>
      <c r="C145" s="238" t="e">
        <f>#REF!</f>
        <v>#REF!</v>
      </c>
      <c r="D145" s="120" t="e">
        <f>#REF!</f>
        <v>#REF!</v>
      </c>
      <c r="E1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6" spans="1:6" s="115" customFormat="1" ht="30" customHeight="1">
      <c r="A1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6" s="120" t="e">
        <f>#REF!</f>
        <v>#REF!</v>
      </c>
      <c r="C146" s="238" t="e">
        <f>#REF!</f>
        <v>#REF!</v>
      </c>
      <c r="D146" s="120" t="e">
        <f>#REF!</f>
        <v>#REF!</v>
      </c>
      <c r="E1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7" spans="1:6" s="115" customFormat="1" ht="30" customHeight="1">
      <c r="A1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7" s="120" t="e">
        <f>#REF!</f>
        <v>#REF!</v>
      </c>
      <c r="C147" s="238" t="e">
        <f>#REF!</f>
        <v>#REF!</v>
      </c>
      <c r="D147" s="120" t="e">
        <f>#REF!</f>
        <v>#REF!</v>
      </c>
      <c r="E1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8" spans="1:6" s="115" customFormat="1" ht="30" customHeight="1">
      <c r="A1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8" s="120" t="e">
        <f>#REF!</f>
        <v>#REF!</v>
      </c>
      <c r="C148" s="238" t="e">
        <f>#REF!</f>
        <v>#REF!</v>
      </c>
      <c r="D148" s="120" t="e">
        <f>#REF!</f>
        <v>#REF!</v>
      </c>
      <c r="E1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9" spans="1:6" s="115" customFormat="1" ht="30" customHeight="1">
      <c r="A1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9" s="120" t="e">
        <f>#REF!</f>
        <v>#REF!</v>
      </c>
      <c r="C149" s="238" t="e">
        <f>#REF!</f>
        <v>#REF!</v>
      </c>
      <c r="D149" s="120" t="e">
        <f>#REF!</f>
        <v>#REF!</v>
      </c>
      <c r="E1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0" spans="1:6" s="115" customFormat="1" ht="30" customHeight="1">
      <c r="A1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0" s="120" t="e">
        <f>#REF!</f>
        <v>#REF!</v>
      </c>
      <c r="C150" s="238" t="e">
        <f>#REF!</f>
        <v>#REF!</v>
      </c>
      <c r="D150" s="120" t="e">
        <f>#REF!</f>
        <v>#REF!</v>
      </c>
      <c r="E1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1" spans="1:6" s="115" customFormat="1" ht="30" customHeight="1">
      <c r="A1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1" s="120" t="e">
        <f>#REF!</f>
        <v>#REF!</v>
      </c>
      <c r="C151" s="238" t="e">
        <f>#REF!</f>
        <v>#REF!</v>
      </c>
      <c r="D151" s="120" t="e">
        <f>#REF!</f>
        <v>#REF!</v>
      </c>
      <c r="E1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2" spans="1:6" s="115" customFormat="1" ht="30" customHeight="1">
      <c r="A1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2" s="120" t="e">
        <f>#REF!</f>
        <v>#REF!</v>
      </c>
      <c r="C152" s="238" t="e">
        <f>#REF!</f>
        <v>#REF!</v>
      </c>
      <c r="D152" s="120" t="e">
        <f>#REF!</f>
        <v>#REF!</v>
      </c>
      <c r="E15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3" spans="1:6" s="115" customFormat="1" ht="30" customHeight="1">
      <c r="A15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3" s="120" t="e">
        <f>#REF!</f>
        <v>#REF!</v>
      </c>
      <c r="C153" s="238" t="e">
        <f>#REF!</f>
        <v>#REF!</v>
      </c>
      <c r="D153" s="120" t="e">
        <f>#REF!</f>
        <v>#REF!</v>
      </c>
      <c r="E15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4" spans="1:6" s="115" customFormat="1" ht="30" customHeight="1">
      <c r="A15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4" s="120" t="e">
        <f>#REF!</f>
        <v>#REF!</v>
      </c>
      <c r="C154" s="238" t="e">
        <f>#REF!</f>
        <v>#REF!</v>
      </c>
      <c r="D154" s="120" t="e">
        <f>#REF!</f>
        <v>#REF!</v>
      </c>
      <c r="E15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5" spans="1:6" s="115" customFormat="1" ht="30" customHeight="1">
      <c r="A15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5" s="120" t="e">
        <f>#REF!</f>
        <v>#REF!</v>
      </c>
      <c r="C155" s="238" t="e">
        <f>#REF!</f>
        <v>#REF!</v>
      </c>
      <c r="D155" s="120" t="e">
        <f>#REF!</f>
        <v>#REF!</v>
      </c>
      <c r="E15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6" spans="1:6" s="115" customFormat="1" ht="30" customHeight="1">
      <c r="A15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6" s="120" t="e">
        <f>#REF!</f>
        <v>#REF!</v>
      </c>
      <c r="C156" s="238" t="e">
        <f>#REF!</f>
        <v>#REF!</v>
      </c>
      <c r="D156" s="120" t="e">
        <f>#REF!</f>
        <v>#REF!</v>
      </c>
      <c r="E15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7" spans="1:6" s="115" customFormat="1" ht="30" customHeight="1">
      <c r="A15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7" s="120" t="e">
        <f>#REF!</f>
        <v>#REF!</v>
      </c>
      <c r="C157" s="238" t="e">
        <f>#REF!</f>
        <v>#REF!</v>
      </c>
      <c r="D157" s="120" t="e">
        <f>#REF!</f>
        <v>#REF!</v>
      </c>
      <c r="E15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8" spans="1:6" s="115" customFormat="1" ht="30" customHeight="1">
      <c r="A15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8" s="120" t="e">
        <f>#REF!</f>
        <v>#REF!</v>
      </c>
      <c r="C158" s="238" t="e">
        <f>#REF!</f>
        <v>#REF!</v>
      </c>
      <c r="D158" s="120" t="e">
        <f>#REF!</f>
        <v>#REF!</v>
      </c>
      <c r="E15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9" spans="1:6" s="115" customFormat="1" ht="30" customHeight="1">
      <c r="A15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9" s="120" t="e">
        <f>#REF!</f>
        <v>#REF!</v>
      </c>
      <c r="C159" s="238" t="e">
        <f>#REF!</f>
        <v>#REF!</v>
      </c>
      <c r="D159" s="120" t="e">
        <f>#REF!</f>
        <v>#REF!</v>
      </c>
      <c r="E15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0" spans="1:6" s="115" customFormat="1" ht="30" customHeight="1">
      <c r="A16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0" s="120" t="e">
        <f>#REF!</f>
        <v>#REF!</v>
      </c>
      <c r="C160" s="238" t="e">
        <f>#REF!</f>
        <v>#REF!</v>
      </c>
      <c r="D160" s="120" t="e">
        <f>#REF!</f>
        <v>#REF!</v>
      </c>
      <c r="E16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1" spans="1:6" s="115" customFormat="1" ht="30" customHeight="1">
      <c r="A16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1" s="120" t="e">
        <f>#REF!</f>
        <v>#REF!</v>
      </c>
      <c r="C161" s="238" t="e">
        <f>#REF!</f>
        <v>#REF!</v>
      </c>
      <c r="D161" s="120" t="e">
        <f>#REF!</f>
        <v>#REF!</v>
      </c>
      <c r="E16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2" spans="1:6" s="115" customFormat="1" ht="30" customHeight="1">
      <c r="A16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2" s="120" t="e">
        <f>#REF!</f>
        <v>#REF!</v>
      </c>
      <c r="C162" s="238" t="e">
        <f>#REF!</f>
        <v>#REF!</v>
      </c>
      <c r="D162" s="120" t="e">
        <f>#REF!</f>
        <v>#REF!</v>
      </c>
      <c r="E16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3" spans="1:6" s="115" customFormat="1" ht="30" customHeight="1">
      <c r="A16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3" s="120" t="e">
        <f>#REF!</f>
        <v>#REF!</v>
      </c>
      <c r="C163" s="238" t="e">
        <f>#REF!</f>
        <v>#REF!</v>
      </c>
      <c r="D163" s="120" t="e">
        <f>#REF!</f>
        <v>#REF!</v>
      </c>
      <c r="E16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4" spans="1:6" s="115" customFormat="1" ht="30" customHeight="1">
      <c r="A16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4" s="120" t="e">
        <f>#REF!</f>
        <v>#REF!</v>
      </c>
      <c r="C164" s="238" t="e">
        <f>#REF!</f>
        <v>#REF!</v>
      </c>
      <c r="D164" s="120" t="e">
        <f>#REF!</f>
        <v>#REF!</v>
      </c>
      <c r="E16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5" spans="1:6" s="115" customFormat="1" ht="30" customHeight="1">
      <c r="A16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5" s="120" t="e">
        <f>#REF!</f>
        <v>#REF!</v>
      </c>
      <c r="C165" s="238" t="e">
        <f>#REF!</f>
        <v>#REF!</v>
      </c>
      <c r="D165" s="120" t="e">
        <f>#REF!</f>
        <v>#REF!</v>
      </c>
      <c r="E16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6" spans="1:6" s="115" customFormat="1" ht="30" customHeight="1">
      <c r="A16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6" s="120" t="e">
        <f>#REF!</f>
        <v>#REF!</v>
      </c>
      <c r="C166" s="238" t="e">
        <f>#REF!</f>
        <v>#REF!</v>
      </c>
      <c r="D166" s="120" t="e">
        <f>#REF!</f>
        <v>#REF!</v>
      </c>
      <c r="E16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7" spans="1:6" s="115" customFormat="1" ht="30" customHeight="1">
      <c r="A16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7" s="120" t="e">
        <f>#REF!</f>
        <v>#REF!</v>
      </c>
      <c r="C167" s="238" t="e">
        <f>#REF!</f>
        <v>#REF!</v>
      </c>
      <c r="D167" s="120" t="e">
        <f>#REF!</f>
        <v>#REF!</v>
      </c>
      <c r="E16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8" spans="1:6" s="115" customFormat="1" ht="30" customHeight="1">
      <c r="A16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8" s="120" t="e">
        <f>#REF!</f>
        <v>#REF!</v>
      </c>
      <c r="C168" s="238" t="e">
        <f>#REF!</f>
        <v>#REF!</v>
      </c>
      <c r="D168" s="120" t="e">
        <f>#REF!</f>
        <v>#REF!</v>
      </c>
      <c r="E16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9" spans="1:6" s="115" customFormat="1" ht="30" customHeight="1">
      <c r="A16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9" s="120" t="e">
        <f>#REF!</f>
        <v>#REF!</v>
      </c>
      <c r="C169" s="238" t="e">
        <f>#REF!</f>
        <v>#REF!</v>
      </c>
      <c r="D169" s="120" t="e">
        <f>#REF!</f>
        <v>#REF!</v>
      </c>
      <c r="E16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0" spans="1:6" s="115" customFormat="1" ht="30" customHeight="1">
      <c r="A17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0" s="120" t="e">
        <f>#REF!</f>
        <v>#REF!</v>
      </c>
      <c r="C170" s="238" t="e">
        <f>#REF!</f>
        <v>#REF!</v>
      </c>
      <c r="D170" s="120" t="e">
        <f>#REF!</f>
        <v>#REF!</v>
      </c>
      <c r="E17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1" spans="1:6" s="115" customFormat="1" ht="30" customHeight="1">
      <c r="A17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1" s="120" t="e">
        <f>#REF!</f>
        <v>#REF!</v>
      </c>
      <c r="C171" s="238" t="e">
        <f>#REF!</f>
        <v>#REF!</v>
      </c>
      <c r="D171" s="120" t="e">
        <f>#REF!</f>
        <v>#REF!</v>
      </c>
      <c r="E17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2" spans="1:6" s="115" customFormat="1" ht="30" customHeight="1">
      <c r="A17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2" s="120" t="e">
        <f>#REF!</f>
        <v>#REF!</v>
      </c>
      <c r="C172" s="238" t="e">
        <f>#REF!</f>
        <v>#REF!</v>
      </c>
      <c r="D172" s="120" t="e">
        <f>#REF!</f>
        <v>#REF!</v>
      </c>
      <c r="E17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3" spans="1:6" s="115" customFormat="1" ht="30" customHeight="1">
      <c r="A17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3" s="120" t="e">
        <f>#REF!</f>
        <v>#REF!</v>
      </c>
      <c r="C173" s="238" t="e">
        <f>#REF!</f>
        <v>#REF!</v>
      </c>
      <c r="D173" s="120" t="e">
        <f>#REF!</f>
        <v>#REF!</v>
      </c>
      <c r="E17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4" spans="1:6" s="115" customFormat="1" ht="30" customHeight="1">
      <c r="A17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4" s="120" t="e">
        <f>#REF!</f>
        <v>#REF!</v>
      </c>
      <c r="C174" s="238" t="e">
        <f>#REF!</f>
        <v>#REF!</v>
      </c>
      <c r="D174" s="120" t="e">
        <f>#REF!</f>
        <v>#REF!</v>
      </c>
      <c r="E17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5" spans="1:6" s="115" customFormat="1" ht="30" customHeight="1">
      <c r="A17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5" s="120" t="e">
        <f>#REF!</f>
        <v>#REF!</v>
      </c>
      <c r="C175" s="238" t="e">
        <f>#REF!</f>
        <v>#REF!</v>
      </c>
      <c r="D175" s="120" t="e">
        <f>#REF!</f>
        <v>#REF!</v>
      </c>
      <c r="E17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6" spans="1:6" s="115" customFormat="1" ht="30" customHeight="1">
      <c r="A17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6" s="120" t="e">
        <f>#REF!</f>
        <v>#REF!</v>
      </c>
      <c r="C176" s="238" t="e">
        <f>#REF!</f>
        <v>#REF!</v>
      </c>
      <c r="D176" s="120" t="e">
        <f>#REF!</f>
        <v>#REF!</v>
      </c>
      <c r="E17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7" spans="1:6" s="115" customFormat="1" ht="30" customHeight="1">
      <c r="A17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7" s="120" t="e">
        <f>#REF!</f>
        <v>#REF!</v>
      </c>
      <c r="C177" s="238" t="e">
        <f>#REF!</f>
        <v>#REF!</v>
      </c>
      <c r="D177" s="120" t="e">
        <f>#REF!</f>
        <v>#REF!</v>
      </c>
      <c r="E17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8" spans="1:6" s="115" customFormat="1" ht="30" customHeight="1">
      <c r="A17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8" s="120" t="e">
        <f>#REF!</f>
        <v>#REF!</v>
      </c>
      <c r="C178" s="238" t="e">
        <f>#REF!</f>
        <v>#REF!</v>
      </c>
      <c r="D178" s="120" t="e">
        <f>#REF!</f>
        <v>#REF!</v>
      </c>
      <c r="E17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9" spans="1:6" s="115" customFormat="1" ht="30" customHeight="1">
      <c r="A17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9" s="120" t="e">
        <f>#REF!</f>
        <v>#REF!</v>
      </c>
      <c r="C179" s="238" t="e">
        <f>#REF!</f>
        <v>#REF!</v>
      </c>
      <c r="D179" s="120" t="e">
        <f>#REF!</f>
        <v>#REF!</v>
      </c>
      <c r="E17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0" spans="1:6" s="115" customFormat="1" ht="30" customHeight="1">
      <c r="A18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0" s="120" t="e">
        <f>#REF!</f>
        <v>#REF!</v>
      </c>
      <c r="C180" s="238" t="e">
        <f>#REF!</f>
        <v>#REF!</v>
      </c>
      <c r="D180" s="120" t="e">
        <f>#REF!</f>
        <v>#REF!</v>
      </c>
      <c r="E18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1" spans="1:6" s="115" customFormat="1" ht="30" customHeight="1">
      <c r="A18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1" s="120" t="e">
        <f>#REF!</f>
        <v>#REF!</v>
      </c>
      <c r="C181" s="238" t="e">
        <f>#REF!</f>
        <v>#REF!</v>
      </c>
      <c r="D181" s="120" t="e">
        <f>#REF!</f>
        <v>#REF!</v>
      </c>
      <c r="E18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2" spans="1:6" s="115" customFormat="1" ht="30" customHeight="1">
      <c r="A18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2" s="120" t="e">
        <f>#REF!</f>
        <v>#REF!</v>
      </c>
      <c r="C182" s="238" t="e">
        <f>#REF!</f>
        <v>#REF!</v>
      </c>
      <c r="D182" s="120" t="e">
        <f>#REF!</f>
        <v>#REF!</v>
      </c>
      <c r="E18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3" spans="1:6" s="115" customFormat="1" ht="30" customHeight="1">
      <c r="A18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3" s="120" t="e">
        <f>#REF!</f>
        <v>#REF!</v>
      </c>
      <c r="C183" s="238" t="e">
        <f>#REF!</f>
        <v>#REF!</v>
      </c>
      <c r="D183" s="120" t="e">
        <f>#REF!</f>
        <v>#REF!</v>
      </c>
      <c r="E18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4" spans="1:6" s="115" customFormat="1" ht="30" customHeight="1">
      <c r="A18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4" s="120" t="e">
        <f>#REF!</f>
        <v>#REF!</v>
      </c>
      <c r="C184" s="238" t="e">
        <f>#REF!</f>
        <v>#REF!</v>
      </c>
      <c r="D184" s="120" t="e">
        <f>#REF!</f>
        <v>#REF!</v>
      </c>
      <c r="E18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5" spans="1:6" s="115" customFormat="1" ht="30" customHeight="1">
      <c r="A18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5" s="120" t="e">
        <f>#REF!</f>
        <v>#REF!</v>
      </c>
      <c r="C185" s="238" t="e">
        <f>#REF!</f>
        <v>#REF!</v>
      </c>
      <c r="D185" s="120" t="e">
        <f>#REF!</f>
        <v>#REF!</v>
      </c>
      <c r="E18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6" spans="1:6" s="115" customFormat="1" ht="30" customHeight="1">
      <c r="A18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6" s="120" t="e">
        <f>#REF!</f>
        <v>#REF!</v>
      </c>
      <c r="C186" s="238" t="e">
        <f>#REF!</f>
        <v>#REF!</v>
      </c>
      <c r="D186" s="120" t="e">
        <f>#REF!</f>
        <v>#REF!</v>
      </c>
      <c r="E18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7" spans="1:6" s="115" customFormat="1" ht="30" customHeight="1">
      <c r="A18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7" s="120" t="e">
        <f>#REF!</f>
        <v>#REF!</v>
      </c>
      <c r="C187" s="238" t="e">
        <f>#REF!</f>
        <v>#REF!</v>
      </c>
      <c r="D187" s="120" t="e">
        <f>#REF!</f>
        <v>#REF!</v>
      </c>
      <c r="E18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8" spans="1:6" s="115" customFormat="1" ht="30" customHeight="1">
      <c r="A18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8" s="120" t="e">
        <f>#REF!</f>
        <v>#REF!</v>
      </c>
      <c r="C188" s="238" t="e">
        <f>#REF!</f>
        <v>#REF!</v>
      </c>
      <c r="D188" s="120" t="e">
        <f>#REF!</f>
        <v>#REF!</v>
      </c>
      <c r="E18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9" spans="1:6" s="115" customFormat="1" ht="30" customHeight="1">
      <c r="A18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9" s="120" t="e">
        <f>#REF!</f>
        <v>#REF!</v>
      </c>
      <c r="C189" s="238" t="e">
        <f>#REF!</f>
        <v>#REF!</v>
      </c>
      <c r="D189" s="120" t="e">
        <f>#REF!</f>
        <v>#REF!</v>
      </c>
      <c r="E18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0" spans="1:6" s="115" customFormat="1" ht="30" customHeight="1">
      <c r="A19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0" s="120" t="e">
        <f>#REF!</f>
        <v>#REF!</v>
      </c>
      <c r="C190" s="238" t="e">
        <f>#REF!</f>
        <v>#REF!</v>
      </c>
      <c r="D190" s="120" t="e">
        <f>#REF!</f>
        <v>#REF!</v>
      </c>
      <c r="E19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1" spans="1:6" s="115" customFormat="1" ht="30" customHeight="1">
      <c r="A19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1" s="120" t="e">
        <f>#REF!</f>
        <v>#REF!</v>
      </c>
      <c r="C191" s="238" t="e">
        <f>#REF!</f>
        <v>#REF!</v>
      </c>
      <c r="D191" s="120" t="e">
        <f>#REF!</f>
        <v>#REF!</v>
      </c>
      <c r="E19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2" spans="1:6" s="115" customFormat="1" ht="30" customHeight="1">
      <c r="A19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2" s="120" t="e">
        <f>#REF!</f>
        <v>#REF!</v>
      </c>
      <c r="C192" s="238" t="e">
        <f>#REF!</f>
        <v>#REF!</v>
      </c>
      <c r="D192" s="120" t="e">
        <f>#REF!</f>
        <v>#REF!</v>
      </c>
      <c r="E19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3" spans="1:6" s="115" customFormat="1" ht="30" customHeight="1">
      <c r="A19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3" s="120" t="e">
        <f>#REF!</f>
        <v>#REF!</v>
      </c>
      <c r="C193" s="238" t="e">
        <f>#REF!</f>
        <v>#REF!</v>
      </c>
      <c r="D193" s="120" t="e">
        <f>#REF!</f>
        <v>#REF!</v>
      </c>
      <c r="E19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4" spans="1:6" s="115" customFormat="1" ht="30" customHeight="1">
      <c r="A19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4" s="120" t="e">
        <f>#REF!</f>
        <v>#REF!</v>
      </c>
      <c r="C194" s="238" t="e">
        <f>#REF!</f>
        <v>#REF!</v>
      </c>
      <c r="D194" s="120" t="e">
        <f>#REF!</f>
        <v>#REF!</v>
      </c>
      <c r="E19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5" spans="1:6" s="115" customFormat="1" ht="30" customHeight="1">
      <c r="A19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5" s="120" t="e">
        <f>#REF!</f>
        <v>#REF!</v>
      </c>
      <c r="C195" s="238" t="e">
        <f>#REF!</f>
        <v>#REF!</v>
      </c>
      <c r="D195" s="120" t="e">
        <f>#REF!</f>
        <v>#REF!</v>
      </c>
      <c r="E19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6" spans="1:6" s="115" customFormat="1" ht="30" customHeight="1">
      <c r="A19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6" s="120" t="e">
        <f>#REF!</f>
        <v>#REF!</v>
      </c>
      <c r="C196" s="238" t="e">
        <f>#REF!</f>
        <v>#REF!</v>
      </c>
      <c r="D196" s="120" t="e">
        <f>#REF!</f>
        <v>#REF!</v>
      </c>
      <c r="E19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7" spans="1:6" s="115" customFormat="1" ht="30" customHeight="1">
      <c r="A19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7" s="120" t="e">
        <f>#REF!</f>
        <v>#REF!</v>
      </c>
      <c r="C197" s="238" t="e">
        <f>#REF!</f>
        <v>#REF!</v>
      </c>
      <c r="D197" s="120" t="e">
        <f>#REF!</f>
        <v>#REF!</v>
      </c>
      <c r="E19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8" spans="1:6" s="115" customFormat="1" ht="30" customHeight="1">
      <c r="A19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8" s="120" t="e">
        <f>#REF!</f>
        <v>#REF!</v>
      </c>
      <c r="C198" s="238" t="e">
        <f>#REF!</f>
        <v>#REF!</v>
      </c>
      <c r="D198" s="120" t="e">
        <f>#REF!</f>
        <v>#REF!</v>
      </c>
      <c r="E19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9" spans="1:6" s="115" customFormat="1" ht="30" customHeight="1">
      <c r="A19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9" s="120" t="e">
        <f>#REF!</f>
        <v>#REF!</v>
      </c>
      <c r="C199" s="238" t="e">
        <f>#REF!</f>
        <v>#REF!</v>
      </c>
      <c r="D199" s="120" t="e">
        <f>#REF!</f>
        <v>#REF!</v>
      </c>
      <c r="E19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0" spans="1:6" s="115" customFormat="1" ht="30" customHeight="1">
      <c r="A20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0" s="120" t="e">
        <f>#REF!</f>
        <v>#REF!</v>
      </c>
      <c r="C200" s="238" t="e">
        <f>#REF!</f>
        <v>#REF!</v>
      </c>
      <c r="D200" s="120" t="e">
        <f>#REF!</f>
        <v>#REF!</v>
      </c>
      <c r="E20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1" spans="1:6" s="115" customFormat="1" ht="30" customHeight="1">
      <c r="A20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1" s="120" t="e">
        <f>#REF!</f>
        <v>#REF!</v>
      </c>
      <c r="C201" s="238" t="e">
        <f>#REF!</f>
        <v>#REF!</v>
      </c>
      <c r="D201" s="120" t="e">
        <f>#REF!</f>
        <v>#REF!</v>
      </c>
      <c r="E20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2" spans="1:6" s="115" customFormat="1" ht="30" customHeight="1">
      <c r="A20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2" s="120" t="e">
        <f>#REF!</f>
        <v>#REF!</v>
      </c>
      <c r="C202" s="238" t="e">
        <f>#REF!</f>
        <v>#REF!</v>
      </c>
      <c r="D202" s="120" t="e">
        <f>#REF!</f>
        <v>#REF!</v>
      </c>
      <c r="E20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3" spans="1:6" s="115" customFormat="1" ht="30" customHeight="1">
      <c r="A20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3" s="120" t="e">
        <f>#REF!</f>
        <v>#REF!</v>
      </c>
      <c r="C203" s="238" t="e">
        <f>#REF!</f>
        <v>#REF!</v>
      </c>
      <c r="D203" s="120" t="e">
        <f>#REF!</f>
        <v>#REF!</v>
      </c>
      <c r="E20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4" spans="1:6" s="115" customFormat="1" ht="30" customHeight="1">
      <c r="A20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4" s="120" t="e">
        <f>#REF!</f>
        <v>#REF!</v>
      </c>
      <c r="C204" s="238" t="e">
        <f>#REF!</f>
        <v>#REF!</v>
      </c>
      <c r="D204" s="120" t="e">
        <f>#REF!</f>
        <v>#REF!</v>
      </c>
      <c r="E20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5" spans="1:6" s="115" customFormat="1" ht="30" customHeight="1">
      <c r="A20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5" s="120" t="e">
        <f>#REF!</f>
        <v>#REF!</v>
      </c>
      <c r="C205" s="238" t="e">
        <f>#REF!</f>
        <v>#REF!</v>
      </c>
      <c r="D205" s="120" t="e">
        <f>#REF!</f>
        <v>#REF!</v>
      </c>
      <c r="E20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6" spans="1:6" s="115" customFormat="1" ht="30" customHeight="1">
      <c r="A20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6" s="120" t="e">
        <f>#REF!</f>
        <v>#REF!</v>
      </c>
      <c r="C206" s="238" t="e">
        <f>#REF!</f>
        <v>#REF!</v>
      </c>
      <c r="D206" s="120" t="e">
        <f>#REF!</f>
        <v>#REF!</v>
      </c>
      <c r="E20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7" spans="1:6" s="115" customFormat="1" ht="30" customHeight="1">
      <c r="A20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7" s="120" t="e">
        <f>#REF!</f>
        <v>#REF!</v>
      </c>
      <c r="C207" s="238" t="e">
        <f>#REF!</f>
        <v>#REF!</v>
      </c>
      <c r="D207" s="120" t="e">
        <f>#REF!</f>
        <v>#REF!</v>
      </c>
      <c r="E20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8" spans="1:6" s="115" customFormat="1" ht="30" customHeight="1">
      <c r="A20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8" s="120" t="e">
        <f>#REF!</f>
        <v>#REF!</v>
      </c>
      <c r="C208" s="238" t="e">
        <f>#REF!</f>
        <v>#REF!</v>
      </c>
      <c r="D208" s="120" t="e">
        <f>#REF!</f>
        <v>#REF!</v>
      </c>
      <c r="E20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9" spans="1:6" s="115" customFormat="1" ht="30" customHeight="1">
      <c r="A20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9" s="120" t="e">
        <f>#REF!</f>
        <v>#REF!</v>
      </c>
      <c r="C209" s="238" t="e">
        <f>#REF!</f>
        <v>#REF!</v>
      </c>
      <c r="D209" s="120" t="e">
        <f>#REF!</f>
        <v>#REF!</v>
      </c>
      <c r="E20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0" spans="1:6" s="115" customFormat="1" ht="30" customHeight="1">
      <c r="A2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0" s="120" t="e">
        <f>#REF!</f>
        <v>#REF!</v>
      </c>
      <c r="C210" s="238" t="e">
        <f>#REF!</f>
        <v>#REF!</v>
      </c>
      <c r="D210" s="120" t="e">
        <f>#REF!</f>
        <v>#REF!</v>
      </c>
      <c r="E2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1" spans="1:6" s="115" customFormat="1" ht="30" customHeight="1">
      <c r="A2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1" s="120" t="e">
        <f>#REF!</f>
        <v>#REF!</v>
      </c>
      <c r="C211" s="238" t="e">
        <f>#REF!</f>
        <v>#REF!</v>
      </c>
      <c r="D211" s="120" t="e">
        <f>#REF!</f>
        <v>#REF!</v>
      </c>
      <c r="E2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2" spans="1:6" s="115" customFormat="1" ht="30" customHeight="1">
      <c r="A2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2" s="120" t="e">
        <f>#REF!</f>
        <v>#REF!</v>
      </c>
      <c r="C212" s="238" t="e">
        <f>#REF!</f>
        <v>#REF!</v>
      </c>
      <c r="D212" s="120" t="e">
        <f>#REF!</f>
        <v>#REF!</v>
      </c>
      <c r="E2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3" spans="1:6" s="115" customFormat="1" ht="30" customHeight="1">
      <c r="A2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3" s="120" t="e">
        <f>#REF!</f>
        <v>#REF!</v>
      </c>
      <c r="C213" s="238" t="e">
        <f>#REF!</f>
        <v>#REF!</v>
      </c>
      <c r="D213" s="120" t="e">
        <f>#REF!</f>
        <v>#REF!</v>
      </c>
      <c r="E2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4" spans="1:6" s="115" customFormat="1" ht="30" customHeight="1">
      <c r="A2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4" s="120" t="e">
        <f>#REF!</f>
        <v>#REF!</v>
      </c>
      <c r="C214" s="238" t="e">
        <f>#REF!</f>
        <v>#REF!</v>
      </c>
      <c r="D214" s="120" t="e">
        <f>#REF!</f>
        <v>#REF!</v>
      </c>
      <c r="E2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5" spans="1:6" s="115" customFormat="1" ht="30" customHeight="1">
      <c r="A2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5" s="120" t="e">
        <f>#REF!</f>
        <v>#REF!</v>
      </c>
      <c r="C215" s="238" t="e">
        <f>#REF!</f>
        <v>#REF!</v>
      </c>
      <c r="D215" s="120" t="e">
        <f>#REF!</f>
        <v>#REF!</v>
      </c>
      <c r="E2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6" spans="1:6" s="115" customFormat="1" ht="30" customHeight="1">
      <c r="A2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6" s="120" t="e">
        <f>#REF!</f>
        <v>#REF!</v>
      </c>
      <c r="C216" s="238" t="e">
        <f>#REF!</f>
        <v>#REF!</v>
      </c>
      <c r="D216" s="120" t="e">
        <f>#REF!</f>
        <v>#REF!</v>
      </c>
      <c r="E2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7" spans="1:6" s="115" customFormat="1" ht="30" customHeight="1">
      <c r="A2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7" s="120" t="e">
        <f>#REF!</f>
        <v>#REF!</v>
      </c>
      <c r="C217" s="238" t="e">
        <f>#REF!</f>
        <v>#REF!</v>
      </c>
      <c r="D217" s="120" t="e">
        <f>#REF!</f>
        <v>#REF!</v>
      </c>
      <c r="E2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8" spans="1:6" s="115" customFormat="1" ht="30" customHeight="1">
      <c r="A2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8" s="120" t="e">
        <f>#REF!</f>
        <v>#REF!</v>
      </c>
      <c r="C218" s="238" t="e">
        <f>#REF!</f>
        <v>#REF!</v>
      </c>
      <c r="D218" s="120" t="e">
        <f>#REF!</f>
        <v>#REF!</v>
      </c>
      <c r="E2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9" spans="1:6" s="115" customFormat="1" ht="30" customHeight="1">
      <c r="A2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9" s="120" t="e">
        <f>#REF!</f>
        <v>#REF!</v>
      </c>
      <c r="C219" s="238" t="e">
        <f>#REF!</f>
        <v>#REF!</v>
      </c>
      <c r="D219" s="120" t="e">
        <f>#REF!</f>
        <v>#REF!</v>
      </c>
      <c r="E2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0" spans="1:6" s="115" customFormat="1" ht="30" customHeight="1">
      <c r="A2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0" s="120" t="e">
        <f>#REF!</f>
        <v>#REF!</v>
      </c>
      <c r="C220" s="238" t="e">
        <f>#REF!</f>
        <v>#REF!</v>
      </c>
      <c r="D220" s="120" t="e">
        <f>#REF!</f>
        <v>#REF!</v>
      </c>
      <c r="E2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1" spans="1:6" s="115" customFormat="1" ht="30" customHeight="1">
      <c r="A2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1" s="120" t="e">
        <f>#REF!</f>
        <v>#REF!</v>
      </c>
      <c r="C221" s="238" t="e">
        <f>#REF!</f>
        <v>#REF!</v>
      </c>
      <c r="D221" s="120" t="e">
        <f>#REF!</f>
        <v>#REF!</v>
      </c>
      <c r="E2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2" spans="1:6" s="115" customFormat="1" ht="30" customHeight="1">
      <c r="A2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2" s="120" t="e">
        <f>#REF!</f>
        <v>#REF!</v>
      </c>
      <c r="C222" s="238" t="e">
        <f>#REF!</f>
        <v>#REF!</v>
      </c>
      <c r="D222" s="120" t="e">
        <f>#REF!</f>
        <v>#REF!</v>
      </c>
      <c r="E2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3" spans="1:6" s="115" customFormat="1" ht="30" customHeight="1">
      <c r="A2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3" s="120" t="e">
        <f>#REF!</f>
        <v>#REF!</v>
      </c>
      <c r="C223" s="238" t="e">
        <f>#REF!</f>
        <v>#REF!</v>
      </c>
      <c r="D223" s="120" t="e">
        <f>#REF!</f>
        <v>#REF!</v>
      </c>
      <c r="E2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4" spans="1:6" s="115" customFormat="1" ht="30" customHeight="1">
      <c r="A2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4" s="120" t="e">
        <f>#REF!</f>
        <v>#REF!</v>
      </c>
      <c r="C224" s="238" t="e">
        <f>#REF!</f>
        <v>#REF!</v>
      </c>
      <c r="D224" s="120" t="e">
        <f>#REF!</f>
        <v>#REF!</v>
      </c>
      <c r="E2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5" spans="1:6" s="115" customFormat="1" ht="30" customHeight="1">
      <c r="A2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5" s="120" t="e">
        <f>#REF!</f>
        <v>#REF!</v>
      </c>
      <c r="C225" s="238" t="e">
        <f>#REF!</f>
        <v>#REF!</v>
      </c>
      <c r="D225" s="120" t="e">
        <f>#REF!</f>
        <v>#REF!</v>
      </c>
      <c r="E2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6" spans="1:6" s="115" customFormat="1" ht="30" customHeight="1">
      <c r="A2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6" s="120" t="e">
        <f>#REF!</f>
        <v>#REF!</v>
      </c>
      <c r="C226" s="238" t="e">
        <f>#REF!</f>
        <v>#REF!</v>
      </c>
      <c r="D226" s="120" t="e">
        <f>#REF!</f>
        <v>#REF!</v>
      </c>
      <c r="E2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7" spans="1:6" s="115" customFormat="1" ht="30" customHeight="1">
      <c r="A2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7" s="120" t="e">
        <f>#REF!</f>
        <v>#REF!</v>
      </c>
      <c r="C227" s="238" t="e">
        <f>#REF!</f>
        <v>#REF!</v>
      </c>
      <c r="D227" s="120" t="e">
        <f>#REF!</f>
        <v>#REF!</v>
      </c>
      <c r="E2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8" spans="1:6" s="115" customFormat="1" ht="30" customHeight="1">
      <c r="A2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8" s="120" t="e">
        <f>#REF!</f>
        <v>#REF!</v>
      </c>
      <c r="C228" s="238" t="e">
        <f>#REF!</f>
        <v>#REF!</v>
      </c>
      <c r="D228" s="120" t="e">
        <f>#REF!</f>
        <v>#REF!</v>
      </c>
      <c r="E2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9" spans="1:6" s="115" customFormat="1" ht="30" customHeight="1">
      <c r="A2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9" s="120" t="e">
        <f>#REF!</f>
        <v>#REF!</v>
      </c>
      <c r="C229" s="238" t="e">
        <f>#REF!</f>
        <v>#REF!</v>
      </c>
      <c r="D229" s="120" t="e">
        <f>#REF!</f>
        <v>#REF!</v>
      </c>
      <c r="E2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0" spans="1:6" s="115" customFormat="1" ht="30" customHeight="1">
      <c r="A2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0" s="120" t="e">
        <f>#REF!</f>
        <v>#REF!</v>
      </c>
      <c r="C230" s="238" t="e">
        <f>#REF!</f>
        <v>#REF!</v>
      </c>
      <c r="D230" s="120" t="e">
        <f>#REF!</f>
        <v>#REF!</v>
      </c>
      <c r="E2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1" spans="1:6" s="115" customFormat="1" ht="30" customHeight="1">
      <c r="A2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1" s="120" t="e">
        <f>#REF!</f>
        <v>#REF!</v>
      </c>
      <c r="C231" s="238" t="e">
        <f>#REF!</f>
        <v>#REF!</v>
      </c>
      <c r="D231" s="120" t="e">
        <f>#REF!</f>
        <v>#REF!</v>
      </c>
      <c r="E2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2" spans="1:6" s="115" customFormat="1" ht="30" customHeight="1">
      <c r="A2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2" s="120" t="e">
        <f>#REF!</f>
        <v>#REF!</v>
      </c>
      <c r="C232" s="238" t="e">
        <f>#REF!</f>
        <v>#REF!</v>
      </c>
      <c r="D232" s="120" t="e">
        <f>#REF!</f>
        <v>#REF!</v>
      </c>
      <c r="E2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3" spans="1:6" s="115" customFormat="1" ht="30" customHeight="1">
      <c r="A2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3" s="120" t="e">
        <f>#REF!</f>
        <v>#REF!</v>
      </c>
      <c r="C233" s="238" t="e">
        <f>#REF!</f>
        <v>#REF!</v>
      </c>
      <c r="D233" s="120" t="e">
        <f>#REF!</f>
        <v>#REF!</v>
      </c>
      <c r="E2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4" spans="1:6" s="115" customFormat="1" ht="30" customHeight="1">
      <c r="A2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4" s="120" t="e">
        <f>#REF!</f>
        <v>#REF!</v>
      </c>
      <c r="C234" s="238" t="e">
        <f>#REF!</f>
        <v>#REF!</v>
      </c>
      <c r="D234" s="120" t="e">
        <f>#REF!</f>
        <v>#REF!</v>
      </c>
      <c r="E2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5" spans="1:6" s="115" customFormat="1" ht="30" customHeight="1">
      <c r="A2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5" s="120" t="e">
        <f>#REF!</f>
        <v>#REF!</v>
      </c>
      <c r="C235" s="238" t="e">
        <f>#REF!</f>
        <v>#REF!</v>
      </c>
      <c r="D235" s="120" t="e">
        <f>#REF!</f>
        <v>#REF!</v>
      </c>
      <c r="E2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6" spans="1:6" s="115" customFormat="1" ht="30" customHeight="1">
      <c r="A2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6" s="120" t="e">
        <f>#REF!</f>
        <v>#REF!</v>
      </c>
      <c r="C236" s="238" t="e">
        <f>#REF!</f>
        <v>#REF!</v>
      </c>
      <c r="D236" s="120" t="e">
        <f>#REF!</f>
        <v>#REF!</v>
      </c>
      <c r="E2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7" spans="1:6" s="115" customFormat="1" ht="30" customHeight="1">
      <c r="A2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7" s="120" t="e">
        <f>#REF!</f>
        <v>#REF!</v>
      </c>
      <c r="C237" s="238" t="e">
        <f>#REF!</f>
        <v>#REF!</v>
      </c>
      <c r="D237" s="120" t="e">
        <f>#REF!</f>
        <v>#REF!</v>
      </c>
      <c r="E2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8" spans="1:6" s="115" customFormat="1" ht="30" customHeight="1">
      <c r="A2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8" s="120" t="e">
        <f>#REF!</f>
        <v>#REF!</v>
      </c>
      <c r="C238" s="238" t="e">
        <f>#REF!</f>
        <v>#REF!</v>
      </c>
      <c r="D238" s="120" t="e">
        <f>#REF!</f>
        <v>#REF!</v>
      </c>
      <c r="E2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9" spans="1:6" s="115" customFormat="1" ht="30" customHeight="1">
      <c r="A2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9" s="120" t="e">
        <f>#REF!</f>
        <v>#REF!</v>
      </c>
      <c r="C239" s="238" t="e">
        <f>#REF!</f>
        <v>#REF!</v>
      </c>
      <c r="D239" s="120" t="e">
        <f>#REF!</f>
        <v>#REF!</v>
      </c>
      <c r="E2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0" spans="1:6" s="115" customFormat="1" ht="30" customHeight="1">
      <c r="A2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0" s="120" t="e">
        <f>#REF!</f>
        <v>#REF!</v>
      </c>
      <c r="C240" s="238" t="e">
        <f>#REF!</f>
        <v>#REF!</v>
      </c>
      <c r="D240" s="120" t="e">
        <f>#REF!</f>
        <v>#REF!</v>
      </c>
      <c r="E2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1" spans="1:7" s="115" customFormat="1" ht="30" customHeight="1">
      <c r="A2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1" s="120" t="e">
        <f>#REF!</f>
        <v>#REF!</v>
      </c>
      <c r="C241" s="238" t="e">
        <f>#REF!</f>
        <v>#REF!</v>
      </c>
      <c r="D241" s="120" t="e">
        <f>#REF!</f>
        <v>#REF!</v>
      </c>
      <c r="E2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2" spans="1:7" s="115" customFormat="1" ht="30" customHeight="1">
      <c r="A2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2" s="120" t="e">
        <f>#REF!</f>
        <v>#REF!</v>
      </c>
      <c r="C242" s="238" t="e">
        <f>#REF!</f>
        <v>#REF!</v>
      </c>
      <c r="D242" s="120" t="e">
        <f>#REF!</f>
        <v>#REF!</v>
      </c>
      <c r="E2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3" spans="1:7" s="115" customFormat="1" ht="30" customHeight="1">
      <c r="A2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3" s="120" t="e">
        <f>#REF!</f>
        <v>#REF!</v>
      </c>
      <c r="C243" s="238" t="e">
        <f>#REF!</f>
        <v>#REF!</v>
      </c>
      <c r="D243" s="120" t="e">
        <f>#REF!</f>
        <v>#REF!</v>
      </c>
      <c r="E2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4" spans="1:7" s="115" customFormat="1" ht="30" customHeight="1">
      <c r="A2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4" s="120" t="e">
        <f>#REF!</f>
        <v>#REF!</v>
      </c>
      <c r="C244" s="238" t="e">
        <f>#REF!</f>
        <v>#REF!</v>
      </c>
      <c r="D244" s="120" t="e">
        <f>#REF!</f>
        <v>#REF!</v>
      </c>
      <c r="E2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5" spans="1:7" s="115" customFormat="1" ht="30" customHeight="1">
      <c r="A2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5" s="120" t="e">
        <f>#REF!</f>
        <v>#REF!</v>
      </c>
      <c r="C245" s="238" t="e">
        <f>#REF!</f>
        <v>#REF!</v>
      </c>
      <c r="D245" s="120" t="e">
        <f>#REF!</f>
        <v>#REF!</v>
      </c>
      <c r="E2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6" spans="1:7" s="115" customFormat="1" ht="30" customHeight="1">
      <c r="A2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6" s="120" t="e">
        <f>#REF!</f>
        <v>#REF!</v>
      </c>
      <c r="C246" s="238" t="e">
        <f>#REF!</f>
        <v>#REF!</v>
      </c>
      <c r="D246" s="120" t="e">
        <f>#REF!</f>
        <v>#REF!</v>
      </c>
      <c r="E2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7" spans="1:7" s="115" customFormat="1" ht="30" customHeight="1">
      <c r="A2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7" s="120" t="e">
        <f>#REF!</f>
        <v>#REF!</v>
      </c>
      <c r="C247" s="238" t="e">
        <f>#REF!</f>
        <v>#REF!</v>
      </c>
      <c r="D247" s="120" t="e">
        <f>#REF!</f>
        <v>#REF!</v>
      </c>
      <c r="E2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8" spans="1:7" s="115" customFormat="1" ht="30" customHeight="1">
      <c r="A2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8" s="120" t="e">
        <f>#REF!</f>
        <v>#REF!</v>
      </c>
      <c r="C248" s="238" t="e">
        <f>#REF!</f>
        <v>#REF!</v>
      </c>
      <c r="D248" s="120" t="e">
        <f>#REF!</f>
        <v>#REF!</v>
      </c>
      <c r="E2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9" spans="1:7" s="115" customFormat="1" ht="30" customHeight="1">
      <c r="A2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9" s="120" t="e">
        <f>#REF!</f>
        <v>#REF!</v>
      </c>
      <c r="C249" s="238" t="e">
        <f>#REF!</f>
        <v>#REF!</v>
      </c>
      <c r="D249" s="120" t="e">
        <f>#REF!</f>
        <v>#REF!</v>
      </c>
      <c r="E2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0" spans="1:7" s="115" customFormat="1" ht="30" customHeight="1">
      <c r="A2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0" s="120" t="e">
        <f>#REF!</f>
        <v>#REF!</v>
      </c>
      <c r="C250" s="238" t="e">
        <f>#REF!</f>
        <v>#REF!</v>
      </c>
      <c r="D250" s="120" t="e">
        <f>#REF!</f>
        <v>#REF!</v>
      </c>
      <c r="E2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1" spans="1:7" s="115" customFormat="1" ht="30" customHeight="1">
      <c r="A2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1" s="120" t="e">
        <f>#REF!</f>
        <v>#REF!</v>
      </c>
      <c r="C251" s="238" t="e">
        <f>#REF!</f>
        <v>#REF!</v>
      </c>
      <c r="D251" s="120" t="e">
        <f>#REF!</f>
        <v>#REF!</v>
      </c>
      <c r="E2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2" spans="1:7" s="115" customFormat="1" ht="30" customHeight="1">
      <c r="A2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2" s="120" t="e">
        <f>#REF!</f>
        <v>#REF!</v>
      </c>
      <c r="C252" s="299" t="e">
        <f>#REF!</f>
        <v>#REF!</v>
      </c>
      <c r="D252" s="300" t="e">
        <f>#REF!</f>
        <v>#REF!</v>
      </c>
      <c r="E252" s="30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2" s="30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3" spans="1:7" ht="24.95" customHeight="1">
      <c r="A253" s="234"/>
      <c r="B253" s="479" t="str">
        <f>IF(C3=1,"TOTAL (-10%)",  "TOTAL")</f>
        <v>TOTAL (-10%)</v>
      </c>
      <c r="C253" s="480"/>
      <c r="D253" s="477" t="e">
        <f>IF(C3=1, (SUM(F9:F252)*0.9), SUM(F9:F252))</f>
        <v>#REF!</v>
      </c>
      <c r="E253" s="477"/>
      <c r="F253" s="477"/>
    </row>
    <row r="254" spans="1:7" ht="24.95" customHeight="1">
      <c r="A254" s="234"/>
      <c r="B254" s="481" t="s">
        <v>693</v>
      </c>
      <c r="C254" s="482"/>
      <c r="D254" s="478" t="s">
        <v>697</v>
      </c>
      <c r="E254" s="478"/>
      <c r="F254" s="478"/>
    </row>
    <row r="255" spans="1:7" ht="20.100000000000001" customHeight="1">
      <c r="A255" s="234"/>
      <c r="B255" s="239"/>
      <c r="C255" s="303"/>
      <c r="D255" s="304"/>
      <c r="E255" s="305"/>
      <c r="F255" s="306"/>
      <c r="G255" s="264"/>
    </row>
    <row r="256" spans="1:7" ht="20.100000000000001" customHeight="1">
      <c r="A256" s="234"/>
      <c r="B256" s="239"/>
      <c r="C256" s="261"/>
      <c r="D256" s="240"/>
      <c r="E256" s="262"/>
      <c r="F256" s="263"/>
      <c r="G256" s="264"/>
    </row>
    <row r="257" spans="1:7" ht="20.100000000000001" customHeight="1">
      <c r="A257" s="464"/>
      <c r="B257" s="465"/>
      <c r="C257" s="465"/>
      <c r="D257" s="465"/>
      <c r="E257" s="465"/>
      <c r="F257" s="466"/>
      <c r="G257" s="264"/>
    </row>
  </sheetData>
  <sheetProtection autoFilter="0"/>
  <autoFilter ref="A8:F257" xr:uid="{1D57CE33-FDB0-47BF-A579-132DF115C4EB}"/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>
      <c r="A1" s="226" t="s">
        <v>71</v>
      </c>
      <c r="B1" s="123" t="s">
        <v>73</v>
      </c>
      <c r="C1" s="123" t="s">
        <v>74</v>
      </c>
      <c r="D1" s="123" t="s">
        <v>114</v>
      </c>
      <c r="E1" s="123" t="s">
        <v>115</v>
      </c>
      <c r="F1" s="123" t="s">
        <v>72</v>
      </c>
      <c r="G1" s="123" t="s">
        <v>116</v>
      </c>
      <c r="H1" s="123" t="s">
        <v>113</v>
      </c>
      <c r="I1" s="124" t="s">
        <v>117</v>
      </c>
      <c r="J1" s="124" t="s">
        <v>118</v>
      </c>
      <c r="K1" s="124" t="s">
        <v>119</v>
      </c>
      <c r="L1" s="123" t="s">
        <v>120</v>
      </c>
    </row>
    <row r="2" spans="1:13" ht="30" customHeight="1">
      <c r="A2" s="233">
        <v>6096</v>
      </c>
      <c r="B2" s="218" t="s">
        <v>598</v>
      </c>
      <c r="C2" s="219" t="s">
        <v>121</v>
      </c>
      <c r="D2" s="218" t="s">
        <v>122</v>
      </c>
      <c r="E2" s="219" t="s">
        <v>123</v>
      </c>
      <c r="F2" s="220" t="s">
        <v>49</v>
      </c>
      <c r="G2" s="231">
        <v>30.11</v>
      </c>
      <c r="H2" s="221" t="s">
        <v>124</v>
      </c>
      <c r="I2" s="222"/>
      <c r="J2" s="222"/>
      <c r="K2" s="222"/>
      <c r="L2" s="222"/>
    </row>
    <row r="3" spans="1:13" ht="30" customHeight="1">
      <c r="A3" s="233" t="s">
        <v>532</v>
      </c>
      <c r="B3" s="218" t="s">
        <v>128</v>
      </c>
      <c r="C3" s="219" t="s">
        <v>129</v>
      </c>
      <c r="D3" s="218" t="s">
        <v>130</v>
      </c>
      <c r="E3" s="219" t="s">
        <v>131</v>
      </c>
      <c r="F3" s="220" t="s">
        <v>662</v>
      </c>
      <c r="G3" s="231">
        <v>8.19</v>
      </c>
      <c r="H3" s="221" t="s">
        <v>132</v>
      </c>
      <c r="I3" s="222" t="s">
        <v>125</v>
      </c>
      <c r="J3" s="222"/>
      <c r="K3" s="222"/>
      <c r="L3" s="222"/>
      <c r="M3" s="125"/>
    </row>
    <row r="4" spans="1:13" ht="30" customHeight="1">
      <c r="A4" s="233">
        <v>1497</v>
      </c>
      <c r="B4" s="218" t="s">
        <v>599</v>
      </c>
      <c r="C4" s="219" t="s">
        <v>133</v>
      </c>
      <c r="D4" s="218" t="s">
        <v>134</v>
      </c>
      <c r="E4" s="219" t="s">
        <v>135</v>
      </c>
      <c r="F4" s="220" t="s">
        <v>662</v>
      </c>
      <c r="G4" s="231">
        <v>52.03</v>
      </c>
      <c r="H4" s="221" t="s">
        <v>124</v>
      </c>
      <c r="I4" s="222"/>
      <c r="J4" s="222"/>
      <c r="K4" s="222"/>
      <c r="L4" s="222"/>
    </row>
    <row r="5" spans="1:13" ht="30" customHeight="1">
      <c r="A5" s="233">
        <v>1497</v>
      </c>
      <c r="B5" s="218" t="s">
        <v>600</v>
      </c>
      <c r="C5" s="219" t="s">
        <v>133</v>
      </c>
      <c r="D5" s="218" t="s">
        <v>136</v>
      </c>
      <c r="E5" s="219" t="s">
        <v>135</v>
      </c>
      <c r="F5" s="220" t="s">
        <v>49</v>
      </c>
      <c r="G5" s="231">
        <v>26.7</v>
      </c>
      <c r="H5" s="221" t="s">
        <v>124</v>
      </c>
      <c r="I5" s="222"/>
      <c r="J5" s="222"/>
      <c r="K5" s="222"/>
      <c r="L5" s="222"/>
    </row>
    <row r="6" spans="1:13" ht="30" customHeight="1">
      <c r="A6" s="233">
        <v>1189</v>
      </c>
      <c r="B6" s="218" t="s">
        <v>601</v>
      </c>
      <c r="C6" s="219" t="s">
        <v>137</v>
      </c>
      <c r="D6" s="218" t="s">
        <v>138</v>
      </c>
      <c r="E6" s="219" t="s">
        <v>137</v>
      </c>
      <c r="F6" s="220" t="s">
        <v>49</v>
      </c>
      <c r="G6" s="231">
        <v>82.17</v>
      </c>
      <c r="H6" s="221" t="s">
        <v>124</v>
      </c>
      <c r="I6" s="222"/>
      <c r="J6" s="222"/>
      <c r="K6" s="222"/>
      <c r="L6" s="222"/>
    </row>
    <row r="7" spans="1:13" ht="30" customHeight="1">
      <c r="A7" s="233">
        <v>1189</v>
      </c>
      <c r="B7" s="218" t="s">
        <v>602</v>
      </c>
      <c r="C7" s="219" t="s">
        <v>137</v>
      </c>
      <c r="D7" s="218" t="s">
        <v>139</v>
      </c>
      <c r="E7" s="219" t="s">
        <v>137</v>
      </c>
      <c r="F7" s="220" t="s">
        <v>49</v>
      </c>
      <c r="G7" s="231">
        <v>41.77</v>
      </c>
      <c r="H7" s="221" t="s">
        <v>124</v>
      </c>
      <c r="I7" s="222"/>
      <c r="J7" s="222"/>
      <c r="K7" s="222"/>
      <c r="L7" s="222"/>
    </row>
    <row r="8" spans="1:13" ht="30" customHeight="1">
      <c r="A8" s="233">
        <v>6073</v>
      </c>
      <c r="B8" s="218" t="s">
        <v>603</v>
      </c>
      <c r="C8" s="219" t="s">
        <v>140</v>
      </c>
      <c r="D8" s="218" t="s">
        <v>141</v>
      </c>
      <c r="E8" s="219" t="s">
        <v>142</v>
      </c>
      <c r="F8" s="220" t="s">
        <v>49</v>
      </c>
      <c r="G8" s="231">
        <v>37.659999999999997</v>
      </c>
      <c r="H8" s="221" t="s">
        <v>124</v>
      </c>
      <c r="I8" s="222"/>
      <c r="J8" s="222"/>
      <c r="K8" s="222"/>
      <c r="L8" s="222"/>
    </row>
    <row r="9" spans="1:13" ht="30" customHeight="1">
      <c r="A9" s="233">
        <v>6073</v>
      </c>
      <c r="B9" s="218" t="s">
        <v>604</v>
      </c>
      <c r="C9" s="219" t="s">
        <v>140</v>
      </c>
      <c r="D9" s="218" t="s">
        <v>143</v>
      </c>
      <c r="E9" s="219" t="s">
        <v>142</v>
      </c>
      <c r="F9" s="220" t="s">
        <v>49</v>
      </c>
      <c r="G9" s="231">
        <v>19.579999999999998</v>
      </c>
      <c r="H9" s="221" t="s">
        <v>124</v>
      </c>
      <c r="I9" s="222"/>
      <c r="J9" s="222"/>
      <c r="K9" s="222"/>
      <c r="L9" s="222"/>
    </row>
    <row r="10" spans="1:13" ht="30" customHeight="1">
      <c r="A10" s="233">
        <v>1096</v>
      </c>
      <c r="B10" s="218" t="s">
        <v>605</v>
      </c>
      <c r="C10" s="219" t="s">
        <v>140</v>
      </c>
      <c r="D10" s="218" t="s">
        <v>141</v>
      </c>
      <c r="E10" s="219" t="s">
        <v>142</v>
      </c>
      <c r="F10" s="220" t="s">
        <v>49</v>
      </c>
      <c r="G10" s="231">
        <v>53.4</v>
      </c>
      <c r="H10" s="221" t="s">
        <v>124</v>
      </c>
      <c r="I10" s="222"/>
      <c r="J10" s="222"/>
      <c r="K10" s="222"/>
      <c r="L10" s="222"/>
    </row>
    <row r="11" spans="1:13" ht="30" customHeight="1">
      <c r="A11" s="233">
        <v>1096</v>
      </c>
      <c r="B11" s="218" t="s">
        <v>606</v>
      </c>
      <c r="C11" s="219" t="s">
        <v>140</v>
      </c>
      <c r="D11" s="218" t="s">
        <v>144</v>
      </c>
      <c r="E11" s="219" t="s">
        <v>142</v>
      </c>
      <c r="F11" s="220" t="s">
        <v>49</v>
      </c>
      <c r="G11" s="231">
        <v>27.37</v>
      </c>
      <c r="H11" s="221" t="s">
        <v>124</v>
      </c>
      <c r="I11" s="222"/>
      <c r="J11" s="222"/>
      <c r="K11" s="222"/>
      <c r="L11" s="222"/>
    </row>
    <row r="12" spans="1:13" ht="30" customHeight="1">
      <c r="A12" s="233">
        <v>1102</v>
      </c>
      <c r="B12" s="218" t="s">
        <v>665</v>
      </c>
      <c r="C12" s="219" t="s">
        <v>129</v>
      </c>
      <c r="D12" s="218" t="s">
        <v>145</v>
      </c>
      <c r="E12" s="219" t="s">
        <v>131</v>
      </c>
      <c r="F12" s="220" t="s">
        <v>49</v>
      </c>
      <c r="G12" s="231">
        <v>3.55</v>
      </c>
      <c r="H12" s="221" t="s">
        <v>124</v>
      </c>
      <c r="I12" s="222" t="s">
        <v>125</v>
      </c>
      <c r="J12" s="222" t="s">
        <v>125</v>
      </c>
      <c r="K12" s="222" t="s">
        <v>125</v>
      </c>
      <c r="L12" s="222"/>
    </row>
    <row r="13" spans="1:13" ht="30" customHeight="1">
      <c r="A13" s="233">
        <v>5035</v>
      </c>
      <c r="B13" s="218" t="s">
        <v>146</v>
      </c>
      <c r="C13" s="219" t="s">
        <v>126</v>
      </c>
      <c r="D13" s="218" t="s">
        <v>533</v>
      </c>
      <c r="E13" s="219" t="s">
        <v>127</v>
      </c>
      <c r="F13" s="220" t="s">
        <v>49</v>
      </c>
      <c r="G13" s="231">
        <v>4.08</v>
      </c>
      <c r="H13" s="221" t="s">
        <v>132</v>
      </c>
      <c r="I13" s="222"/>
      <c r="J13" s="222"/>
      <c r="K13" s="222"/>
      <c r="L13" s="222"/>
    </row>
    <row r="14" spans="1:13" ht="30" customHeight="1">
      <c r="A14" s="233">
        <v>5147</v>
      </c>
      <c r="B14" s="218" t="s">
        <v>147</v>
      </c>
      <c r="C14" s="219" t="s">
        <v>126</v>
      </c>
      <c r="D14" s="218" t="s">
        <v>534</v>
      </c>
      <c r="E14" s="219" t="s">
        <v>127</v>
      </c>
      <c r="F14" s="220" t="s">
        <v>49</v>
      </c>
      <c r="G14" s="231">
        <v>3.41</v>
      </c>
      <c r="H14" s="221" t="s">
        <v>132</v>
      </c>
      <c r="I14" s="222" t="s">
        <v>125</v>
      </c>
      <c r="J14" s="222" t="s">
        <v>125</v>
      </c>
      <c r="K14" s="222" t="s">
        <v>125</v>
      </c>
      <c r="L14" s="222"/>
    </row>
    <row r="15" spans="1:13" ht="30" customHeight="1">
      <c r="A15" s="233">
        <v>5127</v>
      </c>
      <c r="B15" s="218" t="s">
        <v>569</v>
      </c>
      <c r="C15" s="219" t="s">
        <v>129</v>
      </c>
      <c r="D15" s="218" t="s">
        <v>570</v>
      </c>
      <c r="E15" s="219" t="s">
        <v>131</v>
      </c>
      <c r="F15" s="220"/>
      <c r="G15" s="231">
        <v>3.69</v>
      </c>
      <c r="H15" s="221" t="s">
        <v>132</v>
      </c>
      <c r="I15" s="222" t="s">
        <v>125</v>
      </c>
      <c r="J15" s="222"/>
      <c r="K15" s="222"/>
      <c r="L15" s="222"/>
    </row>
    <row r="16" spans="1:13" ht="30" customHeight="1">
      <c r="A16" s="233">
        <v>1197</v>
      </c>
      <c r="B16" s="218" t="s">
        <v>607</v>
      </c>
      <c r="C16" s="219" t="s">
        <v>126</v>
      </c>
      <c r="D16" s="218" t="s">
        <v>148</v>
      </c>
      <c r="E16" s="219" t="s">
        <v>127</v>
      </c>
      <c r="F16" s="220" t="s">
        <v>49</v>
      </c>
      <c r="G16" s="231">
        <v>24.63</v>
      </c>
      <c r="H16" s="221" t="s">
        <v>124</v>
      </c>
      <c r="I16" s="222" t="s">
        <v>125</v>
      </c>
      <c r="J16" s="222"/>
      <c r="K16" s="222"/>
      <c r="L16" s="222"/>
    </row>
    <row r="17" spans="1:12" ht="30" customHeight="1">
      <c r="A17" s="233">
        <v>3020</v>
      </c>
      <c r="B17" s="218" t="s">
        <v>698</v>
      </c>
      <c r="C17" s="219" t="s">
        <v>149</v>
      </c>
      <c r="D17" s="218" t="s">
        <v>150</v>
      </c>
      <c r="E17" s="219" t="s">
        <v>149</v>
      </c>
      <c r="F17" s="220" t="s">
        <v>49</v>
      </c>
      <c r="G17" s="231">
        <v>4.37</v>
      </c>
      <c r="H17" s="221" t="s">
        <v>132</v>
      </c>
      <c r="I17" s="222" t="s">
        <v>125</v>
      </c>
      <c r="J17" s="222" t="s">
        <v>125</v>
      </c>
      <c r="K17" s="222"/>
      <c r="L17" s="222" t="s">
        <v>125</v>
      </c>
    </row>
    <row r="18" spans="1:12" ht="30" customHeight="1">
      <c r="A18" s="233">
        <v>1338</v>
      </c>
      <c r="B18" s="218" t="s">
        <v>699</v>
      </c>
      <c r="C18" s="219" t="s">
        <v>149</v>
      </c>
      <c r="D18" s="218" t="s">
        <v>151</v>
      </c>
      <c r="E18" s="219" t="s">
        <v>149</v>
      </c>
      <c r="F18" s="220" t="s">
        <v>49</v>
      </c>
      <c r="G18" s="231">
        <v>27.37</v>
      </c>
      <c r="H18" s="221" t="s">
        <v>124</v>
      </c>
      <c r="I18" s="222"/>
      <c r="J18" s="222"/>
      <c r="K18" s="222"/>
      <c r="L18" s="222"/>
    </row>
    <row r="19" spans="1:12" ht="30" customHeight="1">
      <c r="A19" s="233">
        <v>3785</v>
      </c>
      <c r="B19" s="218" t="s">
        <v>152</v>
      </c>
      <c r="C19" s="219" t="s">
        <v>153</v>
      </c>
      <c r="D19" s="218" t="s">
        <v>154</v>
      </c>
      <c r="E19" s="219" t="s">
        <v>155</v>
      </c>
      <c r="F19" s="220" t="s">
        <v>49</v>
      </c>
      <c r="G19" s="231">
        <v>4.37</v>
      </c>
      <c r="H19" s="221" t="s">
        <v>132</v>
      </c>
      <c r="I19" s="222" t="s">
        <v>125</v>
      </c>
      <c r="J19" s="222" t="s">
        <v>125</v>
      </c>
      <c r="K19" s="222"/>
      <c r="L19" s="222"/>
    </row>
    <row r="20" spans="1:12" ht="30" customHeight="1">
      <c r="A20" s="233">
        <v>1827</v>
      </c>
      <c r="B20" s="218" t="s">
        <v>156</v>
      </c>
      <c r="C20" s="219" t="s">
        <v>153</v>
      </c>
      <c r="D20" s="218" t="s">
        <v>157</v>
      </c>
      <c r="E20" s="219" t="s">
        <v>155</v>
      </c>
      <c r="F20" s="220" t="s">
        <v>49</v>
      </c>
      <c r="G20" s="231">
        <v>7.52</v>
      </c>
      <c r="H20" s="221" t="s">
        <v>132</v>
      </c>
      <c r="I20" s="222" t="s">
        <v>125</v>
      </c>
      <c r="J20" s="222" t="s">
        <v>125</v>
      </c>
      <c r="K20" s="222"/>
      <c r="L20" s="222"/>
    </row>
    <row r="21" spans="1:12" ht="30" customHeight="1">
      <c r="A21" s="233">
        <v>1008</v>
      </c>
      <c r="B21" s="218" t="s">
        <v>700</v>
      </c>
      <c r="C21" s="219" t="s">
        <v>129</v>
      </c>
      <c r="D21" s="218" t="s">
        <v>701</v>
      </c>
      <c r="E21" s="219" t="s">
        <v>131</v>
      </c>
      <c r="F21" s="220"/>
      <c r="G21" s="231">
        <v>3.69</v>
      </c>
      <c r="H21" s="221" t="s">
        <v>132</v>
      </c>
      <c r="I21" s="222" t="s">
        <v>125</v>
      </c>
      <c r="J21" s="222" t="s">
        <v>125</v>
      </c>
      <c r="K21" s="222"/>
      <c r="L21" s="222" t="s">
        <v>125</v>
      </c>
    </row>
    <row r="22" spans="1:12" ht="30" customHeight="1">
      <c r="A22" s="233">
        <v>3001</v>
      </c>
      <c r="B22" s="218" t="s">
        <v>536</v>
      </c>
      <c r="C22" s="219" t="s">
        <v>126</v>
      </c>
      <c r="D22" s="218" t="s">
        <v>535</v>
      </c>
      <c r="E22" s="219" t="s">
        <v>127</v>
      </c>
      <c r="F22" s="220" t="s">
        <v>49</v>
      </c>
      <c r="G22" s="231">
        <v>5.33</v>
      </c>
      <c r="H22" s="221" t="s">
        <v>132</v>
      </c>
      <c r="I22" s="222" t="s">
        <v>125</v>
      </c>
      <c r="J22" s="222" t="s">
        <v>125</v>
      </c>
      <c r="K22" s="222"/>
      <c r="L22" s="222" t="s">
        <v>125</v>
      </c>
    </row>
    <row r="23" spans="1:12" ht="30" customHeight="1">
      <c r="A23" s="233">
        <v>1001</v>
      </c>
      <c r="B23" s="218" t="s">
        <v>158</v>
      </c>
      <c r="C23" s="219" t="s">
        <v>126</v>
      </c>
      <c r="D23" s="218" t="s">
        <v>159</v>
      </c>
      <c r="E23" s="219" t="s">
        <v>127</v>
      </c>
      <c r="F23" s="220"/>
      <c r="G23" s="231">
        <v>5.45</v>
      </c>
      <c r="H23" s="221" t="s">
        <v>132</v>
      </c>
      <c r="I23" s="222" t="s">
        <v>125</v>
      </c>
      <c r="J23" s="222" t="s">
        <v>125</v>
      </c>
      <c r="K23" s="222"/>
      <c r="L23" s="222" t="s">
        <v>125</v>
      </c>
    </row>
    <row r="24" spans="1:12" ht="30" customHeight="1">
      <c r="A24" s="233">
        <v>3944</v>
      </c>
      <c r="B24" s="218" t="s">
        <v>565</v>
      </c>
      <c r="C24" s="219" t="s">
        <v>126</v>
      </c>
      <c r="D24" s="218" t="s">
        <v>566</v>
      </c>
      <c r="E24" s="219" t="s">
        <v>127</v>
      </c>
      <c r="F24" s="220" t="s">
        <v>49</v>
      </c>
      <c r="G24" s="231">
        <v>5.74</v>
      </c>
      <c r="H24" s="221" t="s">
        <v>132</v>
      </c>
      <c r="I24" s="222"/>
      <c r="J24" s="222"/>
      <c r="K24" s="222"/>
      <c r="L24" s="222" t="s">
        <v>125</v>
      </c>
    </row>
    <row r="25" spans="1:12" ht="30" customHeight="1">
      <c r="A25" s="233" t="s">
        <v>702</v>
      </c>
      <c r="B25" s="218" t="s">
        <v>703</v>
      </c>
      <c r="C25" s="219" t="s">
        <v>129</v>
      </c>
      <c r="D25" s="218" t="s">
        <v>704</v>
      </c>
      <c r="E25" s="219" t="s">
        <v>131</v>
      </c>
      <c r="F25" s="220"/>
      <c r="G25" s="231">
        <v>4.08</v>
      </c>
      <c r="H25" s="221" t="s">
        <v>132</v>
      </c>
      <c r="I25" s="222" t="s">
        <v>125</v>
      </c>
      <c r="J25" s="222" t="s">
        <v>125</v>
      </c>
      <c r="K25" s="222" t="s">
        <v>125</v>
      </c>
      <c r="L25" s="222" t="s">
        <v>125</v>
      </c>
    </row>
    <row r="26" spans="1:12" ht="30" customHeight="1">
      <c r="A26" s="233">
        <v>3048</v>
      </c>
      <c r="B26" s="218" t="s">
        <v>608</v>
      </c>
      <c r="C26" s="219" t="s">
        <v>129</v>
      </c>
      <c r="D26" s="218" t="s">
        <v>609</v>
      </c>
      <c r="E26" s="219" t="s">
        <v>131</v>
      </c>
      <c r="F26" s="220" t="s">
        <v>49</v>
      </c>
      <c r="G26" s="231">
        <v>5.45</v>
      </c>
      <c r="H26" s="221" t="s">
        <v>132</v>
      </c>
      <c r="I26" s="222" t="s">
        <v>125</v>
      </c>
      <c r="J26" s="222" t="s">
        <v>125</v>
      </c>
      <c r="K26" s="222"/>
      <c r="L26" s="222" t="s">
        <v>125</v>
      </c>
    </row>
    <row r="27" spans="1:12" ht="30" customHeight="1">
      <c r="A27" s="233">
        <v>1200</v>
      </c>
      <c r="B27" s="218" t="s">
        <v>610</v>
      </c>
      <c r="C27" s="219" t="s">
        <v>126</v>
      </c>
      <c r="D27" s="218" t="s">
        <v>611</v>
      </c>
      <c r="E27" s="219" t="s">
        <v>127</v>
      </c>
      <c r="F27" s="220" t="s">
        <v>49</v>
      </c>
      <c r="G27" s="231">
        <v>6.15</v>
      </c>
      <c r="H27" s="221" t="s">
        <v>132</v>
      </c>
      <c r="I27" s="222" t="s">
        <v>125</v>
      </c>
      <c r="J27" s="222" t="s">
        <v>125</v>
      </c>
      <c r="K27" s="222"/>
      <c r="L27" s="222" t="s">
        <v>125</v>
      </c>
    </row>
    <row r="28" spans="1:12" ht="30" customHeight="1">
      <c r="A28" s="233">
        <v>1527</v>
      </c>
      <c r="B28" s="218" t="s">
        <v>517</v>
      </c>
      <c r="C28" s="219" t="s">
        <v>160</v>
      </c>
      <c r="D28" s="218" t="s">
        <v>161</v>
      </c>
      <c r="E28" s="219" t="s">
        <v>162</v>
      </c>
      <c r="F28" s="220" t="s">
        <v>49</v>
      </c>
      <c r="G28" s="231">
        <v>28.74</v>
      </c>
      <c r="H28" s="221" t="s">
        <v>124</v>
      </c>
      <c r="I28" s="222"/>
      <c r="J28" s="222"/>
      <c r="K28" s="222"/>
      <c r="L28" s="222"/>
    </row>
    <row r="29" spans="1:12" ht="30" customHeight="1">
      <c r="A29" s="233">
        <v>1527</v>
      </c>
      <c r="B29" s="218" t="s">
        <v>518</v>
      </c>
      <c r="C29" s="219" t="s">
        <v>160</v>
      </c>
      <c r="D29" s="218" t="s">
        <v>163</v>
      </c>
      <c r="E29" s="219" t="s">
        <v>162</v>
      </c>
      <c r="F29" s="220" t="s">
        <v>49</v>
      </c>
      <c r="G29" s="231">
        <v>15.04</v>
      </c>
      <c r="H29" s="221" t="s">
        <v>124</v>
      </c>
      <c r="I29" s="222"/>
      <c r="J29" s="222"/>
      <c r="K29" s="222"/>
      <c r="L29" s="222"/>
    </row>
    <row r="30" spans="1:12" ht="30" customHeight="1">
      <c r="A30" s="233">
        <v>3033</v>
      </c>
      <c r="B30" s="218" t="s">
        <v>537</v>
      </c>
      <c r="C30" s="219" t="s">
        <v>126</v>
      </c>
      <c r="D30" s="218" t="s">
        <v>164</v>
      </c>
      <c r="E30" s="219" t="s">
        <v>127</v>
      </c>
      <c r="F30" s="220" t="s">
        <v>49</v>
      </c>
      <c r="G30" s="231">
        <v>4.08</v>
      </c>
      <c r="H30" s="223" t="s">
        <v>132</v>
      </c>
      <c r="I30" s="222" t="s">
        <v>125</v>
      </c>
      <c r="J30" s="222" t="s">
        <v>125</v>
      </c>
      <c r="K30" s="222" t="s">
        <v>125</v>
      </c>
      <c r="L30" s="222" t="s">
        <v>125</v>
      </c>
    </row>
    <row r="31" spans="1:12" ht="30" customHeight="1">
      <c r="A31" s="233" t="s">
        <v>577</v>
      </c>
      <c r="B31" s="218" t="s">
        <v>666</v>
      </c>
      <c r="C31" s="219" t="s">
        <v>578</v>
      </c>
      <c r="D31" s="218" t="s">
        <v>579</v>
      </c>
      <c r="E31" s="219" t="s">
        <v>580</v>
      </c>
      <c r="F31" s="220" t="s">
        <v>49</v>
      </c>
      <c r="G31" s="231">
        <v>4.78</v>
      </c>
      <c r="H31" s="221" t="s">
        <v>132</v>
      </c>
      <c r="I31" s="222" t="s">
        <v>125</v>
      </c>
      <c r="J31" s="222"/>
      <c r="K31" s="222"/>
      <c r="L31" s="222" t="s">
        <v>125</v>
      </c>
    </row>
    <row r="32" spans="1:12" ht="30" customHeight="1">
      <c r="A32" s="233">
        <v>3746</v>
      </c>
      <c r="B32" s="218" t="s">
        <v>667</v>
      </c>
      <c r="C32" s="219" t="s">
        <v>126</v>
      </c>
      <c r="D32" s="218" t="s">
        <v>165</v>
      </c>
      <c r="E32" s="219" t="s">
        <v>127</v>
      </c>
      <c r="F32" s="220" t="s">
        <v>49</v>
      </c>
      <c r="G32" s="231">
        <v>4.78</v>
      </c>
      <c r="H32" s="221" t="s">
        <v>124</v>
      </c>
      <c r="I32" s="222"/>
      <c r="J32" s="222"/>
      <c r="K32" s="222"/>
      <c r="L32" s="222"/>
    </row>
    <row r="33" spans="1:12" ht="30" customHeight="1">
      <c r="A33" s="233">
        <v>1458</v>
      </c>
      <c r="B33" s="218" t="s">
        <v>612</v>
      </c>
      <c r="C33" s="219" t="s">
        <v>133</v>
      </c>
      <c r="D33" s="218" t="s">
        <v>613</v>
      </c>
      <c r="E33" s="219" t="s">
        <v>135</v>
      </c>
      <c r="F33" s="220"/>
      <c r="G33" s="231">
        <v>8.07</v>
      </c>
      <c r="H33" s="223" t="s">
        <v>124</v>
      </c>
      <c r="I33" s="222"/>
      <c r="J33" s="222"/>
      <c r="K33" s="222"/>
      <c r="L33" s="222"/>
    </row>
    <row r="34" spans="1:12" ht="30" customHeight="1">
      <c r="A34" s="233" t="s">
        <v>166</v>
      </c>
      <c r="B34" s="218" t="s">
        <v>167</v>
      </c>
      <c r="C34" s="219" t="s">
        <v>129</v>
      </c>
      <c r="D34" s="218" t="s">
        <v>168</v>
      </c>
      <c r="E34" s="219" t="s">
        <v>131</v>
      </c>
      <c r="F34" s="220"/>
      <c r="G34" s="231">
        <v>2.3199999999999998</v>
      </c>
      <c r="H34" s="221" t="s">
        <v>132</v>
      </c>
      <c r="I34" s="222" t="s">
        <v>125</v>
      </c>
      <c r="J34" s="222"/>
      <c r="K34" s="222"/>
      <c r="L34" s="222" t="s">
        <v>125</v>
      </c>
    </row>
    <row r="35" spans="1:12" ht="30" customHeight="1">
      <c r="A35" s="233">
        <v>1696</v>
      </c>
      <c r="B35" s="224" t="s">
        <v>614</v>
      </c>
      <c r="C35" s="229" t="s">
        <v>169</v>
      </c>
      <c r="D35" s="224" t="s">
        <v>170</v>
      </c>
      <c r="E35" s="229" t="s">
        <v>171</v>
      </c>
      <c r="F35" s="230" t="s">
        <v>49</v>
      </c>
      <c r="G35" s="232">
        <v>23.96</v>
      </c>
      <c r="H35" s="221" t="s">
        <v>124</v>
      </c>
      <c r="I35" s="228"/>
      <c r="J35" s="228"/>
      <c r="K35" s="228"/>
      <c r="L35" s="228"/>
    </row>
    <row r="36" spans="1:12" ht="30" customHeight="1">
      <c r="A36" s="233">
        <v>1696</v>
      </c>
      <c r="B36" s="218" t="s">
        <v>615</v>
      </c>
      <c r="C36" s="219" t="s">
        <v>169</v>
      </c>
      <c r="D36" s="218" t="s">
        <v>172</v>
      </c>
      <c r="E36" s="219" t="s">
        <v>171</v>
      </c>
      <c r="F36" s="220" t="s">
        <v>49</v>
      </c>
      <c r="G36" s="231">
        <v>12.73</v>
      </c>
      <c r="H36" s="221" t="s">
        <v>124</v>
      </c>
      <c r="I36" s="222"/>
      <c r="J36" s="222"/>
      <c r="K36" s="222"/>
      <c r="L36" s="222"/>
    </row>
    <row r="37" spans="1:12" ht="30" customHeight="1">
      <c r="A37" s="233">
        <v>1758</v>
      </c>
      <c r="B37" s="218" t="s">
        <v>616</v>
      </c>
      <c r="C37" s="219" t="s">
        <v>173</v>
      </c>
      <c r="D37" s="218" t="s">
        <v>617</v>
      </c>
      <c r="E37" s="219" t="s">
        <v>175</v>
      </c>
      <c r="F37" s="220"/>
      <c r="G37" s="231">
        <v>23.26</v>
      </c>
      <c r="H37" s="221" t="s">
        <v>124</v>
      </c>
      <c r="I37" s="222"/>
      <c r="J37" s="222"/>
      <c r="K37" s="222"/>
      <c r="L37" s="222"/>
    </row>
    <row r="38" spans="1:12" ht="30" customHeight="1">
      <c r="A38" s="233">
        <v>1257</v>
      </c>
      <c r="B38" s="218" t="s">
        <v>538</v>
      </c>
      <c r="C38" s="219" t="s">
        <v>126</v>
      </c>
      <c r="D38" s="218" t="s">
        <v>531</v>
      </c>
      <c r="E38" s="219" t="s">
        <v>127</v>
      </c>
      <c r="F38" s="220"/>
      <c r="G38" s="231">
        <v>5.45</v>
      </c>
      <c r="H38" s="221" t="s">
        <v>132</v>
      </c>
      <c r="I38" s="222"/>
      <c r="J38" s="222"/>
      <c r="K38" s="222"/>
      <c r="L38" s="222" t="s">
        <v>125</v>
      </c>
    </row>
    <row r="39" spans="1:12" ht="30" customHeight="1">
      <c r="A39" s="233">
        <v>1597</v>
      </c>
      <c r="B39" s="218" t="s">
        <v>705</v>
      </c>
      <c r="C39" s="219" t="s">
        <v>173</v>
      </c>
      <c r="D39" s="218" t="s">
        <v>618</v>
      </c>
      <c r="E39" s="219" t="s">
        <v>175</v>
      </c>
      <c r="F39" s="220"/>
      <c r="G39" s="231">
        <v>14.65</v>
      </c>
      <c r="H39" s="221" t="s">
        <v>124</v>
      </c>
      <c r="I39" s="222" t="s">
        <v>125</v>
      </c>
      <c r="J39" s="222"/>
      <c r="K39" s="222"/>
      <c r="L39" s="222"/>
    </row>
    <row r="40" spans="1:12" ht="30" customHeight="1">
      <c r="A40" s="233">
        <v>6099</v>
      </c>
      <c r="B40" s="218" t="s">
        <v>619</v>
      </c>
      <c r="C40" s="219" t="s">
        <v>173</v>
      </c>
      <c r="D40" s="218" t="s">
        <v>176</v>
      </c>
      <c r="E40" s="219" t="s">
        <v>175</v>
      </c>
      <c r="F40" s="220"/>
      <c r="G40" s="231">
        <v>18.48</v>
      </c>
      <c r="H40" s="221" t="s">
        <v>124</v>
      </c>
      <c r="I40" s="222"/>
      <c r="J40" s="222"/>
      <c r="K40" s="222"/>
      <c r="L40" s="222"/>
    </row>
    <row r="41" spans="1:12" ht="30" customHeight="1">
      <c r="A41" s="233">
        <v>3210</v>
      </c>
      <c r="B41" s="218" t="s">
        <v>177</v>
      </c>
      <c r="C41" s="219" t="s">
        <v>126</v>
      </c>
      <c r="D41" s="218" t="s">
        <v>178</v>
      </c>
      <c r="E41" s="219" t="s">
        <v>127</v>
      </c>
      <c r="F41" s="220"/>
      <c r="G41" s="231">
        <v>4.92</v>
      </c>
      <c r="H41" s="223" t="s">
        <v>132</v>
      </c>
      <c r="I41" s="222" t="s">
        <v>125</v>
      </c>
      <c r="J41" s="222" t="s">
        <v>125</v>
      </c>
      <c r="K41" s="222"/>
      <c r="L41" s="222" t="s">
        <v>125</v>
      </c>
    </row>
    <row r="42" spans="1:12" ht="30" customHeight="1">
      <c r="A42" s="233">
        <v>5075</v>
      </c>
      <c r="B42" s="218" t="s">
        <v>179</v>
      </c>
      <c r="C42" s="219" t="s">
        <v>126</v>
      </c>
      <c r="D42" s="218" t="s">
        <v>180</v>
      </c>
      <c r="E42" s="219" t="s">
        <v>127</v>
      </c>
      <c r="F42" s="220"/>
      <c r="G42" s="231">
        <v>3.14</v>
      </c>
      <c r="H42" s="221" t="s">
        <v>132</v>
      </c>
      <c r="I42" s="222" t="s">
        <v>125</v>
      </c>
      <c r="J42" s="222"/>
      <c r="K42" s="222"/>
      <c r="L42" s="222" t="s">
        <v>125</v>
      </c>
    </row>
    <row r="43" spans="1:12" ht="30" customHeight="1">
      <c r="A43" s="233">
        <v>3017</v>
      </c>
      <c r="B43" s="218" t="s">
        <v>182</v>
      </c>
      <c r="C43" s="219" t="s">
        <v>126</v>
      </c>
      <c r="D43" s="218" t="s">
        <v>183</v>
      </c>
      <c r="E43" s="219" t="s">
        <v>127</v>
      </c>
      <c r="F43" s="220"/>
      <c r="G43" s="231">
        <v>1.9</v>
      </c>
      <c r="H43" s="221" t="s">
        <v>132</v>
      </c>
      <c r="I43" s="222" t="s">
        <v>125</v>
      </c>
      <c r="J43" s="222" t="s">
        <v>125</v>
      </c>
      <c r="K43" s="222" t="s">
        <v>125</v>
      </c>
      <c r="L43" s="222" t="s">
        <v>125</v>
      </c>
    </row>
    <row r="44" spans="1:12" ht="30" customHeight="1">
      <c r="A44" s="217">
        <v>1034</v>
      </c>
      <c r="B44" s="218" t="s">
        <v>670</v>
      </c>
      <c r="C44" s="219" t="s">
        <v>129</v>
      </c>
      <c r="D44" s="218" t="s">
        <v>181</v>
      </c>
      <c r="E44" s="219" t="s">
        <v>129</v>
      </c>
      <c r="F44" s="220"/>
      <c r="G44" s="231">
        <v>2.3199999999999998</v>
      </c>
      <c r="H44" s="221" t="s">
        <v>132</v>
      </c>
      <c r="I44" s="222" t="s">
        <v>125</v>
      </c>
      <c r="J44" s="222" t="s">
        <v>125</v>
      </c>
      <c r="K44" s="222"/>
      <c r="L44" s="222" t="s">
        <v>125</v>
      </c>
    </row>
    <row r="45" spans="1:12" ht="30" customHeight="1">
      <c r="A45" s="217">
        <v>6117</v>
      </c>
      <c r="B45" s="218" t="s">
        <v>671</v>
      </c>
      <c r="C45" s="219" t="s">
        <v>126</v>
      </c>
      <c r="D45" s="218" t="s">
        <v>620</v>
      </c>
      <c r="E45" s="219" t="s">
        <v>127</v>
      </c>
      <c r="F45" s="220" t="s">
        <v>49</v>
      </c>
      <c r="G45" s="231">
        <v>1.34</v>
      </c>
      <c r="H45" s="223" t="s">
        <v>124</v>
      </c>
      <c r="I45" s="222"/>
      <c r="J45" s="222"/>
      <c r="K45" s="222"/>
      <c r="L45" s="222"/>
    </row>
    <row r="46" spans="1:12" ht="30" customHeight="1">
      <c r="A46" s="217">
        <v>3023</v>
      </c>
      <c r="B46" s="218" t="s">
        <v>672</v>
      </c>
      <c r="C46" s="219" t="s">
        <v>126</v>
      </c>
      <c r="D46" s="218" t="s">
        <v>184</v>
      </c>
      <c r="E46" s="219" t="s">
        <v>127</v>
      </c>
      <c r="F46" s="220"/>
      <c r="G46" s="231">
        <v>3.41</v>
      </c>
      <c r="H46" s="221" t="s">
        <v>132</v>
      </c>
      <c r="I46" s="222" t="s">
        <v>125</v>
      </c>
      <c r="J46" s="222"/>
      <c r="K46" s="222"/>
      <c r="L46" s="222" t="s">
        <v>125</v>
      </c>
    </row>
    <row r="47" spans="1:12" ht="30" customHeight="1">
      <c r="A47" s="233">
        <v>1117</v>
      </c>
      <c r="B47" s="218" t="s">
        <v>185</v>
      </c>
      <c r="C47" s="219" t="s">
        <v>129</v>
      </c>
      <c r="D47" s="218" t="s">
        <v>186</v>
      </c>
      <c r="E47" s="219" t="s">
        <v>131</v>
      </c>
      <c r="F47" s="220"/>
      <c r="G47" s="231">
        <v>3.69</v>
      </c>
      <c r="H47" s="221" t="s">
        <v>132</v>
      </c>
      <c r="I47" s="222" t="s">
        <v>125</v>
      </c>
      <c r="J47" s="222"/>
      <c r="K47" s="222"/>
      <c r="L47" s="222" t="s">
        <v>125</v>
      </c>
    </row>
    <row r="48" spans="1:12" ht="30" customHeight="1">
      <c r="A48" s="233">
        <v>1572</v>
      </c>
      <c r="B48" s="218" t="s">
        <v>621</v>
      </c>
      <c r="C48" s="219" t="s">
        <v>187</v>
      </c>
      <c r="D48" s="218" t="s">
        <v>188</v>
      </c>
      <c r="E48" s="219" t="s">
        <v>189</v>
      </c>
      <c r="F48" s="220" t="s">
        <v>49</v>
      </c>
      <c r="G48" s="231">
        <v>6.15</v>
      </c>
      <c r="H48" s="221" t="s">
        <v>124</v>
      </c>
      <c r="I48" s="222" t="s">
        <v>125</v>
      </c>
      <c r="J48" s="222"/>
      <c r="K48" s="222"/>
      <c r="L48" s="222"/>
    </row>
    <row r="49" spans="1:12" ht="30" customHeight="1">
      <c r="A49" s="233">
        <v>1611</v>
      </c>
      <c r="B49" s="218" t="s">
        <v>622</v>
      </c>
      <c r="C49" s="219" t="s">
        <v>190</v>
      </c>
      <c r="D49" s="218" t="s">
        <v>191</v>
      </c>
      <c r="E49" s="219" t="s">
        <v>190</v>
      </c>
      <c r="F49" s="220" t="s">
        <v>49</v>
      </c>
      <c r="G49" s="231">
        <v>9.3000000000000007</v>
      </c>
      <c r="H49" s="221" t="s">
        <v>124</v>
      </c>
      <c r="I49" s="222" t="s">
        <v>125</v>
      </c>
      <c r="J49" s="222" t="s">
        <v>125</v>
      </c>
      <c r="K49" s="222"/>
      <c r="L49" s="222"/>
    </row>
    <row r="50" spans="1:12" ht="30" customHeight="1">
      <c r="A50" s="233">
        <v>3032</v>
      </c>
      <c r="B50" s="218" t="s">
        <v>588</v>
      </c>
      <c r="C50" s="219" t="s">
        <v>126</v>
      </c>
      <c r="D50" s="218" t="s">
        <v>706</v>
      </c>
      <c r="E50" s="219" t="s">
        <v>127</v>
      </c>
      <c r="F50" s="220"/>
      <c r="G50" s="231">
        <v>4.08</v>
      </c>
      <c r="H50" s="221" t="s">
        <v>132</v>
      </c>
      <c r="I50" s="222" t="s">
        <v>125</v>
      </c>
      <c r="J50" s="222" t="s">
        <v>125</v>
      </c>
      <c r="K50" s="222" t="s">
        <v>125</v>
      </c>
      <c r="L50" s="222" t="s">
        <v>125</v>
      </c>
    </row>
    <row r="51" spans="1:12" ht="30" customHeight="1">
      <c r="A51" s="233">
        <v>1178</v>
      </c>
      <c r="B51" s="218" t="s">
        <v>589</v>
      </c>
      <c r="C51" s="219" t="s">
        <v>126</v>
      </c>
      <c r="D51" s="218" t="s">
        <v>587</v>
      </c>
      <c r="E51" s="219" t="s">
        <v>127</v>
      </c>
      <c r="F51" s="220"/>
      <c r="G51" s="231">
        <v>5.0599999999999996</v>
      </c>
      <c r="H51" s="223" t="s">
        <v>132</v>
      </c>
      <c r="I51" s="222" t="s">
        <v>125</v>
      </c>
      <c r="J51" s="222" t="s">
        <v>125</v>
      </c>
      <c r="K51" s="222" t="s">
        <v>125</v>
      </c>
      <c r="L51" s="222" t="s">
        <v>125</v>
      </c>
    </row>
    <row r="52" spans="1:12" ht="30" customHeight="1">
      <c r="A52" s="233">
        <v>1209</v>
      </c>
      <c r="B52" s="218" t="s">
        <v>707</v>
      </c>
      <c r="C52" s="219" t="s">
        <v>126</v>
      </c>
      <c r="D52" s="218" t="s">
        <v>708</v>
      </c>
      <c r="E52" s="219" t="s">
        <v>127</v>
      </c>
      <c r="F52" s="220"/>
      <c r="G52" s="231">
        <v>6.56</v>
      </c>
      <c r="H52" s="223" t="s">
        <v>132</v>
      </c>
      <c r="I52" s="222" t="s">
        <v>125</v>
      </c>
      <c r="J52" s="222"/>
      <c r="K52" s="222"/>
      <c r="L52" s="222"/>
    </row>
    <row r="53" spans="1:12" ht="30" customHeight="1">
      <c r="A53" s="233">
        <v>1626</v>
      </c>
      <c r="B53" s="218" t="s">
        <v>585</v>
      </c>
      <c r="C53" s="219" t="s">
        <v>126</v>
      </c>
      <c r="D53" s="218" t="s">
        <v>574</v>
      </c>
      <c r="E53" s="219" t="s">
        <v>127</v>
      </c>
      <c r="F53" s="220"/>
      <c r="G53" s="231">
        <v>6.15</v>
      </c>
      <c r="H53" s="221" t="s">
        <v>132</v>
      </c>
      <c r="I53" s="222" t="s">
        <v>125</v>
      </c>
      <c r="J53" s="222"/>
      <c r="K53" s="222"/>
      <c r="L53" s="222" t="s">
        <v>125</v>
      </c>
    </row>
    <row r="54" spans="1:12" ht="30" customHeight="1">
      <c r="A54" s="233">
        <v>1006</v>
      </c>
      <c r="B54" s="218" t="s">
        <v>192</v>
      </c>
      <c r="C54" s="219" t="s">
        <v>129</v>
      </c>
      <c r="D54" s="218" t="s">
        <v>193</v>
      </c>
      <c r="E54" s="219" t="s">
        <v>131</v>
      </c>
      <c r="F54" s="220"/>
      <c r="G54" s="231">
        <v>3</v>
      </c>
      <c r="H54" s="221" t="s">
        <v>132</v>
      </c>
      <c r="I54" s="222" t="s">
        <v>125</v>
      </c>
      <c r="J54" s="222"/>
      <c r="K54" s="222"/>
      <c r="L54" s="222" t="s">
        <v>125</v>
      </c>
    </row>
    <row r="55" spans="1:12" ht="30" customHeight="1">
      <c r="A55" s="233">
        <v>5037</v>
      </c>
      <c r="B55" s="218" t="s">
        <v>709</v>
      </c>
      <c r="C55" s="219" t="s">
        <v>194</v>
      </c>
      <c r="D55" s="218" t="s">
        <v>195</v>
      </c>
      <c r="E55" s="219" t="s">
        <v>539</v>
      </c>
      <c r="F55" s="220"/>
      <c r="G55" s="231">
        <v>10.93</v>
      </c>
      <c r="H55" s="221" t="s">
        <v>124</v>
      </c>
      <c r="I55" s="222"/>
      <c r="J55" s="222"/>
      <c r="K55" s="222"/>
      <c r="L55" s="222"/>
    </row>
    <row r="56" spans="1:12" ht="30" customHeight="1">
      <c r="A56" s="233">
        <v>5037</v>
      </c>
      <c r="B56" s="218" t="s">
        <v>710</v>
      </c>
      <c r="C56" s="219" t="s">
        <v>194</v>
      </c>
      <c r="D56" s="218" t="s">
        <v>196</v>
      </c>
      <c r="E56" s="219" t="s">
        <v>539</v>
      </c>
      <c r="F56" s="220"/>
      <c r="G56" s="231">
        <v>23.26</v>
      </c>
      <c r="H56" s="221" t="s">
        <v>124</v>
      </c>
      <c r="I56" s="222"/>
      <c r="J56" s="222"/>
      <c r="K56" s="222"/>
      <c r="L56" s="222"/>
    </row>
    <row r="57" spans="1:12" ht="30" customHeight="1">
      <c r="A57" s="233">
        <v>6019</v>
      </c>
      <c r="B57" s="218" t="s">
        <v>674</v>
      </c>
      <c r="C57" s="219" t="s">
        <v>126</v>
      </c>
      <c r="D57" s="218" t="s">
        <v>529</v>
      </c>
      <c r="E57" s="219" t="s">
        <v>127</v>
      </c>
      <c r="F57" s="220" t="s">
        <v>49</v>
      </c>
      <c r="G57" s="231">
        <v>12.3</v>
      </c>
      <c r="H57" s="221" t="s">
        <v>360</v>
      </c>
      <c r="I57" s="222"/>
      <c r="J57" s="222"/>
      <c r="K57" s="222"/>
      <c r="L57" s="222"/>
    </row>
    <row r="58" spans="1:12" ht="30" customHeight="1">
      <c r="A58" s="233">
        <v>6019</v>
      </c>
      <c r="B58" s="218" t="s">
        <v>673</v>
      </c>
      <c r="C58" s="219" t="s">
        <v>126</v>
      </c>
      <c r="D58" s="218" t="s">
        <v>530</v>
      </c>
      <c r="E58" s="219" t="s">
        <v>127</v>
      </c>
      <c r="F58" s="220" t="s">
        <v>49</v>
      </c>
      <c r="G58" s="231">
        <v>26</v>
      </c>
      <c r="H58" s="221" t="s">
        <v>348</v>
      </c>
      <c r="I58" s="222"/>
      <c r="J58" s="222"/>
      <c r="K58" s="222"/>
      <c r="L58" s="222"/>
    </row>
    <row r="59" spans="1:12" ht="30" customHeight="1">
      <c r="A59" s="233">
        <v>3421</v>
      </c>
      <c r="B59" s="218" t="s">
        <v>675</v>
      </c>
      <c r="C59" s="219" t="s">
        <v>126</v>
      </c>
      <c r="D59" s="218" t="s">
        <v>540</v>
      </c>
      <c r="E59" s="219" t="s">
        <v>127</v>
      </c>
      <c r="F59" s="220" t="s">
        <v>49</v>
      </c>
      <c r="G59" s="231">
        <v>2.93</v>
      </c>
      <c r="H59" s="221" t="s">
        <v>132</v>
      </c>
      <c r="I59" s="222" t="s">
        <v>125</v>
      </c>
      <c r="J59" s="222" t="s">
        <v>125</v>
      </c>
      <c r="K59" s="222" t="s">
        <v>125</v>
      </c>
      <c r="L59" s="222" t="s">
        <v>125</v>
      </c>
    </row>
    <row r="60" spans="1:12" ht="30" customHeight="1">
      <c r="A60" s="233">
        <v>6094</v>
      </c>
      <c r="B60" s="218" t="s">
        <v>197</v>
      </c>
      <c r="C60" s="219" t="s">
        <v>129</v>
      </c>
      <c r="D60" s="218" t="s">
        <v>198</v>
      </c>
      <c r="E60" s="219" t="s">
        <v>131</v>
      </c>
      <c r="F60" s="220"/>
      <c r="G60" s="231">
        <v>1.77</v>
      </c>
      <c r="H60" s="221" t="s">
        <v>132</v>
      </c>
      <c r="I60" s="222" t="s">
        <v>125</v>
      </c>
      <c r="J60" s="222" t="s">
        <v>125</v>
      </c>
      <c r="K60" s="222" t="s">
        <v>125</v>
      </c>
      <c r="L60" s="222" t="s">
        <v>125</v>
      </c>
    </row>
    <row r="61" spans="1:12" ht="30" customHeight="1">
      <c r="A61" s="233">
        <v>1023</v>
      </c>
      <c r="B61" s="218" t="s">
        <v>541</v>
      </c>
      <c r="C61" s="219" t="s">
        <v>129</v>
      </c>
      <c r="D61" s="218" t="s">
        <v>199</v>
      </c>
      <c r="E61" s="219" t="s">
        <v>131</v>
      </c>
      <c r="F61" s="220" t="s">
        <v>49</v>
      </c>
      <c r="G61" s="231">
        <v>3.14</v>
      </c>
      <c r="H61" s="221" t="s">
        <v>132</v>
      </c>
      <c r="I61" s="222" t="s">
        <v>125</v>
      </c>
      <c r="J61" s="222" t="s">
        <v>125</v>
      </c>
      <c r="K61" s="222" t="s">
        <v>125</v>
      </c>
      <c r="L61" s="222" t="s">
        <v>125</v>
      </c>
    </row>
    <row r="62" spans="1:12" ht="30" customHeight="1">
      <c r="A62" s="233">
        <v>3169</v>
      </c>
      <c r="B62" s="218" t="s">
        <v>200</v>
      </c>
      <c r="C62" s="219" t="s">
        <v>126</v>
      </c>
      <c r="D62" s="218" t="s">
        <v>201</v>
      </c>
      <c r="E62" s="219" t="s">
        <v>127</v>
      </c>
      <c r="F62" s="220" t="s">
        <v>49</v>
      </c>
      <c r="G62" s="231">
        <v>3.14</v>
      </c>
      <c r="H62" s="221" t="s">
        <v>132</v>
      </c>
      <c r="I62" s="222" t="s">
        <v>125</v>
      </c>
      <c r="J62" s="222" t="s">
        <v>125</v>
      </c>
      <c r="K62" s="222"/>
      <c r="L62" s="222" t="s">
        <v>125</v>
      </c>
    </row>
    <row r="63" spans="1:12" ht="30" customHeight="1">
      <c r="A63" s="233">
        <v>3725</v>
      </c>
      <c r="B63" s="218" t="s">
        <v>544</v>
      </c>
      <c r="C63" s="219" t="s">
        <v>126</v>
      </c>
      <c r="D63" s="218" t="s">
        <v>543</v>
      </c>
      <c r="E63" s="219" t="s">
        <v>127</v>
      </c>
      <c r="F63" s="220"/>
      <c r="G63" s="231">
        <v>2.59</v>
      </c>
      <c r="H63" s="221" t="s">
        <v>124</v>
      </c>
      <c r="I63" s="222"/>
      <c r="J63" s="222"/>
      <c r="K63" s="222"/>
      <c r="L63" s="222"/>
    </row>
    <row r="64" spans="1:12" ht="30" customHeight="1">
      <c r="A64" s="233">
        <v>3391</v>
      </c>
      <c r="B64" s="218" t="s">
        <v>202</v>
      </c>
      <c r="C64" s="219" t="s">
        <v>203</v>
      </c>
      <c r="D64" s="218" t="s">
        <v>204</v>
      </c>
      <c r="E64" s="219" t="s">
        <v>205</v>
      </c>
      <c r="F64" s="220" t="s">
        <v>49</v>
      </c>
      <c r="G64" s="231">
        <v>4.51</v>
      </c>
      <c r="H64" s="221" t="s">
        <v>124</v>
      </c>
      <c r="I64" s="222" t="s">
        <v>125</v>
      </c>
      <c r="J64" s="222" t="s">
        <v>125</v>
      </c>
      <c r="K64" s="222"/>
      <c r="L64" s="222"/>
    </row>
    <row r="65" spans="1:12" ht="30" customHeight="1">
      <c r="A65" s="233">
        <v>3678</v>
      </c>
      <c r="B65" s="218" t="s">
        <v>711</v>
      </c>
      <c r="C65" s="219" t="s">
        <v>129</v>
      </c>
      <c r="D65" s="218" t="s">
        <v>712</v>
      </c>
      <c r="E65" s="219" t="s">
        <v>131</v>
      </c>
      <c r="F65" s="220"/>
      <c r="G65" s="231">
        <v>2.3199999999999998</v>
      </c>
      <c r="H65" s="221" t="s">
        <v>132</v>
      </c>
      <c r="I65" s="222" t="s">
        <v>125</v>
      </c>
      <c r="J65" s="222" t="s">
        <v>125</v>
      </c>
      <c r="K65" s="222"/>
      <c r="L65" s="222" t="s">
        <v>125</v>
      </c>
    </row>
    <row r="66" spans="1:12" ht="30" customHeight="1">
      <c r="A66" s="233">
        <v>3924</v>
      </c>
      <c r="B66" s="218" t="s">
        <v>206</v>
      </c>
      <c r="C66" s="219" t="s">
        <v>126</v>
      </c>
      <c r="D66" s="218" t="s">
        <v>207</v>
      </c>
      <c r="E66" s="219" t="s">
        <v>127</v>
      </c>
      <c r="F66" s="220" t="s">
        <v>49</v>
      </c>
      <c r="G66" s="231">
        <v>2.71</v>
      </c>
      <c r="H66" s="221" t="s">
        <v>132</v>
      </c>
      <c r="I66" s="222" t="s">
        <v>125</v>
      </c>
      <c r="J66" s="222" t="s">
        <v>125</v>
      </c>
      <c r="K66" s="222"/>
      <c r="L66" s="222" t="s">
        <v>125</v>
      </c>
    </row>
    <row r="67" spans="1:12" ht="30" customHeight="1">
      <c r="A67" s="233">
        <v>6077</v>
      </c>
      <c r="B67" s="218" t="s">
        <v>208</v>
      </c>
      <c r="C67" s="219" t="s">
        <v>129</v>
      </c>
      <c r="D67" s="218" t="s">
        <v>209</v>
      </c>
      <c r="E67" s="219" t="s">
        <v>129</v>
      </c>
      <c r="F67" s="220"/>
      <c r="G67" s="231">
        <v>1.63</v>
      </c>
      <c r="H67" s="221" t="s">
        <v>132</v>
      </c>
      <c r="I67" s="222" t="s">
        <v>125</v>
      </c>
      <c r="J67" s="222"/>
      <c r="K67" s="222"/>
      <c r="L67" s="222" t="s">
        <v>125</v>
      </c>
    </row>
    <row r="68" spans="1:12" ht="30" customHeight="1">
      <c r="A68" s="233" t="s">
        <v>713</v>
      </c>
      <c r="B68" s="218" t="s">
        <v>714</v>
      </c>
      <c r="C68" s="219" t="s">
        <v>129</v>
      </c>
      <c r="D68" s="218" t="s">
        <v>715</v>
      </c>
      <c r="E68" s="219" t="s">
        <v>131</v>
      </c>
      <c r="F68" s="220"/>
      <c r="G68" s="231">
        <v>3.14</v>
      </c>
      <c r="H68" s="221" t="s">
        <v>132</v>
      </c>
      <c r="I68" s="222" t="s">
        <v>125</v>
      </c>
      <c r="J68" s="222" t="s">
        <v>125</v>
      </c>
      <c r="K68" s="222" t="s">
        <v>125</v>
      </c>
      <c r="L68" s="222" t="s">
        <v>125</v>
      </c>
    </row>
    <row r="69" spans="1:12" ht="30" customHeight="1">
      <c r="A69" s="233">
        <v>6111</v>
      </c>
      <c r="B69" s="218" t="s">
        <v>623</v>
      </c>
      <c r="C69" s="219" t="s">
        <v>210</v>
      </c>
      <c r="D69" s="218" t="s">
        <v>211</v>
      </c>
      <c r="E69" s="219" t="s">
        <v>212</v>
      </c>
      <c r="F69" s="220"/>
      <c r="G69" s="231">
        <v>7.38</v>
      </c>
      <c r="H69" s="221" t="s">
        <v>124</v>
      </c>
      <c r="I69" s="222"/>
      <c r="J69" s="222"/>
      <c r="K69" s="222"/>
      <c r="L69" s="222"/>
    </row>
    <row r="70" spans="1:12" ht="30" customHeight="1">
      <c r="A70" s="233">
        <v>1393</v>
      </c>
      <c r="B70" s="218" t="s">
        <v>519</v>
      </c>
      <c r="C70" s="219" t="s">
        <v>173</v>
      </c>
      <c r="D70" s="218" t="s">
        <v>213</v>
      </c>
      <c r="E70" s="219" t="s">
        <v>175</v>
      </c>
      <c r="F70" s="220" t="s">
        <v>49</v>
      </c>
      <c r="G70" s="231">
        <v>9.56</v>
      </c>
      <c r="H70" s="221" t="s">
        <v>124</v>
      </c>
      <c r="I70" s="222" t="s">
        <v>125</v>
      </c>
      <c r="J70" s="222"/>
      <c r="K70" s="222"/>
      <c r="L70" s="222"/>
    </row>
    <row r="71" spans="1:12" ht="30" customHeight="1">
      <c r="A71" s="233">
        <v>6018</v>
      </c>
      <c r="B71" s="218" t="s">
        <v>677</v>
      </c>
      <c r="C71" s="219" t="s">
        <v>214</v>
      </c>
      <c r="D71" s="218" t="s">
        <v>216</v>
      </c>
      <c r="E71" s="219" t="s">
        <v>215</v>
      </c>
      <c r="F71" s="220" t="s">
        <v>49</v>
      </c>
      <c r="G71" s="231">
        <v>12.3</v>
      </c>
      <c r="H71" s="221" t="s">
        <v>132</v>
      </c>
      <c r="I71" s="222" t="s">
        <v>125</v>
      </c>
      <c r="J71" s="222" t="s">
        <v>125</v>
      </c>
      <c r="K71" s="222"/>
      <c r="L71" s="222"/>
    </row>
    <row r="72" spans="1:12" ht="30" customHeight="1">
      <c r="A72" s="233">
        <v>1485</v>
      </c>
      <c r="B72" s="218" t="s">
        <v>663</v>
      </c>
      <c r="C72" s="219" t="s">
        <v>218</v>
      </c>
      <c r="D72" s="218" t="s">
        <v>567</v>
      </c>
      <c r="E72" s="219" t="s">
        <v>220</v>
      </c>
      <c r="F72" s="220"/>
      <c r="G72" s="231">
        <v>9.56</v>
      </c>
      <c r="H72" s="221" t="s">
        <v>132</v>
      </c>
      <c r="I72" s="222" t="s">
        <v>125</v>
      </c>
      <c r="J72" s="222" t="s">
        <v>125</v>
      </c>
      <c r="K72" s="222"/>
      <c r="L72" s="222"/>
    </row>
    <row r="73" spans="1:12" ht="30" customHeight="1">
      <c r="A73" s="233">
        <v>1320</v>
      </c>
      <c r="B73" s="218" t="s">
        <v>217</v>
      </c>
      <c r="C73" s="219" t="s">
        <v>218</v>
      </c>
      <c r="D73" s="218" t="s">
        <v>219</v>
      </c>
      <c r="E73" s="219" t="s">
        <v>220</v>
      </c>
      <c r="F73" s="220" t="s">
        <v>49</v>
      </c>
      <c r="G73" s="231">
        <v>10.93</v>
      </c>
      <c r="H73" s="221" t="s">
        <v>132</v>
      </c>
      <c r="I73" s="222" t="s">
        <v>125</v>
      </c>
      <c r="J73" s="222"/>
      <c r="K73" s="222"/>
      <c r="L73" s="222"/>
    </row>
    <row r="74" spans="1:12" ht="30" customHeight="1">
      <c r="A74" s="233">
        <v>1399</v>
      </c>
      <c r="B74" s="218" t="s">
        <v>716</v>
      </c>
      <c r="C74" s="219" t="s">
        <v>221</v>
      </c>
      <c r="D74" s="218" t="s">
        <v>222</v>
      </c>
      <c r="E74" s="219" t="s">
        <v>223</v>
      </c>
      <c r="F74" s="220" t="s">
        <v>49</v>
      </c>
      <c r="G74" s="231">
        <v>4.6399999999999997</v>
      </c>
      <c r="H74" s="221" t="s">
        <v>124</v>
      </c>
      <c r="I74" s="222" t="s">
        <v>125</v>
      </c>
      <c r="J74" s="222" t="s">
        <v>125</v>
      </c>
      <c r="K74" s="222" t="s">
        <v>125</v>
      </c>
      <c r="L74" s="222"/>
    </row>
    <row r="75" spans="1:12" ht="30" customHeight="1">
      <c r="A75" s="233" t="s">
        <v>224</v>
      </c>
      <c r="B75" s="218" t="s">
        <v>678</v>
      </c>
      <c r="C75" s="219" t="s">
        <v>214</v>
      </c>
      <c r="D75" s="218" t="s">
        <v>225</v>
      </c>
      <c r="E75" s="219" t="s">
        <v>215</v>
      </c>
      <c r="F75" s="220" t="s">
        <v>49</v>
      </c>
      <c r="G75" s="231">
        <v>25.19</v>
      </c>
      <c r="H75" s="221" t="s">
        <v>132</v>
      </c>
      <c r="I75" s="222" t="s">
        <v>125</v>
      </c>
      <c r="J75" s="222"/>
      <c r="K75" s="222"/>
      <c r="L75" s="222"/>
    </row>
    <row r="76" spans="1:12" ht="30" customHeight="1">
      <c r="A76" s="233">
        <v>3377</v>
      </c>
      <c r="B76" s="218" t="s">
        <v>683</v>
      </c>
      <c r="C76" s="219" t="s">
        <v>226</v>
      </c>
      <c r="D76" s="218" t="s">
        <v>624</v>
      </c>
      <c r="E76" s="219" t="s">
        <v>228</v>
      </c>
      <c r="F76" s="220"/>
      <c r="G76" s="231">
        <v>7.47</v>
      </c>
      <c r="H76" s="221" t="s">
        <v>124</v>
      </c>
      <c r="I76" s="222"/>
      <c r="J76" s="222"/>
      <c r="K76" s="222"/>
      <c r="L76" s="222"/>
    </row>
    <row r="77" spans="1:12" ht="30" customHeight="1">
      <c r="A77" s="233">
        <v>3720</v>
      </c>
      <c r="B77" s="218" t="s">
        <v>515</v>
      </c>
      <c r="C77" s="219" t="s">
        <v>226</v>
      </c>
      <c r="D77" s="218" t="s">
        <v>227</v>
      </c>
      <c r="E77" s="219" t="s">
        <v>228</v>
      </c>
      <c r="F77" s="220" t="s">
        <v>49</v>
      </c>
      <c r="G77" s="231">
        <v>30</v>
      </c>
      <c r="H77" s="221" t="s">
        <v>124</v>
      </c>
      <c r="I77" s="222"/>
      <c r="J77" s="222"/>
      <c r="K77" s="222"/>
      <c r="L77" s="222"/>
    </row>
    <row r="78" spans="1:12" ht="30" customHeight="1">
      <c r="A78" s="233">
        <v>3379</v>
      </c>
      <c r="B78" s="218" t="s">
        <v>516</v>
      </c>
      <c r="C78" s="219" t="s">
        <v>226</v>
      </c>
      <c r="D78" s="218" t="s">
        <v>229</v>
      </c>
      <c r="E78" s="219" t="s">
        <v>228</v>
      </c>
      <c r="F78" s="220" t="s">
        <v>49</v>
      </c>
      <c r="G78" s="231">
        <v>45</v>
      </c>
      <c r="H78" s="221" t="s">
        <v>124</v>
      </c>
      <c r="I78" s="222"/>
      <c r="J78" s="222"/>
      <c r="K78" s="222"/>
      <c r="L78" s="222"/>
    </row>
    <row r="79" spans="1:12" ht="30" customHeight="1">
      <c r="A79" s="233">
        <v>3550</v>
      </c>
      <c r="B79" s="218" t="s">
        <v>230</v>
      </c>
      <c r="C79" s="219" t="s">
        <v>129</v>
      </c>
      <c r="D79" s="218" t="s">
        <v>545</v>
      </c>
      <c r="E79" s="219" t="s">
        <v>131</v>
      </c>
      <c r="F79" s="220"/>
      <c r="G79" s="231">
        <v>1.34</v>
      </c>
      <c r="H79" s="221" t="s">
        <v>124</v>
      </c>
      <c r="I79" s="222"/>
      <c r="J79" s="222"/>
      <c r="K79" s="222"/>
      <c r="L79" s="222"/>
    </row>
    <row r="80" spans="1:12" ht="30" customHeight="1">
      <c r="A80" s="233">
        <v>4025</v>
      </c>
      <c r="B80" s="218" t="s">
        <v>231</v>
      </c>
      <c r="C80" s="219" t="s">
        <v>232</v>
      </c>
      <c r="D80" s="218" t="s">
        <v>233</v>
      </c>
      <c r="E80" s="219" t="s">
        <v>234</v>
      </c>
      <c r="F80" s="220" t="s">
        <v>49</v>
      </c>
      <c r="G80" s="231">
        <v>1000</v>
      </c>
      <c r="H80" s="221" t="s">
        <v>124</v>
      </c>
      <c r="I80" s="222"/>
      <c r="J80" s="222"/>
      <c r="K80" s="222"/>
      <c r="L80" s="222"/>
    </row>
    <row r="81" spans="1:12" ht="30" customHeight="1">
      <c r="A81" s="233">
        <v>6059</v>
      </c>
      <c r="B81" s="218" t="s">
        <v>668</v>
      </c>
      <c r="C81" s="219" t="s">
        <v>126</v>
      </c>
      <c r="D81" s="218" t="s">
        <v>573</v>
      </c>
      <c r="E81" s="219" t="s">
        <v>127</v>
      </c>
      <c r="F81" s="220" t="s">
        <v>49</v>
      </c>
      <c r="G81" s="231">
        <v>5.19</v>
      </c>
      <c r="H81" s="221" t="s">
        <v>132</v>
      </c>
      <c r="I81" s="222"/>
      <c r="J81" s="222"/>
      <c r="K81" s="222"/>
      <c r="L81" s="222" t="s">
        <v>125</v>
      </c>
    </row>
    <row r="82" spans="1:12" ht="30" customHeight="1">
      <c r="A82" s="233">
        <v>6059</v>
      </c>
      <c r="B82" s="218" t="s">
        <v>717</v>
      </c>
      <c r="C82" s="219" t="s">
        <v>126</v>
      </c>
      <c r="D82" s="218" t="s">
        <v>718</v>
      </c>
      <c r="E82" s="219" t="s">
        <v>127</v>
      </c>
      <c r="F82" s="220"/>
      <c r="G82" s="231">
        <v>5.19</v>
      </c>
      <c r="H82" s="221" t="s">
        <v>132</v>
      </c>
      <c r="I82" s="222"/>
      <c r="J82" s="222"/>
      <c r="K82" s="222"/>
      <c r="L82" s="222"/>
    </row>
    <row r="83" spans="1:12" ht="30" customHeight="1">
      <c r="A83" s="233">
        <v>1647</v>
      </c>
      <c r="B83" s="218" t="s">
        <v>625</v>
      </c>
      <c r="C83" s="219" t="s">
        <v>190</v>
      </c>
      <c r="D83" s="218" t="s">
        <v>626</v>
      </c>
      <c r="E83" s="219" t="s">
        <v>190</v>
      </c>
      <c r="F83" s="220"/>
      <c r="G83" s="231">
        <v>8.48</v>
      </c>
      <c r="H83" s="221" t="s">
        <v>124</v>
      </c>
      <c r="I83" s="222"/>
      <c r="J83" s="222"/>
      <c r="K83" s="222"/>
      <c r="L83" s="222"/>
    </row>
    <row r="84" spans="1:12" ht="30" customHeight="1">
      <c r="A84" s="233">
        <v>6106</v>
      </c>
      <c r="B84" s="218" t="s">
        <v>627</v>
      </c>
      <c r="C84" s="219" t="s">
        <v>235</v>
      </c>
      <c r="D84" s="218" t="s">
        <v>236</v>
      </c>
      <c r="E84" s="219" t="s">
        <v>237</v>
      </c>
      <c r="F84" s="220" t="s">
        <v>49</v>
      </c>
      <c r="G84" s="231">
        <v>12.3</v>
      </c>
      <c r="H84" s="221" t="s">
        <v>124</v>
      </c>
      <c r="I84" s="222"/>
      <c r="J84" s="222"/>
      <c r="K84" s="222"/>
      <c r="L84" s="222"/>
    </row>
    <row r="85" spans="1:12" ht="30" customHeight="1">
      <c r="A85" s="233">
        <v>1937</v>
      </c>
      <c r="B85" s="218" t="s">
        <v>669</v>
      </c>
      <c r="C85" s="219" t="s">
        <v>173</v>
      </c>
      <c r="D85" s="218" t="s">
        <v>174</v>
      </c>
      <c r="E85" s="219" t="s">
        <v>175</v>
      </c>
      <c r="F85" s="220" t="s">
        <v>49</v>
      </c>
      <c r="G85" s="231">
        <v>21.89</v>
      </c>
      <c r="H85" s="221" t="s">
        <v>124</v>
      </c>
      <c r="I85" s="222" t="s">
        <v>125</v>
      </c>
      <c r="J85" s="222"/>
      <c r="K85" s="222"/>
      <c r="L85" s="222"/>
    </row>
    <row r="86" spans="1:12" ht="30" customHeight="1">
      <c r="A86" s="233">
        <v>3138</v>
      </c>
      <c r="B86" s="218" t="s">
        <v>238</v>
      </c>
      <c r="C86" s="219" t="s">
        <v>126</v>
      </c>
      <c r="D86" s="218" t="s">
        <v>239</v>
      </c>
      <c r="E86" s="219" t="s">
        <v>127</v>
      </c>
      <c r="F86" s="220" t="s">
        <v>49</v>
      </c>
      <c r="G86" s="231">
        <v>6.7</v>
      </c>
      <c r="H86" s="221" t="s">
        <v>132</v>
      </c>
      <c r="I86" s="222" t="s">
        <v>125</v>
      </c>
      <c r="J86" s="222" t="s">
        <v>125</v>
      </c>
      <c r="K86" s="222"/>
      <c r="L86" s="222"/>
    </row>
    <row r="87" spans="1:12" ht="30" customHeight="1">
      <c r="A87" s="233">
        <v>1548</v>
      </c>
      <c r="B87" s="218" t="s">
        <v>240</v>
      </c>
      <c r="C87" s="219" t="s">
        <v>241</v>
      </c>
      <c r="D87" s="218" t="s">
        <v>242</v>
      </c>
      <c r="E87" s="219" t="s">
        <v>243</v>
      </c>
      <c r="F87" s="220" t="s">
        <v>49</v>
      </c>
      <c r="G87" s="231">
        <v>11.63</v>
      </c>
      <c r="H87" s="221" t="s">
        <v>132</v>
      </c>
      <c r="I87" s="222" t="s">
        <v>125</v>
      </c>
      <c r="J87" s="222"/>
      <c r="K87" s="222"/>
      <c r="L87" s="222"/>
    </row>
    <row r="88" spans="1:12" ht="30" customHeight="1">
      <c r="A88" s="229">
        <v>1220</v>
      </c>
      <c r="B88" s="218" t="s">
        <v>244</v>
      </c>
      <c r="C88" s="219" t="s">
        <v>245</v>
      </c>
      <c r="D88" s="218" t="s">
        <v>246</v>
      </c>
      <c r="E88" s="219" t="s">
        <v>247</v>
      </c>
      <c r="F88" s="220" t="s">
        <v>49</v>
      </c>
      <c r="G88" s="231">
        <v>36.5</v>
      </c>
      <c r="H88" s="223" t="s">
        <v>132</v>
      </c>
      <c r="I88" s="222"/>
      <c r="J88" s="222"/>
      <c r="K88" s="222"/>
      <c r="L88" s="222"/>
    </row>
    <row r="89" spans="1:12" ht="30" customHeight="1">
      <c r="A89" s="229">
        <v>1967</v>
      </c>
      <c r="B89" s="218" t="s">
        <v>248</v>
      </c>
      <c r="C89" s="219" t="s">
        <v>173</v>
      </c>
      <c r="D89" s="218" t="s">
        <v>249</v>
      </c>
      <c r="E89" s="219" t="s">
        <v>175</v>
      </c>
      <c r="F89" s="220" t="s">
        <v>49</v>
      </c>
      <c r="G89" s="231">
        <v>7.25</v>
      </c>
      <c r="H89" s="223" t="s">
        <v>132</v>
      </c>
      <c r="I89" s="222" t="s">
        <v>125</v>
      </c>
      <c r="J89" s="222" t="s">
        <v>125</v>
      </c>
      <c r="K89" s="222"/>
      <c r="L89" s="222"/>
    </row>
    <row r="90" spans="1:12" ht="30" customHeight="1">
      <c r="A90" s="233">
        <v>3217</v>
      </c>
      <c r="B90" s="218" t="s">
        <v>250</v>
      </c>
      <c r="C90" s="219" t="s">
        <v>126</v>
      </c>
      <c r="D90" s="218" t="s">
        <v>251</v>
      </c>
      <c r="E90" s="219" t="s">
        <v>127</v>
      </c>
      <c r="F90" s="220" t="s">
        <v>47</v>
      </c>
      <c r="G90" s="231">
        <v>4.08</v>
      </c>
      <c r="H90" s="221" t="s">
        <v>132</v>
      </c>
      <c r="I90" s="222" t="s">
        <v>125</v>
      </c>
      <c r="J90" s="222" t="s">
        <v>125</v>
      </c>
      <c r="K90" s="222" t="s">
        <v>125</v>
      </c>
      <c r="L90" s="222"/>
    </row>
    <row r="91" spans="1:12" ht="30" customHeight="1">
      <c r="A91" s="233">
        <v>1607</v>
      </c>
      <c r="B91" s="218" t="s">
        <v>679</v>
      </c>
      <c r="C91" s="219" t="s">
        <v>153</v>
      </c>
      <c r="D91" s="218" t="s">
        <v>252</v>
      </c>
      <c r="E91" s="219" t="s">
        <v>155</v>
      </c>
      <c r="F91" s="220" t="s">
        <v>49</v>
      </c>
      <c r="G91" s="231">
        <v>17.78</v>
      </c>
      <c r="H91" s="221" t="s">
        <v>132</v>
      </c>
      <c r="I91" s="222" t="s">
        <v>125</v>
      </c>
      <c r="J91" s="222"/>
      <c r="K91" s="222"/>
      <c r="L91" s="222"/>
    </row>
    <row r="92" spans="1:12" ht="30" customHeight="1">
      <c r="A92" s="233">
        <v>1356</v>
      </c>
      <c r="B92" s="218" t="s">
        <v>680</v>
      </c>
      <c r="C92" s="219" t="s">
        <v>581</v>
      </c>
      <c r="D92" s="218" t="s">
        <v>584</v>
      </c>
      <c r="E92" s="219" t="s">
        <v>583</v>
      </c>
      <c r="F92" s="220"/>
      <c r="G92" s="231">
        <v>4.51</v>
      </c>
      <c r="H92" s="221" t="s">
        <v>132</v>
      </c>
      <c r="I92" s="222" t="s">
        <v>125</v>
      </c>
      <c r="J92" s="222" t="s">
        <v>125</v>
      </c>
      <c r="K92" s="222"/>
      <c r="L92" s="222"/>
    </row>
    <row r="93" spans="1:12" ht="30" customHeight="1">
      <c r="A93" s="233">
        <v>1356</v>
      </c>
      <c r="B93" s="218" t="s">
        <v>681</v>
      </c>
      <c r="C93" s="219" t="s">
        <v>581</v>
      </c>
      <c r="D93" s="218" t="s">
        <v>582</v>
      </c>
      <c r="E93" s="219" t="s">
        <v>583</v>
      </c>
      <c r="F93" s="220"/>
      <c r="G93" s="231">
        <v>2.95</v>
      </c>
      <c r="H93" s="223" t="s">
        <v>124</v>
      </c>
      <c r="I93" s="222"/>
      <c r="J93" s="222"/>
      <c r="K93" s="222"/>
      <c r="L93" s="222"/>
    </row>
    <row r="94" spans="1:12" ht="30" customHeight="1">
      <c r="A94" s="233">
        <v>3209</v>
      </c>
      <c r="B94" s="218" t="s">
        <v>126</v>
      </c>
      <c r="C94" s="219" t="s">
        <v>126</v>
      </c>
      <c r="D94" s="218" t="s">
        <v>719</v>
      </c>
      <c r="E94" s="219" t="s">
        <v>127</v>
      </c>
      <c r="F94" s="220" t="s">
        <v>49</v>
      </c>
      <c r="G94" s="231">
        <v>2.4500000000000002</v>
      </c>
      <c r="H94" s="221" t="s">
        <v>132</v>
      </c>
      <c r="I94" s="222" t="s">
        <v>125</v>
      </c>
      <c r="J94" s="222" t="s">
        <v>125</v>
      </c>
      <c r="K94" s="222" t="s">
        <v>125</v>
      </c>
      <c r="L94" s="222" t="s">
        <v>125</v>
      </c>
    </row>
    <row r="95" spans="1:12" ht="30" customHeight="1">
      <c r="A95" s="233">
        <v>1121</v>
      </c>
      <c r="B95" s="218" t="s">
        <v>253</v>
      </c>
      <c r="C95" s="219" t="s">
        <v>126</v>
      </c>
      <c r="D95" s="218" t="s">
        <v>720</v>
      </c>
      <c r="E95" s="219" t="s">
        <v>127</v>
      </c>
      <c r="F95" s="220" t="s">
        <v>47</v>
      </c>
      <c r="G95" s="231">
        <v>3</v>
      </c>
      <c r="H95" s="221" t="s">
        <v>132</v>
      </c>
      <c r="I95" s="222" t="s">
        <v>125</v>
      </c>
      <c r="J95" s="222" t="s">
        <v>125</v>
      </c>
      <c r="K95" s="222" t="s">
        <v>125</v>
      </c>
      <c r="L95" s="222" t="s">
        <v>125</v>
      </c>
    </row>
    <row r="96" spans="1:12" ht="30" customHeight="1">
      <c r="A96" s="233">
        <v>6120</v>
      </c>
      <c r="B96" s="218" t="s">
        <v>563</v>
      </c>
      <c r="C96" s="219" t="s">
        <v>129</v>
      </c>
      <c r="D96" s="218" t="s">
        <v>564</v>
      </c>
      <c r="E96" s="219" t="s">
        <v>131</v>
      </c>
      <c r="F96" s="220"/>
      <c r="G96" s="231">
        <v>3.27</v>
      </c>
      <c r="H96" s="221" t="s">
        <v>132</v>
      </c>
      <c r="I96" s="222" t="s">
        <v>125</v>
      </c>
      <c r="J96" s="222" t="s">
        <v>125</v>
      </c>
      <c r="K96" s="222" t="s">
        <v>125</v>
      </c>
      <c r="L96" s="222" t="s">
        <v>125</v>
      </c>
    </row>
    <row r="97" spans="1:12" ht="30" customHeight="1">
      <c r="A97" s="233">
        <v>6063</v>
      </c>
      <c r="B97" s="218" t="s">
        <v>682</v>
      </c>
      <c r="C97" s="219" t="s">
        <v>129</v>
      </c>
      <c r="D97" s="218" t="s">
        <v>628</v>
      </c>
      <c r="E97" s="219" t="s">
        <v>131</v>
      </c>
      <c r="F97" s="220"/>
      <c r="G97" s="231">
        <v>9.3000000000000007</v>
      </c>
      <c r="H97" s="221" t="s">
        <v>132</v>
      </c>
      <c r="I97" s="222"/>
      <c r="J97" s="222"/>
      <c r="K97" s="222"/>
      <c r="L97" s="222"/>
    </row>
    <row r="98" spans="1:12" ht="30" customHeight="1">
      <c r="A98" s="233">
        <v>6064</v>
      </c>
      <c r="B98" s="218" t="s">
        <v>254</v>
      </c>
      <c r="C98" s="219" t="s">
        <v>129</v>
      </c>
      <c r="D98" s="218" t="s">
        <v>255</v>
      </c>
      <c r="E98" s="219" t="s">
        <v>131</v>
      </c>
      <c r="F98" s="220" t="s">
        <v>49</v>
      </c>
      <c r="G98" s="231">
        <v>41.07</v>
      </c>
      <c r="H98" s="221" t="s">
        <v>256</v>
      </c>
      <c r="I98" s="222"/>
      <c r="J98" s="222"/>
      <c r="K98" s="222"/>
      <c r="L98" s="222"/>
    </row>
    <row r="99" spans="1:12" ht="30" customHeight="1">
      <c r="A99" s="233" t="s">
        <v>522</v>
      </c>
      <c r="B99" s="218" t="s">
        <v>684</v>
      </c>
      <c r="C99" s="219" t="s">
        <v>126</v>
      </c>
      <c r="D99" s="218" t="s">
        <v>257</v>
      </c>
      <c r="E99" s="219" t="s">
        <v>127</v>
      </c>
      <c r="F99" s="220" t="s">
        <v>49</v>
      </c>
      <c r="G99" s="231">
        <v>3.27</v>
      </c>
      <c r="H99" s="221" t="s">
        <v>132</v>
      </c>
      <c r="I99" s="222" t="s">
        <v>125</v>
      </c>
      <c r="J99" s="222" t="s">
        <v>125</v>
      </c>
      <c r="K99" s="222"/>
      <c r="L99" s="222" t="s">
        <v>125</v>
      </c>
    </row>
    <row r="100" spans="1:12" ht="30" customHeight="1">
      <c r="A100" s="233">
        <v>3265</v>
      </c>
      <c r="B100" s="218" t="s">
        <v>526</v>
      </c>
      <c r="C100" s="219" t="s">
        <v>126</v>
      </c>
      <c r="D100" s="218" t="s">
        <v>721</v>
      </c>
      <c r="E100" s="219" t="s">
        <v>127</v>
      </c>
      <c r="F100" s="220" t="s">
        <v>49</v>
      </c>
      <c r="G100" s="231">
        <v>3.69</v>
      </c>
      <c r="H100" s="223" t="s">
        <v>132</v>
      </c>
      <c r="I100" s="222" t="s">
        <v>125</v>
      </c>
      <c r="J100" s="222" t="s">
        <v>125</v>
      </c>
      <c r="K100" s="222" t="s">
        <v>125</v>
      </c>
      <c r="L100" s="222" t="s">
        <v>125</v>
      </c>
    </row>
    <row r="101" spans="1:12" ht="30" customHeight="1">
      <c r="A101" s="233">
        <v>3276</v>
      </c>
      <c r="B101" s="218" t="s">
        <v>571</v>
      </c>
      <c r="C101" s="219" t="s">
        <v>126</v>
      </c>
      <c r="D101" s="218" t="s">
        <v>572</v>
      </c>
      <c r="E101" s="219" t="s">
        <v>127</v>
      </c>
      <c r="F101" s="220"/>
      <c r="G101" s="231">
        <v>5.45</v>
      </c>
      <c r="H101" s="221" t="s">
        <v>132</v>
      </c>
      <c r="I101" s="222" t="s">
        <v>125</v>
      </c>
      <c r="J101" s="222" t="s">
        <v>125</v>
      </c>
      <c r="K101" s="222"/>
      <c r="L101" s="222" t="s">
        <v>125</v>
      </c>
    </row>
    <row r="102" spans="1:12" ht="30" customHeight="1">
      <c r="A102" s="233">
        <v>1961</v>
      </c>
      <c r="B102" s="218" t="s">
        <v>722</v>
      </c>
      <c r="C102" s="219" t="s">
        <v>723</v>
      </c>
      <c r="D102" s="218" t="s">
        <v>722</v>
      </c>
      <c r="E102" s="219" t="s">
        <v>723</v>
      </c>
      <c r="F102" s="220"/>
      <c r="G102" s="231">
        <v>6.01</v>
      </c>
      <c r="H102" s="221" t="s">
        <v>132</v>
      </c>
      <c r="I102" s="222" t="s">
        <v>125</v>
      </c>
      <c r="J102" s="222" t="s">
        <v>125</v>
      </c>
      <c r="K102" s="222"/>
      <c r="L102" s="222" t="s">
        <v>125</v>
      </c>
    </row>
    <row r="103" spans="1:12" ht="30" customHeight="1">
      <c r="A103" s="233">
        <v>3941</v>
      </c>
      <c r="B103" s="218" t="s">
        <v>260</v>
      </c>
      <c r="C103" s="219" t="s">
        <v>258</v>
      </c>
      <c r="D103" s="218" t="s">
        <v>261</v>
      </c>
      <c r="E103" s="219" t="s">
        <v>259</v>
      </c>
      <c r="F103" s="220" t="s">
        <v>49</v>
      </c>
      <c r="G103" s="231">
        <v>9.44</v>
      </c>
      <c r="H103" s="221" t="s">
        <v>132</v>
      </c>
      <c r="I103" s="222"/>
      <c r="J103" s="222"/>
      <c r="K103" s="222"/>
      <c r="L103" s="222" t="s">
        <v>125</v>
      </c>
    </row>
    <row r="104" spans="1:12" ht="30" customHeight="1">
      <c r="A104" s="233">
        <v>1755</v>
      </c>
      <c r="B104" s="218" t="s">
        <v>686</v>
      </c>
      <c r="C104" s="219" t="s">
        <v>190</v>
      </c>
      <c r="D104" s="218" t="s">
        <v>262</v>
      </c>
      <c r="E104" s="219" t="s">
        <v>190</v>
      </c>
      <c r="F104" s="220" t="s">
        <v>49</v>
      </c>
      <c r="G104" s="231">
        <v>34.22</v>
      </c>
      <c r="H104" s="221" t="s">
        <v>132</v>
      </c>
      <c r="I104" s="222" t="s">
        <v>125</v>
      </c>
      <c r="J104" s="222"/>
      <c r="K104" s="222"/>
      <c r="L104" s="222"/>
    </row>
    <row r="105" spans="1:12" ht="30" customHeight="1">
      <c r="A105" s="233">
        <v>1755</v>
      </c>
      <c r="B105" s="218" t="s">
        <v>687</v>
      </c>
      <c r="C105" s="219" t="s">
        <v>190</v>
      </c>
      <c r="D105" s="218" t="s">
        <v>263</v>
      </c>
      <c r="E105" s="219" t="s">
        <v>190</v>
      </c>
      <c r="F105" s="220" t="s">
        <v>49</v>
      </c>
      <c r="G105" s="231">
        <v>17.78</v>
      </c>
      <c r="H105" s="221" t="s">
        <v>132</v>
      </c>
      <c r="I105" s="222"/>
      <c r="J105" s="222"/>
      <c r="K105" s="222"/>
      <c r="L105" s="222"/>
    </row>
    <row r="106" spans="1:12" ht="30" customHeight="1">
      <c r="A106" s="233">
        <v>1103</v>
      </c>
      <c r="B106" s="218" t="s">
        <v>676</v>
      </c>
      <c r="C106" s="219" t="s">
        <v>129</v>
      </c>
      <c r="D106" s="218" t="s">
        <v>542</v>
      </c>
      <c r="E106" s="219" t="s">
        <v>131</v>
      </c>
      <c r="F106" s="220" t="s">
        <v>49</v>
      </c>
      <c r="G106" s="231">
        <v>3.14</v>
      </c>
      <c r="H106" s="221" t="s">
        <v>132</v>
      </c>
      <c r="I106" s="222" t="s">
        <v>125</v>
      </c>
      <c r="J106" s="222" t="s">
        <v>125</v>
      </c>
      <c r="K106" s="222" t="s">
        <v>125</v>
      </c>
      <c r="L106" s="222" t="s">
        <v>125</v>
      </c>
    </row>
    <row r="107" spans="1:12" ht="30" customHeight="1">
      <c r="A107" s="233">
        <v>1606</v>
      </c>
      <c r="B107" s="218" t="s">
        <v>685</v>
      </c>
      <c r="C107" s="219" t="s">
        <v>173</v>
      </c>
      <c r="D107" s="218" t="s">
        <v>264</v>
      </c>
      <c r="E107" s="219" t="s">
        <v>175</v>
      </c>
      <c r="F107" s="220" t="s">
        <v>47</v>
      </c>
      <c r="G107" s="231">
        <v>30.11</v>
      </c>
      <c r="H107" s="221" t="s">
        <v>124</v>
      </c>
      <c r="I107" s="222"/>
      <c r="J107" s="222"/>
      <c r="K107" s="222"/>
      <c r="L107" s="222"/>
    </row>
    <row r="108" spans="1:12" ht="30" customHeight="1">
      <c r="A108" s="233">
        <v>1640</v>
      </c>
      <c r="B108" s="218" t="s">
        <v>689</v>
      </c>
      <c r="C108" s="219" t="s">
        <v>173</v>
      </c>
      <c r="D108" s="218" t="s">
        <v>265</v>
      </c>
      <c r="E108" s="219" t="s">
        <v>175</v>
      </c>
      <c r="F108" s="220" t="s">
        <v>47</v>
      </c>
      <c r="G108" s="231">
        <v>16.41</v>
      </c>
      <c r="H108" s="221" t="s">
        <v>124</v>
      </c>
      <c r="I108" s="222" t="s">
        <v>125</v>
      </c>
      <c r="J108" s="222"/>
      <c r="K108" s="222"/>
      <c r="L108" s="222"/>
    </row>
    <row r="109" spans="1:12" ht="30" customHeight="1">
      <c r="A109" s="233">
        <v>1640</v>
      </c>
      <c r="B109" s="218" t="s">
        <v>688</v>
      </c>
      <c r="C109" s="219" t="s">
        <v>173</v>
      </c>
      <c r="D109" s="218" t="s">
        <v>266</v>
      </c>
      <c r="E109" s="219" t="s">
        <v>175</v>
      </c>
      <c r="F109" s="220" t="s">
        <v>49</v>
      </c>
      <c r="G109" s="231">
        <v>8.89</v>
      </c>
      <c r="H109" s="221" t="s">
        <v>124</v>
      </c>
      <c r="I109" s="222"/>
      <c r="J109" s="222"/>
      <c r="K109" s="222"/>
      <c r="L109" s="222"/>
    </row>
    <row r="110" spans="1:12" ht="30" customHeight="1">
      <c r="A110" s="233">
        <v>1639</v>
      </c>
      <c r="B110" s="218" t="s">
        <v>520</v>
      </c>
      <c r="C110" s="219" t="s">
        <v>173</v>
      </c>
      <c r="D110" s="218" t="s">
        <v>267</v>
      </c>
      <c r="E110" s="219" t="s">
        <v>175</v>
      </c>
      <c r="F110" s="220" t="s">
        <v>47</v>
      </c>
      <c r="G110" s="231">
        <v>27.37</v>
      </c>
      <c r="H110" s="221" t="s">
        <v>124</v>
      </c>
      <c r="I110" s="222"/>
      <c r="J110" s="222"/>
      <c r="K110" s="222"/>
      <c r="L110" s="222"/>
    </row>
    <row r="111" spans="1:12" ht="30" customHeight="1">
      <c r="A111" s="233">
        <v>1639</v>
      </c>
      <c r="B111" s="218" t="s">
        <v>268</v>
      </c>
      <c r="C111" s="219" t="s">
        <v>173</v>
      </c>
      <c r="D111" s="218" t="s">
        <v>269</v>
      </c>
      <c r="E111" s="219" t="s">
        <v>175</v>
      </c>
      <c r="F111" s="220" t="s">
        <v>47</v>
      </c>
      <c r="G111" s="231">
        <v>14.37</v>
      </c>
      <c r="H111" s="221" t="s">
        <v>124</v>
      </c>
      <c r="I111" s="222"/>
      <c r="J111" s="222"/>
      <c r="K111" s="222"/>
      <c r="L111" s="222"/>
    </row>
    <row r="112" spans="1:12" ht="30" customHeight="1">
      <c r="A112" s="233">
        <v>3146</v>
      </c>
      <c r="B112" s="218" t="s">
        <v>270</v>
      </c>
      <c r="C112" s="219" t="s">
        <v>129</v>
      </c>
      <c r="D112" s="218" t="s">
        <v>271</v>
      </c>
      <c r="E112" s="219" t="s">
        <v>131</v>
      </c>
      <c r="F112" s="220"/>
      <c r="G112" s="231">
        <v>2.71</v>
      </c>
      <c r="H112" s="221" t="s">
        <v>124</v>
      </c>
      <c r="I112" s="222"/>
      <c r="J112" s="222"/>
      <c r="K112" s="222"/>
      <c r="L112" s="222"/>
    </row>
    <row r="113" spans="1:12" ht="30" customHeight="1">
      <c r="A113" s="233">
        <v>5215</v>
      </c>
      <c r="B113" s="218" t="s">
        <v>752</v>
      </c>
      <c r="C113" s="219" t="s">
        <v>126</v>
      </c>
      <c r="D113" s="218" t="s">
        <v>272</v>
      </c>
      <c r="E113" s="219" t="s">
        <v>127</v>
      </c>
      <c r="F113" s="220" t="s">
        <v>49</v>
      </c>
      <c r="G113" s="231">
        <v>53.4</v>
      </c>
      <c r="H113" s="221" t="s">
        <v>132</v>
      </c>
      <c r="I113" s="222"/>
      <c r="J113" s="222"/>
      <c r="K113" s="222"/>
      <c r="L113" s="222" t="s">
        <v>125</v>
      </c>
    </row>
    <row r="114" spans="1:12" ht="30" customHeight="1">
      <c r="A114" s="233">
        <v>3868</v>
      </c>
      <c r="B114" s="218" t="s">
        <v>753</v>
      </c>
      <c r="C114" s="219" t="s">
        <v>126</v>
      </c>
      <c r="D114" s="218" t="s">
        <v>280</v>
      </c>
      <c r="E114" s="219" t="s">
        <v>127</v>
      </c>
      <c r="F114" s="220"/>
      <c r="G114" s="231">
        <v>11.63</v>
      </c>
      <c r="H114" s="221" t="s">
        <v>124</v>
      </c>
      <c r="I114" s="222"/>
      <c r="J114" s="222"/>
      <c r="K114" s="222"/>
      <c r="L114" s="222" t="s">
        <v>125</v>
      </c>
    </row>
    <row r="115" spans="1:12" ht="30" customHeight="1">
      <c r="A115" s="233">
        <v>3174</v>
      </c>
      <c r="B115" s="218" t="s">
        <v>273</v>
      </c>
      <c r="C115" s="219" t="s">
        <v>129</v>
      </c>
      <c r="D115" s="218" t="s">
        <v>274</v>
      </c>
      <c r="E115" s="219" t="s">
        <v>131</v>
      </c>
      <c r="F115" s="220" t="s">
        <v>49</v>
      </c>
      <c r="G115" s="231">
        <v>7.25</v>
      </c>
      <c r="H115" s="221" t="s">
        <v>132</v>
      </c>
      <c r="I115" s="222" t="s">
        <v>125</v>
      </c>
      <c r="J115" s="222" t="s">
        <v>125</v>
      </c>
      <c r="K115" s="222"/>
      <c r="L115" s="222" t="s">
        <v>125</v>
      </c>
    </row>
    <row r="116" spans="1:12" ht="30" customHeight="1">
      <c r="A116" s="233">
        <v>3255</v>
      </c>
      <c r="B116" s="218" t="s">
        <v>575</v>
      </c>
      <c r="C116" s="219" t="s">
        <v>126</v>
      </c>
      <c r="D116" s="218" t="s">
        <v>576</v>
      </c>
      <c r="E116" s="219" t="s">
        <v>127</v>
      </c>
      <c r="F116" s="220" t="s">
        <v>49</v>
      </c>
      <c r="G116" s="231">
        <v>4.37</v>
      </c>
      <c r="H116" s="221" t="s">
        <v>132</v>
      </c>
      <c r="I116" s="222" t="s">
        <v>125</v>
      </c>
      <c r="J116" s="222" t="s">
        <v>125</v>
      </c>
      <c r="K116" s="222" t="s">
        <v>125</v>
      </c>
      <c r="L116" s="222" t="s">
        <v>125</v>
      </c>
    </row>
    <row r="117" spans="1:12" ht="30" customHeight="1">
      <c r="A117" s="233">
        <v>1171</v>
      </c>
      <c r="B117" s="218" t="s">
        <v>527</v>
      </c>
      <c r="C117" s="219" t="s">
        <v>126</v>
      </c>
      <c r="D117" s="218" t="s">
        <v>528</v>
      </c>
      <c r="E117" s="219" t="s">
        <v>127</v>
      </c>
      <c r="F117" s="220" t="s">
        <v>49</v>
      </c>
      <c r="G117" s="231">
        <v>5.33</v>
      </c>
      <c r="H117" s="221" t="s">
        <v>132</v>
      </c>
      <c r="I117" s="222" t="s">
        <v>125</v>
      </c>
      <c r="J117" s="222" t="s">
        <v>125</v>
      </c>
      <c r="K117" s="222" t="s">
        <v>125</v>
      </c>
      <c r="L117" s="222" t="s">
        <v>125</v>
      </c>
    </row>
    <row r="118" spans="1:12" ht="30" customHeight="1">
      <c r="A118" s="233">
        <v>6198</v>
      </c>
      <c r="B118" s="218" t="s">
        <v>629</v>
      </c>
      <c r="C118" s="219" t="s">
        <v>129</v>
      </c>
      <c r="D118" s="218" t="s">
        <v>630</v>
      </c>
      <c r="E118" s="219" t="s">
        <v>131</v>
      </c>
      <c r="F118" s="220" t="s">
        <v>47</v>
      </c>
      <c r="G118" s="231">
        <v>3</v>
      </c>
      <c r="H118" s="221" t="s">
        <v>132</v>
      </c>
      <c r="I118" s="222" t="s">
        <v>125</v>
      </c>
      <c r="J118" s="222" t="s">
        <v>125</v>
      </c>
      <c r="K118" s="222" t="s">
        <v>125</v>
      </c>
      <c r="L118" s="222" t="s">
        <v>125</v>
      </c>
    </row>
    <row r="119" spans="1:12" ht="30" customHeight="1">
      <c r="A119" s="233">
        <v>6127</v>
      </c>
      <c r="B119" s="218" t="s">
        <v>724</v>
      </c>
      <c r="C119" s="219" t="s">
        <v>129</v>
      </c>
      <c r="D119" s="218" t="s">
        <v>725</v>
      </c>
      <c r="E119" s="219" t="s">
        <v>131</v>
      </c>
      <c r="F119" s="220" t="s">
        <v>49</v>
      </c>
      <c r="G119" s="231">
        <v>4.08</v>
      </c>
      <c r="H119" s="221" t="s">
        <v>132</v>
      </c>
      <c r="I119" s="222" t="s">
        <v>125</v>
      </c>
      <c r="J119" s="222" t="s">
        <v>125</v>
      </c>
      <c r="K119" s="222" t="s">
        <v>125</v>
      </c>
      <c r="L119" s="222" t="s">
        <v>125</v>
      </c>
    </row>
    <row r="120" spans="1:12" ht="30" customHeight="1">
      <c r="A120" s="233">
        <v>3225</v>
      </c>
      <c r="B120" s="218" t="s">
        <v>726</v>
      </c>
      <c r="C120" s="219" t="s">
        <v>129</v>
      </c>
      <c r="D120" s="218" t="s">
        <v>727</v>
      </c>
      <c r="E120" s="219" t="s">
        <v>131</v>
      </c>
      <c r="F120" s="220" t="s">
        <v>49</v>
      </c>
      <c r="G120" s="231">
        <v>3.96</v>
      </c>
      <c r="H120" s="221" t="s">
        <v>132</v>
      </c>
      <c r="I120" s="222" t="s">
        <v>125</v>
      </c>
      <c r="J120" s="222" t="s">
        <v>125</v>
      </c>
      <c r="K120" s="222" t="s">
        <v>125</v>
      </c>
      <c r="L120" s="222" t="s">
        <v>125</v>
      </c>
    </row>
    <row r="121" spans="1:12" ht="30" customHeight="1">
      <c r="A121" s="233">
        <v>6198</v>
      </c>
      <c r="B121" s="218" t="s">
        <v>546</v>
      </c>
      <c r="C121" s="219" t="s">
        <v>129</v>
      </c>
      <c r="D121" s="218" t="s">
        <v>275</v>
      </c>
      <c r="E121" s="219" t="s">
        <v>131</v>
      </c>
      <c r="F121" s="220" t="s">
        <v>47</v>
      </c>
      <c r="G121" s="231">
        <v>3</v>
      </c>
      <c r="H121" s="223" t="s">
        <v>132</v>
      </c>
      <c r="I121" s="222" t="s">
        <v>125</v>
      </c>
      <c r="J121" s="222" t="s">
        <v>125</v>
      </c>
      <c r="K121" s="222" t="s">
        <v>125</v>
      </c>
      <c r="L121" s="222" t="s">
        <v>125</v>
      </c>
    </row>
    <row r="122" spans="1:12" ht="30" customHeight="1">
      <c r="A122" s="233">
        <v>3194</v>
      </c>
      <c r="B122" s="218" t="s">
        <v>276</v>
      </c>
      <c r="C122" s="219" t="s">
        <v>126</v>
      </c>
      <c r="D122" s="218" t="s">
        <v>277</v>
      </c>
      <c r="E122" s="219" t="s">
        <v>127</v>
      </c>
      <c r="F122" s="220" t="s">
        <v>49</v>
      </c>
      <c r="G122" s="231">
        <v>2.71</v>
      </c>
      <c r="H122" s="221" t="s">
        <v>132</v>
      </c>
      <c r="I122" s="222" t="s">
        <v>125</v>
      </c>
      <c r="J122" s="222"/>
      <c r="K122" s="222"/>
      <c r="L122" s="222" t="s">
        <v>125</v>
      </c>
    </row>
    <row r="123" spans="1:12" ht="30" customHeight="1">
      <c r="A123" s="233">
        <v>3190</v>
      </c>
      <c r="B123" s="218" t="s">
        <v>691</v>
      </c>
      <c r="C123" s="219" t="s">
        <v>126</v>
      </c>
      <c r="D123" s="218" t="s">
        <v>548</v>
      </c>
      <c r="E123" s="219" t="s">
        <v>127</v>
      </c>
      <c r="F123" s="220" t="s">
        <v>49</v>
      </c>
      <c r="G123" s="231">
        <v>4.78</v>
      </c>
      <c r="H123" s="221" t="s">
        <v>132</v>
      </c>
      <c r="I123" s="222" t="s">
        <v>125</v>
      </c>
      <c r="J123" s="222" t="s">
        <v>125</v>
      </c>
      <c r="K123" s="222" t="s">
        <v>125</v>
      </c>
      <c r="L123" s="222" t="s">
        <v>125</v>
      </c>
    </row>
    <row r="124" spans="1:12" ht="30" customHeight="1">
      <c r="A124" s="233" t="s">
        <v>278</v>
      </c>
      <c r="B124" s="218" t="s">
        <v>690</v>
      </c>
      <c r="C124" s="219" t="s">
        <v>126</v>
      </c>
      <c r="D124" s="218" t="s">
        <v>547</v>
      </c>
      <c r="E124" s="219" t="s">
        <v>127</v>
      </c>
      <c r="F124" s="220" t="s">
        <v>49</v>
      </c>
      <c r="G124" s="231">
        <v>5.45</v>
      </c>
      <c r="H124" s="221" t="s">
        <v>132</v>
      </c>
      <c r="I124" s="222" t="s">
        <v>125</v>
      </c>
      <c r="J124" s="222" t="s">
        <v>125</v>
      </c>
      <c r="K124" s="222" t="s">
        <v>125</v>
      </c>
      <c r="L124" s="222" t="s">
        <v>125</v>
      </c>
    </row>
    <row r="125" spans="1:12" ht="30" customHeight="1">
      <c r="A125" s="233">
        <v>1115</v>
      </c>
      <c r="B125" s="218" t="s">
        <v>631</v>
      </c>
      <c r="C125" s="219" t="s">
        <v>194</v>
      </c>
      <c r="D125" s="218" t="s">
        <v>279</v>
      </c>
      <c r="E125" s="219" t="s">
        <v>194</v>
      </c>
      <c r="F125" s="220" t="s">
        <v>49</v>
      </c>
      <c r="G125" s="231">
        <v>5.19</v>
      </c>
      <c r="H125" s="221" t="s">
        <v>132</v>
      </c>
      <c r="I125" s="222" t="s">
        <v>125</v>
      </c>
      <c r="J125" s="222" t="s">
        <v>125</v>
      </c>
      <c r="K125" s="222"/>
      <c r="L125" s="222" t="s">
        <v>125</v>
      </c>
    </row>
    <row r="126" spans="1:12" ht="30" customHeight="1">
      <c r="A126" s="233">
        <v>3703</v>
      </c>
      <c r="B126" s="218" t="s">
        <v>728</v>
      </c>
      <c r="C126" s="219" t="s">
        <v>126</v>
      </c>
      <c r="D126" s="218" t="s">
        <v>729</v>
      </c>
      <c r="E126" s="219" t="s">
        <v>127</v>
      </c>
      <c r="F126" s="220"/>
      <c r="G126" s="231">
        <v>3.82</v>
      </c>
      <c r="H126" s="221" t="s">
        <v>132</v>
      </c>
      <c r="I126" s="222" t="s">
        <v>125</v>
      </c>
      <c r="J126" s="222" t="s">
        <v>125</v>
      </c>
      <c r="K126" s="222"/>
      <c r="L126" s="222" t="s">
        <v>125</v>
      </c>
    </row>
    <row r="127" spans="1:12" ht="30" customHeight="1">
      <c r="A127" s="233">
        <v>1843</v>
      </c>
      <c r="B127" s="218" t="s">
        <v>550</v>
      </c>
      <c r="C127" s="219" t="s">
        <v>126</v>
      </c>
      <c r="D127" s="218" t="s">
        <v>549</v>
      </c>
      <c r="E127" s="219" t="s">
        <v>127</v>
      </c>
      <c r="F127" s="220"/>
      <c r="G127" s="231">
        <v>5.0599999999999996</v>
      </c>
      <c r="H127" s="221" t="s">
        <v>132</v>
      </c>
      <c r="I127" s="222" t="s">
        <v>125</v>
      </c>
      <c r="J127" s="222" t="s">
        <v>125</v>
      </c>
      <c r="K127" s="222"/>
      <c r="L127" s="222" t="s">
        <v>125</v>
      </c>
    </row>
    <row r="128" spans="1:12" ht="30" customHeight="1">
      <c r="A128" s="233">
        <v>6269</v>
      </c>
      <c r="B128" s="218" t="s">
        <v>730</v>
      </c>
      <c r="C128" s="219" t="s">
        <v>126</v>
      </c>
      <c r="D128" s="218" t="s">
        <v>731</v>
      </c>
      <c r="E128" s="219" t="s">
        <v>127</v>
      </c>
      <c r="F128" s="220"/>
      <c r="G128" s="231">
        <v>3.41</v>
      </c>
      <c r="H128" s="221" t="s">
        <v>132</v>
      </c>
      <c r="I128" s="222" t="s">
        <v>125</v>
      </c>
      <c r="J128" s="222" t="s">
        <v>125</v>
      </c>
      <c r="K128" s="222" t="s">
        <v>125</v>
      </c>
      <c r="L128" s="222" t="s">
        <v>125</v>
      </c>
    </row>
    <row r="129" spans="1:12" ht="30" customHeight="1">
      <c r="A129" s="233" t="s">
        <v>632</v>
      </c>
      <c r="B129" s="218" t="s">
        <v>633</v>
      </c>
      <c r="C129" s="219" t="s">
        <v>126</v>
      </c>
      <c r="D129" s="218" t="s">
        <v>634</v>
      </c>
      <c r="E129" s="219" t="s">
        <v>127</v>
      </c>
      <c r="F129" s="220"/>
      <c r="G129" s="231">
        <v>2.71</v>
      </c>
      <c r="H129" s="223" t="s">
        <v>132</v>
      </c>
      <c r="I129" s="222"/>
      <c r="J129" s="222"/>
      <c r="K129" s="222"/>
      <c r="L129" s="222" t="s">
        <v>125</v>
      </c>
    </row>
    <row r="130" spans="1:12" ht="30" customHeight="1">
      <c r="A130" s="233">
        <v>3112</v>
      </c>
      <c r="B130" s="218" t="s">
        <v>281</v>
      </c>
      <c r="C130" s="219" t="s">
        <v>282</v>
      </c>
      <c r="D130" s="218" t="s">
        <v>283</v>
      </c>
      <c r="E130" s="219" t="s">
        <v>284</v>
      </c>
      <c r="F130" s="220" t="s">
        <v>49</v>
      </c>
      <c r="G130" s="231">
        <v>1.77</v>
      </c>
      <c r="H130" s="221" t="s">
        <v>132</v>
      </c>
      <c r="I130" s="222" t="s">
        <v>125</v>
      </c>
      <c r="J130" s="222" t="s">
        <v>125</v>
      </c>
      <c r="K130" s="222" t="s">
        <v>125</v>
      </c>
      <c r="L130" s="222"/>
    </row>
    <row r="131" spans="1:12" ht="30" customHeight="1">
      <c r="A131" s="233">
        <v>1052</v>
      </c>
      <c r="B131" s="218" t="s">
        <v>285</v>
      </c>
      <c r="C131" s="219" t="s">
        <v>286</v>
      </c>
      <c r="D131" s="218" t="s">
        <v>287</v>
      </c>
      <c r="E131" s="219" t="s">
        <v>288</v>
      </c>
      <c r="F131" s="220"/>
      <c r="G131" s="231">
        <v>2.59</v>
      </c>
      <c r="H131" s="221" t="s">
        <v>132</v>
      </c>
      <c r="I131" s="222" t="s">
        <v>125</v>
      </c>
      <c r="J131" s="222" t="s">
        <v>125</v>
      </c>
      <c r="K131" s="222"/>
      <c r="L131" s="222"/>
    </row>
    <row r="132" spans="1:12" ht="30" customHeight="1">
      <c r="A132" s="233">
        <v>3925</v>
      </c>
      <c r="B132" s="218" t="s">
        <v>552</v>
      </c>
      <c r="C132" s="219" t="s">
        <v>126</v>
      </c>
      <c r="D132" s="218" t="s">
        <v>289</v>
      </c>
      <c r="E132" s="219" t="s">
        <v>127</v>
      </c>
      <c r="F132" s="220" t="s">
        <v>49</v>
      </c>
      <c r="G132" s="231">
        <v>12.73</v>
      </c>
      <c r="H132" s="221" t="s">
        <v>124</v>
      </c>
      <c r="I132" s="222" t="s">
        <v>125</v>
      </c>
      <c r="J132" s="222"/>
      <c r="K132" s="222"/>
      <c r="L132" s="222"/>
    </row>
    <row r="133" spans="1:12" ht="30" customHeight="1">
      <c r="A133" s="233">
        <v>1324</v>
      </c>
      <c r="B133" s="218" t="s">
        <v>556</v>
      </c>
      <c r="C133" s="219" t="s">
        <v>291</v>
      </c>
      <c r="D133" s="218" t="s">
        <v>295</v>
      </c>
      <c r="E133" s="219" t="s">
        <v>291</v>
      </c>
      <c r="F133" s="220" t="s">
        <v>49</v>
      </c>
      <c r="G133" s="231">
        <v>19.850000000000001</v>
      </c>
      <c r="H133" s="221" t="s">
        <v>124</v>
      </c>
      <c r="I133" s="222" t="s">
        <v>125</v>
      </c>
      <c r="J133" s="222"/>
      <c r="K133" s="222"/>
      <c r="L133" s="222"/>
    </row>
    <row r="134" spans="1:12" ht="30" customHeight="1">
      <c r="A134" s="233">
        <v>5113</v>
      </c>
      <c r="B134" s="218" t="s">
        <v>551</v>
      </c>
      <c r="C134" s="219" t="s">
        <v>126</v>
      </c>
      <c r="D134" s="218" t="s">
        <v>290</v>
      </c>
      <c r="E134" s="219" t="s">
        <v>127</v>
      </c>
      <c r="F134" s="220" t="s">
        <v>49</v>
      </c>
      <c r="G134" s="231">
        <v>12.73</v>
      </c>
      <c r="H134" s="221" t="s">
        <v>124</v>
      </c>
      <c r="I134" s="222" t="s">
        <v>125</v>
      </c>
      <c r="J134" s="222"/>
      <c r="K134" s="222"/>
      <c r="L134" s="222"/>
    </row>
    <row r="135" spans="1:12" ht="30" customHeight="1">
      <c r="A135" s="233">
        <v>1444</v>
      </c>
      <c r="B135" s="224" t="s">
        <v>553</v>
      </c>
      <c r="C135" s="219" t="s">
        <v>291</v>
      </c>
      <c r="D135" s="218" t="s">
        <v>292</v>
      </c>
      <c r="E135" s="219" t="s">
        <v>291</v>
      </c>
      <c r="F135" s="220" t="s">
        <v>49</v>
      </c>
      <c r="G135" s="231">
        <v>15.04</v>
      </c>
      <c r="H135" s="221" t="s">
        <v>124</v>
      </c>
      <c r="I135" s="222" t="s">
        <v>125</v>
      </c>
      <c r="J135" s="222"/>
      <c r="K135" s="222"/>
      <c r="L135" s="222"/>
    </row>
    <row r="136" spans="1:12" ht="30" customHeight="1">
      <c r="A136" s="233">
        <v>5107</v>
      </c>
      <c r="B136" s="218" t="s">
        <v>554</v>
      </c>
      <c r="C136" s="219" t="s">
        <v>126</v>
      </c>
      <c r="D136" s="218" t="s">
        <v>293</v>
      </c>
      <c r="E136" s="219" t="s">
        <v>127</v>
      </c>
      <c r="F136" s="220" t="s">
        <v>49</v>
      </c>
      <c r="G136" s="231">
        <v>12.73</v>
      </c>
      <c r="H136" s="223" t="s">
        <v>124</v>
      </c>
      <c r="I136" s="222" t="s">
        <v>125</v>
      </c>
      <c r="J136" s="222"/>
      <c r="K136" s="222"/>
      <c r="L136" s="222"/>
    </row>
    <row r="137" spans="1:12" ht="30" customHeight="1">
      <c r="A137" s="233">
        <v>3585</v>
      </c>
      <c r="B137" s="218" t="s">
        <v>555</v>
      </c>
      <c r="C137" s="219" t="s">
        <v>126</v>
      </c>
      <c r="D137" s="218" t="s">
        <v>294</v>
      </c>
      <c r="E137" s="219" t="s">
        <v>127</v>
      </c>
      <c r="F137" s="220" t="s">
        <v>49</v>
      </c>
      <c r="G137" s="231">
        <v>12.73</v>
      </c>
      <c r="H137" s="221" t="s">
        <v>124</v>
      </c>
      <c r="I137" s="222" t="s">
        <v>125</v>
      </c>
      <c r="J137" s="222"/>
      <c r="K137" s="222"/>
      <c r="L137" s="222"/>
    </row>
    <row r="138" spans="1:12" ht="30" customHeight="1">
      <c r="A138" s="233">
        <v>5114</v>
      </c>
      <c r="B138" s="218" t="s">
        <v>557</v>
      </c>
      <c r="C138" s="219" t="s">
        <v>126</v>
      </c>
      <c r="D138" s="218" t="s">
        <v>296</v>
      </c>
      <c r="E138" s="219" t="s">
        <v>127</v>
      </c>
      <c r="F138" s="220" t="s">
        <v>49</v>
      </c>
      <c r="G138" s="231">
        <v>10.67</v>
      </c>
      <c r="H138" s="221" t="s">
        <v>124</v>
      </c>
      <c r="I138" s="222" t="s">
        <v>125</v>
      </c>
      <c r="J138" s="222"/>
      <c r="K138" s="222"/>
      <c r="L138" s="222"/>
    </row>
    <row r="139" spans="1:12" ht="30" customHeight="1">
      <c r="A139" s="233">
        <v>3626</v>
      </c>
      <c r="B139" s="218" t="s">
        <v>732</v>
      </c>
      <c r="C139" s="219" t="s">
        <v>126</v>
      </c>
      <c r="D139" s="218" t="s">
        <v>733</v>
      </c>
      <c r="E139" s="219" t="s">
        <v>127</v>
      </c>
      <c r="F139" s="220"/>
      <c r="G139" s="231">
        <v>2.71</v>
      </c>
      <c r="H139" s="221" t="s">
        <v>132</v>
      </c>
      <c r="I139" s="222" t="s">
        <v>125</v>
      </c>
      <c r="J139" s="222"/>
      <c r="K139" s="222"/>
      <c r="L139" s="222" t="s">
        <v>125</v>
      </c>
    </row>
    <row r="140" spans="1:12" ht="30" customHeight="1">
      <c r="A140" s="233">
        <v>1154</v>
      </c>
      <c r="B140" s="218" t="s">
        <v>635</v>
      </c>
      <c r="C140" s="219" t="s">
        <v>297</v>
      </c>
      <c r="D140" s="218" t="s">
        <v>298</v>
      </c>
      <c r="E140" s="219" t="s">
        <v>212</v>
      </c>
      <c r="F140" s="220" t="s">
        <v>49</v>
      </c>
      <c r="G140" s="231">
        <v>19.850000000000001</v>
      </c>
      <c r="H140" s="221" t="s">
        <v>124</v>
      </c>
      <c r="I140" s="222" t="s">
        <v>125</v>
      </c>
      <c r="J140" s="222"/>
      <c r="K140" s="222"/>
      <c r="L140" s="222"/>
    </row>
    <row r="141" spans="1:12" ht="30" customHeight="1">
      <c r="A141" s="233">
        <v>1027</v>
      </c>
      <c r="B141" s="218" t="s">
        <v>636</v>
      </c>
      <c r="C141" s="219" t="s">
        <v>299</v>
      </c>
      <c r="D141" s="218" t="s">
        <v>300</v>
      </c>
      <c r="E141" s="219" t="s">
        <v>135</v>
      </c>
      <c r="F141" s="220" t="s">
        <v>49</v>
      </c>
      <c r="G141" s="231">
        <v>20.52</v>
      </c>
      <c r="H141" s="221" t="s">
        <v>124</v>
      </c>
      <c r="I141" s="222" t="s">
        <v>125</v>
      </c>
      <c r="J141" s="222" t="s">
        <v>125</v>
      </c>
      <c r="K141" s="222"/>
      <c r="L141" s="222"/>
    </row>
    <row r="142" spans="1:12" ht="30" customHeight="1">
      <c r="A142" s="233" t="s">
        <v>301</v>
      </c>
      <c r="B142" s="218" t="s">
        <v>637</v>
      </c>
      <c r="C142" s="219" t="s">
        <v>302</v>
      </c>
      <c r="D142" s="218" t="s">
        <v>305</v>
      </c>
      <c r="E142" s="219" t="s">
        <v>304</v>
      </c>
      <c r="F142" s="220" t="s">
        <v>49</v>
      </c>
      <c r="G142" s="231">
        <v>43.81</v>
      </c>
      <c r="H142" s="221" t="s">
        <v>124</v>
      </c>
      <c r="I142" s="222"/>
      <c r="J142" s="222"/>
      <c r="K142" s="222"/>
      <c r="L142" s="222"/>
    </row>
    <row r="143" spans="1:12" ht="30" customHeight="1">
      <c r="A143" s="233" t="s">
        <v>301</v>
      </c>
      <c r="B143" s="218" t="s">
        <v>638</v>
      </c>
      <c r="C143" s="219" t="s">
        <v>302</v>
      </c>
      <c r="D143" s="218" t="s">
        <v>303</v>
      </c>
      <c r="E143" s="219" t="s">
        <v>304</v>
      </c>
      <c r="F143" s="220" t="s">
        <v>49</v>
      </c>
      <c r="G143" s="231">
        <v>22.59</v>
      </c>
      <c r="H143" s="221" t="s">
        <v>124</v>
      </c>
      <c r="I143" s="222"/>
      <c r="J143" s="222"/>
      <c r="K143" s="222"/>
      <c r="L143" s="222"/>
    </row>
    <row r="144" spans="1:12" ht="30" customHeight="1">
      <c r="A144" s="233">
        <v>6005</v>
      </c>
      <c r="B144" s="218" t="s">
        <v>639</v>
      </c>
      <c r="C144" s="219" t="s">
        <v>306</v>
      </c>
      <c r="D144" s="218" t="s">
        <v>309</v>
      </c>
      <c r="E144" s="219" t="s">
        <v>308</v>
      </c>
      <c r="F144" s="220" t="s">
        <v>49</v>
      </c>
      <c r="G144" s="231">
        <v>35.880000000000003</v>
      </c>
      <c r="H144" s="221" t="s">
        <v>124</v>
      </c>
      <c r="I144" s="222" t="s">
        <v>125</v>
      </c>
      <c r="J144" s="222"/>
      <c r="K144" s="222"/>
      <c r="L144" s="222"/>
    </row>
    <row r="145" spans="1:12" ht="30" customHeight="1">
      <c r="A145" s="233">
        <v>6005</v>
      </c>
      <c r="B145" s="218" t="s">
        <v>640</v>
      </c>
      <c r="C145" s="219" t="s">
        <v>306</v>
      </c>
      <c r="D145" s="218" t="s">
        <v>307</v>
      </c>
      <c r="E145" s="219" t="s">
        <v>308</v>
      </c>
      <c r="F145" s="220" t="s">
        <v>49</v>
      </c>
      <c r="G145" s="231">
        <v>18.62</v>
      </c>
      <c r="H145" s="221" t="s">
        <v>124</v>
      </c>
      <c r="I145" s="222"/>
      <c r="J145" s="222"/>
      <c r="K145" s="222"/>
      <c r="L145" s="222"/>
    </row>
    <row r="146" spans="1:12" ht="30" customHeight="1">
      <c r="A146" s="233">
        <v>1101</v>
      </c>
      <c r="B146" s="218" t="s">
        <v>310</v>
      </c>
      <c r="C146" s="219" t="s">
        <v>129</v>
      </c>
      <c r="D146" s="218" t="s">
        <v>311</v>
      </c>
      <c r="E146" s="219" t="s">
        <v>131</v>
      </c>
      <c r="F146" s="220"/>
      <c r="G146" s="231">
        <v>1.77</v>
      </c>
      <c r="H146" s="221" t="s">
        <v>132</v>
      </c>
      <c r="I146" s="222" t="s">
        <v>125</v>
      </c>
      <c r="J146" s="222" t="s">
        <v>125</v>
      </c>
      <c r="K146" s="222"/>
      <c r="L146" s="222"/>
    </row>
    <row r="147" spans="1:12" ht="30" customHeight="1">
      <c r="A147" s="233">
        <v>1151</v>
      </c>
      <c r="B147" s="218" t="s">
        <v>312</v>
      </c>
      <c r="C147" s="219" t="s">
        <v>129</v>
      </c>
      <c r="D147" s="218" t="s">
        <v>313</v>
      </c>
      <c r="E147" s="219" t="s">
        <v>129</v>
      </c>
      <c r="F147" s="220"/>
      <c r="G147" s="231">
        <v>2.04</v>
      </c>
      <c r="H147" s="221" t="s">
        <v>132</v>
      </c>
      <c r="I147" s="222" t="s">
        <v>125</v>
      </c>
      <c r="J147" s="222" t="s">
        <v>125</v>
      </c>
      <c r="K147" s="222"/>
      <c r="L147" s="222"/>
    </row>
    <row r="148" spans="1:12" ht="30" customHeight="1">
      <c r="A148" s="233">
        <v>6025</v>
      </c>
      <c r="B148" s="218" t="s">
        <v>664</v>
      </c>
      <c r="C148" s="219" t="s">
        <v>129</v>
      </c>
      <c r="D148" s="218" t="s">
        <v>314</v>
      </c>
      <c r="E148" s="219" t="s">
        <v>131</v>
      </c>
      <c r="F148" s="220"/>
      <c r="G148" s="231">
        <v>5.45</v>
      </c>
      <c r="H148" s="221" t="s">
        <v>124</v>
      </c>
      <c r="I148" s="222" t="s">
        <v>125</v>
      </c>
      <c r="J148" s="222"/>
      <c r="K148" s="222"/>
      <c r="L148" s="222"/>
    </row>
    <row r="149" spans="1:12" ht="30" customHeight="1">
      <c r="A149" s="233">
        <v>5119</v>
      </c>
      <c r="B149" s="218" t="s">
        <v>734</v>
      </c>
      <c r="C149" s="219" t="s">
        <v>315</v>
      </c>
      <c r="D149" s="218" t="s">
        <v>316</v>
      </c>
      <c r="E149" s="219" t="s">
        <v>317</v>
      </c>
      <c r="F149" s="220"/>
      <c r="G149" s="231">
        <v>10.119999999999999</v>
      </c>
      <c r="H149" s="221" t="s">
        <v>124</v>
      </c>
      <c r="I149" s="222"/>
      <c r="J149" s="222"/>
      <c r="K149" s="222"/>
      <c r="L149" s="222"/>
    </row>
    <row r="150" spans="1:12" ht="30" customHeight="1">
      <c r="A150" s="233">
        <v>1541</v>
      </c>
      <c r="B150" s="218" t="s">
        <v>735</v>
      </c>
      <c r="C150" s="219" t="s">
        <v>245</v>
      </c>
      <c r="D150" s="218" t="s">
        <v>318</v>
      </c>
      <c r="E150" s="219" t="s">
        <v>247</v>
      </c>
      <c r="F150" s="220" t="s">
        <v>49</v>
      </c>
      <c r="G150" s="231">
        <v>9.0299999999999994</v>
      </c>
      <c r="H150" s="221" t="s">
        <v>124</v>
      </c>
      <c r="I150" s="222"/>
      <c r="J150" s="222"/>
      <c r="K150" s="222"/>
      <c r="L150" s="222"/>
    </row>
    <row r="151" spans="1:12" ht="30" customHeight="1">
      <c r="A151" s="233">
        <v>5159</v>
      </c>
      <c r="B151" s="218" t="s">
        <v>319</v>
      </c>
      <c r="C151" s="219" t="s">
        <v>126</v>
      </c>
      <c r="D151" s="218" t="s">
        <v>320</v>
      </c>
      <c r="E151" s="219" t="s">
        <v>127</v>
      </c>
      <c r="F151" s="220"/>
      <c r="G151" s="231">
        <v>4.08</v>
      </c>
      <c r="H151" s="221" t="s">
        <v>132</v>
      </c>
      <c r="I151" s="222" t="s">
        <v>125</v>
      </c>
      <c r="J151" s="222"/>
      <c r="K151" s="222"/>
      <c r="L151" s="222" t="s">
        <v>125</v>
      </c>
    </row>
    <row r="152" spans="1:12" ht="30" customHeight="1">
      <c r="A152" s="233">
        <v>3073</v>
      </c>
      <c r="B152" s="218" t="s">
        <v>321</v>
      </c>
      <c r="C152" s="219" t="s">
        <v>286</v>
      </c>
      <c r="D152" s="218" t="s">
        <v>322</v>
      </c>
      <c r="E152" s="219" t="s">
        <v>288</v>
      </c>
      <c r="F152" s="220"/>
      <c r="G152" s="231">
        <v>3.27</v>
      </c>
      <c r="H152" s="221" t="s">
        <v>132</v>
      </c>
      <c r="I152" s="222" t="s">
        <v>125</v>
      </c>
      <c r="J152" s="222" t="s">
        <v>125</v>
      </c>
      <c r="K152" s="222"/>
      <c r="L152" s="222" t="s">
        <v>125</v>
      </c>
    </row>
    <row r="153" spans="1:12" ht="30" customHeight="1">
      <c r="A153" s="233">
        <v>6584</v>
      </c>
      <c r="B153" s="218" t="s">
        <v>641</v>
      </c>
      <c r="C153" s="219" t="s">
        <v>642</v>
      </c>
      <c r="D153" s="218" t="s">
        <v>643</v>
      </c>
      <c r="E153" s="219" t="s">
        <v>644</v>
      </c>
      <c r="F153" s="220"/>
      <c r="G153" s="231">
        <v>16.41</v>
      </c>
      <c r="H153" s="221" t="s">
        <v>124</v>
      </c>
      <c r="I153" s="222"/>
      <c r="J153" s="222"/>
      <c r="K153" s="222"/>
      <c r="L153" s="222"/>
    </row>
    <row r="154" spans="1:12" ht="30" customHeight="1">
      <c r="A154" s="233">
        <v>1576</v>
      </c>
      <c r="B154" s="218" t="s">
        <v>559</v>
      </c>
      <c r="C154" s="219" t="s">
        <v>129</v>
      </c>
      <c r="D154" s="218" t="s">
        <v>323</v>
      </c>
      <c r="E154" s="219" t="s">
        <v>131</v>
      </c>
      <c r="F154" s="220" t="s">
        <v>49</v>
      </c>
      <c r="G154" s="231">
        <v>2.59</v>
      </c>
      <c r="H154" s="221" t="s">
        <v>132</v>
      </c>
      <c r="I154" s="222" t="s">
        <v>125</v>
      </c>
      <c r="J154" s="222" t="s">
        <v>125</v>
      </c>
      <c r="K154" s="222" t="s">
        <v>125</v>
      </c>
      <c r="L154" s="222" t="s">
        <v>125</v>
      </c>
    </row>
    <row r="155" spans="1:12" ht="30" customHeight="1">
      <c r="A155" s="233">
        <v>1015</v>
      </c>
      <c r="B155" s="218" t="s">
        <v>558</v>
      </c>
      <c r="C155" s="219" t="s">
        <v>129</v>
      </c>
      <c r="D155" s="218" t="s">
        <v>324</v>
      </c>
      <c r="E155" s="219" t="s">
        <v>131</v>
      </c>
      <c r="F155" s="220" t="s">
        <v>49</v>
      </c>
      <c r="G155" s="231">
        <v>2.04</v>
      </c>
      <c r="H155" s="221" t="s">
        <v>132</v>
      </c>
      <c r="I155" s="222" t="s">
        <v>125</v>
      </c>
      <c r="J155" s="222" t="s">
        <v>125</v>
      </c>
      <c r="K155" s="222" t="s">
        <v>125</v>
      </c>
      <c r="L155" s="222" t="s">
        <v>125</v>
      </c>
    </row>
    <row r="156" spans="1:12" ht="30" customHeight="1">
      <c r="A156" s="233">
        <v>1761</v>
      </c>
      <c r="B156" s="218" t="s">
        <v>645</v>
      </c>
      <c r="C156" s="219" t="s">
        <v>129</v>
      </c>
      <c r="D156" s="218" t="s">
        <v>560</v>
      </c>
      <c r="E156" s="219" t="s">
        <v>131</v>
      </c>
      <c r="F156" s="220"/>
      <c r="G156" s="231">
        <v>3.41</v>
      </c>
      <c r="H156" s="221" t="s">
        <v>132</v>
      </c>
      <c r="I156" s="222" t="s">
        <v>125</v>
      </c>
      <c r="J156" s="222" t="s">
        <v>125</v>
      </c>
      <c r="K156" s="222" t="s">
        <v>125</v>
      </c>
      <c r="L156" s="222" t="s">
        <v>125</v>
      </c>
    </row>
    <row r="157" spans="1:12" ht="30" customHeight="1">
      <c r="A157" s="233">
        <v>3615</v>
      </c>
      <c r="B157" s="218" t="s">
        <v>646</v>
      </c>
      <c r="C157" s="219" t="s">
        <v>210</v>
      </c>
      <c r="D157" s="218" t="s">
        <v>647</v>
      </c>
      <c r="E157" s="219" t="s">
        <v>212</v>
      </c>
      <c r="F157" s="220" t="s">
        <v>49</v>
      </c>
      <c r="G157" s="231">
        <v>34.22</v>
      </c>
      <c r="H157" s="221" t="s">
        <v>124</v>
      </c>
      <c r="I157" s="222"/>
      <c r="J157" s="222"/>
      <c r="K157" s="222"/>
      <c r="L157" s="222"/>
    </row>
    <row r="158" spans="1:12" ht="30" customHeight="1">
      <c r="A158" s="233">
        <v>3615</v>
      </c>
      <c r="B158" s="218" t="s">
        <v>648</v>
      </c>
      <c r="C158" s="219" t="s">
        <v>210</v>
      </c>
      <c r="D158" s="218" t="s">
        <v>649</v>
      </c>
      <c r="E158" s="219" t="s">
        <v>212</v>
      </c>
      <c r="F158" s="220" t="s">
        <v>49</v>
      </c>
      <c r="G158" s="231">
        <v>17.78</v>
      </c>
      <c r="H158" s="221" t="s">
        <v>124</v>
      </c>
      <c r="I158" s="222"/>
      <c r="J158" s="222"/>
      <c r="K158" s="222"/>
      <c r="L158" s="222"/>
    </row>
    <row r="159" spans="1:12" ht="30" customHeight="1">
      <c r="A159" s="233">
        <v>3967</v>
      </c>
      <c r="B159" s="218" t="s">
        <v>736</v>
      </c>
      <c r="C159" s="219" t="s">
        <v>126</v>
      </c>
      <c r="D159" s="218" t="s">
        <v>737</v>
      </c>
      <c r="E159" s="219" t="s">
        <v>127</v>
      </c>
      <c r="F159" s="220"/>
      <c r="G159" s="231">
        <v>9.56</v>
      </c>
      <c r="H159" s="221" t="s">
        <v>132</v>
      </c>
      <c r="I159" s="222"/>
      <c r="J159" s="222"/>
      <c r="K159" s="222"/>
      <c r="L159" s="222" t="s">
        <v>125</v>
      </c>
    </row>
    <row r="160" spans="1:12" ht="30" customHeight="1">
      <c r="A160" s="233">
        <v>1982</v>
      </c>
      <c r="B160" s="218" t="s">
        <v>738</v>
      </c>
      <c r="C160" s="219" t="s">
        <v>126</v>
      </c>
      <c r="D160" s="218" t="s">
        <v>568</v>
      </c>
      <c r="E160" s="219" t="s">
        <v>127</v>
      </c>
      <c r="F160" s="220" t="s">
        <v>49</v>
      </c>
      <c r="G160" s="231">
        <v>11.91</v>
      </c>
      <c r="H160" s="221" t="s">
        <v>132</v>
      </c>
      <c r="I160" s="222" t="s">
        <v>125</v>
      </c>
      <c r="J160" s="222"/>
      <c r="K160" s="222"/>
      <c r="L160" s="222" t="s">
        <v>125</v>
      </c>
    </row>
    <row r="161" spans="1:12" ht="30" customHeight="1">
      <c r="A161" s="233">
        <v>3043</v>
      </c>
      <c r="B161" s="218" t="s">
        <v>325</v>
      </c>
      <c r="C161" s="219" t="s">
        <v>210</v>
      </c>
      <c r="D161" s="218" t="s">
        <v>326</v>
      </c>
      <c r="E161" s="219" t="s">
        <v>212</v>
      </c>
      <c r="F161" s="220"/>
      <c r="G161" s="231">
        <v>3.41</v>
      </c>
      <c r="H161" s="221" t="s">
        <v>132</v>
      </c>
      <c r="I161" s="222" t="s">
        <v>125</v>
      </c>
      <c r="J161" s="222" t="s">
        <v>125</v>
      </c>
      <c r="K161" s="222"/>
      <c r="L161" s="222" t="s">
        <v>125</v>
      </c>
    </row>
    <row r="162" spans="1:12" ht="30" customHeight="1">
      <c r="A162" s="233">
        <v>1123</v>
      </c>
      <c r="B162" s="218" t="s">
        <v>327</v>
      </c>
      <c r="C162" s="219" t="s">
        <v>210</v>
      </c>
      <c r="D162" s="218" t="s">
        <v>328</v>
      </c>
      <c r="E162" s="219" t="s">
        <v>212</v>
      </c>
      <c r="F162" s="220"/>
      <c r="G162" s="231">
        <v>3.82</v>
      </c>
      <c r="H162" s="221" t="s">
        <v>132</v>
      </c>
      <c r="I162" s="222" t="s">
        <v>125</v>
      </c>
      <c r="J162" s="222" t="s">
        <v>125</v>
      </c>
      <c r="K162" s="222"/>
      <c r="L162" s="222" t="s">
        <v>125</v>
      </c>
    </row>
    <row r="163" spans="1:12" ht="30" customHeight="1">
      <c r="A163" s="233">
        <v>1062</v>
      </c>
      <c r="B163" s="218" t="s">
        <v>329</v>
      </c>
      <c r="C163" s="219" t="s">
        <v>129</v>
      </c>
      <c r="D163" s="218" t="s">
        <v>330</v>
      </c>
      <c r="E163" s="219" t="s">
        <v>131</v>
      </c>
      <c r="F163" s="220"/>
      <c r="G163" s="231">
        <v>3.41</v>
      </c>
      <c r="H163" s="221" t="s">
        <v>132</v>
      </c>
      <c r="I163" s="222" t="s">
        <v>125</v>
      </c>
      <c r="J163" s="222"/>
      <c r="K163" s="222"/>
      <c r="L163" s="222" t="s">
        <v>125</v>
      </c>
    </row>
    <row r="164" spans="1:12" ht="30" customHeight="1">
      <c r="A164" s="233">
        <v>3313</v>
      </c>
      <c r="B164" s="218" t="s">
        <v>331</v>
      </c>
      <c r="C164" s="219" t="s">
        <v>126</v>
      </c>
      <c r="D164" s="218" t="s">
        <v>332</v>
      </c>
      <c r="E164" s="219" t="s">
        <v>127</v>
      </c>
      <c r="F164" s="220" t="s">
        <v>49</v>
      </c>
      <c r="G164" s="231">
        <v>3.14</v>
      </c>
      <c r="H164" s="221" t="s">
        <v>132</v>
      </c>
      <c r="I164" s="222" t="s">
        <v>125</v>
      </c>
      <c r="J164" s="222" t="s">
        <v>125</v>
      </c>
      <c r="K164" s="222"/>
      <c r="L164" s="222" t="s">
        <v>125</v>
      </c>
    </row>
    <row r="165" spans="1:12" ht="30" customHeight="1">
      <c r="A165" s="233">
        <v>1043</v>
      </c>
      <c r="B165" s="218" t="s">
        <v>524</v>
      </c>
      <c r="C165" s="219" t="s">
        <v>129</v>
      </c>
      <c r="D165" s="218" t="s">
        <v>525</v>
      </c>
      <c r="E165" s="219" t="s">
        <v>131</v>
      </c>
      <c r="F165" s="220"/>
      <c r="G165" s="231">
        <v>5.19</v>
      </c>
      <c r="H165" s="221" t="s">
        <v>132</v>
      </c>
      <c r="I165" s="222" t="s">
        <v>125</v>
      </c>
      <c r="J165" s="222"/>
      <c r="K165" s="222"/>
      <c r="L165" s="222" t="s">
        <v>125</v>
      </c>
    </row>
    <row r="166" spans="1:12" ht="30" customHeight="1">
      <c r="A166" s="233">
        <v>6041</v>
      </c>
      <c r="B166" s="218" t="s">
        <v>739</v>
      </c>
      <c r="C166" s="219" t="s">
        <v>333</v>
      </c>
      <c r="D166" s="218" t="s">
        <v>334</v>
      </c>
      <c r="E166" s="219" t="s">
        <v>284</v>
      </c>
      <c r="F166" s="220" t="s">
        <v>49</v>
      </c>
      <c r="G166" s="231">
        <v>17.78</v>
      </c>
      <c r="H166" s="221" t="s">
        <v>124</v>
      </c>
      <c r="I166" s="222"/>
      <c r="J166" s="222"/>
      <c r="K166" s="222"/>
      <c r="L166" s="222"/>
    </row>
    <row r="167" spans="1:12" ht="30" customHeight="1">
      <c r="A167" s="233" t="s">
        <v>335</v>
      </c>
      <c r="B167" s="218" t="s">
        <v>740</v>
      </c>
      <c r="C167" s="219" t="s">
        <v>291</v>
      </c>
      <c r="D167" s="218" t="s">
        <v>336</v>
      </c>
      <c r="E167" s="219" t="s">
        <v>291</v>
      </c>
      <c r="F167" s="220" t="s">
        <v>49</v>
      </c>
      <c r="G167" s="231">
        <v>18.48</v>
      </c>
      <c r="H167" s="221" t="s">
        <v>124</v>
      </c>
      <c r="I167" s="222"/>
      <c r="J167" s="222"/>
      <c r="K167" s="222"/>
      <c r="L167" s="222"/>
    </row>
    <row r="168" spans="1:12" ht="30" customHeight="1">
      <c r="A168" s="233">
        <v>6121</v>
      </c>
      <c r="B168" s="218" t="s">
        <v>741</v>
      </c>
      <c r="C168" s="219" t="s">
        <v>129</v>
      </c>
      <c r="D168" s="218" t="s">
        <v>742</v>
      </c>
      <c r="E168" s="219" t="s">
        <v>131</v>
      </c>
      <c r="F168" s="220"/>
      <c r="G168" s="231">
        <v>1.9</v>
      </c>
      <c r="H168" s="221" t="s">
        <v>132</v>
      </c>
      <c r="I168" s="222" t="s">
        <v>125</v>
      </c>
      <c r="J168" s="222" t="s">
        <v>125</v>
      </c>
      <c r="K168" s="222"/>
      <c r="L168" s="222" t="s">
        <v>125</v>
      </c>
    </row>
    <row r="169" spans="1:12" ht="30" customHeight="1">
      <c r="A169" s="233">
        <v>1147</v>
      </c>
      <c r="B169" s="218" t="s">
        <v>337</v>
      </c>
      <c r="C169" s="219" t="s">
        <v>126</v>
      </c>
      <c r="D169" s="218" t="s">
        <v>338</v>
      </c>
      <c r="E169" s="219" t="s">
        <v>127</v>
      </c>
      <c r="F169" s="220"/>
      <c r="G169" s="231">
        <v>2.3199999999999998</v>
      </c>
      <c r="H169" s="221" t="s">
        <v>132</v>
      </c>
      <c r="I169" s="222" t="s">
        <v>125</v>
      </c>
      <c r="J169" s="222" t="s">
        <v>125</v>
      </c>
      <c r="K169" s="222"/>
      <c r="L169" s="222" t="s">
        <v>125</v>
      </c>
    </row>
    <row r="170" spans="1:12" ht="30" customHeight="1">
      <c r="A170" s="233" t="s">
        <v>339</v>
      </c>
      <c r="B170" s="218" t="s">
        <v>743</v>
      </c>
      <c r="C170" s="219" t="s">
        <v>126</v>
      </c>
      <c r="D170" s="218" t="s">
        <v>340</v>
      </c>
      <c r="E170" s="219" t="s">
        <v>127</v>
      </c>
      <c r="F170" s="220"/>
      <c r="G170" s="231">
        <v>2.1800000000000002</v>
      </c>
      <c r="H170" s="221" t="s">
        <v>132</v>
      </c>
      <c r="I170" s="222" t="s">
        <v>125</v>
      </c>
      <c r="J170" s="222" t="s">
        <v>125</v>
      </c>
      <c r="K170" s="222" t="s">
        <v>125</v>
      </c>
      <c r="L170" s="222" t="s">
        <v>125</v>
      </c>
    </row>
    <row r="171" spans="1:12" ht="30" customHeight="1">
      <c r="A171" s="233">
        <v>3973</v>
      </c>
      <c r="B171" s="218" t="s">
        <v>744</v>
      </c>
      <c r="C171" s="219" t="s">
        <v>126</v>
      </c>
      <c r="D171" s="218" t="s">
        <v>650</v>
      </c>
      <c r="E171" s="219" t="s">
        <v>127</v>
      </c>
      <c r="F171" s="220"/>
      <c r="G171" s="231">
        <v>2.3199999999999998</v>
      </c>
      <c r="H171" s="221" t="s">
        <v>132</v>
      </c>
      <c r="I171" s="222" t="s">
        <v>125</v>
      </c>
      <c r="J171" s="222" t="s">
        <v>125</v>
      </c>
      <c r="K171" s="222" t="s">
        <v>125</v>
      </c>
      <c r="L171" s="222" t="s">
        <v>125</v>
      </c>
    </row>
    <row r="172" spans="1:12" ht="30" customHeight="1">
      <c r="A172" s="233">
        <v>3706</v>
      </c>
      <c r="B172" s="218" t="s">
        <v>745</v>
      </c>
      <c r="C172" s="219" t="s">
        <v>126</v>
      </c>
      <c r="D172" s="218" t="s">
        <v>341</v>
      </c>
      <c r="E172" s="219" t="s">
        <v>127</v>
      </c>
      <c r="F172" s="220"/>
      <c r="G172" s="231">
        <v>2.4500000000000002</v>
      </c>
      <c r="H172" s="221" t="s">
        <v>132</v>
      </c>
      <c r="I172" s="222" t="s">
        <v>125</v>
      </c>
      <c r="J172" s="222" t="s">
        <v>125</v>
      </c>
      <c r="K172" s="222"/>
      <c r="L172" s="222" t="s">
        <v>125</v>
      </c>
    </row>
    <row r="173" spans="1:12" ht="30" customHeight="1">
      <c r="A173" s="233">
        <v>3145</v>
      </c>
      <c r="B173" s="218" t="s">
        <v>746</v>
      </c>
      <c r="C173" s="219" t="s">
        <v>126</v>
      </c>
      <c r="D173" s="218" t="s">
        <v>342</v>
      </c>
      <c r="E173" s="219" t="s">
        <v>127</v>
      </c>
      <c r="F173" s="220"/>
      <c r="G173" s="231">
        <v>2.3199999999999998</v>
      </c>
      <c r="H173" s="221" t="s">
        <v>132</v>
      </c>
      <c r="I173" s="222" t="s">
        <v>125</v>
      </c>
      <c r="J173" s="222" t="s">
        <v>125</v>
      </c>
      <c r="K173" s="222" t="s">
        <v>125</v>
      </c>
      <c r="L173" s="222" t="s">
        <v>125</v>
      </c>
    </row>
    <row r="174" spans="1:12" ht="30" customHeight="1">
      <c r="A174" s="233">
        <v>5149</v>
      </c>
      <c r="B174" s="218" t="s">
        <v>747</v>
      </c>
      <c r="C174" s="219" t="s">
        <v>126</v>
      </c>
      <c r="D174" s="218" t="s">
        <v>343</v>
      </c>
      <c r="E174" s="219" t="s">
        <v>127</v>
      </c>
      <c r="F174" s="220"/>
      <c r="G174" s="231">
        <v>2.4500000000000002</v>
      </c>
      <c r="H174" s="221" t="s">
        <v>132</v>
      </c>
      <c r="I174" s="222"/>
      <c r="J174" s="222"/>
      <c r="K174" s="222"/>
      <c r="L174" s="222" t="s">
        <v>125</v>
      </c>
    </row>
    <row r="175" spans="1:12" ht="30" customHeight="1">
      <c r="A175" s="233">
        <v>3876</v>
      </c>
      <c r="B175" s="218" t="s">
        <v>748</v>
      </c>
      <c r="C175" s="219" t="s">
        <v>126</v>
      </c>
      <c r="D175" s="218" t="s">
        <v>749</v>
      </c>
      <c r="E175" s="219" t="s">
        <v>127</v>
      </c>
      <c r="F175" s="220"/>
      <c r="G175" s="231">
        <v>2.4500000000000002</v>
      </c>
      <c r="H175" s="221" t="s">
        <v>132</v>
      </c>
      <c r="I175" s="222" t="s">
        <v>125</v>
      </c>
      <c r="J175" s="222" t="s">
        <v>125</v>
      </c>
      <c r="K175" s="222"/>
      <c r="L175" s="222" t="s">
        <v>125</v>
      </c>
    </row>
    <row r="176" spans="1:12" ht="30" customHeight="1">
      <c r="A176" s="233">
        <v>3824</v>
      </c>
      <c r="B176" s="218" t="s">
        <v>344</v>
      </c>
      <c r="C176" s="219" t="s">
        <v>210</v>
      </c>
      <c r="D176" s="218" t="s">
        <v>345</v>
      </c>
      <c r="E176" s="219" t="s">
        <v>212</v>
      </c>
      <c r="F176" s="220" t="s">
        <v>49</v>
      </c>
      <c r="G176" s="231">
        <v>2.4500000000000002</v>
      </c>
      <c r="H176" s="221" t="s">
        <v>132</v>
      </c>
      <c r="I176" s="222" t="s">
        <v>125</v>
      </c>
      <c r="J176" s="222"/>
      <c r="K176" s="222"/>
      <c r="L176" s="222" t="s">
        <v>125</v>
      </c>
    </row>
    <row r="177" spans="1:12" ht="30" customHeight="1">
      <c r="A177" s="233">
        <v>1073</v>
      </c>
      <c r="B177" s="218" t="s">
        <v>651</v>
      </c>
      <c r="C177" s="219" t="s">
        <v>241</v>
      </c>
      <c r="D177" s="218" t="s">
        <v>346</v>
      </c>
      <c r="E177" s="219" t="s">
        <v>243</v>
      </c>
      <c r="F177" s="220" t="s">
        <v>49</v>
      </c>
      <c r="G177" s="231">
        <v>6.82</v>
      </c>
      <c r="H177" s="221" t="s">
        <v>124</v>
      </c>
      <c r="I177" s="222" t="s">
        <v>125</v>
      </c>
      <c r="J177" s="222" t="s">
        <v>125</v>
      </c>
      <c r="K177" s="222"/>
      <c r="L177" s="222"/>
    </row>
    <row r="178" spans="1:12" ht="30" customHeight="1">
      <c r="A178" s="233">
        <v>3752</v>
      </c>
      <c r="B178" s="218" t="s">
        <v>652</v>
      </c>
      <c r="C178" s="219" t="s">
        <v>129</v>
      </c>
      <c r="D178" s="218" t="s">
        <v>347</v>
      </c>
      <c r="E178" s="219" t="s">
        <v>131</v>
      </c>
      <c r="F178" s="220" t="s">
        <v>49</v>
      </c>
      <c r="G178" s="231">
        <v>5.88</v>
      </c>
      <c r="H178" s="221" t="s">
        <v>124</v>
      </c>
      <c r="I178" s="222"/>
      <c r="J178" s="222"/>
      <c r="K178" s="222"/>
      <c r="L178" s="222"/>
    </row>
    <row r="179" spans="1:12" ht="30" customHeight="1">
      <c r="A179" s="233">
        <v>3713</v>
      </c>
      <c r="B179" s="218" t="s">
        <v>692</v>
      </c>
      <c r="C179" s="219" t="s">
        <v>349</v>
      </c>
      <c r="D179" s="218" t="s">
        <v>350</v>
      </c>
      <c r="E179" s="219" t="s">
        <v>351</v>
      </c>
      <c r="F179" s="220" t="s">
        <v>49</v>
      </c>
      <c r="G179" s="231">
        <v>2.71</v>
      </c>
      <c r="H179" s="221" t="s">
        <v>132</v>
      </c>
      <c r="I179" s="222" t="s">
        <v>125</v>
      </c>
      <c r="J179" s="222"/>
      <c r="K179" s="222"/>
      <c r="L179" s="222"/>
    </row>
    <row r="180" spans="1:12" ht="30" customHeight="1">
      <c r="A180" s="233">
        <v>1358</v>
      </c>
      <c r="B180" s="218" t="s">
        <v>653</v>
      </c>
      <c r="C180" s="219" t="s">
        <v>562</v>
      </c>
      <c r="D180" s="224" t="s">
        <v>352</v>
      </c>
      <c r="E180" s="219" t="s">
        <v>561</v>
      </c>
      <c r="F180" s="220" t="s">
        <v>49</v>
      </c>
      <c r="G180" s="231">
        <v>6.7</v>
      </c>
      <c r="H180" s="221" t="s">
        <v>124</v>
      </c>
      <c r="I180" s="222" t="s">
        <v>125</v>
      </c>
      <c r="J180" s="222"/>
      <c r="K180" s="222"/>
      <c r="L180" s="222"/>
    </row>
    <row r="181" spans="1:12" ht="30" customHeight="1">
      <c r="A181" s="233">
        <v>1860</v>
      </c>
      <c r="B181" s="218" t="s">
        <v>654</v>
      </c>
      <c r="C181" s="219" t="s">
        <v>245</v>
      </c>
      <c r="D181" s="218" t="s">
        <v>353</v>
      </c>
      <c r="E181" s="219" t="s">
        <v>523</v>
      </c>
      <c r="F181" s="220" t="s">
        <v>49</v>
      </c>
      <c r="G181" s="231">
        <v>8.19</v>
      </c>
      <c r="H181" s="221" t="s">
        <v>124</v>
      </c>
      <c r="I181" s="222" t="s">
        <v>125</v>
      </c>
      <c r="J181" s="222" t="s">
        <v>125</v>
      </c>
      <c r="K181" s="222"/>
      <c r="L181" s="222"/>
    </row>
    <row r="182" spans="1:12" ht="30" customHeight="1">
      <c r="A182" s="233">
        <v>1496</v>
      </c>
      <c r="B182" s="218" t="s">
        <v>655</v>
      </c>
      <c r="C182" s="219" t="s">
        <v>140</v>
      </c>
      <c r="D182" s="218" t="s">
        <v>355</v>
      </c>
      <c r="E182" s="219" t="s">
        <v>140</v>
      </c>
      <c r="F182" s="220" t="s">
        <v>49</v>
      </c>
      <c r="G182" s="231">
        <v>37.659999999999997</v>
      </c>
      <c r="H182" s="223" t="s">
        <v>124</v>
      </c>
      <c r="I182" s="222"/>
      <c r="J182" s="222"/>
      <c r="K182" s="222"/>
      <c r="L182" s="222"/>
    </row>
    <row r="183" spans="1:12" ht="30" customHeight="1">
      <c r="A183" s="233">
        <v>1496</v>
      </c>
      <c r="B183" s="218" t="s">
        <v>656</v>
      </c>
      <c r="C183" s="219" t="s">
        <v>140</v>
      </c>
      <c r="D183" s="218" t="s">
        <v>354</v>
      </c>
      <c r="E183" s="219" t="s">
        <v>140</v>
      </c>
      <c r="F183" s="220" t="s">
        <v>49</v>
      </c>
      <c r="G183" s="231">
        <v>19.579999999999998</v>
      </c>
      <c r="H183" s="221" t="s">
        <v>124</v>
      </c>
      <c r="I183" s="222"/>
      <c r="J183" s="222"/>
      <c r="K183" s="222"/>
      <c r="L183" s="222"/>
    </row>
    <row r="184" spans="1:12" ht="30" customHeight="1">
      <c r="A184" s="233">
        <v>1612</v>
      </c>
      <c r="B184" s="218" t="s">
        <v>657</v>
      </c>
      <c r="C184" s="219" t="s">
        <v>133</v>
      </c>
      <c r="D184" s="218" t="s">
        <v>658</v>
      </c>
      <c r="E184" s="219" t="s">
        <v>135</v>
      </c>
      <c r="F184" s="220" t="s">
        <v>49</v>
      </c>
      <c r="G184" s="231">
        <v>35.590000000000003</v>
      </c>
      <c r="H184" s="221" t="s">
        <v>124</v>
      </c>
      <c r="I184" s="222"/>
      <c r="J184" s="222"/>
      <c r="K184" s="222"/>
      <c r="L184" s="222"/>
    </row>
    <row r="185" spans="1:12" ht="30" customHeight="1">
      <c r="A185" s="233">
        <v>1575</v>
      </c>
      <c r="B185" s="218" t="s">
        <v>659</v>
      </c>
      <c r="C185" s="219" t="s">
        <v>356</v>
      </c>
      <c r="D185" s="218" t="s">
        <v>357</v>
      </c>
      <c r="E185" s="219" t="s">
        <v>358</v>
      </c>
      <c r="F185" s="220" t="s">
        <v>49</v>
      </c>
      <c r="G185" s="231">
        <v>11.91</v>
      </c>
      <c r="H185" s="221" t="s">
        <v>124</v>
      </c>
      <c r="I185" s="222" t="s">
        <v>125</v>
      </c>
      <c r="J185" s="222"/>
      <c r="K185" s="222"/>
      <c r="L185" s="222"/>
    </row>
    <row r="186" spans="1:12" ht="30" customHeight="1">
      <c r="A186" s="233">
        <v>6110</v>
      </c>
      <c r="B186" s="218" t="s">
        <v>750</v>
      </c>
      <c r="C186" s="219" t="s">
        <v>210</v>
      </c>
      <c r="D186" s="218" t="s">
        <v>361</v>
      </c>
      <c r="E186" s="219" t="s">
        <v>297</v>
      </c>
      <c r="F186" s="220" t="s">
        <v>49</v>
      </c>
      <c r="G186" s="231">
        <v>32.85</v>
      </c>
      <c r="H186" s="221" t="s">
        <v>124</v>
      </c>
      <c r="I186" s="222"/>
      <c r="J186" s="222"/>
      <c r="K186" s="222"/>
      <c r="L186" s="222"/>
    </row>
    <row r="187" spans="1:12" ht="30" customHeight="1">
      <c r="A187" s="233">
        <v>6110</v>
      </c>
      <c r="B187" s="218" t="s">
        <v>751</v>
      </c>
      <c r="C187" s="219" t="s">
        <v>210</v>
      </c>
      <c r="D187" s="218" t="s">
        <v>359</v>
      </c>
      <c r="E187" s="219" t="s">
        <v>297</v>
      </c>
      <c r="F187" s="220" t="s">
        <v>49</v>
      </c>
      <c r="G187" s="231">
        <v>7.25</v>
      </c>
      <c r="H187" s="221" t="s">
        <v>124</v>
      </c>
      <c r="I187" s="222"/>
      <c r="J187" s="222"/>
      <c r="K187" s="222"/>
      <c r="L187" s="222"/>
    </row>
    <row r="188" spans="1:12" ht="30" customHeight="1">
      <c r="A188" s="233">
        <v>3783</v>
      </c>
      <c r="B188" s="218" t="s">
        <v>660</v>
      </c>
      <c r="C188" s="219" t="s">
        <v>173</v>
      </c>
      <c r="D188" s="218" t="s">
        <v>661</v>
      </c>
      <c r="E188" s="219" t="s">
        <v>175</v>
      </c>
      <c r="F188" s="220"/>
      <c r="G188" s="231">
        <v>24.63</v>
      </c>
      <c r="H188" s="221" t="s">
        <v>124</v>
      </c>
      <c r="I188" s="222" t="s">
        <v>125</v>
      </c>
      <c r="J188" s="222"/>
      <c r="K188" s="222"/>
      <c r="L188" s="222"/>
    </row>
    <row r="189" spans="1:12" ht="30" customHeight="1">
      <c r="A189" s="233"/>
      <c r="B189" s="218"/>
      <c r="C189" s="219"/>
      <c r="D189" s="218"/>
      <c r="E189" s="219"/>
      <c r="F189" s="220"/>
      <c r="G189" s="231"/>
      <c r="H189" s="221"/>
      <c r="I189" s="222"/>
      <c r="J189" s="222"/>
      <c r="K189" s="222"/>
      <c r="L189" s="222"/>
    </row>
    <row r="190" spans="1:12" ht="30" customHeight="1">
      <c r="A190" s="233"/>
      <c r="B190" s="218"/>
      <c r="C190" s="219"/>
      <c r="D190" s="218"/>
      <c r="E190" s="219"/>
      <c r="F190" s="220"/>
      <c r="G190" s="231"/>
      <c r="H190" s="221"/>
      <c r="I190" s="222"/>
      <c r="J190" s="222"/>
      <c r="K190" s="222"/>
      <c r="L190" s="222"/>
    </row>
    <row r="191" spans="1:12" ht="30" customHeight="1">
      <c r="A191" s="233"/>
      <c r="B191" s="218"/>
      <c r="C191" s="219"/>
      <c r="D191" s="218"/>
      <c r="E191" s="219"/>
      <c r="F191" s="220"/>
      <c r="G191" s="231"/>
      <c r="H191" s="221"/>
      <c r="I191" s="222"/>
      <c r="J191" s="222"/>
      <c r="K191" s="222"/>
      <c r="L191" s="222"/>
    </row>
    <row r="192" spans="1:12" ht="30" customHeight="1">
      <c r="A192" s="233"/>
      <c r="B192" s="218"/>
      <c r="C192" s="219"/>
      <c r="D192" s="218"/>
      <c r="E192" s="219"/>
      <c r="F192" s="220"/>
      <c r="G192" s="231"/>
      <c r="H192" s="221"/>
      <c r="I192" s="222"/>
      <c r="J192" s="222"/>
      <c r="K192" s="222"/>
      <c r="L192" s="222"/>
    </row>
    <row r="193" spans="1:12" ht="30" customHeight="1">
      <c r="A193" s="233"/>
      <c r="B193" s="218"/>
      <c r="C193" s="219"/>
      <c r="D193" s="218"/>
      <c r="E193" s="219"/>
      <c r="F193" s="220"/>
      <c r="G193" s="231"/>
      <c r="H193" s="221"/>
      <c r="I193" s="222"/>
      <c r="J193" s="222"/>
      <c r="K193" s="222"/>
      <c r="L193" s="222"/>
    </row>
    <row r="194" spans="1:12" ht="30" customHeight="1">
      <c r="A194" s="233"/>
      <c r="B194" s="218"/>
      <c r="C194" s="219"/>
      <c r="D194" s="218"/>
      <c r="E194" s="219"/>
      <c r="F194" s="220"/>
      <c r="G194" s="231"/>
      <c r="H194" s="221"/>
      <c r="I194" s="222"/>
      <c r="J194" s="222"/>
      <c r="K194" s="222"/>
      <c r="L194" s="222"/>
    </row>
    <row r="195" spans="1:12" ht="30" customHeight="1">
      <c r="A195" s="233"/>
      <c r="B195" s="218"/>
      <c r="C195" s="219"/>
      <c r="D195" s="218"/>
      <c r="E195" s="219"/>
      <c r="F195" s="220"/>
      <c r="G195" s="231"/>
      <c r="H195" s="221"/>
      <c r="I195" s="222"/>
      <c r="J195" s="222"/>
      <c r="K195" s="222"/>
      <c r="L195" s="222"/>
    </row>
    <row r="196" spans="1:12" ht="30" customHeight="1">
      <c r="A196" s="233"/>
      <c r="B196" s="218"/>
      <c r="C196" s="219"/>
      <c r="D196" s="218"/>
      <c r="E196" s="219"/>
      <c r="F196" s="220"/>
      <c r="G196" s="231"/>
      <c r="H196" s="221"/>
      <c r="I196" s="222"/>
      <c r="J196" s="222"/>
      <c r="K196" s="222"/>
      <c r="L196" s="222"/>
    </row>
    <row r="197" spans="1:12" ht="30" customHeight="1">
      <c r="A197" s="233"/>
      <c r="B197" s="218"/>
      <c r="C197" s="219"/>
      <c r="D197" s="218"/>
      <c r="E197" s="219"/>
      <c r="F197" s="220"/>
      <c r="G197" s="231"/>
      <c r="H197" s="221"/>
      <c r="I197" s="222"/>
      <c r="J197" s="222"/>
      <c r="K197" s="222"/>
      <c r="L197" s="222"/>
    </row>
    <row r="198" spans="1:12" ht="30" customHeight="1">
      <c r="A198" s="233"/>
      <c r="B198" s="218"/>
      <c r="C198" s="219"/>
      <c r="D198" s="218"/>
      <c r="E198" s="219"/>
      <c r="F198" s="220"/>
      <c r="G198" s="231"/>
      <c r="H198" s="221"/>
      <c r="I198" s="222"/>
      <c r="J198" s="222"/>
      <c r="K198" s="222"/>
      <c r="L198" s="222"/>
    </row>
    <row r="199" spans="1:12" ht="30" customHeight="1">
      <c r="A199" s="233"/>
      <c r="B199" s="218"/>
      <c r="C199" s="219"/>
      <c r="D199" s="218"/>
      <c r="E199" s="219"/>
      <c r="F199" s="220"/>
      <c r="G199" s="231"/>
      <c r="H199" s="221"/>
      <c r="I199" s="222"/>
      <c r="J199" s="222"/>
      <c r="K199" s="222"/>
      <c r="L199" s="222"/>
    </row>
    <row r="200" spans="1:12" ht="30" customHeight="1">
      <c r="A200" s="217"/>
      <c r="B200" s="218"/>
      <c r="C200" s="219"/>
      <c r="D200" s="218"/>
      <c r="E200" s="219"/>
      <c r="F200" s="220"/>
      <c r="G200" s="231"/>
      <c r="H200" s="221"/>
      <c r="I200" s="222"/>
      <c r="J200" s="222"/>
      <c r="K200" s="222"/>
      <c r="L200" s="222"/>
    </row>
    <row r="201" spans="1:12" ht="30" customHeight="1">
      <c r="A201" s="217"/>
      <c r="B201" s="218"/>
      <c r="C201" s="219"/>
      <c r="D201" s="218"/>
      <c r="E201" s="219"/>
      <c r="F201" s="220"/>
      <c r="G201" s="231"/>
      <c r="H201" s="221"/>
      <c r="I201" s="222"/>
      <c r="J201" s="222"/>
      <c r="K201" s="222"/>
      <c r="L201" s="222"/>
    </row>
    <row r="202" spans="1:12" ht="30" customHeight="1">
      <c r="A202" s="217"/>
      <c r="B202" s="218"/>
      <c r="C202" s="219"/>
      <c r="D202" s="218"/>
      <c r="E202" s="219"/>
      <c r="F202" s="220"/>
      <c r="G202" s="231"/>
      <c r="H202" s="221"/>
      <c r="I202" s="222"/>
      <c r="J202" s="222"/>
      <c r="K202" s="222"/>
      <c r="L202" s="222"/>
    </row>
    <row r="203" spans="1:12" ht="30" customHeight="1">
      <c r="A203" s="217"/>
      <c r="B203" s="218"/>
      <c r="C203" s="219"/>
      <c r="D203" s="218"/>
      <c r="E203" s="219"/>
      <c r="F203" s="220"/>
      <c r="G203" s="231"/>
      <c r="H203" s="221"/>
      <c r="I203" s="222"/>
      <c r="J203" s="222"/>
      <c r="K203" s="222"/>
      <c r="L203" s="222"/>
    </row>
    <row r="204" spans="1:12" ht="30" customHeight="1">
      <c r="A204" s="217"/>
      <c r="B204" s="218"/>
      <c r="C204" s="219"/>
      <c r="D204" s="218"/>
      <c r="E204" s="219"/>
      <c r="F204" s="220"/>
      <c r="G204" s="231"/>
      <c r="H204" s="221"/>
      <c r="I204" s="222"/>
      <c r="J204" s="222"/>
      <c r="K204" s="222"/>
      <c r="L204" s="222"/>
    </row>
    <row r="205" spans="1:12" ht="30" customHeight="1">
      <c r="A205" s="217"/>
      <c r="B205" s="218"/>
      <c r="C205" s="219"/>
      <c r="D205" s="218"/>
      <c r="E205" s="219"/>
      <c r="F205" s="220"/>
      <c r="G205" s="231"/>
      <c r="H205" s="221"/>
      <c r="I205" s="222"/>
      <c r="J205" s="222"/>
      <c r="K205" s="222"/>
      <c r="L205" s="222"/>
    </row>
    <row r="206" spans="1:12" ht="30" customHeight="1">
      <c r="A206" s="217"/>
      <c r="B206" s="218"/>
      <c r="C206" s="219"/>
      <c r="D206" s="218"/>
      <c r="E206" s="219"/>
      <c r="F206" s="220"/>
      <c r="G206" s="231"/>
      <c r="H206" s="221"/>
      <c r="I206" s="222"/>
      <c r="J206" s="222"/>
      <c r="K206" s="222"/>
      <c r="L206" s="222"/>
    </row>
    <row r="207" spans="1:12" ht="30" customHeight="1">
      <c r="A207" s="217"/>
      <c r="B207" s="218"/>
      <c r="C207" s="219"/>
      <c r="D207" s="218"/>
      <c r="E207" s="219"/>
      <c r="F207" s="220"/>
      <c r="G207" s="231"/>
      <c r="H207" s="221"/>
      <c r="I207" s="222"/>
      <c r="J207" s="222"/>
      <c r="K207" s="222"/>
      <c r="L207" s="222"/>
    </row>
    <row r="208" spans="1:12" ht="30" customHeight="1">
      <c r="A208" s="217"/>
      <c r="B208" s="218"/>
      <c r="C208" s="219"/>
      <c r="D208" s="218"/>
      <c r="E208" s="219"/>
      <c r="F208" s="220"/>
      <c r="G208" s="231"/>
      <c r="H208" s="221"/>
      <c r="I208" s="222"/>
      <c r="J208" s="222"/>
      <c r="K208" s="222"/>
      <c r="L208" s="222"/>
    </row>
    <row r="209" spans="1:12" ht="30" customHeight="1">
      <c r="A209" s="217"/>
      <c r="B209" s="218"/>
      <c r="C209" s="219"/>
      <c r="D209" s="218"/>
      <c r="E209" s="219"/>
      <c r="F209" s="220"/>
      <c r="G209" s="231"/>
      <c r="H209" s="223"/>
      <c r="I209" s="222"/>
      <c r="J209" s="222"/>
      <c r="K209" s="222"/>
      <c r="L209" s="222"/>
    </row>
    <row r="210" spans="1:12" ht="30" customHeight="1">
      <c r="A210" s="217"/>
      <c r="B210" s="218"/>
      <c r="C210" s="219"/>
      <c r="D210" s="218"/>
      <c r="E210" s="219"/>
      <c r="F210" s="220"/>
      <c r="G210" s="231"/>
      <c r="H210" s="221"/>
      <c r="I210" s="222"/>
      <c r="J210" s="222"/>
      <c r="K210" s="222"/>
      <c r="L210" s="222"/>
    </row>
    <row r="211" spans="1:12" ht="30" customHeight="1">
      <c r="A211" s="217"/>
      <c r="B211" s="218"/>
      <c r="C211" s="219"/>
      <c r="D211" s="218"/>
      <c r="E211" s="219"/>
      <c r="F211" s="220"/>
      <c r="G211" s="231"/>
      <c r="H211" s="221"/>
      <c r="I211" s="222"/>
      <c r="J211" s="222"/>
      <c r="K211" s="222"/>
      <c r="L211" s="222"/>
    </row>
    <row r="212" spans="1:12" ht="30" customHeight="1">
      <c r="A212" s="217"/>
      <c r="B212" s="218"/>
      <c r="C212" s="219"/>
      <c r="D212" s="218"/>
      <c r="E212" s="219"/>
      <c r="F212" s="220"/>
      <c r="G212" s="231"/>
      <c r="H212" s="221"/>
      <c r="I212" s="222"/>
      <c r="J212" s="222"/>
      <c r="K212" s="222"/>
      <c r="L212" s="222"/>
    </row>
    <row r="213" spans="1:12" ht="30" customHeight="1">
      <c r="A213" s="217"/>
      <c r="B213" s="218"/>
      <c r="C213" s="219"/>
      <c r="D213" s="218"/>
      <c r="E213" s="219"/>
      <c r="F213" s="220"/>
      <c r="G213" s="231"/>
      <c r="H213" s="221"/>
      <c r="I213" s="222"/>
      <c r="J213" s="222"/>
      <c r="K213" s="222"/>
      <c r="L213" s="222"/>
    </row>
    <row r="214" spans="1:12" ht="30" customHeight="1">
      <c r="A214" s="227"/>
      <c r="B214" s="218"/>
      <c r="C214" s="219"/>
      <c r="D214" s="218"/>
      <c r="E214" s="219"/>
      <c r="F214" s="220"/>
      <c r="G214" s="231"/>
      <c r="H214" s="221"/>
      <c r="I214" s="222"/>
      <c r="J214" s="222"/>
      <c r="K214" s="222"/>
      <c r="L214" s="222"/>
    </row>
    <row r="215" spans="1:12" ht="30" customHeight="1">
      <c r="A215" s="227"/>
      <c r="B215" s="218"/>
      <c r="C215" s="219"/>
      <c r="D215" s="218"/>
      <c r="E215" s="219"/>
      <c r="F215" s="220"/>
      <c r="G215" s="231"/>
      <c r="H215" s="221"/>
      <c r="I215" s="222"/>
      <c r="J215" s="222"/>
      <c r="K215" s="222"/>
      <c r="L215" s="222"/>
    </row>
    <row r="216" spans="1:12" ht="30" customHeight="1">
      <c r="A216" s="227"/>
      <c r="B216" s="218"/>
      <c r="C216" s="219"/>
      <c r="D216" s="218"/>
      <c r="E216" s="219"/>
      <c r="F216" s="220"/>
      <c r="G216" s="231"/>
      <c r="H216" s="221"/>
      <c r="I216" s="222"/>
      <c r="J216" s="222"/>
      <c r="K216" s="222"/>
      <c r="L216" s="222"/>
    </row>
    <row r="217" spans="1:12" ht="30" customHeight="1">
      <c r="A217" s="217"/>
      <c r="B217" s="218"/>
      <c r="C217" s="219"/>
      <c r="D217" s="218"/>
      <c r="E217" s="219"/>
      <c r="F217" s="220"/>
      <c r="G217" s="231"/>
      <c r="H217" s="221"/>
      <c r="I217" s="222"/>
      <c r="J217" s="222"/>
      <c r="K217" s="222"/>
      <c r="L217" s="222"/>
    </row>
    <row r="218" spans="1:12" ht="30" customHeight="1">
      <c r="A218" s="217"/>
      <c r="B218" s="218"/>
      <c r="C218" s="219"/>
      <c r="D218" s="218"/>
      <c r="E218" s="219"/>
      <c r="F218" s="220"/>
      <c r="G218" s="231"/>
      <c r="H218" s="221"/>
      <c r="I218" s="222"/>
      <c r="J218" s="222"/>
      <c r="K218" s="222"/>
      <c r="L218" s="222"/>
    </row>
    <row r="219" spans="1:12" ht="30" customHeight="1">
      <c r="A219" s="217"/>
      <c r="B219" s="218"/>
      <c r="C219" s="219"/>
      <c r="D219" s="218"/>
      <c r="E219" s="219"/>
      <c r="F219" s="220"/>
      <c r="G219" s="231"/>
      <c r="H219" s="221"/>
      <c r="I219" s="222"/>
      <c r="J219" s="222"/>
      <c r="K219" s="222"/>
      <c r="L219" s="222"/>
    </row>
    <row r="220" spans="1:12" ht="30" customHeight="1">
      <c r="A220" s="217"/>
      <c r="B220" s="218"/>
      <c r="C220" s="219"/>
      <c r="D220" s="218"/>
      <c r="E220" s="219"/>
      <c r="F220" s="220"/>
      <c r="G220" s="231"/>
      <c r="H220" s="221"/>
      <c r="I220" s="222"/>
      <c r="J220" s="222"/>
      <c r="K220" s="222"/>
      <c r="L220" s="222"/>
    </row>
    <row r="221" spans="1:12" ht="30" customHeight="1">
      <c r="A221" s="217"/>
      <c r="B221" s="218"/>
      <c r="C221" s="219"/>
      <c r="D221" s="218"/>
      <c r="E221" s="219"/>
      <c r="F221" s="220"/>
      <c r="G221" s="231"/>
      <c r="H221" s="221"/>
      <c r="I221" s="222"/>
      <c r="J221" s="222"/>
      <c r="K221" s="222"/>
      <c r="L221" s="222"/>
    </row>
    <row r="222" spans="1:12" ht="30" customHeight="1">
      <c r="A222" s="217"/>
      <c r="B222" s="218"/>
      <c r="C222" s="219"/>
      <c r="D222" s="218"/>
      <c r="E222" s="219"/>
      <c r="F222" s="220"/>
      <c r="G222" s="231"/>
      <c r="H222" s="221"/>
      <c r="I222" s="222"/>
      <c r="J222" s="222"/>
      <c r="K222" s="222"/>
      <c r="L222" s="222"/>
    </row>
    <row r="223" spans="1:12" ht="30" customHeight="1">
      <c r="A223" s="219"/>
      <c r="B223" s="218"/>
      <c r="C223" s="219"/>
      <c r="D223" s="218"/>
      <c r="E223" s="219"/>
      <c r="F223" s="220"/>
      <c r="G223" s="231"/>
      <c r="H223" s="223"/>
      <c r="I223" s="222"/>
      <c r="J223" s="222"/>
      <c r="K223" s="222"/>
      <c r="L223" s="222"/>
    </row>
    <row r="224" spans="1:12" ht="30" customHeight="1">
      <c r="A224" s="219"/>
      <c r="B224" s="218"/>
      <c r="C224" s="219"/>
      <c r="D224" s="218"/>
      <c r="E224" s="219"/>
      <c r="F224" s="220"/>
      <c r="G224" s="231"/>
      <c r="H224" s="223"/>
      <c r="I224" s="222"/>
      <c r="J224" s="222"/>
      <c r="K224" s="222"/>
      <c r="L224" s="222"/>
    </row>
    <row r="225" spans="1:12" ht="30" customHeight="1">
      <c r="A225" s="219"/>
      <c r="B225" s="218"/>
      <c r="C225" s="219"/>
      <c r="D225" s="218"/>
      <c r="E225" s="219"/>
      <c r="F225" s="220"/>
      <c r="G225" s="231"/>
      <c r="H225" s="223"/>
      <c r="I225" s="222"/>
      <c r="J225" s="222"/>
      <c r="K225" s="222"/>
      <c r="L225" s="222"/>
    </row>
    <row r="226" spans="1:12" ht="30" customHeight="1">
      <c r="A226" s="219"/>
      <c r="B226" s="218"/>
      <c r="C226" s="219"/>
      <c r="D226" s="218"/>
      <c r="E226" s="219"/>
      <c r="F226" s="220"/>
      <c r="G226" s="231"/>
      <c r="H226" s="223"/>
      <c r="I226" s="222"/>
      <c r="J226" s="222"/>
      <c r="K226" s="222"/>
      <c r="L226" s="222"/>
    </row>
    <row r="227" spans="1:12" ht="30" customHeight="1">
      <c r="A227" s="219"/>
      <c r="B227" s="218"/>
      <c r="C227" s="219"/>
      <c r="D227" s="218"/>
      <c r="E227" s="219"/>
      <c r="F227" s="220"/>
      <c r="G227" s="231"/>
      <c r="H227" s="223"/>
      <c r="I227" s="222"/>
      <c r="J227" s="222"/>
      <c r="K227" s="222"/>
      <c r="L227" s="222"/>
    </row>
    <row r="228" spans="1:12" ht="30" customHeight="1">
      <c r="A228" s="219"/>
      <c r="B228" s="218"/>
      <c r="C228" s="219"/>
      <c r="D228" s="218"/>
      <c r="E228" s="219"/>
      <c r="F228" s="220"/>
      <c r="G228" s="231"/>
      <c r="H228" s="223"/>
      <c r="I228" s="222"/>
      <c r="J228" s="222"/>
      <c r="K228" s="222"/>
      <c r="L228" s="222"/>
    </row>
    <row r="229" spans="1:12" ht="30" customHeight="1">
      <c r="A229" s="219"/>
      <c r="B229" s="218"/>
      <c r="C229" s="219"/>
      <c r="D229" s="218"/>
      <c r="E229" s="219"/>
      <c r="F229" s="220"/>
      <c r="G229" s="231"/>
      <c r="H229" s="223"/>
      <c r="I229" s="222"/>
      <c r="J229" s="222"/>
      <c r="K229" s="222"/>
      <c r="L229" s="222"/>
    </row>
    <row r="230" spans="1:12" ht="30" customHeight="1">
      <c r="A230" s="219"/>
      <c r="B230" s="218"/>
      <c r="C230" s="219"/>
      <c r="D230" s="218"/>
      <c r="E230" s="219"/>
      <c r="F230" s="220"/>
      <c r="G230" s="231"/>
      <c r="H230" s="223"/>
      <c r="I230" s="222"/>
      <c r="J230" s="222"/>
      <c r="K230" s="222"/>
      <c r="L230" s="222"/>
    </row>
    <row r="231" spans="1:12" ht="30" customHeight="1">
      <c r="A231" s="219"/>
      <c r="B231" s="218"/>
      <c r="C231" s="219"/>
      <c r="D231" s="218"/>
      <c r="E231" s="219"/>
      <c r="F231" s="220"/>
      <c r="G231" s="231"/>
      <c r="H231" s="223"/>
      <c r="I231" s="222"/>
      <c r="J231" s="222"/>
      <c r="K231" s="222"/>
      <c r="L231" s="222"/>
    </row>
    <row r="232" spans="1:12" ht="30" customHeight="1">
      <c r="A232" s="219"/>
      <c r="B232" s="218"/>
      <c r="C232" s="219"/>
      <c r="D232" s="218"/>
      <c r="E232" s="219"/>
      <c r="F232" s="220"/>
      <c r="G232" s="231"/>
      <c r="H232" s="223"/>
      <c r="I232" s="222"/>
      <c r="J232" s="222"/>
      <c r="K232" s="222"/>
      <c r="L232" s="222"/>
    </row>
    <row r="233" spans="1:12" ht="30" customHeight="1">
      <c r="A233" s="219"/>
      <c r="B233" s="218"/>
      <c r="C233" s="219"/>
      <c r="D233" s="218"/>
      <c r="E233" s="219"/>
      <c r="F233" s="220"/>
      <c r="G233" s="231"/>
      <c r="H233" s="223"/>
      <c r="I233" s="222"/>
      <c r="J233" s="222"/>
      <c r="K233" s="222"/>
      <c r="L233" s="222"/>
    </row>
    <row r="234" spans="1:12" ht="30" customHeight="1">
      <c r="A234" s="219"/>
      <c r="B234" s="218"/>
      <c r="C234" s="219"/>
      <c r="D234" s="218"/>
      <c r="E234" s="219"/>
      <c r="F234" s="220"/>
      <c r="G234" s="231"/>
      <c r="H234" s="223"/>
      <c r="I234" s="222"/>
      <c r="J234" s="222"/>
      <c r="K234" s="222"/>
      <c r="L234" s="222"/>
    </row>
    <row r="235" spans="1:12" ht="30" customHeight="1">
      <c r="A235" s="219"/>
      <c r="B235" s="218"/>
      <c r="C235" s="219"/>
      <c r="D235" s="218"/>
      <c r="E235" s="219"/>
      <c r="F235" s="220"/>
      <c r="G235" s="231"/>
      <c r="H235" s="223"/>
      <c r="I235" s="222"/>
      <c r="J235" s="222"/>
      <c r="K235" s="222"/>
      <c r="L235" s="222"/>
    </row>
    <row r="236" spans="1:12" ht="30" customHeight="1">
      <c r="A236" s="219"/>
      <c r="B236" s="218"/>
      <c r="C236" s="219"/>
      <c r="D236" s="218"/>
      <c r="E236" s="219"/>
      <c r="F236" s="220"/>
      <c r="G236" s="231"/>
      <c r="H236" s="223"/>
      <c r="I236" s="222"/>
      <c r="J236" s="222"/>
      <c r="K236" s="222"/>
      <c r="L236" s="222"/>
    </row>
    <row r="237" spans="1:12" ht="30" customHeight="1">
      <c r="A237" s="219"/>
      <c r="B237" s="218"/>
      <c r="C237" s="219"/>
      <c r="D237" s="218"/>
      <c r="E237" s="219"/>
      <c r="F237" s="220"/>
      <c r="G237" s="231"/>
      <c r="H237" s="223"/>
      <c r="I237" s="222"/>
      <c r="J237" s="222"/>
      <c r="K237" s="222"/>
      <c r="L237" s="222"/>
    </row>
    <row r="238" spans="1:12" ht="30" customHeight="1">
      <c r="A238" s="219"/>
      <c r="B238" s="218"/>
      <c r="C238" s="219"/>
      <c r="D238" s="218"/>
      <c r="E238" s="219"/>
      <c r="F238" s="220"/>
      <c r="G238" s="231"/>
      <c r="H238" s="223"/>
      <c r="I238" s="222"/>
      <c r="J238" s="222"/>
      <c r="K238" s="222"/>
      <c r="L238" s="222"/>
    </row>
    <row r="239" spans="1:12" ht="30" customHeight="1">
      <c r="A239" s="219"/>
      <c r="B239" s="218"/>
      <c r="C239" s="219"/>
      <c r="D239" s="218"/>
      <c r="E239" s="219"/>
      <c r="F239" s="220"/>
      <c r="G239" s="231"/>
      <c r="H239" s="223"/>
      <c r="I239" s="222"/>
      <c r="J239" s="222"/>
      <c r="K239" s="222"/>
      <c r="L239" s="222"/>
    </row>
    <row r="240" spans="1:12" ht="30" customHeight="1">
      <c r="A240" s="219"/>
      <c r="B240" s="218"/>
      <c r="C240" s="219"/>
      <c r="D240" s="218"/>
      <c r="E240" s="219"/>
      <c r="F240" s="220"/>
      <c r="G240" s="231"/>
      <c r="H240" s="223"/>
      <c r="I240" s="222"/>
      <c r="J240" s="222"/>
      <c r="K240" s="222"/>
      <c r="L240" s="222"/>
    </row>
    <row r="241" spans="1:12" ht="30" customHeight="1">
      <c r="A241" s="219"/>
      <c r="B241" s="218"/>
      <c r="C241" s="219"/>
      <c r="D241" s="218"/>
      <c r="E241" s="219"/>
      <c r="F241" s="220"/>
      <c r="G241" s="231"/>
      <c r="H241" s="223"/>
      <c r="I241" s="222"/>
      <c r="J241" s="222"/>
      <c r="K241" s="222"/>
      <c r="L241" s="222"/>
    </row>
    <row r="242" spans="1:12" ht="30" customHeight="1">
      <c r="A242" s="219"/>
      <c r="B242" s="218"/>
      <c r="C242" s="219"/>
      <c r="D242" s="218"/>
      <c r="E242" s="219"/>
      <c r="F242" s="220"/>
      <c r="G242" s="231"/>
      <c r="H242" s="223"/>
      <c r="I242" s="222"/>
      <c r="J242" s="222"/>
      <c r="K242" s="222"/>
      <c r="L242" s="222"/>
    </row>
    <row r="243" spans="1:12" ht="30" customHeight="1">
      <c r="A243" s="219"/>
      <c r="B243" s="218"/>
      <c r="C243" s="219"/>
      <c r="D243" s="218"/>
      <c r="E243" s="219"/>
      <c r="F243" s="220"/>
      <c r="G243" s="231"/>
      <c r="H243" s="223"/>
      <c r="I243" s="222"/>
      <c r="J243" s="222"/>
      <c r="K243" s="222"/>
      <c r="L243" s="222"/>
    </row>
    <row r="244" spans="1:12" ht="30" customHeight="1">
      <c r="A244" s="219"/>
      <c r="B244" s="218"/>
      <c r="C244" s="219"/>
      <c r="D244" s="218"/>
      <c r="E244" s="219"/>
      <c r="F244" s="220"/>
      <c r="G244" s="231"/>
      <c r="H244" s="223"/>
      <c r="I244" s="222"/>
      <c r="J244" s="222"/>
      <c r="K244" s="222"/>
      <c r="L244" s="222"/>
    </row>
    <row r="245" spans="1:12" ht="30" customHeight="1">
      <c r="A245" s="219"/>
      <c r="B245" s="218"/>
      <c r="C245" s="219"/>
      <c r="D245" s="218"/>
      <c r="E245" s="219"/>
      <c r="F245" s="220"/>
      <c r="G245" s="231"/>
      <c r="H245" s="223"/>
      <c r="I245" s="222"/>
      <c r="J245" s="222"/>
      <c r="K245" s="222"/>
      <c r="L245" s="222"/>
    </row>
    <row r="246" spans="1:12" ht="30" customHeight="1">
      <c r="A246" s="219"/>
      <c r="B246" s="218"/>
      <c r="C246" s="219"/>
      <c r="D246" s="218"/>
      <c r="E246" s="219"/>
      <c r="F246" s="220"/>
      <c r="G246" s="231"/>
      <c r="H246" s="223"/>
      <c r="I246" s="222"/>
      <c r="J246" s="222"/>
      <c r="K246" s="222"/>
      <c r="L246" s="222"/>
    </row>
    <row r="247" spans="1:12" ht="30" customHeight="1">
      <c r="A247" s="219"/>
      <c r="B247" s="218"/>
      <c r="C247" s="219"/>
      <c r="D247" s="218"/>
      <c r="E247" s="219"/>
      <c r="F247" s="220"/>
      <c r="G247" s="231"/>
      <c r="H247" s="223"/>
      <c r="I247" s="222"/>
      <c r="J247" s="222"/>
      <c r="K247" s="222"/>
      <c r="L247" s="222"/>
    </row>
    <row r="248" spans="1:12" ht="30" customHeight="1">
      <c r="A248" s="219"/>
      <c r="B248" s="218"/>
      <c r="C248" s="219"/>
      <c r="D248" s="218"/>
      <c r="E248" s="219"/>
      <c r="F248" s="220"/>
      <c r="G248" s="231"/>
      <c r="H248" s="223"/>
      <c r="I248" s="222"/>
      <c r="J248" s="222"/>
      <c r="K248" s="222"/>
      <c r="L248" s="222"/>
    </row>
    <row r="249" spans="1:12" ht="30" customHeight="1">
      <c r="A249" s="219"/>
      <c r="B249" s="218"/>
      <c r="C249" s="219"/>
      <c r="D249" s="218"/>
      <c r="E249" s="219"/>
      <c r="F249" s="220"/>
      <c r="G249" s="231"/>
      <c r="H249" s="223"/>
      <c r="I249" s="222"/>
      <c r="J249" s="222"/>
      <c r="K249" s="222"/>
      <c r="L249" s="222"/>
    </row>
    <row r="250" spans="1:12" ht="30" customHeight="1">
      <c r="A250" s="219"/>
      <c r="B250" s="218"/>
      <c r="C250" s="219"/>
      <c r="D250" s="218"/>
      <c r="E250" s="219"/>
      <c r="F250" s="220"/>
      <c r="G250" s="231"/>
      <c r="H250" s="223"/>
      <c r="I250" s="222"/>
      <c r="J250" s="222"/>
      <c r="K250" s="222"/>
      <c r="L250" s="222"/>
    </row>
    <row r="251" spans="1:12" ht="30" customHeight="1">
      <c r="A251" s="219"/>
      <c r="B251" s="218"/>
      <c r="C251" s="219"/>
      <c r="D251" s="218"/>
      <c r="E251" s="219"/>
      <c r="F251" s="220"/>
      <c r="G251" s="231"/>
      <c r="H251" s="223"/>
      <c r="I251" s="222"/>
      <c r="J251" s="222"/>
      <c r="K251" s="222"/>
      <c r="L251" s="222"/>
    </row>
    <row r="252" spans="1:12"/>
    <row r="253" spans="1:12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6" priority="2">
      <formula>COUNTIF($C69,"*BIO*")&gt;0</formula>
    </cfRule>
  </conditionalFormatting>
  <conditionalFormatting sqref="H2:H68 H70:H207">
    <cfRule type="expression" dxfId="5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/>
  <cols>
    <col min="1" max="1" width="6.7109375" style="241" customWidth="1"/>
    <col min="2" max="2" width="35.85546875" style="241" customWidth="1"/>
    <col min="3" max="3" width="10.42578125" style="249" customWidth="1"/>
    <col min="4" max="4" width="6.7109375" style="249" customWidth="1"/>
    <col min="5" max="5" width="8" style="249" bestFit="1" customWidth="1"/>
    <col min="6" max="7" width="7.42578125" style="249" bestFit="1" customWidth="1"/>
    <col min="8" max="8" width="14.28515625" style="249" customWidth="1"/>
    <col min="9" max="9" width="1.7109375" style="241" customWidth="1"/>
    <col min="10" max="10" width="0" style="241" hidden="1" customWidth="1"/>
    <col min="11" max="16384" width="11.42578125" style="241" hidden="1"/>
  </cols>
  <sheetData>
    <row r="1" spans="1:9" ht="24.95" customHeight="1">
      <c r="A1" s="483" t="s">
        <v>362</v>
      </c>
      <c r="B1" s="483"/>
      <c r="C1" s="483"/>
      <c r="D1" s="483"/>
      <c r="E1" s="483"/>
      <c r="F1" s="483"/>
      <c r="G1" s="483"/>
      <c r="H1" s="483"/>
    </row>
    <row r="2" spans="1:9" ht="20.100000000000001" customHeight="1">
      <c r="A2" s="484" t="str">
        <f>COMMANDE!K1</f>
        <v>S44</v>
      </c>
      <c r="B2" s="484"/>
      <c r="C2" s="484"/>
      <c r="D2" s="484"/>
      <c r="E2" s="484"/>
      <c r="F2" s="484"/>
      <c r="G2" s="484"/>
      <c r="H2" s="484"/>
    </row>
    <row r="3" spans="1:9" ht="15" customHeight="1">
      <c r="A3" s="485" t="s">
        <v>363</v>
      </c>
      <c r="B3" s="485"/>
      <c r="C3" s="485"/>
      <c r="D3" s="485"/>
      <c r="E3" s="485"/>
      <c r="F3" s="485"/>
      <c r="G3" s="485"/>
      <c r="H3" s="485"/>
    </row>
    <row r="4" spans="1:9" ht="69.95" customHeight="1">
      <c r="A4" s="242" t="s">
        <v>72</v>
      </c>
      <c r="B4" s="242" t="s">
        <v>73</v>
      </c>
      <c r="C4" s="242" t="s">
        <v>364</v>
      </c>
      <c r="D4" s="242" t="s">
        <v>113</v>
      </c>
      <c r="E4" s="243" t="s">
        <v>586</v>
      </c>
      <c r="F4" s="243" t="s">
        <v>365</v>
      </c>
      <c r="G4" s="243" t="s">
        <v>366</v>
      </c>
      <c r="H4" s="242" t="s">
        <v>74</v>
      </c>
      <c r="I4" s="244"/>
    </row>
    <row r="5" spans="1:9" ht="30" customHeight="1">
      <c r="A5" s="268" t="e">
        <f xml:space="preserve"> IF(#REF!=0, "",#REF!)</f>
        <v>#REF!</v>
      </c>
      <c r="B5" s="245" t="str">
        <f>BDD!B2</f>
        <v>Açaï en poudre iofilisée BIO (env. 250g)</v>
      </c>
      <c r="C5" s="246">
        <f>BDD!G2</f>
        <v>30.11</v>
      </c>
      <c r="D5" s="247" t="str">
        <f>BDD!H2</f>
        <v>Pièce</v>
      </c>
      <c r="E5" s="248" t="str">
        <f>IF(BDD!I2="", "", "X")</f>
        <v/>
      </c>
      <c r="F5" s="248" t="str">
        <f>IF(BDD!J2="", "", "X")</f>
        <v/>
      </c>
      <c r="G5" s="248" t="str">
        <f>IF(BDD!K2="", "", "X")</f>
        <v/>
      </c>
      <c r="H5" s="248" t="str">
        <f>BDD!C2</f>
        <v>Brésil</v>
      </c>
    </row>
    <row r="6" spans="1:9" ht="30" customHeight="1">
      <c r="A6" s="268" t="e">
        <f xml:space="preserve"> IF(#REF!=0, "",#REF!)</f>
        <v>#REF!</v>
      </c>
      <c r="B6" s="245" t="str">
        <f>BDD!B3</f>
        <v>Ail blanc ou violet BIO</v>
      </c>
      <c r="C6" s="246">
        <f>BDD!G3</f>
        <v>8.19</v>
      </c>
      <c r="D6" s="247" t="str">
        <f>BDD!H3</f>
        <v>kg</v>
      </c>
      <c r="E6" s="248" t="str">
        <f>IF(BDD!I3="", "", "X")</f>
        <v>X</v>
      </c>
      <c r="F6" s="248" t="str">
        <f>IF(BDD!J3="", "", "X")</f>
        <v/>
      </c>
      <c r="G6" s="248" t="str">
        <f>IF(BDD!K3="", "", "X")</f>
        <v/>
      </c>
      <c r="H6" s="248" t="str">
        <f>BDD!C3</f>
        <v>Malaga</v>
      </c>
    </row>
    <row r="7" spans="1:9" ht="30" customHeight="1">
      <c r="A7" s="268" t="e">
        <f xml:space="preserve"> IF(#REF!=0, "",#REF!)</f>
        <v>#REF!</v>
      </c>
      <c r="B7" s="245" t="str">
        <f>BDD!B4</f>
        <v>Algue Chlorella en poudre BIO (env. 1kg)</v>
      </c>
      <c r="C7" s="246">
        <f>BDD!G4</f>
        <v>52.03</v>
      </c>
      <c r="D7" s="247" t="str">
        <f>BDD!H4</f>
        <v>Pièce</v>
      </c>
      <c r="E7" s="248" t="str">
        <f>IF(BDD!I4="", "", "X")</f>
        <v/>
      </c>
      <c r="F7" s="248" t="str">
        <f>IF(BDD!J4="", "", "X")</f>
        <v/>
      </c>
      <c r="G7" s="248" t="str">
        <f>IF(BDD!K4="", "", "X")</f>
        <v/>
      </c>
      <c r="H7" s="248" t="str">
        <f>BDD!C4</f>
        <v>Inde</v>
      </c>
    </row>
    <row r="8" spans="1:9" ht="30" customHeight="1">
      <c r="A8" s="268" t="e">
        <f xml:space="preserve"> IF(#REF!=0, "",#REF!)</f>
        <v>#REF!</v>
      </c>
      <c r="B8" s="245" t="str">
        <f>BDD!B5</f>
        <v>Algue Chlorella en poudre BIO (env. 500g)</v>
      </c>
      <c r="C8" s="246">
        <f>BDD!G5</f>
        <v>26.7</v>
      </c>
      <c r="D8" s="247" t="str">
        <f>BDD!H5</f>
        <v>Pièce</v>
      </c>
      <c r="E8" s="248" t="str">
        <f>IF(BDD!I5="", "", "X")</f>
        <v/>
      </c>
      <c r="F8" s="248" t="str">
        <f>IF(BDD!J5="", "", "X")</f>
        <v/>
      </c>
      <c r="G8" s="248" t="str">
        <f>IF(BDD!K5="", "", "X")</f>
        <v/>
      </c>
      <c r="H8" s="248" t="str">
        <f>BDD!C5</f>
        <v>Inde</v>
      </c>
    </row>
    <row r="9" spans="1:9" ht="30" customHeight="1">
      <c r="A9" s="268" t="e">
        <f xml:space="preserve"> IF(#REF!=0, "",#REF!)</f>
        <v>#REF!</v>
      </c>
      <c r="B9" s="245" t="str">
        <f>BDD!B6</f>
        <v>Algue Dulse déshydratée BIO (env. 1kg)</v>
      </c>
      <c r="C9" s="246">
        <f>BDD!G6</f>
        <v>82.17</v>
      </c>
      <c r="D9" s="247" t="str">
        <f>BDD!H6</f>
        <v>Pièce</v>
      </c>
      <c r="E9" s="248" t="str">
        <f>IF(BDD!I6="", "", "X")</f>
        <v/>
      </c>
      <c r="F9" s="248" t="str">
        <f>IF(BDD!J6="", "", "X")</f>
        <v/>
      </c>
      <c r="G9" s="248" t="str">
        <f>IF(BDD!K6="", "", "X")</f>
        <v/>
      </c>
      <c r="H9" s="248" t="str">
        <f>BDD!C6</f>
        <v>Irlande</v>
      </c>
    </row>
    <row r="10" spans="1:9" ht="30" customHeight="1">
      <c r="A10" s="268" t="e">
        <f xml:space="preserve"> IF(#REF!=0, "",#REF!)</f>
        <v>#REF!</v>
      </c>
      <c r="B10" s="245" t="str">
        <f>BDD!B7</f>
        <v>Algue Dulse déshydratée BIO (env. 500g)</v>
      </c>
      <c r="C10" s="246">
        <f>BDD!G7</f>
        <v>41.77</v>
      </c>
      <c r="D10" s="247" t="str">
        <f>BDD!H7</f>
        <v>Pièce</v>
      </c>
      <c r="E10" s="248" t="str">
        <f>IF(BDD!I7="", "", "X")</f>
        <v/>
      </c>
      <c r="F10" s="248" t="str">
        <f>IF(BDD!J7="", "", "X")</f>
        <v/>
      </c>
      <c r="G10" s="248" t="str">
        <f>IF(BDD!K7="", "", "X")</f>
        <v/>
      </c>
      <c r="H10" s="248" t="str">
        <f>BDD!C7</f>
        <v>Irlande</v>
      </c>
    </row>
    <row r="11" spans="1:9" ht="30" customHeight="1">
      <c r="A11" s="268" t="e">
        <f xml:space="preserve"> IF(#REF!=0, "",#REF!)</f>
        <v>#REF!</v>
      </c>
      <c r="B11" s="245" t="str">
        <f>BDD!B8</f>
        <v>Algue Kombu déshydratées BIO (env. 1kg)</v>
      </c>
      <c r="C11" s="246">
        <f>BDD!G8</f>
        <v>37.659999999999997</v>
      </c>
      <c r="D11" s="247" t="str">
        <f>BDD!H8</f>
        <v>Pièce</v>
      </c>
      <c r="E11" s="248" t="str">
        <f>IF(BDD!I8="", "", "X")</f>
        <v/>
      </c>
      <c r="F11" s="248" t="str">
        <f>IF(BDD!J8="", "", "X")</f>
        <v/>
      </c>
      <c r="G11" s="248" t="str">
        <f>IF(BDD!K8="", "", "X")</f>
        <v/>
      </c>
      <c r="H11" s="248" t="str">
        <f>BDD!C8</f>
        <v>Galice</v>
      </c>
    </row>
    <row r="12" spans="1:9" ht="30" customHeight="1">
      <c r="A12" s="268" t="e">
        <f xml:space="preserve"> IF(#REF!=0, "",#REF!)</f>
        <v>#REF!</v>
      </c>
      <c r="B12" s="245" t="str">
        <f>BDD!B9</f>
        <v>Algue Kombu déshydratées BIO (env. 500g)</v>
      </c>
      <c r="C12" s="246">
        <f>BDD!G9</f>
        <v>19.579999999999998</v>
      </c>
      <c r="D12" s="247" t="str">
        <f>BDD!H9</f>
        <v>Pièce</v>
      </c>
      <c r="E12" s="248" t="str">
        <f>IF(BDD!I9="", "", "X")</f>
        <v/>
      </c>
      <c r="F12" s="248" t="str">
        <f>IF(BDD!J9="", "", "X")</f>
        <v/>
      </c>
      <c r="G12" s="248" t="str">
        <f>IF(BDD!K9="", "", "X")</f>
        <v/>
      </c>
      <c r="H12" s="248" t="str">
        <f>BDD!C9</f>
        <v>Galice</v>
      </c>
    </row>
    <row r="13" spans="1:9" ht="30" customHeight="1">
      <c r="A13" s="268" t="e">
        <f xml:space="preserve"> IF(#REF!=0, "",#REF!)</f>
        <v>#REF!</v>
      </c>
      <c r="B13" s="245" t="str">
        <f>BDD!B10</f>
        <v>Algue Nori entière déshydratées BIO (env. 1kg)</v>
      </c>
      <c r="C13" s="246">
        <f>BDD!G10</f>
        <v>53.4</v>
      </c>
      <c r="D13" s="247" t="str">
        <f>BDD!H10</f>
        <v>Pièce</v>
      </c>
      <c r="E13" s="248" t="str">
        <f>IF(BDD!I10="", "", "X")</f>
        <v/>
      </c>
      <c r="F13" s="248" t="str">
        <f>IF(BDD!J10="", "", "X")</f>
        <v/>
      </c>
      <c r="G13" s="248" t="str">
        <f>IF(BDD!K10="", "", "X")</f>
        <v/>
      </c>
      <c r="H13" s="248" t="str">
        <f>BDD!C10</f>
        <v>Galice</v>
      </c>
    </row>
    <row r="14" spans="1:9" ht="30" customHeight="1">
      <c r="A14" s="268" t="e">
        <f xml:space="preserve"> IF(#REF!=0, "",#REF!)</f>
        <v>#REF!</v>
      </c>
      <c r="B14" s="245" t="str">
        <f>BDD!B11</f>
        <v>Algue Nori entière déshydratées BIO (env. 500g)</v>
      </c>
      <c r="C14" s="246">
        <f>BDD!G11</f>
        <v>27.37</v>
      </c>
      <c r="D14" s="247" t="str">
        <f>BDD!H11</f>
        <v>Pièce</v>
      </c>
      <c r="E14" s="248" t="str">
        <f>IF(BDD!I11="", "", "X")</f>
        <v/>
      </c>
      <c r="F14" s="248" t="str">
        <f>IF(BDD!J11="", "", "X")</f>
        <v/>
      </c>
      <c r="G14" s="248" t="str">
        <f>IF(BDD!K11="", "", "X")</f>
        <v/>
      </c>
      <c r="H14" s="248" t="str">
        <f>BDD!C11</f>
        <v>Galice</v>
      </c>
    </row>
    <row r="15" spans="1:9" ht="30" customHeight="1">
      <c r="A15" s="268" t="e">
        <f xml:space="preserve"> IF(#REF!=0, "",#REF!)</f>
        <v>#REF!</v>
      </c>
      <c r="B15" s="245" t="str">
        <f>BDD!B12</f>
        <v>Aloe Vera (feuille fraîche) BIO</v>
      </c>
      <c r="C15" s="246">
        <f>BDD!G12</f>
        <v>3.55</v>
      </c>
      <c r="D15" s="247" t="str">
        <f>BDD!H12</f>
        <v>Pièce</v>
      </c>
      <c r="E15" s="248" t="str">
        <f>IF(BDD!I12="", "", "X")</f>
        <v>X</v>
      </c>
      <c r="F15" s="248" t="str">
        <f>IF(BDD!J12="", "", "X")</f>
        <v>X</v>
      </c>
      <c r="G15" s="248" t="str">
        <f>IF(BDD!K12="", "", "X")</f>
        <v>X</v>
      </c>
      <c r="H15" s="248" t="str">
        <f>BDD!C12</f>
        <v>Malaga</v>
      </c>
    </row>
    <row r="16" spans="1:9" ht="30" customHeight="1">
      <c r="A16" s="268" t="e">
        <f xml:space="preserve"> IF(#REF!=0, "",#REF!)</f>
        <v>#REF!</v>
      </c>
      <c r="B16" s="245" t="str">
        <f>BDD!B13</f>
        <v>Amande Desmayo avec coque</v>
      </c>
      <c r="C16" s="246">
        <f>BDD!G13</f>
        <v>4.08</v>
      </c>
      <c r="D16" s="247" t="str">
        <f>BDD!H13</f>
        <v>kg</v>
      </c>
      <c r="E16" s="248" t="str">
        <f>IF(BDD!I13="", "", "X")</f>
        <v/>
      </c>
      <c r="F16" s="248" t="str">
        <f>IF(BDD!J13="", "", "X")</f>
        <v/>
      </c>
      <c r="G16" s="248" t="str">
        <f>IF(BDD!K13="", "", "X")</f>
        <v/>
      </c>
      <c r="H16" s="248" t="str">
        <f>BDD!C13</f>
        <v>Grenade</v>
      </c>
    </row>
    <row r="17" spans="1:8" ht="30" customHeight="1">
      <c r="A17" s="268" t="e">
        <f xml:space="preserve"> IF(#REF!=0, "",#REF!)</f>
        <v>#REF!</v>
      </c>
      <c r="B17" s="245" t="str">
        <f>BDD!B14</f>
        <v>Amande Lauren avec coque (saveur sucrée)</v>
      </c>
      <c r="C17" s="246">
        <f>BDD!G14</f>
        <v>3.41</v>
      </c>
      <c r="D17" s="247" t="str">
        <f>BDD!H14</f>
        <v>kg</v>
      </c>
      <c r="E17" s="248" t="str">
        <f>IF(BDD!I14="", "", "X")</f>
        <v>X</v>
      </c>
      <c r="F17" s="248" t="str">
        <f>IF(BDD!J14="", "", "X")</f>
        <v>X</v>
      </c>
      <c r="G17" s="248" t="str">
        <f>IF(BDD!K14="", "", "X")</f>
        <v>X</v>
      </c>
      <c r="H17" s="248" t="str">
        <f>BDD!C14</f>
        <v>Grenade</v>
      </c>
    </row>
    <row r="18" spans="1:8" ht="30" customHeight="1">
      <c r="A18" s="268" t="e">
        <f xml:space="preserve"> IF(#REF!=0, "",#REF!)</f>
        <v>#REF!</v>
      </c>
      <c r="B18" s="245" t="str">
        <f>BDD!B15</f>
        <v>Amande Romera avec coque</v>
      </c>
      <c r="C18" s="246">
        <f>BDD!G15</f>
        <v>3.69</v>
      </c>
      <c r="D18" s="247" t="str">
        <f>BDD!H15</f>
        <v>kg</v>
      </c>
      <c r="E18" s="248" t="str">
        <f>IF(BDD!I15="", "", "X")</f>
        <v>X</v>
      </c>
      <c r="F18" s="248" t="str">
        <f>IF(BDD!J15="", "", "X")</f>
        <v/>
      </c>
      <c r="G18" s="248" t="str">
        <f>IF(BDD!K15="", "", "X")</f>
        <v/>
      </c>
      <c r="H18" s="248" t="str">
        <f>BDD!C15</f>
        <v>Malaga</v>
      </c>
    </row>
    <row r="19" spans="1:8" ht="30" customHeight="1">
      <c r="A19" s="268" t="e">
        <f xml:space="preserve"> IF(#REF!=0, "",#REF!)</f>
        <v>#REF!</v>
      </c>
      <c r="B19" s="245" t="str">
        <f>BDD!B16</f>
        <v>Amande sans coque CRU BIO (env. 1kg)</v>
      </c>
      <c r="C19" s="246">
        <f>BDD!G16</f>
        <v>24.63</v>
      </c>
      <c r="D19" s="247" t="str">
        <f>BDD!H16</f>
        <v>Pièce</v>
      </c>
      <c r="E19" s="248" t="str">
        <f>IF(BDD!I16="", "", "X")</f>
        <v>X</v>
      </c>
      <c r="F19" s="248" t="str">
        <f>IF(BDD!J16="", "", "X")</f>
        <v/>
      </c>
      <c r="G19" s="248" t="str">
        <f>IF(BDD!K16="", "", "X")</f>
        <v/>
      </c>
      <c r="H19" s="248" t="str">
        <f>BDD!C16</f>
        <v>Grenade</v>
      </c>
    </row>
    <row r="20" spans="1:8" ht="30" customHeight="1">
      <c r="A20" s="268" t="e">
        <f xml:space="preserve"> IF(#REF!=0, "",#REF!)</f>
        <v>#REF!</v>
      </c>
      <c r="B20" s="245" t="str">
        <f>BDD!B17</f>
        <v>Ananas (mûri sur plante, env. 2kg)
Super bon, couleur intense, très aromatique</v>
      </c>
      <c r="C20" s="246">
        <f>BDD!G17</f>
        <v>4.37</v>
      </c>
      <c r="D20" s="247" t="str">
        <f>BDD!H17</f>
        <v>kg</v>
      </c>
      <c r="E20" s="248" t="str">
        <f>IF(BDD!I17="", "", "X")</f>
        <v>X</v>
      </c>
      <c r="F20" s="248" t="str">
        <f>IF(BDD!J17="", "", "X")</f>
        <v>X</v>
      </c>
      <c r="G20" s="248" t="str">
        <f>IF(BDD!K17="", "", "X")</f>
        <v/>
      </c>
      <c r="H20" s="248" t="str">
        <f>BDD!C17</f>
        <v>Costa Rica</v>
      </c>
    </row>
    <row r="21" spans="1:8" ht="30" customHeight="1">
      <c r="A21" s="268" t="e">
        <f xml:space="preserve"> IF(#REF!=0, "",#REF!)</f>
        <v>#REF!</v>
      </c>
      <c r="B21" s="245" t="str">
        <f>BDD!B18</f>
        <v>Ananas deshydraté BIO (env. 1kg)</v>
      </c>
      <c r="C21" s="246">
        <f>BDD!G18</f>
        <v>27.37</v>
      </c>
      <c r="D21" s="247" t="str">
        <f>BDD!H18</f>
        <v>Pièce</v>
      </c>
      <c r="E21" s="248" t="str">
        <f>IF(BDD!I18="", "", "X")</f>
        <v/>
      </c>
      <c r="F21" s="248" t="str">
        <f>IF(BDD!J18="", "", "X")</f>
        <v/>
      </c>
      <c r="G21" s="248" t="str">
        <f>IF(BDD!K18="", "", "X")</f>
        <v/>
      </c>
      <c r="H21" s="248" t="str">
        <f>BDD!C18</f>
        <v>Costa Rica</v>
      </c>
    </row>
    <row r="22" spans="1:8" ht="30" customHeight="1">
      <c r="A22" s="268" t="e">
        <f xml:space="preserve"> IF(#REF!=0, "",#REF!)</f>
        <v>#REF!</v>
      </c>
      <c r="B22" s="245" t="str">
        <f>BDD!B19</f>
        <v>Arachides crues avec coque</v>
      </c>
      <c r="C22" s="246">
        <f>BDD!G19</f>
        <v>4.37</v>
      </c>
      <c r="D22" s="247" t="str">
        <f>BDD!H19</f>
        <v>kg</v>
      </c>
      <c r="E22" s="248" t="str">
        <f>IF(BDD!I19="", "", "X")</f>
        <v>X</v>
      </c>
      <c r="F22" s="248" t="str">
        <f>IF(BDD!J19="", "", "X")</f>
        <v>X</v>
      </c>
      <c r="G22" s="248" t="str">
        <f>IF(BDD!K19="", "", "X")</f>
        <v/>
      </c>
      <c r="H22" s="248" t="str">
        <f>BDD!C19</f>
        <v>Chine</v>
      </c>
    </row>
    <row r="23" spans="1:8" ht="30" customHeight="1">
      <c r="A23" s="268" t="e">
        <f xml:space="preserve"> IF(#REF!=0, "",#REF!)</f>
        <v>#REF!</v>
      </c>
      <c r="B23" s="245" t="str">
        <f>BDD!B20</f>
        <v>Arachides sans coque pelé CRU BIO</v>
      </c>
      <c r="C23" s="246">
        <f>BDD!G20</f>
        <v>7.52</v>
      </c>
      <c r="D23" s="247" t="str">
        <f>BDD!H20</f>
        <v>kg</v>
      </c>
      <c r="E23" s="248" t="str">
        <f>IF(BDD!I20="", "", "X")</f>
        <v>X</v>
      </c>
      <c r="F23" s="248" t="str">
        <f>IF(BDD!J20="", "", "X")</f>
        <v>X</v>
      </c>
      <c r="G23" s="248" t="str">
        <f>IF(BDD!K20="", "", "X")</f>
        <v/>
      </c>
      <c r="H23" s="248" t="str">
        <f>BDD!C20</f>
        <v>Chine</v>
      </c>
    </row>
    <row r="24" spans="1:8" ht="30" customHeight="1">
      <c r="A24" s="268" t="e">
        <f xml:space="preserve"> IF(#REF!=0, "",#REF!)</f>
        <v>#REF!</v>
      </c>
      <c r="B24" s="245" t="str">
        <f>BDD!B21</f>
        <v>Aubergine</v>
      </c>
      <c r="C24" s="246">
        <f>BDD!G21</f>
        <v>3.69</v>
      </c>
      <c r="D24" s="247" t="str">
        <f>BDD!H21</f>
        <v>kg</v>
      </c>
      <c r="E24" s="248" t="str">
        <f>IF(BDD!I21="", "", "X")</f>
        <v>X</v>
      </c>
      <c r="F24" s="248" t="str">
        <f>IF(BDD!J21="", "", "X")</f>
        <v>X</v>
      </c>
      <c r="G24" s="248" t="str">
        <f>IF(BDD!K21="", "", "X")</f>
        <v/>
      </c>
      <c r="H24" s="248" t="str">
        <f>BDD!C21</f>
        <v>Malaga</v>
      </c>
    </row>
    <row r="25" spans="1:8" ht="30" customHeight="1">
      <c r="A25" s="268" t="e">
        <f xml:space="preserve"> IF(#REF!=0, "",#REF!)</f>
        <v>#REF!</v>
      </c>
      <c r="B25" s="245" t="str">
        <f>BDD!B22</f>
        <v>Avocat Bacon (grand)</v>
      </c>
      <c r="C25" s="246">
        <f>BDD!G22</f>
        <v>5.33</v>
      </c>
      <c r="D25" s="247" t="str">
        <f>BDD!H22</f>
        <v>kg</v>
      </c>
      <c r="E25" s="248" t="str">
        <f>IF(BDD!I22="", "", "X")</f>
        <v>X</v>
      </c>
      <c r="F25" s="248" t="str">
        <f>IF(BDD!J22="", "", "X")</f>
        <v>X</v>
      </c>
      <c r="G25" s="248" t="str">
        <f>IF(BDD!K22="", "", "X")</f>
        <v/>
      </c>
      <c r="H25" s="248" t="str">
        <f>BDD!C22</f>
        <v>Grenade</v>
      </c>
    </row>
    <row r="26" spans="1:8" ht="30" customHeight="1">
      <c r="A26" s="268" t="e">
        <f xml:space="preserve"> IF(#REF!=0, "",#REF!)</f>
        <v>#REF!</v>
      </c>
      <c r="B26" s="245" t="str">
        <f>BDD!B23</f>
        <v>Avocat Bacon BIO</v>
      </c>
      <c r="C26" s="246">
        <f>BDD!G23</f>
        <v>5.45</v>
      </c>
      <c r="D26" s="247" t="str">
        <f>BDD!H23</f>
        <v>kg</v>
      </c>
      <c r="E26" s="248" t="str">
        <f>IF(BDD!I23="", "", "X")</f>
        <v>X</v>
      </c>
      <c r="F26" s="248" t="str">
        <f>IF(BDD!J23="", "", "X")</f>
        <v>X</v>
      </c>
      <c r="G26" s="248" t="str">
        <f>IF(BDD!K23="", "", "X")</f>
        <v/>
      </c>
      <c r="H26" s="248" t="str">
        <f>BDD!C23</f>
        <v>Grenade</v>
      </c>
    </row>
    <row r="27" spans="1:8" ht="30" customHeight="1">
      <c r="A27" s="268" t="e">
        <f xml:space="preserve"> IF(#REF!=0, "",#REF!)</f>
        <v>#REF!</v>
      </c>
      <c r="B27" s="245" t="str">
        <f>BDD!B24</f>
        <v>Avocat Bacon Cocktail (petit calibre)</v>
      </c>
      <c r="C27" s="246">
        <f>BDD!G24</f>
        <v>5.74</v>
      </c>
      <c r="D27" s="247" t="str">
        <f>BDD!H24</f>
        <v>kg</v>
      </c>
      <c r="E27" s="248" t="str">
        <f>IF(BDD!I24="", "", "X")</f>
        <v/>
      </c>
      <c r="F27" s="248" t="str">
        <f>IF(BDD!J24="", "", "X")</f>
        <v/>
      </c>
      <c r="G27" s="248" t="str">
        <f>IF(BDD!K24="", "", "X")</f>
        <v/>
      </c>
      <c r="H27" s="248" t="str">
        <f>BDD!C24</f>
        <v>Grenade</v>
      </c>
    </row>
    <row r="28" spans="1:8" ht="30" customHeight="1">
      <c r="A28" s="268" t="e">
        <f xml:space="preserve"> IF(#REF!=0, "",#REF!)</f>
        <v>#REF!</v>
      </c>
      <c r="B28" s="245" t="str">
        <f>BDD!B25</f>
        <v>Avocat Bacon médium BIO</v>
      </c>
      <c r="C28" s="246">
        <f>BDD!G25</f>
        <v>4.08</v>
      </c>
      <c r="D28" s="247" t="str">
        <f>BDD!H25</f>
        <v>kg</v>
      </c>
      <c r="E28" s="248" t="str">
        <f>IF(BDD!I25="", "", "X")</f>
        <v>X</v>
      </c>
      <c r="F28" s="248" t="str">
        <f>IF(BDD!J25="", "", "X")</f>
        <v>X</v>
      </c>
      <c r="G28" s="248" t="str">
        <f>IF(BDD!K25="", "", "X")</f>
        <v>X</v>
      </c>
      <c r="H28" s="248" t="str">
        <f>BDD!C25</f>
        <v>Malaga</v>
      </c>
    </row>
    <row r="29" spans="1:8" ht="30" customHeight="1">
      <c r="A29" s="268" t="e">
        <f xml:space="preserve"> IF(#REF!=0, "",#REF!)</f>
        <v>#REF!</v>
      </c>
      <c r="B29" s="245" t="str">
        <f>BDD!B26</f>
        <v>Avocat Fuerte</v>
      </c>
      <c r="C29" s="246">
        <f>BDD!G26</f>
        <v>5.45</v>
      </c>
      <c r="D29" s="247" t="str">
        <f>BDD!H26</f>
        <v>kg</v>
      </c>
      <c r="E29" s="248" t="str">
        <f>IF(BDD!I26="", "", "X")</f>
        <v>X</v>
      </c>
      <c r="F29" s="248" t="str">
        <f>IF(BDD!J26="", "", "X")</f>
        <v>X</v>
      </c>
      <c r="G29" s="248" t="str">
        <f>IF(BDD!K26="", "", "X")</f>
        <v/>
      </c>
      <c r="H29" s="248" t="str">
        <f>BDD!C26</f>
        <v>Malaga</v>
      </c>
    </row>
    <row r="30" spans="1:8" ht="30" customHeight="1">
      <c r="A30" s="268" t="e">
        <f xml:space="preserve"> IF(#REF!=0, "",#REF!)</f>
        <v>#REF!</v>
      </c>
      <c r="B30" s="245" t="str">
        <f>BDD!B27</f>
        <v>Avocat Fuerte BIO</v>
      </c>
      <c r="C30" s="246">
        <f>BDD!G27</f>
        <v>6.15</v>
      </c>
      <c r="D30" s="247" t="str">
        <f>BDD!H27</f>
        <v>kg</v>
      </c>
      <c r="E30" s="248" t="str">
        <f>IF(BDD!I27="", "", "X")</f>
        <v>X</v>
      </c>
      <c r="F30" s="248" t="str">
        <f>IF(BDD!J27="", "", "X")</f>
        <v>X</v>
      </c>
      <c r="G30" s="248" t="str">
        <f>IF(BDD!K27="", "", "X")</f>
        <v/>
      </c>
      <c r="H30" s="248" t="str">
        <f>BDD!C27</f>
        <v>Grenade</v>
      </c>
    </row>
    <row r="31" spans="1:8" ht="30" customHeight="1">
      <c r="A31" s="268" t="e">
        <f xml:space="preserve"> IF(#REF!=0, "",#REF!)</f>
        <v>#REF!</v>
      </c>
      <c r="B31" s="245" t="str">
        <f>BDD!B28</f>
        <v>Baie de Goji BIO (env. 1kg)</v>
      </c>
      <c r="C31" s="246">
        <f>BDD!G28</f>
        <v>28.74</v>
      </c>
      <c r="D31" s="247" t="str">
        <f>BDD!H28</f>
        <v>Pièce</v>
      </c>
      <c r="E31" s="248" t="str">
        <f>IF(BDD!I28="", "", "X")</f>
        <v/>
      </c>
      <c r="F31" s="248" t="str">
        <f>IF(BDD!J28="", "", "X")</f>
        <v/>
      </c>
      <c r="G31" s="248" t="str">
        <f>IF(BDD!K28="", "", "X")</f>
        <v/>
      </c>
      <c r="H31" s="248" t="str">
        <f>BDD!C28</f>
        <v>Tibet</v>
      </c>
    </row>
    <row r="32" spans="1:8" ht="30" customHeight="1">
      <c r="A32" s="268" t="e">
        <f xml:space="preserve"> IF(#REF!=0, "",#REF!)</f>
        <v>#REF!</v>
      </c>
      <c r="B32" s="245" t="str">
        <f>BDD!B29</f>
        <v>Baie de Goji BIO (envi. 500g)</v>
      </c>
      <c r="C32" s="246">
        <f>BDD!G29</f>
        <v>15.04</v>
      </c>
      <c r="D32" s="247" t="str">
        <f>BDD!H29</f>
        <v>Pièce</v>
      </c>
      <c r="E32" s="248" t="str">
        <f>IF(BDD!I29="", "", "X")</f>
        <v/>
      </c>
      <c r="F32" s="248" t="str">
        <f>IF(BDD!J29="", "", "X")</f>
        <v/>
      </c>
      <c r="G32" s="248" t="str">
        <f>IF(BDD!K29="", "", "X")</f>
        <v/>
      </c>
      <c r="H32" s="248" t="str">
        <f>BDD!C29</f>
        <v>Tibet</v>
      </c>
    </row>
    <row r="33" spans="1:8" ht="30" customHeight="1">
      <c r="A33" s="268" t="e">
        <f xml:space="preserve"> IF(#REF!=0, "",#REF!)</f>
        <v>#REF!</v>
      </c>
      <c r="B33" s="245" t="str">
        <f>BDD!B30</f>
        <v>Banane Cavendish (mûri sur plante)</v>
      </c>
      <c r="C33" s="246">
        <f>BDD!G30</f>
        <v>4.08</v>
      </c>
      <c r="D33" s="247" t="str">
        <f>BDD!H30</f>
        <v>kg</v>
      </c>
      <c r="E33" s="248" t="str">
        <f>IF(BDD!I30="", "", "X")</f>
        <v>X</v>
      </c>
      <c r="F33" s="248" t="str">
        <f>IF(BDD!J30="", "", "X")</f>
        <v>X</v>
      </c>
      <c r="G33" s="248" t="str">
        <f>IF(BDD!K30="", "", "X")</f>
        <v>X</v>
      </c>
      <c r="H33" s="248" t="str">
        <f>BDD!C30</f>
        <v>Grenade</v>
      </c>
    </row>
    <row r="34" spans="1:8" ht="30" customHeight="1">
      <c r="A34" s="268" t="e">
        <f xml:space="preserve"> IF(#REF!=0, "",#REF!)</f>
        <v>#REF!</v>
      </c>
      <c r="B34" s="245" t="str">
        <f>BDD!B31</f>
        <v>Banane Cavendish BIO/RECO
    - (robuste et ferme)</v>
      </c>
      <c r="C34" s="246">
        <f>BDD!G31</f>
        <v>4.78</v>
      </c>
      <c r="D34" s="247" t="str">
        <f>BDD!H31</f>
        <v>kg</v>
      </c>
      <c r="E34" s="248" t="str">
        <f>IF(BDD!I31="", "", "X")</f>
        <v>X</v>
      </c>
      <c r="F34" s="248" t="str">
        <f>IF(BDD!J31="", "", "X")</f>
        <v/>
      </c>
      <c r="G34" s="248" t="str">
        <f>IF(BDD!K31="", "", "X")</f>
        <v/>
      </c>
      <c r="H34" s="248" t="str">
        <f>BDD!C31</f>
        <v>Iles Canaries</v>
      </c>
    </row>
    <row r="35" spans="1:8" ht="30" customHeight="1">
      <c r="A35" s="268" t="e">
        <f xml:space="preserve"> IF(#REF!=0, "",#REF!)</f>
        <v>#REF!</v>
      </c>
      <c r="B35" s="245" t="str">
        <f>BDD!B32</f>
        <v>Banane deshydratée BIO semi-sèche
    - (Production Rufino, env. 200g)</v>
      </c>
      <c r="C35" s="246">
        <f>BDD!G32</f>
        <v>4.78</v>
      </c>
      <c r="D35" s="247" t="str">
        <f>BDD!H32</f>
        <v>Pièce</v>
      </c>
      <c r="E35" s="248" t="str">
        <f>IF(BDD!I32="", "", "X")</f>
        <v/>
      </c>
      <c r="F35" s="248" t="str">
        <f>IF(BDD!J32="", "", "X")</f>
        <v/>
      </c>
      <c r="G35" s="248" t="str">
        <f>IF(BDD!K32="", "", "X")</f>
        <v/>
      </c>
      <c r="H35" s="248" t="str">
        <f>BDD!C32</f>
        <v>Grenade</v>
      </c>
    </row>
    <row r="36" spans="1:8" ht="30" customHeight="1">
      <c r="A36" s="268" t="e">
        <f xml:space="preserve"> IF(#REF!=0, "",#REF!)</f>
        <v>#REF!</v>
      </c>
      <c r="B36" s="245" t="str">
        <f>BDD!B33</f>
        <v>Bâtons de cannelle BIO (env. 100g)</v>
      </c>
      <c r="C36" s="246">
        <f>BDD!G33</f>
        <v>8.07</v>
      </c>
      <c r="D36" s="247" t="str">
        <f>BDD!H33</f>
        <v>Pièce</v>
      </c>
      <c r="E36" s="248" t="str">
        <f>IF(BDD!I33="", "", "X")</f>
        <v/>
      </c>
      <c r="F36" s="248" t="str">
        <f>IF(BDD!J33="", "", "X")</f>
        <v/>
      </c>
      <c r="G36" s="248" t="str">
        <f>IF(BDD!K33="", "", "X")</f>
        <v/>
      </c>
      <c r="H36" s="248" t="str">
        <f>BDD!C33</f>
        <v>Inde</v>
      </c>
    </row>
    <row r="37" spans="1:8" ht="30" customHeight="1">
      <c r="A37" s="268" t="e">
        <f xml:space="preserve"> IF(#REF!=0, "",#REF!)</f>
        <v>#REF!</v>
      </c>
      <c r="B37" s="245" t="str">
        <f>BDD!B34</f>
        <v>Betterave BIO</v>
      </c>
      <c r="C37" s="246">
        <f>BDD!G34</f>
        <v>2.3199999999999998</v>
      </c>
      <c r="D37" s="247" t="str">
        <f>BDD!H34</f>
        <v>kg</v>
      </c>
      <c r="E37" s="248" t="str">
        <f>IF(BDD!I34="", "", "X")</f>
        <v>X</v>
      </c>
      <c r="F37" s="248" t="str">
        <f>IF(BDD!J34="", "", "X")</f>
        <v/>
      </c>
      <c r="G37" s="248" t="str">
        <f>IF(BDD!K34="", "", "X")</f>
        <v/>
      </c>
      <c r="H37" s="248" t="str">
        <f>BDD!C34</f>
        <v>Malaga</v>
      </c>
    </row>
    <row r="38" spans="1:8" ht="30" customHeight="1">
      <c r="A38" s="268" t="e">
        <f xml:space="preserve"> IF(#REF!=0, "",#REF!)</f>
        <v>#REF!</v>
      </c>
      <c r="B38" s="245" t="str">
        <f>BDD!B35</f>
        <v>Betterave en poudre BIO (env. 1kg)</v>
      </c>
      <c r="C38" s="246">
        <f>BDD!G35</f>
        <v>23.96</v>
      </c>
      <c r="D38" s="247" t="str">
        <f>BDD!H35</f>
        <v>Pièce</v>
      </c>
      <c r="E38" s="248" t="str">
        <f>IF(BDD!I35="", "", "X")</f>
        <v/>
      </c>
      <c r="F38" s="248" t="str">
        <f>IF(BDD!J35="", "", "X")</f>
        <v/>
      </c>
      <c r="G38" s="248" t="str">
        <f>IF(BDD!K35="", "", "X")</f>
        <v/>
      </c>
      <c r="H38" s="248" t="str">
        <f>BDD!C35</f>
        <v>Hongrie</v>
      </c>
    </row>
    <row r="39" spans="1:8" ht="30" customHeight="1">
      <c r="A39" s="268" t="e">
        <f xml:space="preserve"> IF(#REF!=0, "",#REF!)</f>
        <v>#REF!</v>
      </c>
      <c r="B39" s="245" t="str">
        <f>BDD!B36</f>
        <v>Betterave en poudre BIO (env. 500g)</v>
      </c>
      <c r="C39" s="246">
        <f>BDD!G36</f>
        <v>12.73</v>
      </c>
      <c r="D39" s="247" t="str">
        <f>BDD!H36</f>
        <v>Pièce</v>
      </c>
      <c r="E39" s="248" t="str">
        <f>IF(BDD!I36="", "", "X")</f>
        <v/>
      </c>
      <c r="F39" s="248" t="str">
        <f>IF(BDD!J36="", "", "X")</f>
        <v/>
      </c>
      <c r="G39" s="248" t="str">
        <f>IF(BDD!K36="", "", "X")</f>
        <v/>
      </c>
      <c r="H39" s="248" t="str">
        <f>BDD!C36</f>
        <v>Hongrie</v>
      </c>
    </row>
    <row r="40" spans="1:8" ht="30" customHeight="1">
      <c r="A40" s="268" t="e">
        <f xml:space="preserve"> IF(#REF!=0, "",#REF!)</f>
        <v>#REF!</v>
      </c>
      <c r="B40" s="245" t="str">
        <f>BDD!B37</f>
        <v>Beurre de cacao BIO (env. 1kg)</v>
      </c>
      <c r="C40" s="246">
        <f>BDD!G37</f>
        <v>23.26</v>
      </c>
      <c r="D40" s="247" t="str">
        <f>BDD!H37</f>
        <v>Pièce</v>
      </c>
      <c r="E40" s="248" t="str">
        <f>IF(BDD!I37="", "", "X")</f>
        <v/>
      </c>
      <c r="F40" s="248" t="str">
        <f>IF(BDD!J37="", "", "X")</f>
        <v/>
      </c>
      <c r="G40" s="248" t="str">
        <f>IF(BDD!K37="", "", "X")</f>
        <v/>
      </c>
      <c r="H40" s="248" t="str">
        <f>BDD!C37</f>
        <v>Pérou</v>
      </c>
    </row>
    <row r="41" spans="1:8" ht="30" customHeight="1">
      <c r="A41" s="268" t="e">
        <f xml:space="preserve"> IF(#REF!=0, "",#REF!)</f>
        <v>#REF!</v>
      </c>
      <c r="B41" s="245" t="str">
        <f>BDD!B38</f>
        <v>Blette BIO</v>
      </c>
      <c r="C41" s="246">
        <f>BDD!G38</f>
        <v>5.45</v>
      </c>
      <c r="D41" s="247" t="str">
        <f>BDD!H38</f>
        <v>kg</v>
      </c>
      <c r="E41" s="248" t="str">
        <f>IF(BDD!I38="", "", "X")</f>
        <v/>
      </c>
      <c r="F41" s="248" t="str">
        <f>IF(BDD!J38="", "", "X")</f>
        <v/>
      </c>
      <c r="G41" s="248" t="str">
        <f>IF(BDD!K38="", "", "X")</f>
        <v/>
      </c>
      <c r="H41" s="248" t="str">
        <f>BDD!C38</f>
        <v>Grenade</v>
      </c>
    </row>
    <row r="42" spans="1:8" ht="30" customHeight="1">
      <c r="A42" s="268" t="e">
        <f xml:space="preserve"> IF(#REF!=0, "",#REF!)</f>
        <v>#REF!</v>
      </c>
      <c r="B42" s="245" t="str">
        <f>BDD!B39</f>
        <v xml:space="preserve">Cacao en poudre CRU BIO (env. 1 kg) </v>
      </c>
      <c r="C42" s="246">
        <f>BDD!G39</f>
        <v>14.65</v>
      </c>
      <c r="D42" s="247" t="str">
        <f>BDD!H39</f>
        <v>Pièce</v>
      </c>
      <c r="E42" s="248" t="str">
        <f>IF(BDD!I39="", "", "X")</f>
        <v>X</v>
      </c>
      <c r="F42" s="248" t="str">
        <f>IF(BDD!J39="", "", "X")</f>
        <v/>
      </c>
      <c r="G42" s="248" t="str">
        <f>IF(BDD!K39="", "", "X")</f>
        <v/>
      </c>
      <c r="H42" s="248" t="str">
        <f>BDD!C39</f>
        <v>Pérou</v>
      </c>
    </row>
    <row r="43" spans="1:8" ht="30" customHeight="1">
      <c r="A43" s="268" t="e">
        <f xml:space="preserve"> IF(#REF!=0, "",#REF!)</f>
        <v>#REF!</v>
      </c>
      <c r="B43" s="245" t="str">
        <f>BDD!B40</f>
        <v>Camu Camu en poudre BIO (env. 250g)</v>
      </c>
      <c r="C43" s="246">
        <f>BDD!G40</f>
        <v>18.48</v>
      </c>
      <c r="D43" s="247" t="str">
        <f>BDD!H40</f>
        <v>Pièce</v>
      </c>
      <c r="E43" s="248" t="str">
        <f>IF(BDD!I40="", "", "X")</f>
        <v/>
      </c>
      <c r="F43" s="248" t="str">
        <f>IF(BDD!J40="", "", "X")</f>
        <v/>
      </c>
      <c r="G43" s="248" t="str">
        <f>IF(BDD!K40="", "", "X")</f>
        <v/>
      </c>
      <c r="H43" s="248" t="str">
        <f>BDD!C40</f>
        <v>Pérou</v>
      </c>
    </row>
    <row r="44" spans="1:8" ht="30" customHeight="1">
      <c r="A44" s="268" t="e">
        <f xml:space="preserve"> IF(#REF!=0, "",#REF!)</f>
        <v>#REF!</v>
      </c>
      <c r="B44" s="245" t="str">
        <f>BDD!B41</f>
        <v>Carambole / fruit étoilé</v>
      </c>
      <c r="C44" s="246">
        <f>BDD!G41</f>
        <v>4.92</v>
      </c>
      <c r="D44" s="247" t="str">
        <f>BDD!H41</f>
        <v>kg</v>
      </c>
      <c r="E44" s="248" t="str">
        <f>IF(BDD!I41="", "", "X")</f>
        <v>X</v>
      </c>
      <c r="F44" s="248" t="str">
        <f>IF(BDD!J41="", "", "X")</f>
        <v>X</v>
      </c>
      <c r="G44" s="248" t="str">
        <f>IF(BDD!K41="", "", "X")</f>
        <v/>
      </c>
      <c r="H44" s="248" t="str">
        <f>BDD!C41</f>
        <v>Grenade</v>
      </c>
    </row>
    <row r="45" spans="1:8" ht="30" customHeight="1">
      <c r="A45" s="268" t="e">
        <f xml:space="preserve"> IF(#REF!=0, "",#REF!)</f>
        <v>#REF!</v>
      </c>
      <c r="B45" s="245" t="str">
        <f>BDD!B42</f>
        <v>Carotte avec fane</v>
      </c>
      <c r="C45" s="246">
        <f>BDD!G42</f>
        <v>3.14</v>
      </c>
      <c r="D45" s="247" t="str">
        <f>BDD!H42</f>
        <v>kg</v>
      </c>
      <c r="E45" s="248" t="str">
        <f>IF(BDD!I42="", "", "X")</f>
        <v>X</v>
      </c>
      <c r="F45" s="248" t="str">
        <f>IF(BDD!J42="", "", "X")</f>
        <v/>
      </c>
      <c r="G45" s="248" t="str">
        <f>IF(BDD!K42="", "", "X")</f>
        <v/>
      </c>
      <c r="H45" s="248" t="str">
        <f>BDD!C42</f>
        <v>Grenade</v>
      </c>
    </row>
    <row r="46" spans="1:8" ht="30" customHeight="1">
      <c r="A46" s="268" t="e">
        <f xml:space="preserve"> IF(#REF!=0, "",#REF!)</f>
        <v>#REF!</v>
      </c>
      <c r="B46" s="245" t="str">
        <f>BDD!B43</f>
        <v>Carotte sans fane</v>
      </c>
      <c r="C46" s="246">
        <f>BDD!G43</f>
        <v>1.9</v>
      </c>
      <c r="D46" s="247" t="str">
        <f>BDD!H43</f>
        <v>kg</v>
      </c>
      <c r="E46" s="248" t="str">
        <f>IF(BDD!I43="", "", "X")</f>
        <v>X</v>
      </c>
      <c r="F46" s="248" t="str">
        <f>IF(BDD!J43="", "", "X")</f>
        <v>X</v>
      </c>
      <c r="G46" s="248" t="str">
        <f>IF(BDD!K43="", "", "X")</f>
        <v>X</v>
      </c>
      <c r="H46" s="248" t="str">
        <f>BDD!C43</f>
        <v>Grenade</v>
      </c>
    </row>
    <row r="47" spans="1:8" ht="30" customHeight="1">
      <c r="A47" s="268" t="e">
        <f xml:space="preserve"> IF(#REF!=0, "",#REF!)</f>
        <v>#REF!</v>
      </c>
      <c r="B47" s="245" t="str">
        <f>BDD!B44</f>
        <v>Carotte sans fane BIO</v>
      </c>
      <c r="C47" s="246">
        <f>BDD!G44</f>
        <v>2.3199999999999998</v>
      </c>
      <c r="D47" s="247" t="str">
        <f>BDD!H44</f>
        <v>kg</v>
      </c>
      <c r="E47" s="248" t="str">
        <f>IF(BDD!I44="", "", "X")</f>
        <v>X</v>
      </c>
      <c r="F47" s="248" t="str">
        <f>IF(BDD!J44="", "", "X")</f>
        <v>X</v>
      </c>
      <c r="G47" s="248" t="str">
        <f>IF(BDD!K44="", "", "X")</f>
        <v/>
      </c>
      <c r="H47" s="248" t="str">
        <f>BDD!C44</f>
        <v>Malaga</v>
      </c>
    </row>
    <row r="48" spans="1:8" ht="30" customHeight="1">
      <c r="A48" s="268" t="e">
        <f xml:space="preserve"> IF(#REF!=0, "",#REF!)</f>
        <v>#REF!</v>
      </c>
      <c r="B48" s="245" t="str">
        <f>BDD!B45</f>
        <v>Caroube de l'Alpujarra BIO (env 400g)</v>
      </c>
      <c r="C48" s="246">
        <f>BDD!G45</f>
        <v>1.34</v>
      </c>
      <c r="D48" s="247" t="str">
        <f>BDD!H45</f>
        <v>Pièce</v>
      </c>
      <c r="E48" s="248" t="str">
        <f>IF(BDD!I45="", "", "X")</f>
        <v/>
      </c>
      <c r="F48" s="248" t="str">
        <f>IF(BDD!J45="", "", "X")</f>
        <v/>
      </c>
      <c r="G48" s="248" t="str">
        <f>IF(BDD!K45="", "", "X")</f>
        <v/>
      </c>
      <c r="H48" s="248" t="str">
        <f>BDD!C45</f>
        <v>Grenade</v>
      </c>
    </row>
    <row r="49" spans="1:8" ht="30" customHeight="1">
      <c r="A49" s="268" t="e">
        <f xml:space="preserve"> IF(#REF!=0, "",#REF!)</f>
        <v>#REF!</v>
      </c>
      <c r="B49" s="245" t="str">
        <f>BDD!B46</f>
        <v>Céleri vert</v>
      </c>
      <c r="C49" s="246">
        <f>BDD!G46</f>
        <v>3.41</v>
      </c>
      <c r="D49" s="247" t="str">
        <f>BDD!H46</f>
        <v>kg</v>
      </c>
      <c r="E49" s="248" t="str">
        <f>IF(BDD!I46="", "", "X")</f>
        <v>X</v>
      </c>
      <c r="F49" s="248" t="str">
        <f>IF(BDD!J46="", "", "X")</f>
        <v/>
      </c>
      <c r="G49" s="248" t="str">
        <f>IF(BDD!K46="", "", "X")</f>
        <v/>
      </c>
      <c r="H49" s="248" t="str">
        <f>BDD!C46</f>
        <v>Grenade</v>
      </c>
    </row>
    <row r="50" spans="1:8" ht="30" customHeight="1">
      <c r="A50" s="268" t="e">
        <f xml:space="preserve"> IF(#REF!=0, "",#REF!)</f>
        <v>#REF!</v>
      </c>
      <c r="B50" s="245" t="str">
        <f>BDD!B47</f>
        <v>Céleri vert BIO</v>
      </c>
      <c r="C50" s="246">
        <f>BDD!G47</f>
        <v>3.69</v>
      </c>
      <c r="D50" s="247" t="str">
        <f>BDD!H47</f>
        <v>kg</v>
      </c>
      <c r="E50" s="248" t="str">
        <f>IF(BDD!I47="", "", "X")</f>
        <v>X</v>
      </c>
      <c r="F50" s="248" t="str">
        <f>IF(BDD!J47="", "", "X")</f>
        <v/>
      </c>
      <c r="G50" s="248" t="str">
        <f>IF(BDD!K47="", "", "X")</f>
        <v/>
      </c>
      <c r="H50" s="248" t="str">
        <f>BDD!C47</f>
        <v>Malaga</v>
      </c>
    </row>
    <row r="51" spans="1:8" ht="30" customHeight="1">
      <c r="A51" s="268" t="e">
        <f xml:space="preserve"> IF(#REF!=0, "",#REF!)</f>
        <v>#REF!</v>
      </c>
      <c r="B51" s="245" t="str">
        <f>BDD!B48</f>
        <v>Chia BIO (env. 1kg)</v>
      </c>
      <c r="C51" s="246">
        <f>BDD!G48</f>
        <v>6.15</v>
      </c>
      <c r="D51" s="247" t="str">
        <f>BDD!H48</f>
        <v>Pièce</v>
      </c>
      <c r="E51" s="248" t="str">
        <f>IF(BDD!I48="", "", "X")</f>
        <v>X</v>
      </c>
      <c r="F51" s="248" t="str">
        <f>IF(BDD!J48="", "", "X")</f>
        <v/>
      </c>
      <c r="G51" s="248" t="str">
        <f>IF(BDD!K48="", "", "X")</f>
        <v/>
      </c>
      <c r="H51" s="248" t="str">
        <f>BDD!C48</f>
        <v>Bolivie</v>
      </c>
    </row>
    <row r="52" spans="1:8" ht="30" customHeight="1">
      <c r="A52" s="268" t="e">
        <f xml:space="preserve"> IF(#REF!=0, "",#REF!)</f>
        <v>#REF!</v>
      </c>
      <c r="B52" s="245" t="str">
        <f>BDD!B49</f>
        <v>Chips de coco CRU BIO (env. 1kg)</v>
      </c>
      <c r="C52" s="246">
        <f>BDD!G49</f>
        <v>9.3000000000000007</v>
      </c>
      <c r="D52" s="247" t="str">
        <f>BDD!H49</f>
        <v>Pièce</v>
      </c>
      <c r="E52" s="248" t="str">
        <f>IF(BDD!I49="", "", "X")</f>
        <v>X</v>
      </c>
      <c r="F52" s="248" t="str">
        <f>IF(BDD!J49="", "", "X")</f>
        <v>X</v>
      </c>
      <c r="G52" s="248" t="str">
        <f>IF(BDD!K49="", "", "X")</f>
        <v/>
      </c>
      <c r="H52" s="248" t="str">
        <f>BDD!C49</f>
        <v>Sri Lanka</v>
      </c>
    </row>
    <row r="53" spans="1:8" ht="30" customHeight="1">
      <c r="A53" s="268" t="e">
        <f xml:space="preserve"> IF(#REF!=0, "",#REF!)</f>
        <v>#REF!</v>
      </c>
      <c r="B53" s="245" t="str">
        <f>BDD!B50</f>
        <v>Chirimoya (grand)</v>
      </c>
      <c r="C53" s="246">
        <f>BDD!G50</f>
        <v>4.08</v>
      </c>
      <c r="D53" s="247" t="str">
        <f>BDD!H50</f>
        <v>kg</v>
      </c>
      <c r="E53" s="248" t="str">
        <f>IF(BDD!I50="", "", "X")</f>
        <v>X</v>
      </c>
      <c r="F53" s="248" t="str">
        <f>IF(BDD!J50="", "", "X")</f>
        <v>X</v>
      </c>
      <c r="G53" s="248" t="str">
        <f>IF(BDD!K50="", "", "X")</f>
        <v>X</v>
      </c>
      <c r="H53" s="248" t="str">
        <f>BDD!C50</f>
        <v>Grenade</v>
      </c>
    </row>
    <row r="54" spans="1:8" ht="30" customHeight="1">
      <c r="A54" s="268" t="e">
        <f xml:space="preserve"> IF(#REF!=0, "",#REF!)</f>
        <v>#REF!</v>
      </c>
      <c r="B54" s="245" t="str">
        <f>BDD!B51</f>
        <v>Chirimoya BIO (production Rufino)</v>
      </c>
      <c r="C54" s="246">
        <f>BDD!G51</f>
        <v>5.0599999999999996</v>
      </c>
      <c r="D54" s="247" t="str">
        <f>BDD!H51</f>
        <v>kg</v>
      </c>
      <c r="E54" s="248" t="str">
        <f>IF(BDD!I51="", "", "X")</f>
        <v>X</v>
      </c>
      <c r="F54" s="248" t="str">
        <f>IF(BDD!J51="", "", "X")</f>
        <v>X</v>
      </c>
      <c r="G54" s="248" t="str">
        <f>IF(BDD!K51="", "", "X")</f>
        <v>X</v>
      </c>
      <c r="H54" s="248" t="str">
        <f>BDD!C51</f>
        <v>Grenade</v>
      </c>
    </row>
    <row r="55" spans="1:8" ht="30" customHeight="1">
      <c r="A55" s="268" t="e">
        <f xml:space="preserve"> IF(#REF!=0, "",#REF!)</f>
        <v>#REF!</v>
      </c>
      <c r="B55" s="245" t="str">
        <f>BDD!B52</f>
        <v>Chou Kale BIO (production Rufino)</v>
      </c>
      <c r="C55" s="246">
        <f>BDD!G52</f>
        <v>6.56</v>
      </c>
      <c r="D55" s="247" t="str">
        <f>BDD!H52</f>
        <v>kg</v>
      </c>
      <c r="E55" s="248" t="str">
        <f>IF(BDD!I52="", "", "X")</f>
        <v>X</v>
      </c>
      <c r="F55" s="248" t="str">
        <f>IF(BDD!J52="", "", "X")</f>
        <v/>
      </c>
      <c r="G55" s="248" t="str">
        <f>IF(BDD!K52="", "", "X")</f>
        <v/>
      </c>
      <c r="H55" s="248" t="str">
        <f>BDD!C52</f>
        <v>Grenade</v>
      </c>
    </row>
    <row r="56" spans="1:8" ht="30" customHeight="1">
      <c r="A56" s="268" t="e">
        <f xml:space="preserve"> IF(#REF!=0, "",#REF!)</f>
        <v>#REF!</v>
      </c>
      <c r="B56" s="245" t="str">
        <f>BDD!B53</f>
        <v>Chou Kale Winterbor Crespa BIO baby (Production de Rufino)</v>
      </c>
      <c r="C56" s="246">
        <f>BDD!G53</f>
        <v>6.15</v>
      </c>
      <c r="D56" s="247" t="str">
        <f>BDD!H53</f>
        <v>kg</v>
      </c>
      <c r="E56" s="248" t="str">
        <f>IF(BDD!I53="", "", "X")</f>
        <v>X</v>
      </c>
      <c r="F56" s="248" t="str">
        <f>IF(BDD!J53="", "", "X")</f>
        <v/>
      </c>
      <c r="G56" s="248" t="str">
        <f>IF(BDD!K53="", "", "X")</f>
        <v/>
      </c>
      <c r="H56" s="248" t="str">
        <f>BDD!C53</f>
        <v>Grenade</v>
      </c>
    </row>
    <row r="57" spans="1:8" ht="30" customHeight="1">
      <c r="A57" s="268" t="e">
        <f xml:space="preserve"> IF(#REF!=0, "",#REF!)</f>
        <v>#REF!</v>
      </c>
      <c r="B57" s="245" t="str">
        <f>BDD!B54</f>
        <v>Chou vert BIO</v>
      </c>
      <c r="C57" s="246">
        <f>BDD!G54</f>
        <v>3</v>
      </c>
      <c r="D57" s="247" t="str">
        <f>BDD!H54</f>
        <v>kg</v>
      </c>
      <c r="E57" s="248" t="str">
        <f>IF(BDD!I54="", "", "X")</f>
        <v>X</v>
      </c>
      <c r="F57" s="248" t="str">
        <f>IF(BDD!J54="", "", "X")</f>
        <v/>
      </c>
      <c r="G57" s="248" t="str">
        <f>IF(BDD!K54="", "", "X")</f>
        <v/>
      </c>
      <c r="H57" s="248" t="str">
        <f>BDD!C54</f>
        <v>Malaga</v>
      </c>
    </row>
    <row r="58" spans="1:8" ht="30" customHeight="1">
      <c r="A58" s="268" t="e">
        <f xml:space="preserve"> IF(#REF!=0, "",#REF!)</f>
        <v>#REF!</v>
      </c>
      <c r="B58" s="245" t="str">
        <f>BDD!B55</f>
        <v>Citron Caviar (culture naturelle, plateau 200g)</v>
      </c>
      <c r="C58" s="246">
        <f>BDD!G55</f>
        <v>10.93</v>
      </c>
      <c r="D58" s="247" t="str">
        <f>BDD!H55</f>
        <v>Pièce</v>
      </c>
      <c r="E58" s="248" t="str">
        <f>IF(BDD!I55="", "", "X")</f>
        <v/>
      </c>
      <c r="F58" s="248" t="str">
        <f>IF(BDD!J55="", "", "X")</f>
        <v/>
      </c>
      <c r="G58" s="248" t="str">
        <f>IF(BDD!K55="", "", "X")</f>
        <v/>
      </c>
      <c r="H58" s="248" t="str">
        <f>BDD!C55</f>
        <v>Salobrena</v>
      </c>
    </row>
    <row r="59" spans="1:8" ht="30" customHeight="1">
      <c r="A59" s="268" t="e">
        <f xml:space="preserve"> IF(#REF!=0, "",#REF!)</f>
        <v>#REF!</v>
      </c>
      <c r="B59" s="245" t="str">
        <f>BDD!B56</f>
        <v>Citron Caviar (culture naturelle, plateau 500g)</v>
      </c>
      <c r="C59" s="246">
        <f>BDD!G56</f>
        <v>23.26</v>
      </c>
      <c r="D59" s="247" t="str">
        <f>BDD!H56</f>
        <v>Pièce</v>
      </c>
      <c r="E59" s="248" t="str">
        <f>IF(BDD!I56="", "", "X")</f>
        <v/>
      </c>
      <c r="F59" s="248" t="str">
        <f>IF(BDD!J56="", "", "X")</f>
        <v/>
      </c>
      <c r="G59" s="248" t="str">
        <f>IF(BDD!K56="", "", "X")</f>
        <v/>
      </c>
      <c r="H59" s="248" t="str">
        <f>BDD!C56</f>
        <v>Salobrena</v>
      </c>
    </row>
    <row r="60" spans="1:8" ht="30" customHeight="1">
      <c r="A60" s="268" t="e">
        <f xml:space="preserve"> IF(#REF!=0, "",#REF!)</f>
        <v>#REF!</v>
      </c>
      <c r="B60" s="245" t="str">
        <f>BDD!B57</f>
        <v>Citron Caviar BIO
    - (plateau de 200g)</v>
      </c>
      <c r="C60" s="246">
        <f>BDD!G57</f>
        <v>12.3</v>
      </c>
      <c r="D60" s="247" t="str">
        <f>BDD!H57</f>
        <v>200g</v>
      </c>
      <c r="E60" s="248" t="str">
        <f>IF(BDD!I57="", "", "X")</f>
        <v/>
      </c>
      <c r="F60" s="248" t="str">
        <f>IF(BDD!J57="", "", "X")</f>
        <v/>
      </c>
      <c r="G60" s="248" t="str">
        <f>IF(BDD!K57="", "", "X")</f>
        <v/>
      </c>
      <c r="H60" s="248" t="str">
        <f>BDD!C57</f>
        <v>Grenade</v>
      </c>
    </row>
    <row r="61" spans="1:8" ht="30" customHeight="1">
      <c r="A61" s="268" t="e">
        <f xml:space="preserve"> IF(#REF!=0, "",#REF!)</f>
        <v>#REF!</v>
      </c>
      <c r="B61" s="245" t="str">
        <f>BDD!B58</f>
        <v>Citron Caviar BIO
    - (plateau de 500g)</v>
      </c>
      <c r="C61" s="246">
        <f>BDD!G58</f>
        <v>26</v>
      </c>
      <c r="D61" s="247" t="str">
        <f>BDD!H58</f>
        <v>500g</v>
      </c>
      <c r="E61" s="248" t="str">
        <f>IF(BDD!I58="", "", "X")</f>
        <v/>
      </c>
      <c r="F61" s="248" t="str">
        <f>IF(BDD!J58="", "", "X")</f>
        <v/>
      </c>
      <c r="G61" s="248" t="str">
        <f>IF(BDD!K58="", "", "X")</f>
        <v/>
      </c>
      <c r="H61" s="248" t="str">
        <f>BDD!C58</f>
        <v>Grenade</v>
      </c>
    </row>
    <row r="62" spans="1:8" ht="30" customHeight="1">
      <c r="A62" s="268" t="e">
        <f xml:space="preserve"> IF(#REF!=0, "",#REF!)</f>
        <v>#REF!</v>
      </c>
      <c r="B62" s="245" t="str">
        <f>BDD!B59</f>
        <v>Citron jaune (mûri sur plante)</v>
      </c>
      <c r="C62" s="246">
        <f>BDD!G59</f>
        <v>2.93</v>
      </c>
      <c r="D62" s="247" t="str">
        <f>BDD!H59</f>
        <v>kg</v>
      </c>
      <c r="E62" s="248" t="str">
        <f>IF(BDD!I59="", "", "X")</f>
        <v>X</v>
      </c>
      <c r="F62" s="248" t="str">
        <f>IF(BDD!J59="", "", "X")</f>
        <v>X</v>
      </c>
      <c r="G62" s="248" t="str">
        <f>IF(BDD!K59="", "", "X")</f>
        <v>X</v>
      </c>
      <c r="H62" s="248" t="str">
        <f>BDD!C59</f>
        <v>Grenade</v>
      </c>
    </row>
    <row r="63" spans="1:8" ht="30" customHeight="1">
      <c r="A63" s="268" t="e">
        <f xml:space="preserve"> IF(#REF!=0, "",#REF!)</f>
        <v>#REF!</v>
      </c>
      <c r="B63" s="245" t="str">
        <f>BDD!B60</f>
        <v>Citron jaune BIO (seconde catégorie)</v>
      </c>
      <c r="C63" s="246">
        <f>BDD!G60</f>
        <v>1.77</v>
      </c>
      <c r="D63" s="247" t="str">
        <f>BDD!H60</f>
        <v>kg</v>
      </c>
      <c r="E63" s="248" t="str">
        <f>IF(BDD!I60="", "", "X")</f>
        <v>X</v>
      </c>
      <c r="F63" s="248" t="str">
        <f>IF(BDD!J60="", "", "X")</f>
        <v>X</v>
      </c>
      <c r="G63" s="248" t="str">
        <f>IF(BDD!K60="", "", "X")</f>
        <v>X</v>
      </c>
      <c r="H63" s="248" t="str">
        <f>BDD!C60</f>
        <v>Malaga</v>
      </c>
    </row>
    <row r="64" spans="1:8" ht="30" customHeight="1">
      <c r="A64" s="268" t="e">
        <f xml:space="preserve"> IF(#REF!=0, "",#REF!)</f>
        <v>#REF!</v>
      </c>
      <c r="B64" s="245" t="str">
        <f>BDD!B61</f>
        <v xml:space="preserve">Citron jaune Verna BIO (mûri sur arbre)
    - (grand/moyen) </v>
      </c>
      <c r="C64" s="246">
        <f>BDD!G61</f>
        <v>3.14</v>
      </c>
      <c r="D64" s="247" t="str">
        <f>BDD!H61</f>
        <v>kg</v>
      </c>
      <c r="E64" s="248" t="str">
        <f>IF(BDD!I61="", "", "X")</f>
        <v>X</v>
      </c>
      <c r="F64" s="248" t="str">
        <f>IF(BDD!J61="", "", "X")</f>
        <v>X</v>
      </c>
      <c r="G64" s="248" t="str">
        <f>IF(BDD!K61="", "", "X")</f>
        <v>X</v>
      </c>
      <c r="H64" s="248" t="str">
        <f>BDD!C61</f>
        <v>Malaga</v>
      </c>
    </row>
    <row r="65" spans="1:8" ht="30" customHeight="1">
      <c r="A65" s="268" t="e">
        <f xml:space="preserve"> IF(#REF!=0, "",#REF!)</f>
        <v>#REF!</v>
      </c>
      <c r="B65" s="245" t="str">
        <f>BDD!B62</f>
        <v>Citron vert</v>
      </c>
      <c r="C65" s="246">
        <f>BDD!G62</f>
        <v>3.14</v>
      </c>
      <c r="D65" s="247" t="str">
        <f>BDD!H62</f>
        <v>kg</v>
      </c>
      <c r="E65" s="248" t="str">
        <f>IF(BDD!I62="", "", "X")</f>
        <v>X</v>
      </c>
      <c r="F65" s="248" t="str">
        <f>IF(BDD!J62="", "", "X")</f>
        <v>X</v>
      </c>
      <c r="G65" s="248" t="str">
        <f>IF(BDD!K62="", "", "X")</f>
        <v/>
      </c>
      <c r="H65" s="248" t="str">
        <f>BDD!C62</f>
        <v>Grenade</v>
      </c>
    </row>
    <row r="66" spans="1:8" ht="30" customHeight="1">
      <c r="A66" s="268" t="e">
        <f xml:space="preserve"> IF(#REF!=0, "",#REF!)</f>
        <v>#REF!</v>
      </c>
      <c r="B66" s="245" t="str">
        <f>BDD!B63</f>
        <v xml:space="preserve">Citronnelle BIO
    - (bouquet de 5 tiges) </v>
      </c>
      <c r="C66" s="246">
        <f>BDD!G63</f>
        <v>2.59</v>
      </c>
      <c r="D66" s="247" t="str">
        <f>BDD!H63</f>
        <v>Pièce</v>
      </c>
      <c r="E66" s="248" t="str">
        <f>IF(BDD!I63="", "", "X")</f>
        <v/>
      </c>
      <c r="F66" s="248" t="str">
        <f>IF(BDD!J63="", "", "X")</f>
        <v/>
      </c>
      <c r="G66" s="248" t="str">
        <f>IF(BDD!K63="", "", "X")</f>
        <v/>
      </c>
      <c r="H66" s="248" t="str">
        <f>BDD!C63</f>
        <v>Grenade</v>
      </c>
    </row>
    <row r="67" spans="1:8" ht="30" customHeight="1">
      <c r="A67" s="268" t="e">
        <f xml:space="preserve"> IF(#REF!=0, "",#REF!)</f>
        <v>#REF!</v>
      </c>
      <c r="B67" s="245" t="str">
        <f>BDD!B64</f>
        <v>Coco Pagode fraîche</v>
      </c>
      <c r="C67" s="246">
        <f>BDD!G64</f>
        <v>4.51</v>
      </c>
      <c r="D67" s="247" t="str">
        <f>BDD!H64</f>
        <v>Pièce</v>
      </c>
      <c r="E67" s="248" t="str">
        <f>IF(BDD!I64="", "", "X")</f>
        <v>X</v>
      </c>
      <c r="F67" s="248" t="str">
        <f>IF(BDD!J64="", "", "X")</f>
        <v>X</v>
      </c>
      <c r="G67" s="248" t="str">
        <f>IF(BDD!K64="", "", "X")</f>
        <v/>
      </c>
      <c r="H67" s="248" t="str">
        <f>BDD!C64</f>
        <v>Taîlande</v>
      </c>
    </row>
    <row r="68" spans="1:8" ht="30" customHeight="1">
      <c r="A68" s="268" t="e">
        <f xml:space="preserve"> IF(#REF!=0, "",#REF!)</f>
        <v>#REF!</v>
      </c>
      <c r="B68" s="245" t="str">
        <f>BDD!B65</f>
        <v>Coing</v>
      </c>
      <c r="C68" s="246">
        <f>BDD!G65</f>
        <v>2.3199999999999998</v>
      </c>
      <c r="D68" s="247" t="str">
        <f>BDD!H65</f>
        <v>kg</v>
      </c>
      <c r="E68" s="248" t="str">
        <f>IF(BDD!I65="", "", "X")</f>
        <v>X</v>
      </c>
      <c r="F68" s="248" t="str">
        <f>IF(BDD!J65="", "", "X")</f>
        <v>X</v>
      </c>
      <c r="G68" s="248" t="str">
        <f>IF(BDD!K65="", "", "X")</f>
        <v/>
      </c>
      <c r="H68" s="248" t="str">
        <f>BDD!C65</f>
        <v>Malaga</v>
      </c>
    </row>
    <row r="69" spans="1:8" ht="30" customHeight="1">
      <c r="A69" s="268" t="e">
        <f xml:space="preserve"> IF(#REF!=0, "",#REF!)</f>
        <v>#REF!</v>
      </c>
      <c r="B69" s="245" t="str">
        <f>BDD!B66</f>
        <v>Concombre mini gourmet</v>
      </c>
      <c r="C69" s="246">
        <f>BDD!G66</f>
        <v>2.71</v>
      </c>
      <c r="D69" s="247" t="str">
        <f>BDD!H66</f>
        <v>kg</v>
      </c>
      <c r="E69" s="248" t="str">
        <f>IF(BDD!I66="", "", "X")</f>
        <v>X</v>
      </c>
      <c r="F69" s="248" t="str">
        <f>IF(BDD!J66="", "", "X")</f>
        <v>X</v>
      </c>
      <c r="G69" s="248" t="str">
        <f>IF(BDD!K66="", "", "X")</f>
        <v/>
      </c>
      <c r="H69" s="248" t="str">
        <f>BDD!C66</f>
        <v>Grenade</v>
      </c>
    </row>
    <row r="70" spans="1:8" ht="30" customHeight="1">
      <c r="A70" s="268" t="e">
        <f xml:space="preserve"> IF(#REF!=0, "",#REF!)</f>
        <v>#REF!</v>
      </c>
      <c r="B70" s="245" t="str">
        <f>BDD!B67</f>
        <v>Courge Butternut BIO</v>
      </c>
      <c r="C70" s="246">
        <f>BDD!G67</f>
        <v>1.63</v>
      </c>
      <c r="D70" s="247" t="str">
        <f>BDD!H67</f>
        <v>kg</v>
      </c>
      <c r="E70" s="248" t="str">
        <f>IF(BDD!I67="", "", "X")</f>
        <v>X</v>
      </c>
      <c r="F70" s="248" t="str">
        <f>IF(BDD!J67="", "", "X")</f>
        <v/>
      </c>
      <c r="G70" s="248" t="str">
        <f>IF(BDD!K67="", "", "X")</f>
        <v/>
      </c>
      <c r="H70" s="248" t="str">
        <f>BDD!C67</f>
        <v>Malaga</v>
      </c>
    </row>
    <row r="71" spans="1:8" ht="30" customHeight="1">
      <c r="A71" s="268" t="e">
        <f xml:space="preserve"> IF(#REF!=0, "",#REF!)</f>
        <v>#REF!</v>
      </c>
      <c r="B71" s="245" t="str">
        <f>BDD!B68</f>
        <v>Courgette BIO (2nd catégorie)</v>
      </c>
      <c r="C71" s="246">
        <f>BDD!G68</f>
        <v>3.14</v>
      </c>
      <c r="D71" s="247" t="str">
        <f>BDD!H68</f>
        <v>kg</v>
      </c>
      <c r="E71" s="248" t="str">
        <f>IF(BDD!I68="", "", "X")</f>
        <v>X</v>
      </c>
      <c r="F71" s="248" t="str">
        <f>IF(BDD!J68="", "", "X")</f>
        <v>X</v>
      </c>
      <c r="G71" s="248" t="str">
        <f>IF(BDD!K68="", "", "X")</f>
        <v>X</v>
      </c>
      <c r="H71" s="248" t="str">
        <f>BDD!C68</f>
        <v>Malaga</v>
      </c>
    </row>
    <row r="72" spans="1:8" ht="30" customHeight="1">
      <c r="A72" s="268" t="e">
        <f xml:space="preserve"> IF(#REF!=0, "",#REF!)</f>
        <v>#REF!</v>
      </c>
      <c r="B72" s="245" t="str">
        <f>BDD!B69</f>
        <v>Crackers déshydratés CRU BIO (env. 200g)
    - (tomate, tournesol, sarrasin, lin, oignons, ...)</v>
      </c>
      <c r="C72" s="246">
        <f>BDD!G69</f>
        <v>7.38</v>
      </c>
      <c r="D72" s="247" t="str">
        <f>BDD!H69</f>
        <v>Pièce</v>
      </c>
      <c r="E72" s="248" t="str">
        <f>IF(BDD!I69="", "", "X")</f>
        <v/>
      </c>
      <c r="F72" s="248" t="str">
        <f>IF(BDD!J69="", "", "X")</f>
        <v/>
      </c>
      <c r="G72" s="248" t="str">
        <f>IF(BDD!K69="", "", "X")</f>
        <v/>
      </c>
      <c r="H72" s="248" t="str">
        <f>BDD!C69</f>
        <v>Espagne</v>
      </c>
    </row>
    <row r="73" spans="1:8" ht="30" customHeight="1">
      <c r="A73" s="268" t="e">
        <f xml:space="preserve"> IF(#REF!=0, "",#REF!)</f>
        <v>#REF!</v>
      </c>
      <c r="B73" s="245" t="str">
        <f>BDD!B70</f>
        <v>Curcuma frais BIO (paquet 500g)</v>
      </c>
      <c r="C73" s="246">
        <f>BDD!G70</f>
        <v>9.56</v>
      </c>
      <c r="D73" s="247" t="str">
        <f>BDD!H70</f>
        <v>Pièce</v>
      </c>
      <c r="E73" s="248" t="str">
        <f>IF(BDD!I70="", "", "X")</f>
        <v>X</v>
      </c>
      <c r="F73" s="248" t="str">
        <f>IF(BDD!J70="", "", "X")</f>
        <v/>
      </c>
      <c r="G73" s="248" t="str">
        <f>IF(BDD!K70="", "", "X")</f>
        <v/>
      </c>
      <c r="H73" s="248" t="str">
        <f>BDD!C70</f>
        <v>Pérou</v>
      </c>
    </row>
    <row r="74" spans="1:8" ht="30" customHeight="1">
      <c r="A74" s="268" t="e">
        <f xml:space="preserve"> IF(#REF!=0, "",#REF!)</f>
        <v>#REF!</v>
      </c>
      <c r="B74" s="245" t="str">
        <f>BDD!B71</f>
        <v>Dattes Deglet Nour en rame BIO</v>
      </c>
      <c r="C74" s="246">
        <f>BDD!G71</f>
        <v>12.3</v>
      </c>
      <c r="D74" s="247" t="str">
        <f>BDD!H71</f>
        <v>kg</v>
      </c>
      <c r="E74" s="248" t="str">
        <f>IF(BDD!I71="", "", "X")</f>
        <v>X</v>
      </c>
      <c r="F74" s="248" t="str">
        <f>IF(BDD!J71="", "", "X")</f>
        <v>X</v>
      </c>
      <c r="G74" s="248" t="str">
        <f>IF(BDD!K71="", "", "X")</f>
        <v/>
      </c>
      <c r="H74" s="248" t="str">
        <f>BDD!C71</f>
        <v>Israël</v>
      </c>
    </row>
    <row r="75" spans="1:8" ht="30" customHeight="1">
      <c r="A75" s="268" t="e">
        <f xml:space="preserve"> IF(#REF!=0, "",#REF!)</f>
        <v>#REF!</v>
      </c>
      <c r="B75" s="245" t="str">
        <f>BDD!B72</f>
        <v>Dattes Deglet Nour sans rame BIO</v>
      </c>
      <c r="C75" s="246">
        <f>BDD!G72</f>
        <v>9.56</v>
      </c>
      <c r="D75" s="247" t="str">
        <f>BDD!H72</f>
        <v>kg</v>
      </c>
      <c r="E75" s="248" t="str">
        <f>IF(BDD!I72="", "", "X")</f>
        <v>X</v>
      </c>
      <c r="F75" s="248" t="str">
        <f>IF(BDD!J72="", "", "X")</f>
        <v>X</v>
      </c>
      <c r="G75" s="248" t="str">
        <f>IF(BDD!K72="", "", "X")</f>
        <v/>
      </c>
      <c r="H75" s="248" t="str">
        <f>BDD!C72</f>
        <v>Tunisie</v>
      </c>
    </row>
    <row r="76" spans="1:8" ht="30" customHeight="1">
      <c r="A76" s="268" t="e">
        <f xml:space="preserve"> IF(#REF!=0, "",#REF!)</f>
        <v>#REF!</v>
      </c>
      <c r="B76" s="245" t="str">
        <f>BDD!B73</f>
        <v>Dattes Deglet sans noyau BIO</v>
      </c>
      <c r="C76" s="246">
        <f>BDD!G73</f>
        <v>10.93</v>
      </c>
      <c r="D76" s="247" t="str">
        <f>BDD!H73</f>
        <v>kg</v>
      </c>
      <c r="E76" s="248" t="str">
        <f>IF(BDD!I73="", "", "X")</f>
        <v>X</v>
      </c>
      <c r="F76" s="248" t="str">
        <f>IF(BDD!J73="", "", "X")</f>
        <v/>
      </c>
      <c r="G76" s="248" t="str">
        <f>IF(BDD!K73="", "", "X")</f>
        <v/>
      </c>
      <c r="H76" s="248" t="str">
        <f>BDD!C73</f>
        <v>Tunisie</v>
      </c>
    </row>
    <row r="77" spans="1:8" ht="30" customHeight="1">
      <c r="A77" s="268" t="e">
        <f xml:space="preserve"> IF(#REF!=0, "",#REF!)</f>
        <v>#REF!</v>
      </c>
      <c r="B77" s="245" t="str">
        <f>BDD!B74</f>
        <v>Dattes Mazafati de Bam BIO (env. 250g)</v>
      </c>
      <c r="C77" s="246">
        <f>BDD!G74</f>
        <v>4.6399999999999997</v>
      </c>
      <c r="D77" s="247" t="str">
        <f>BDD!H74</f>
        <v>Pièce</v>
      </c>
      <c r="E77" s="248" t="str">
        <f>IF(BDD!I74="", "", "X")</f>
        <v>X</v>
      </c>
      <c r="F77" s="248" t="str">
        <f>IF(BDD!J74="", "", "X")</f>
        <v>X</v>
      </c>
      <c r="G77" s="248" t="str">
        <f>IF(BDD!K74="", "", "X")</f>
        <v>X</v>
      </c>
      <c r="H77" s="248" t="str">
        <f>BDD!C74</f>
        <v>Iran</v>
      </c>
    </row>
    <row r="78" spans="1:8" ht="30" customHeight="1">
      <c r="A78" s="268" t="e">
        <f xml:space="preserve"> IF(#REF!=0, "",#REF!)</f>
        <v>#REF!</v>
      </c>
      <c r="B78" s="245" t="str">
        <f>BDD!B75</f>
        <v>Dattes Medjool Jumbo semi-sèche BIO</v>
      </c>
      <c r="C78" s="246">
        <f>BDD!G75</f>
        <v>25.19</v>
      </c>
      <c r="D78" s="247" t="str">
        <f>BDD!H75</f>
        <v>kg</v>
      </c>
      <c r="E78" s="248" t="str">
        <f>IF(BDD!I75="", "", "X")</f>
        <v>X</v>
      </c>
      <c r="F78" s="248" t="str">
        <f>IF(BDD!J75="", "", "X")</f>
        <v/>
      </c>
      <c r="G78" s="248" t="str">
        <f>IF(BDD!K75="", "", "X")</f>
        <v/>
      </c>
      <c r="H78" s="248" t="str">
        <f>BDD!C75</f>
        <v>Israël</v>
      </c>
    </row>
    <row r="79" spans="1:8" ht="30" customHeight="1">
      <c r="A79" s="268" t="e">
        <f xml:space="preserve"> IF(#REF!=0, "",#REF!)</f>
        <v>#REF!</v>
      </c>
      <c r="B79" s="245" t="str">
        <f>BDD!B76</f>
        <v>Eau de mer micro-filtrée hypertonique
    - (n°1 : box 3L)</v>
      </c>
      <c r="C79" s="246">
        <f>BDD!G76</f>
        <v>7.47</v>
      </c>
      <c r="D79" s="247" t="str">
        <f>BDD!H76</f>
        <v>Pièce</v>
      </c>
      <c r="E79" s="248" t="str">
        <f>IF(BDD!I76="", "", "X")</f>
        <v/>
      </c>
      <c r="F79" s="248" t="str">
        <f>IF(BDD!J76="", "", "X")</f>
        <v/>
      </c>
      <c r="G79" s="248" t="str">
        <f>IF(BDD!K76="", "", "X")</f>
        <v/>
      </c>
      <c r="H79" s="248" t="str">
        <f>BDD!C76</f>
        <v>Ibiza</v>
      </c>
    </row>
    <row r="80" spans="1:8" ht="30" customHeight="1">
      <c r="A80" s="268" t="e">
        <f xml:space="preserve"> IF(#REF!=0, "",#REF!)</f>
        <v>#REF!</v>
      </c>
      <c r="B80" s="245" t="str">
        <f>BDD!B77</f>
        <v>Eau de mer micro-filtrée hypertonique
    - (n°2 : box 11L)</v>
      </c>
      <c r="C80" s="246">
        <f>BDD!G77</f>
        <v>30</v>
      </c>
      <c r="D80" s="247" t="str">
        <f>BDD!H77</f>
        <v>Pièce</v>
      </c>
      <c r="E80" s="248" t="str">
        <f>IF(BDD!I77="", "", "X")</f>
        <v/>
      </c>
      <c r="F80" s="248" t="str">
        <f>IF(BDD!J77="", "", "X")</f>
        <v/>
      </c>
      <c r="G80" s="248" t="str">
        <f>IF(BDD!K77="", "", "X")</f>
        <v/>
      </c>
      <c r="H80" s="248" t="str">
        <f>BDD!C77</f>
        <v>Ibiza</v>
      </c>
    </row>
    <row r="81" spans="1:8" ht="30" customHeight="1">
      <c r="A81" s="268" t="e">
        <f xml:space="preserve"> IF(#REF!=0, "",#REF!)</f>
        <v>#REF!</v>
      </c>
      <c r="B81" s="245" t="str">
        <f>BDD!B78</f>
        <v>Eau de mer micro-filtrée hypertonique
    - (n°3 : box 20L)</v>
      </c>
      <c r="C81" s="246">
        <f>BDD!G78</f>
        <v>45</v>
      </c>
      <c r="D81" s="247" t="str">
        <f>BDD!H78</f>
        <v>Pièce</v>
      </c>
      <c r="E81" s="248" t="str">
        <f>IF(BDD!I78="", "", "X")</f>
        <v/>
      </c>
      <c r="F81" s="248" t="str">
        <f>IF(BDD!J78="", "", "X")</f>
        <v/>
      </c>
      <c r="G81" s="248" t="str">
        <f>IF(BDD!K78="", "", "X")</f>
        <v/>
      </c>
      <c r="H81" s="248" t="str">
        <f>BDD!C78</f>
        <v>Ibiza</v>
      </c>
    </row>
    <row r="82" spans="1:8" ht="30" customHeight="1">
      <c r="A82" s="268" t="e">
        <f xml:space="preserve"> IF(#REF!=0, "",#REF!)</f>
        <v>#REF!</v>
      </c>
      <c r="B82" s="245" t="str">
        <f>BDD!B79</f>
        <v>Epi de maïs doux frais</v>
      </c>
      <c r="C82" s="246">
        <f>BDD!G79</f>
        <v>1.34</v>
      </c>
      <c r="D82" s="247" t="str">
        <f>BDD!H79</f>
        <v>Pièce</v>
      </c>
      <c r="E82" s="248" t="str">
        <f>IF(BDD!I79="", "", "X")</f>
        <v/>
      </c>
      <c r="F82" s="248" t="str">
        <f>IF(BDD!J79="", "", "X")</f>
        <v/>
      </c>
      <c r="G82" s="248" t="str">
        <f>IF(BDD!K79="", "", "X")</f>
        <v/>
      </c>
      <c r="H82" s="248" t="str">
        <f>BDD!C79</f>
        <v>Malaga</v>
      </c>
    </row>
    <row r="83" spans="1:8" ht="30" customHeight="1">
      <c r="A83" s="268" t="e">
        <f xml:space="preserve"> IF(#REF!=0, "",#REF!)</f>
        <v>#REF!</v>
      </c>
      <c r="B83" s="245" t="str">
        <f>BDD!B80</f>
        <v>Extracteur de jus ANGEL 5500</v>
      </c>
      <c r="C83" s="246">
        <f>BDD!G80</f>
        <v>1000</v>
      </c>
      <c r="D83" s="247" t="str">
        <f>BDD!H80</f>
        <v>Pièce</v>
      </c>
      <c r="E83" s="248" t="str">
        <f>IF(BDD!I80="", "", "X")</f>
        <v/>
      </c>
      <c r="F83" s="248" t="str">
        <f>IF(BDD!J80="", "", "X")</f>
        <v/>
      </c>
      <c r="G83" s="248" t="str">
        <f>IF(BDD!K80="", "", "X")</f>
        <v/>
      </c>
      <c r="H83" s="248" t="str">
        <f>BDD!C80</f>
        <v>Union européenne</v>
      </c>
    </row>
    <row r="84" spans="1:8" ht="30" customHeight="1">
      <c r="A84" s="268" t="e">
        <f xml:space="preserve"> IF(#REF!=0, "",#REF!)</f>
        <v>#REF!</v>
      </c>
      <c r="B84" s="245" t="str">
        <f>BDD!B81</f>
        <v>Fane de Betterave Baby BIO
    - (Production de Rufino)</v>
      </c>
      <c r="C84" s="246">
        <f>BDD!G81</f>
        <v>5.19</v>
      </c>
      <c r="D84" s="247" t="str">
        <f>BDD!H81</f>
        <v>kg</v>
      </c>
      <c r="E84" s="248" t="str">
        <f>IF(BDD!I81="", "", "X")</f>
        <v/>
      </c>
      <c r="F84" s="248" t="str">
        <f>IF(BDD!J81="", "", "X")</f>
        <v/>
      </c>
      <c r="G84" s="248" t="str">
        <f>IF(BDD!K81="", "", "X")</f>
        <v/>
      </c>
      <c r="H84" s="248" t="str">
        <f>BDD!C81</f>
        <v>Grenade</v>
      </c>
    </row>
    <row r="85" spans="1:8" ht="30" customHeight="1">
      <c r="A85" s="268" t="e">
        <f xml:space="preserve"> IF(#REF!=0, "",#REF!)</f>
        <v>#REF!</v>
      </c>
      <c r="B85" s="245" t="str">
        <f>BDD!B82</f>
        <v>Fane de betterave BIO (production Rufino)</v>
      </c>
      <c r="C85" s="246">
        <f>BDD!G82</f>
        <v>5.19</v>
      </c>
      <c r="D85" s="247" t="str">
        <f>BDD!H82</f>
        <v>kg</v>
      </c>
      <c r="E85" s="248" t="str">
        <f>IF(BDD!I82="", "", "X")</f>
        <v/>
      </c>
      <c r="F85" s="248" t="str">
        <f>IF(BDD!J82="", "", "X")</f>
        <v/>
      </c>
      <c r="G85" s="248" t="str">
        <f>IF(BDD!K82="", "", "X")</f>
        <v/>
      </c>
      <c r="H85" s="248" t="str">
        <f>BDD!C82</f>
        <v>Grenade</v>
      </c>
    </row>
    <row r="86" spans="1:8" ht="30" customHeight="1">
      <c r="A86" s="268" t="e">
        <f xml:space="preserve"> IF(#REF!=0, "",#REF!)</f>
        <v>#REF!</v>
      </c>
      <c r="B86" s="245" t="str">
        <f>BDD!B83</f>
        <v>Farine de coco (env. 1kg)</v>
      </c>
      <c r="C86" s="246">
        <f>BDD!G83</f>
        <v>8.48</v>
      </c>
      <c r="D86" s="247" t="str">
        <f>BDD!H83</f>
        <v>Pièce</v>
      </c>
      <c r="E86" s="248" t="str">
        <f>IF(BDD!I83="", "", "X")</f>
        <v/>
      </c>
      <c r="F86" s="248" t="str">
        <f>IF(BDD!J83="", "", "X")</f>
        <v/>
      </c>
      <c r="G86" s="248" t="str">
        <f>IF(BDD!K83="", "", "X")</f>
        <v/>
      </c>
      <c r="H86" s="248" t="str">
        <f>BDD!C83</f>
        <v>Sri Lanka</v>
      </c>
    </row>
    <row r="87" spans="1:8" ht="30" customHeight="1">
      <c r="A87" s="268" t="e">
        <f xml:space="preserve"> IF(#REF!=0, "",#REF!)</f>
        <v>#REF!</v>
      </c>
      <c r="B87" s="245" t="str">
        <f>BDD!B84</f>
        <v>Fenugrec en graines BIO (env. 500g)</v>
      </c>
      <c r="C87" s="246">
        <f>BDD!G84</f>
        <v>12.3</v>
      </c>
      <c r="D87" s="247" t="str">
        <f>BDD!H84</f>
        <v>Pièce</v>
      </c>
      <c r="E87" s="248" t="str">
        <f>IF(BDD!I84="", "", "X")</f>
        <v/>
      </c>
      <c r="F87" s="248" t="str">
        <f>IF(BDD!J84="", "", "X")</f>
        <v/>
      </c>
      <c r="G87" s="248" t="str">
        <f>IF(BDD!K84="", "", "X")</f>
        <v/>
      </c>
      <c r="H87" s="248" t="str">
        <f>BDD!C84</f>
        <v>Égypte</v>
      </c>
    </row>
    <row r="88" spans="1:8" ht="30" customHeight="1">
      <c r="A88" s="268" t="e">
        <f xml:space="preserve"> IF(#REF!=0, "",#REF!)</f>
        <v>#REF!</v>
      </c>
      <c r="B88" s="245" t="str">
        <f>BDD!B85</f>
        <v>Fève de Cacao entière CRU BIO (env. 1kg)</v>
      </c>
      <c r="C88" s="246">
        <f>BDD!G85</f>
        <v>21.89</v>
      </c>
      <c r="D88" s="247" t="str">
        <f>BDD!H85</f>
        <v>Pièce</v>
      </c>
      <c r="E88" s="248" t="str">
        <f>IF(BDD!I85="", "", "X")</f>
        <v>X</v>
      </c>
      <c r="F88" s="248" t="str">
        <f>IF(BDD!J85="", "", "X")</f>
        <v/>
      </c>
      <c r="G88" s="248" t="str">
        <f>IF(BDD!K85="", "", "X")</f>
        <v/>
      </c>
      <c r="H88" s="248" t="str">
        <f>BDD!C85</f>
        <v>Pérou</v>
      </c>
    </row>
    <row r="89" spans="1:8" ht="30" customHeight="1">
      <c r="A89" s="268" t="e">
        <f xml:space="preserve"> IF(#REF!=0, "",#REF!)</f>
        <v>#REF!</v>
      </c>
      <c r="B89" s="245" t="str">
        <f>BDD!B86</f>
        <v>Figue de Barbarie</v>
      </c>
      <c r="C89" s="246">
        <f>BDD!G86</f>
        <v>6.7</v>
      </c>
      <c r="D89" s="247" t="str">
        <f>BDD!H86</f>
        <v>kg</v>
      </c>
      <c r="E89" s="248" t="str">
        <f>IF(BDD!I86="", "", "X")</f>
        <v>X</v>
      </c>
      <c r="F89" s="248" t="str">
        <f>IF(BDD!J86="", "", "X")</f>
        <v>X</v>
      </c>
      <c r="G89" s="248" t="str">
        <f>IF(BDD!K86="", "", "X")</f>
        <v/>
      </c>
      <c r="H89" s="248" t="str">
        <f>BDD!C86</f>
        <v>Grenade</v>
      </c>
    </row>
    <row r="90" spans="1:8" ht="30" customHeight="1">
      <c r="A90" s="268" t="e">
        <f xml:space="preserve"> IF(#REF!=0, "",#REF!)</f>
        <v>#REF!</v>
      </c>
      <c r="B90" s="245" t="str">
        <f>BDD!B87</f>
        <v>Figues sèches BIO</v>
      </c>
      <c r="C90" s="246">
        <f>BDD!G87</f>
        <v>11.63</v>
      </c>
      <c r="D90" s="247" t="str">
        <f>BDD!H87</f>
        <v>kg</v>
      </c>
      <c r="E90" s="248" t="str">
        <f>IF(BDD!I87="", "", "X")</f>
        <v>X</v>
      </c>
      <c r="F90" s="248" t="str">
        <f>IF(BDD!J87="", "", "X")</f>
        <v/>
      </c>
      <c r="G90" s="248" t="str">
        <f>IF(BDD!K87="", "", "X")</f>
        <v/>
      </c>
      <c r="H90" s="248" t="str">
        <f>BDD!C87</f>
        <v>Turquie</v>
      </c>
    </row>
    <row r="91" spans="1:8" ht="30" customHeight="1">
      <c r="A91" s="268" t="e">
        <f xml:space="preserve"> IF(#REF!=0, "",#REF!)</f>
        <v>#REF!</v>
      </c>
      <c r="B91" s="245" t="str">
        <f>BDD!B88</f>
        <v>Fruits du Baobab en poudre BIO</v>
      </c>
      <c r="C91" s="246">
        <f>BDD!G88</f>
        <v>36.5</v>
      </c>
      <c r="D91" s="247" t="str">
        <f>BDD!H88</f>
        <v>kg</v>
      </c>
      <c r="E91" s="248" t="str">
        <f>IF(BDD!I88="", "", "X")</f>
        <v/>
      </c>
      <c r="F91" s="248" t="str">
        <f>IF(BDD!J88="", "", "X")</f>
        <v/>
      </c>
      <c r="G91" s="248" t="str">
        <f>IF(BDD!K88="", "", "X")</f>
        <v/>
      </c>
      <c r="H91" s="248" t="str">
        <f>BDD!C88</f>
        <v>Import</v>
      </c>
    </row>
    <row r="92" spans="1:8" ht="30" customHeight="1">
      <c r="A92" s="268" t="e">
        <f xml:space="preserve"> IF(#REF!=0, "",#REF!)</f>
        <v>#REF!</v>
      </c>
      <c r="B92" s="245" t="str">
        <f>BDD!B89</f>
        <v>Gingembre BIO</v>
      </c>
      <c r="C92" s="246">
        <f>BDD!G89</f>
        <v>7.25</v>
      </c>
      <c r="D92" s="247" t="str">
        <f>BDD!H89</f>
        <v>kg</v>
      </c>
      <c r="E92" s="248" t="str">
        <f>IF(BDD!I89="", "", "X")</f>
        <v>X</v>
      </c>
      <c r="F92" s="248" t="str">
        <f>IF(BDD!J89="", "", "X")</f>
        <v>X</v>
      </c>
      <c r="G92" s="248" t="str">
        <f>IF(BDD!K89="", "", "X")</f>
        <v/>
      </c>
      <c r="H92" s="248" t="str">
        <f>BDD!C89</f>
        <v>Pérou</v>
      </c>
    </row>
    <row r="93" spans="1:8" ht="30" customHeight="1">
      <c r="A93" s="268" t="e">
        <f xml:space="preserve"> IF(#REF!=0, "",#REF!)</f>
        <v>#REF!</v>
      </c>
      <c r="B93" s="245" t="str">
        <f>BDD!B90</f>
        <v>Goyave</v>
      </c>
      <c r="C93" s="246">
        <f>BDD!G90</f>
        <v>4.08</v>
      </c>
      <c r="D93" s="247" t="str">
        <f>BDD!H90</f>
        <v>kg</v>
      </c>
      <c r="E93" s="248" t="str">
        <f>IF(BDD!I90="", "", "X")</f>
        <v>X</v>
      </c>
      <c r="F93" s="248" t="str">
        <f>IF(BDD!J90="", "", "X")</f>
        <v>X</v>
      </c>
      <c r="G93" s="248" t="str">
        <f>IF(BDD!K90="", "", "X")</f>
        <v>X</v>
      </c>
      <c r="H93" s="248" t="str">
        <f>BDD!C90</f>
        <v>Grenade</v>
      </c>
    </row>
    <row r="94" spans="1:8" ht="30" customHeight="1">
      <c r="A94" s="268" t="e">
        <f xml:space="preserve"> IF(#REF!=0, "",#REF!)</f>
        <v>#REF!</v>
      </c>
      <c r="B94" s="245" t="str">
        <f>BDD!B91</f>
        <v>Graines de chanvre pelées CRU BIO
    - (env. 1 kg)</v>
      </c>
      <c r="C94" s="246">
        <f>BDD!G91</f>
        <v>17.78</v>
      </c>
      <c r="D94" s="247" t="str">
        <f>BDD!H91</f>
        <v>kg</v>
      </c>
      <c r="E94" s="248" t="str">
        <f>IF(BDD!I91="", "", "X")</f>
        <v>X</v>
      </c>
      <c r="F94" s="248" t="str">
        <f>IF(BDD!J91="", "", "X")</f>
        <v/>
      </c>
      <c r="G94" s="248" t="str">
        <f>IF(BDD!K91="", "", "X")</f>
        <v/>
      </c>
      <c r="H94" s="248" t="str">
        <f>BDD!C91</f>
        <v>Chine</v>
      </c>
    </row>
    <row r="95" spans="1:8" ht="30" customHeight="1">
      <c r="A95" s="268" t="e">
        <f xml:space="preserve"> IF(#REF!=0, "",#REF!)</f>
        <v>#REF!</v>
      </c>
      <c r="B95" s="245" t="str">
        <f>BDD!B92</f>
        <v>Graines de tournesol sans coque CRU BIO
    - (env. 1kg)</v>
      </c>
      <c r="C95" s="246">
        <f>BDD!G92</f>
        <v>4.51</v>
      </c>
      <c r="D95" s="247" t="str">
        <f>BDD!H92</f>
        <v>kg</v>
      </c>
      <c r="E95" s="248" t="str">
        <f>IF(BDD!I92="", "", "X")</f>
        <v>X</v>
      </c>
      <c r="F95" s="248" t="str">
        <f>IF(BDD!J92="", "", "X")</f>
        <v>X</v>
      </c>
      <c r="G95" s="248" t="str">
        <f>IF(BDD!K92="", "", "X")</f>
        <v/>
      </c>
      <c r="H95" s="248" t="str">
        <f>BDD!C92</f>
        <v>Bulgarie</v>
      </c>
    </row>
    <row r="96" spans="1:8" ht="30" customHeight="1">
      <c r="A96" s="268" t="e">
        <f xml:space="preserve"> IF(#REF!=0, "",#REF!)</f>
        <v>#REF!</v>
      </c>
      <c r="B96" s="245" t="str">
        <f>BDD!B93</f>
        <v>Graines de tournesol sans coque CRU BIO
    - (env. 500g)</v>
      </c>
      <c r="C96" s="246">
        <f>BDD!G93</f>
        <v>2.95</v>
      </c>
      <c r="D96" s="247" t="str">
        <f>BDD!H93</f>
        <v>Pièce</v>
      </c>
      <c r="E96" s="248" t="str">
        <f>IF(BDD!I93="", "", "X")</f>
        <v/>
      </c>
      <c r="F96" s="248" t="str">
        <f>IF(BDD!J93="", "", "X")</f>
        <v/>
      </c>
      <c r="G96" s="248" t="str">
        <f>IF(BDD!K93="", "", "X")</f>
        <v/>
      </c>
      <c r="H96" s="248" t="str">
        <f>BDD!C93</f>
        <v>Bulgarie</v>
      </c>
    </row>
    <row r="97" spans="1:8" ht="30" customHeight="1">
      <c r="A97" s="268" t="e">
        <f xml:space="preserve"> IF(#REF!=0, "",#REF!)</f>
        <v>#REF!</v>
      </c>
      <c r="B97" s="245" t="str">
        <f>BDD!B94</f>
        <v>Grenade</v>
      </c>
      <c r="C97" s="246">
        <f>BDD!G94</f>
        <v>2.4500000000000002</v>
      </c>
      <c r="D97" s="247" t="str">
        <f>BDD!H94</f>
        <v>kg</v>
      </c>
      <c r="E97" s="248" t="str">
        <f>IF(BDD!I94="", "", "X")</f>
        <v>X</v>
      </c>
      <c r="F97" s="248" t="str">
        <f>IF(BDD!J94="", "", "X")</f>
        <v>X</v>
      </c>
      <c r="G97" s="248" t="str">
        <f>IF(BDD!K94="", "", "X")</f>
        <v>X</v>
      </c>
      <c r="H97" s="248" t="str">
        <f>BDD!C94</f>
        <v>Grenade</v>
      </c>
    </row>
    <row r="98" spans="1:8" ht="30" customHeight="1">
      <c r="A98" s="268" t="e">
        <f xml:space="preserve"> IF(#REF!=0, "",#REF!)</f>
        <v>#REF!</v>
      </c>
      <c r="B98" s="245" t="str">
        <f>BDD!B95</f>
        <v>Grenade BIO</v>
      </c>
      <c r="C98" s="246">
        <f>BDD!G95</f>
        <v>3</v>
      </c>
      <c r="D98" s="247" t="str">
        <f>BDD!H95</f>
        <v>kg</v>
      </c>
      <c r="E98" s="248" t="str">
        <f>IF(BDD!I95="", "", "X")</f>
        <v>X</v>
      </c>
      <c r="F98" s="248" t="str">
        <f>IF(BDD!J95="", "", "X")</f>
        <v>X</v>
      </c>
      <c r="G98" s="248" t="str">
        <f>IF(BDD!K95="", "", "X")</f>
        <v>X</v>
      </c>
      <c r="H98" s="248" t="str">
        <f>BDD!C95</f>
        <v>Grenade</v>
      </c>
    </row>
    <row r="99" spans="1:8" ht="30" customHeight="1">
      <c r="A99" s="268" t="e">
        <f xml:space="preserve"> IF(#REF!=0, "",#REF!)</f>
        <v>#REF!</v>
      </c>
      <c r="B99" s="245" t="str">
        <f>BDD!B96</f>
        <v xml:space="preserve">Grenade Purple Queen BIO </v>
      </c>
      <c r="C99" s="246">
        <f>BDD!G96</f>
        <v>3.27</v>
      </c>
      <c r="D99" s="247" t="str">
        <f>BDD!H96</f>
        <v>kg</v>
      </c>
      <c r="E99" s="248" t="str">
        <f>IF(BDD!I96="", "", "X")</f>
        <v>X</v>
      </c>
      <c r="F99" s="248" t="str">
        <f>IF(BDD!J96="", "", "X")</f>
        <v>X</v>
      </c>
      <c r="G99" s="248" t="str">
        <f>IF(BDD!K96="", "", "X")</f>
        <v>X</v>
      </c>
      <c r="H99" s="248" t="str">
        <f>BDD!C96</f>
        <v>Malaga</v>
      </c>
    </row>
    <row r="100" spans="1:8" ht="30" customHeight="1">
      <c r="A100" s="268" t="e">
        <f xml:space="preserve"> IF(#REF!=0, "",#REF!)</f>
        <v>#REF!</v>
      </c>
      <c r="B100" s="245" t="str">
        <f>BDD!B97</f>
        <v>Huile d'olive Alorena 1L BIO</v>
      </c>
      <c r="C100" s="246">
        <f>BDD!G97</f>
        <v>9.3000000000000007</v>
      </c>
      <c r="D100" s="247" t="str">
        <f>BDD!H97</f>
        <v>kg</v>
      </c>
      <c r="E100" s="248" t="str">
        <f>IF(BDD!I97="", "", "X")</f>
        <v/>
      </c>
      <c r="F100" s="248" t="str">
        <f>IF(BDD!J97="", "", "X")</f>
        <v/>
      </c>
      <c r="G100" s="248" t="str">
        <f>IF(BDD!K97="", "", "X")</f>
        <v/>
      </c>
      <c r="H100" s="248" t="str">
        <f>BDD!C97</f>
        <v>Malaga</v>
      </c>
    </row>
    <row r="101" spans="1:8" ht="30" customHeight="1">
      <c r="A101" s="268" t="e">
        <f xml:space="preserve"> IF(#REF!=0, "",#REF!)</f>
        <v>#REF!</v>
      </c>
      <c r="B101" s="245" t="str">
        <f>BDD!B98</f>
        <v>Huile d'olive Aloreña 5L BIO</v>
      </c>
      <c r="C101" s="246">
        <f>BDD!G98</f>
        <v>41.07</v>
      </c>
      <c r="D101" s="247" t="str">
        <f>BDD!H98</f>
        <v>5l</v>
      </c>
      <c r="E101" s="248" t="str">
        <f>IF(BDD!I98="", "", "X")</f>
        <v/>
      </c>
      <c r="F101" s="248" t="str">
        <f>IF(BDD!J98="", "", "X")</f>
        <v/>
      </c>
      <c r="G101" s="248" t="str">
        <f>IF(BDD!K98="", "", "X")</f>
        <v/>
      </c>
      <c r="H101" s="248" t="str">
        <f>BDD!C98</f>
        <v>Malaga</v>
      </c>
    </row>
    <row r="102" spans="1:8" ht="30" customHeight="1">
      <c r="A102" s="268" t="e">
        <f xml:space="preserve"> IF(#REF!=0, "",#REF!)</f>
        <v>#REF!</v>
      </c>
      <c r="B102" s="245" t="str">
        <f>BDD!B99</f>
        <v>Kaki différentes variétés
    - (persimon, rouge brillant, tomatero)</v>
      </c>
      <c r="C102" s="246">
        <f>BDD!G99</f>
        <v>3.27</v>
      </c>
      <c r="D102" s="247" t="str">
        <f>BDD!H99</f>
        <v>kg</v>
      </c>
      <c r="E102" s="248" t="str">
        <f>IF(BDD!I99="", "", "X")</f>
        <v>X</v>
      </c>
      <c r="F102" s="248" t="str">
        <f>IF(BDD!J99="", "", "X")</f>
        <v>X</v>
      </c>
      <c r="G102" s="248" t="str">
        <f>IF(BDD!K99="", "", "X")</f>
        <v/>
      </c>
      <c r="H102" s="248" t="str">
        <f>BDD!C99</f>
        <v>Grenade</v>
      </c>
    </row>
    <row r="103" spans="1:8" ht="30" customHeight="1">
      <c r="A103" s="268" t="e">
        <f xml:space="preserve"> IF(#REF!=0, "",#REF!)</f>
        <v>#REF!</v>
      </c>
      <c r="B103" s="245" t="str">
        <f>BDD!B100</f>
        <v>Kaki Fuyu</v>
      </c>
      <c r="C103" s="246">
        <f>BDD!G100</f>
        <v>3.69</v>
      </c>
      <c r="D103" s="247" t="str">
        <f>BDD!H100</f>
        <v>kg</v>
      </c>
      <c r="E103" s="248" t="str">
        <f>IF(BDD!I100="", "", "X")</f>
        <v>X</v>
      </c>
      <c r="F103" s="248" t="str">
        <f>IF(BDD!J100="", "", "X")</f>
        <v>X</v>
      </c>
      <c r="G103" s="248" t="str">
        <f>IF(BDD!K100="", "", "X")</f>
        <v>X</v>
      </c>
      <c r="H103" s="248" t="str">
        <f>BDD!C100</f>
        <v>Grenade</v>
      </c>
    </row>
    <row r="104" spans="1:8" ht="30" customHeight="1">
      <c r="A104" s="268" t="e">
        <f xml:space="preserve"> IF(#REF!=0, "",#REF!)</f>
        <v>#REF!</v>
      </c>
      <c r="B104" s="245" t="str">
        <f>BDD!B101</f>
        <v xml:space="preserve">Kiwi </v>
      </c>
      <c r="C104" s="246">
        <f>BDD!G101</f>
        <v>5.45</v>
      </c>
      <c r="D104" s="247" t="str">
        <f>BDD!H101</f>
        <v>kg</v>
      </c>
      <c r="E104" s="248" t="str">
        <f>IF(BDD!I101="", "", "X")</f>
        <v>X</v>
      </c>
      <c r="F104" s="248" t="str">
        <f>IF(BDD!J101="", "", "X")</f>
        <v>X</v>
      </c>
      <c r="G104" s="248" t="str">
        <f>IF(BDD!K101="", "", "X")</f>
        <v/>
      </c>
      <c r="H104" s="248" t="str">
        <f>BDD!C101</f>
        <v>Grenade</v>
      </c>
    </row>
    <row r="105" spans="1:8" ht="30" customHeight="1">
      <c r="A105" s="268" t="e">
        <f xml:space="preserve"> IF(#REF!=0, "",#REF!)</f>
        <v>#REF!</v>
      </c>
      <c r="B105" s="245" t="str">
        <f>BDD!B102</f>
        <v>Kiwi  BIO</v>
      </c>
      <c r="C105" s="246">
        <f>BDD!G102</f>
        <v>6.01</v>
      </c>
      <c r="D105" s="247" t="str">
        <f>BDD!H102</f>
        <v>kg</v>
      </c>
      <c r="E105" s="248" t="str">
        <f>IF(BDD!I102="", "", "X")</f>
        <v>X</v>
      </c>
      <c r="F105" s="248" t="str">
        <f>IF(BDD!J102="", "", "X")</f>
        <v>X</v>
      </c>
      <c r="G105" s="248" t="str">
        <f>IF(BDD!K102="", "", "X")</f>
        <v/>
      </c>
      <c r="H105" s="248" t="str">
        <f>BDD!C102</f>
        <v>Portugal</v>
      </c>
    </row>
    <row r="106" spans="1:8" ht="30" customHeight="1">
      <c r="A106" s="268" t="e">
        <f xml:space="preserve"> IF(#REF!=0, "",#REF!)</f>
        <v>#REF!</v>
      </c>
      <c r="B106" s="245" t="str">
        <f>BDD!B103</f>
        <v>Kiwi Sun Gold</v>
      </c>
      <c r="C106" s="246">
        <f>BDD!G103</f>
        <v>9.44</v>
      </c>
      <c r="D106" s="247" t="str">
        <f>BDD!H103</f>
        <v>kg</v>
      </c>
      <c r="E106" s="248" t="str">
        <f>IF(BDD!I103="", "", "X")</f>
        <v/>
      </c>
      <c r="F106" s="248" t="str">
        <f>IF(BDD!J103="", "", "X")</f>
        <v/>
      </c>
      <c r="G106" s="248" t="str">
        <f>IF(BDD!K103="", "", "X")</f>
        <v/>
      </c>
      <c r="H106" s="248" t="str">
        <f>BDD!C103</f>
        <v>Nouvelle
Zélande</v>
      </c>
    </row>
    <row r="107" spans="1:8" ht="30" customHeight="1">
      <c r="A107" s="268" t="e">
        <f xml:space="preserve"> IF(#REF!=0, "",#REF!)</f>
        <v>#REF!</v>
      </c>
      <c r="B107" s="245" t="str">
        <f>BDD!B104</f>
        <v>Lait de coco en poudre CRU BIO (1kg)</v>
      </c>
      <c r="C107" s="246">
        <f>BDD!G104</f>
        <v>34.22</v>
      </c>
      <c r="D107" s="247" t="str">
        <f>BDD!H104</f>
        <v>kg</v>
      </c>
      <c r="E107" s="248" t="str">
        <f>IF(BDD!I104="", "", "X")</f>
        <v>X</v>
      </c>
      <c r="F107" s="248" t="str">
        <f>IF(BDD!J104="", "", "X")</f>
        <v/>
      </c>
      <c r="G107" s="248" t="str">
        <f>IF(BDD!K104="", "", "X")</f>
        <v/>
      </c>
      <c r="H107" s="248" t="str">
        <f>BDD!C104</f>
        <v>Sri Lanka</v>
      </c>
    </row>
    <row r="108" spans="1:8" ht="30" customHeight="1">
      <c r="A108" s="268" t="e">
        <f xml:space="preserve"> IF(#REF!=0, "",#REF!)</f>
        <v>#REF!</v>
      </c>
      <c r="B108" s="245" t="str">
        <f>BDD!B105</f>
        <v>Lait de coco en poudre CRU BIO (500g)</v>
      </c>
      <c r="C108" s="246">
        <f>BDD!G105</f>
        <v>17.78</v>
      </c>
      <c r="D108" s="247" t="str">
        <f>BDD!H105</f>
        <v>kg</v>
      </c>
      <c r="E108" s="248" t="str">
        <f>IF(BDD!I105="", "", "X")</f>
        <v/>
      </c>
      <c r="F108" s="248" t="str">
        <f>IF(BDD!J105="", "", "X")</f>
        <v/>
      </c>
      <c r="G108" s="248" t="str">
        <f>IF(BDD!K105="", "", "X")</f>
        <v/>
      </c>
      <c r="H108" s="248" t="str">
        <f>BDD!C105</f>
        <v>Sri Lanka</v>
      </c>
    </row>
    <row r="109" spans="1:8" ht="30" customHeight="1">
      <c r="A109" s="268" t="e">
        <f xml:space="preserve"> IF(#REF!=0, "",#REF!)</f>
        <v>#REF!</v>
      </c>
      <c r="B109" s="245" t="str">
        <f>BDD!B106</f>
        <v>Lima-Limon BIO (entre citron vert et jaune)
    - (Variété indienne)</v>
      </c>
      <c r="C109" s="246">
        <f>BDD!G106</f>
        <v>3.14</v>
      </c>
      <c r="D109" s="247" t="str">
        <f>BDD!H106</f>
        <v>kg</v>
      </c>
      <c r="E109" s="248" t="str">
        <f>IF(BDD!I106="", "", "X")</f>
        <v>X</v>
      </c>
      <c r="F109" s="248" t="str">
        <f>IF(BDD!J106="", "", "X")</f>
        <v>X</v>
      </c>
      <c r="G109" s="248" t="str">
        <f>IF(BDD!K106="", "", "X")</f>
        <v>X</v>
      </c>
      <c r="H109" s="248" t="str">
        <f>BDD!C106</f>
        <v>Malaga</v>
      </c>
    </row>
    <row r="110" spans="1:8" ht="30" customHeight="1">
      <c r="A110" s="268" t="e">
        <f xml:space="preserve"> IF(#REF!=0, "",#REF!)</f>
        <v>#REF!</v>
      </c>
      <c r="B110" s="245" t="str">
        <f>BDD!B107</f>
        <v>Lucuma cru en poudre CRU BIO (env. 1 kg)</v>
      </c>
      <c r="C110" s="246">
        <f>BDD!G107</f>
        <v>30.11</v>
      </c>
      <c r="D110" s="247" t="str">
        <f>BDD!H107</f>
        <v>Pièce</v>
      </c>
      <c r="E110" s="248" t="str">
        <f>IF(BDD!I107="", "", "X")</f>
        <v/>
      </c>
      <c r="F110" s="248" t="str">
        <f>IF(BDD!J107="", "", "X")</f>
        <v/>
      </c>
      <c r="G110" s="248" t="str">
        <f>IF(BDD!K107="", "", "X")</f>
        <v/>
      </c>
      <c r="H110" s="248" t="str">
        <f>BDD!C107</f>
        <v>Pérou</v>
      </c>
    </row>
    <row r="111" spans="1:8" ht="30" customHeight="1">
      <c r="A111" s="268" t="e">
        <f xml:space="preserve"> IF(#REF!=0, "",#REF!)</f>
        <v>#REF!</v>
      </c>
      <c r="B111" s="245" t="str">
        <f>BDD!B108</f>
        <v>Maca brute en poudre CRU BIO (env. 1kg)</v>
      </c>
      <c r="C111" s="246">
        <f>BDD!G108</f>
        <v>16.41</v>
      </c>
      <c r="D111" s="247" t="str">
        <f>BDD!H108</f>
        <v>Pièce</v>
      </c>
      <c r="E111" s="248" t="str">
        <f>IF(BDD!I108="", "", "X")</f>
        <v>X</v>
      </c>
      <c r="F111" s="248" t="str">
        <f>IF(BDD!J108="", "", "X")</f>
        <v/>
      </c>
      <c r="G111" s="248" t="str">
        <f>IF(BDD!K108="", "", "X")</f>
        <v/>
      </c>
      <c r="H111" s="248" t="str">
        <f>BDD!C108</f>
        <v>Pérou</v>
      </c>
    </row>
    <row r="112" spans="1:8" ht="30" customHeight="1">
      <c r="A112" s="268" t="e">
        <f xml:space="preserve"> IF(#REF!=0, "",#REF!)</f>
        <v>#REF!</v>
      </c>
      <c r="B112" s="245" t="str">
        <f>BDD!B109</f>
        <v>Maca brute en poudre CRU BIO (env. 500g)</v>
      </c>
      <c r="C112" s="246">
        <f>BDD!G109</f>
        <v>8.89</v>
      </c>
      <c r="D112" s="247" t="str">
        <f>BDD!H109</f>
        <v>Pièce</v>
      </c>
      <c r="E112" s="248" t="str">
        <f>IF(BDD!I109="", "", "X")</f>
        <v/>
      </c>
      <c r="F112" s="248" t="str">
        <f>IF(BDD!J109="", "", "X")</f>
        <v/>
      </c>
      <c r="G112" s="248" t="str">
        <f>IF(BDD!K109="", "", "X")</f>
        <v/>
      </c>
      <c r="H112" s="248" t="str">
        <f>BDD!C109</f>
        <v>Pérou</v>
      </c>
    </row>
    <row r="113" spans="1:8" ht="30" customHeight="1">
      <c r="A113" s="268" t="e">
        <f xml:space="preserve"> IF(#REF!=0, "",#REF!)</f>
        <v>#REF!</v>
      </c>
      <c r="B113" s="245" t="str">
        <f>BDD!B110</f>
        <v>Maca noire BIO (env. 1kg)</v>
      </c>
      <c r="C113" s="246">
        <f>BDD!G110</f>
        <v>27.37</v>
      </c>
      <c r="D113" s="247" t="str">
        <f>BDD!H110</f>
        <v>Pièce</v>
      </c>
      <c r="E113" s="248" t="str">
        <f>IF(BDD!I110="", "", "X")</f>
        <v/>
      </c>
      <c r="F113" s="248" t="str">
        <f>IF(BDD!J110="", "", "X")</f>
        <v/>
      </c>
      <c r="G113" s="248" t="str">
        <f>IF(BDD!K110="", "", "X")</f>
        <v/>
      </c>
      <c r="H113" s="248" t="str">
        <f>BDD!C110</f>
        <v>Pérou</v>
      </c>
    </row>
    <row r="114" spans="1:8" ht="30" customHeight="1">
      <c r="A114" s="268" t="e">
        <f xml:space="preserve"> IF(#REF!=0, "",#REF!)</f>
        <v>#REF!</v>
      </c>
      <c r="B114" s="245" t="str">
        <f>BDD!B111</f>
        <v>Maca noire BIO (env. 500g)</v>
      </c>
      <c r="C114" s="246">
        <f>BDD!G111</f>
        <v>14.37</v>
      </c>
      <c r="D114" s="247" t="str">
        <f>BDD!H111</f>
        <v>Pièce</v>
      </c>
      <c r="E114" s="248" t="str">
        <f>IF(BDD!I111="", "", "X")</f>
        <v/>
      </c>
      <c r="F114" s="248" t="str">
        <f>IF(BDD!J111="", "", "X")</f>
        <v/>
      </c>
      <c r="G114" s="248" t="str">
        <f>IF(BDD!K111="", "", "X")</f>
        <v/>
      </c>
      <c r="H114" s="248" t="str">
        <f>BDD!C111</f>
        <v>Pérou</v>
      </c>
    </row>
    <row r="115" spans="1:8" ht="30" customHeight="1">
      <c r="A115" s="268" t="e">
        <f xml:space="preserve"> IF(#REF!=0, "",#REF!)</f>
        <v>#REF!</v>
      </c>
      <c r="B115" s="245" t="str">
        <f>BDD!B112</f>
        <v>Maïs doux frais (plateau de 2 pièces)</v>
      </c>
      <c r="C115" s="246">
        <f>BDD!G112</f>
        <v>2.71</v>
      </c>
      <c r="D115" s="247" t="str">
        <f>BDD!H112</f>
        <v>Pièce</v>
      </c>
      <c r="E115" s="248" t="str">
        <f>IF(BDD!I112="", "", "X")</f>
        <v/>
      </c>
      <c r="F115" s="248" t="str">
        <f>IF(BDD!J112="", "", "X")</f>
        <v/>
      </c>
      <c r="G115" s="248" t="str">
        <f>IF(BDD!K112="", "", "X")</f>
        <v/>
      </c>
      <c r="H115" s="248" t="str">
        <f>BDD!C112</f>
        <v>Malaga</v>
      </c>
    </row>
    <row r="116" spans="1:8" ht="30" customHeight="1">
      <c r="A116" s="268" t="e">
        <f xml:space="preserve"> IF(#REF!=0, "",#REF!)</f>
        <v>#REF!</v>
      </c>
      <c r="B116" s="245" t="str">
        <f>BDD!B113</f>
        <v>Mangue déshydratée Irwin gourmet (à basse température, tranches)</v>
      </c>
      <c r="C116" s="246">
        <f>BDD!G113</f>
        <v>53.4</v>
      </c>
      <c r="D116" s="247" t="str">
        <f>BDD!H113</f>
        <v>kg</v>
      </c>
      <c r="E116" s="248" t="str">
        <f>IF(BDD!I113="", "", "X")</f>
        <v/>
      </c>
      <c r="F116" s="248" t="str">
        <f>IF(BDD!J113="", "", "X")</f>
        <v/>
      </c>
      <c r="G116" s="248" t="str">
        <f>IF(BDD!K113="", "", "X")</f>
        <v/>
      </c>
      <c r="H116" s="248" t="str">
        <f>BDD!C113</f>
        <v>Grenade</v>
      </c>
    </row>
    <row r="117" spans="1:8" ht="30" customHeight="1">
      <c r="A117" s="268" t="e">
        <f xml:space="preserve"> IF(#REF!=0, "",#REF!)</f>
        <v>#REF!</v>
      </c>
      <c r="B117" s="245" t="str">
        <f>BDD!B114</f>
        <v>Mangue déshydratée rouge Palmer (semi-sèche  de fabrication artisanale, env. 500g)</v>
      </c>
      <c r="C117" s="246">
        <f>BDD!G114</f>
        <v>11.63</v>
      </c>
      <c r="D117" s="247" t="str">
        <f>BDD!H114</f>
        <v>Pièce</v>
      </c>
      <c r="E117" s="248" t="str">
        <f>IF(BDD!I114="", "", "X")</f>
        <v/>
      </c>
      <c r="F117" s="248" t="str">
        <f>IF(BDD!J114="", "", "X")</f>
        <v/>
      </c>
      <c r="G117" s="248" t="str">
        <f>IF(BDD!K114="", "", "X")</f>
        <v/>
      </c>
      <c r="H117" s="248" t="str">
        <f>BDD!C114</f>
        <v>Grenade</v>
      </c>
    </row>
    <row r="118" spans="1:8" ht="30" customHeight="1">
      <c r="A118" s="268" t="e">
        <f xml:space="preserve"> IF(#REF!=0, "",#REF!)</f>
        <v>#REF!</v>
      </c>
      <c r="B118" s="245" t="str">
        <f>BDD!B115</f>
        <v>Mangue Irwin (grande)</v>
      </c>
      <c r="C118" s="246">
        <f>BDD!G115</f>
        <v>7.25</v>
      </c>
      <c r="D118" s="247" t="str">
        <f>BDD!H115</f>
        <v>kg</v>
      </c>
      <c r="E118" s="248" t="str">
        <f>IF(BDD!I115="", "", "X")</f>
        <v>X</v>
      </c>
      <c r="F118" s="248" t="str">
        <f>IF(BDD!J115="", "", "X")</f>
        <v>X</v>
      </c>
      <c r="G118" s="248" t="str">
        <f>IF(BDD!K115="", "", "X")</f>
        <v/>
      </c>
      <c r="H118" s="248" t="str">
        <f>BDD!C115</f>
        <v>Malaga</v>
      </c>
    </row>
    <row r="119" spans="1:8" ht="30" customHeight="1">
      <c r="A119" s="268" t="e">
        <f xml:space="preserve"> IF(#REF!=0, "",#REF!)</f>
        <v>#REF!</v>
      </c>
      <c r="B119" s="245" t="str">
        <f>BDD!B116</f>
        <v>Mangue Keitt</v>
      </c>
      <c r="C119" s="246">
        <f>BDD!G116</f>
        <v>4.37</v>
      </c>
      <c r="D119" s="247" t="str">
        <f>BDD!H116</f>
        <v>kg</v>
      </c>
      <c r="E119" s="248" t="str">
        <f>IF(BDD!I116="", "", "X")</f>
        <v>X</v>
      </c>
      <c r="F119" s="248" t="str">
        <f>IF(BDD!J116="", "", "X")</f>
        <v>X</v>
      </c>
      <c r="G119" s="248" t="str">
        <f>IF(BDD!K116="", "", "X")</f>
        <v>X</v>
      </c>
      <c r="H119" s="248" t="str">
        <f>BDD!C116</f>
        <v>Grenade</v>
      </c>
    </row>
    <row r="120" spans="1:8" ht="30" customHeight="1">
      <c r="A120" s="268" t="e">
        <f xml:space="preserve"> IF(#REF!=0, "",#REF!)</f>
        <v>#REF!</v>
      </c>
      <c r="B120" s="245" t="str">
        <f>BDD!B117</f>
        <v>Mangue Keitt BIO</v>
      </c>
      <c r="C120" s="246">
        <f>BDD!G117</f>
        <v>5.33</v>
      </c>
      <c r="D120" s="247" t="str">
        <f>BDD!H117</f>
        <v>kg</v>
      </c>
      <c r="E120" s="248" t="str">
        <f>IF(BDD!I117="", "", "X")</f>
        <v>X</v>
      </c>
      <c r="F120" s="248" t="str">
        <f>IF(BDD!J117="", "", "X")</f>
        <v>X</v>
      </c>
      <c r="G120" s="248" t="str">
        <f>IF(BDD!K117="", "", "X")</f>
        <v>X</v>
      </c>
      <c r="H120" s="248" t="str">
        <f>BDD!C117</f>
        <v>Grenade</v>
      </c>
    </row>
    <row r="121" spans="1:8" ht="30" customHeight="1">
      <c r="A121" s="268" t="e">
        <f xml:space="preserve"> IF(#REF!=0, "",#REF!)</f>
        <v>#REF!</v>
      </c>
      <c r="B121" s="245" t="str">
        <f>BDD!B118</f>
        <v>Mangue Keitt BIO (légères brûlures superficielles à côté du pédoncule causées par le soleil)</v>
      </c>
      <c r="C121" s="246">
        <f>BDD!G118</f>
        <v>3</v>
      </c>
      <c r="D121" s="247" t="str">
        <f>BDD!H118</f>
        <v>kg</v>
      </c>
      <c r="E121" s="248" t="str">
        <f>IF(BDD!I118="", "", "X")</f>
        <v>X</v>
      </c>
      <c r="F121" s="248" t="str">
        <f>IF(BDD!J118="", "", "X")</f>
        <v>X</v>
      </c>
      <c r="G121" s="248" t="str">
        <f>IF(BDD!K118="", "", "X")</f>
        <v>X</v>
      </c>
      <c r="H121" s="248" t="str">
        <f>BDD!C118</f>
        <v>Malaga</v>
      </c>
    </row>
    <row r="122" spans="1:8" ht="30" customHeight="1">
      <c r="A122" s="268" t="e">
        <f xml:space="preserve"> IF(#REF!=0, "",#REF!)</f>
        <v>#REF!</v>
      </c>
      <c r="B122" s="245" t="str">
        <f>BDD!B119</f>
        <v>Mangue Keitt BIO (petit)</v>
      </c>
      <c r="C122" s="246">
        <f>BDD!G119</f>
        <v>4.08</v>
      </c>
      <c r="D122" s="247" t="str">
        <f>BDD!H119</f>
        <v>kg</v>
      </c>
      <c r="E122" s="248" t="str">
        <f>IF(BDD!I119="", "", "X")</f>
        <v>X</v>
      </c>
      <c r="F122" s="248" t="str">
        <f>IF(BDD!J119="", "", "X")</f>
        <v>X</v>
      </c>
      <c r="G122" s="248" t="str">
        <f>IF(BDD!K119="", "", "X")</f>
        <v>X</v>
      </c>
      <c r="H122" s="248" t="str">
        <f>BDD!C119</f>
        <v>Malaga</v>
      </c>
    </row>
    <row r="123" spans="1:8" ht="30" customHeight="1">
      <c r="A123" s="268" t="e">
        <f xml:space="preserve"> IF(#REF!=0, "",#REF!)</f>
        <v>#REF!</v>
      </c>
      <c r="B123" s="245" t="str">
        <f>BDD!B120</f>
        <v>Mangue Kent (moyen) murie sur l'arbre</v>
      </c>
      <c r="C123" s="246">
        <f>BDD!G120</f>
        <v>3.96</v>
      </c>
      <c r="D123" s="247" t="str">
        <f>BDD!H120</f>
        <v>kg</v>
      </c>
      <c r="E123" s="248" t="str">
        <f>IF(BDD!I120="", "", "X")</f>
        <v>X</v>
      </c>
      <c r="F123" s="248" t="str">
        <f>IF(BDD!J120="", "", "X")</f>
        <v>X</v>
      </c>
      <c r="G123" s="248" t="str">
        <f>IF(BDD!K120="", "", "X")</f>
        <v>X</v>
      </c>
      <c r="H123" s="248" t="str">
        <f>BDD!C120</f>
        <v>Malaga</v>
      </c>
    </row>
    <row r="124" spans="1:8" ht="30" customHeight="1">
      <c r="A124" s="268" t="e">
        <f xml:space="preserve"> IF(#REF!=0, "",#REF!)</f>
        <v>#REF!</v>
      </c>
      <c r="B124" s="245" t="str">
        <f>BDD!B121</f>
        <v>Mangue Kent Bio (légères brûlures superficielles à côté de la tige produites par le soleil)</v>
      </c>
      <c r="C124" s="246">
        <f>BDD!G121</f>
        <v>3</v>
      </c>
      <c r="D124" s="247" t="str">
        <f>BDD!H121</f>
        <v>kg</v>
      </c>
      <c r="E124" s="248" t="str">
        <f>IF(BDD!I121="", "", "X")</f>
        <v>X</v>
      </c>
      <c r="F124" s="248" t="str">
        <f>IF(BDD!J121="", "", "X")</f>
        <v>X</v>
      </c>
      <c r="G124" s="248" t="str">
        <f>IF(BDD!K121="", "", "X")</f>
        <v>X</v>
      </c>
      <c r="H124" s="248" t="str">
        <f>BDD!C121</f>
        <v>Malaga</v>
      </c>
    </row>
    <row r="125" spans="1:8" ht="30" customHeight="1">
      <c r="A125" s="268" t="e">
        <f xml:space="preserve"> IF(#REF!=0, "",#REF!)</f>
        <v>#REF!</v>
      </c>
      <c r="B125" s="245" t="str">
        <f>BDD!B122</f>
        <v>Mangue Lipens</v>
      </c>
      <c r="C125" s="246">
        <f>BDD!G122</f>
        <v>2.71</v>
      </c>
      <c r="D125" s="247" t="str">
        <f>BDD!H122</f>
        <v>kg</v>
      </c>
      <c r="E125" s="248" t="str">
        <f>IF(BDD!I122="", "", "X")</f>
        <v>X</v>
      </c>
      <c r="F125" s="248" t="str">
        <f>IF(BDD!J122="", "", "X")</f>
        <v/>
      </c>
      <c r="G125" s="248" t="str">
        <f>IF(BDD!K122="", "", "X")</f>
        <v/>
      </c>
      <c r="H125" s="248" t="str">
        <f>BDD!C122</f>
        <v>Grenade</v>
      </c>
    </row>
    <row r="126" spans="1:8" ht="30" customHeight="1">
      <c r="A126" s="268" t="e">
        <f xml:space="preserve"> IF(#REF!=0, "",#REF!)</f>
        <v>#REF!</v>
      </c>
      <c r="B126" s="245" t="str">
        <f>BDD!B123</f>
        <v>Mangue Osteen</v>
      </c>
      <c r="C126" s="246">
        <f>BDD!G123</f>
        <v>4.78</v>
      </c>
      <c r="D126" s="247" t="str">
        <f>BDD!H123</f>
        <v>kg</v>
      </c>
      <c r="E126" s="248" t="str">
        <f>IF(BDD!I123="", "", "X")</f>
        <v>X</v>
      </c>
      <c r="F126" s="248" t="str">
        <f>IF(BDD!J123="", "", "X")</f>
        <v>X</v>
      </c>
      <c r="G126" s="248" t="str">
        <f>IF(BDD!K123="", "", "X")</f>
        <v>X</v>
      </c>
      <c r="H126" s="248" t="str">
        <f>BDD!C123</f>
        <v>Grenade</v>
      </c>
    </row>
    <row r="127" spans="1:8" ht="30" customHeight="1">
      <c r="A127" s="268" t="e">
        <f xml:space="preserve"> IF(#REF!=0, "",#REF!)</f>
        <v>#REF!</v>
      </c>
      <c r="B127" s="245" t="str">
        <f>BDD!B124</f>
        <v>Mangue Osteen (Ferme Eparadise, mûrie sur plante, récoltée quotidiennement)</v>
      </c>
      <c r="C127" s="246">
        <f>BDD!G124</f>
        <v>5.45</v>
      </c>
      <c r="D127" s="247" t="str">
        <f>BDD!H124</f>
        <v>kg</v>
      </c>
      <c r="E127" s="248" t="str">
        <f>IF(BDD!I124="", "", "X")</f>
        <v>X</v>
      </c>
      <c r="F127" s="248" t="str">
        <f>IF(BDD!J124="", "", "X")</f>
        <v>X</v>
      </c>
      <c r="G127" s="248" t="str">
        <f>IF(BDD!K124="", "", "X")</f>
        <v>X</v>
      </c>
      <c r="H127" s="248" t="str">
        <f>BDD!C124</f>
        <v>Grenade</v>
      </c>
    </row>
    <row r="128" spans="1:8" ht="30" customHeight="1">
      <c r="A128" s="268" t="e">
        <f xml:space="preserve"> IF(#REF!=0, "",#REF!)</f>
        <v>#REF!</v>
      </c>
      <c r="B128" s="245" t="str">
        <f>BDD!B125</f>
        <v>Mangue Osteen BIO (Qualité supérieure, mûrie sur plante)</v>
      </c>
      <c r="C128" s="246">
        <f>BDD!G125</f>
        <v>5.19</v>
      </c>
      <c r="D128" s="247" t="str">
        <f>BDD!H125</f>
        <v>kg</v>
      </c>
      <c r="E128" s="248" t="str">
        <f>IF(BDD!I125="", "", "X")</f>
        <v>X</v>
      </c>
      <c r="F128" s="248" t="str">
        <f>IF(BDD!J125="", "", "X")</f>
        <v>X</v>
      </c>
      <c r="G128" s="248" t="str">
        <f>IF(BDD!K125="", "", "X")</f>
        <v/>
      </c>
      <c r="H128" s="248" t="str">
        <f>BDD!C125</f>
        <v>Salobrena</v>
      </c>
    </row>
    <row r="129" spans="1:8" ht="30" customHeight="1">
      <c r="A129" s="268" t="e">
        <f xml:space="preserve"> IF(#REF!=0, "",#REF!)</f>
        <v>#REF!</v>
      </c>
      <c r="B129" s="245" t="str">
        <f>BDD!B126</f>
        <v>Mangue Osteen mini gourmet</v>
      </c>
      <c r="C129" s="246">
        <f>BDD!G126</f>
        <v>3.82</v>
      </c>
      <c r="D129" s="247" t="str">
        <f>BDD!H126</f>
        <v>kg</v>
      </c>
      <c r="E129" s="248" t="str">
        <f>IF(BDD!I126="", "", "X")</f>
        <v>X</v>
      </c>
      <c r="F129" s="248" t="str">
        <f>IF(BDD!J126="", "", "X")</f>
        <v>X</v>
      </c>
      <c r="G129" s="248" t="str">
        <f>IF(BDD!K126="", "", "X")</f>
        <v/>
      </c>
      <c r="H129" s="248" t="str">
        <f>BDD!C126</f>
        <v>Grenade</v>
      </c>
    </row>
    <row r="130" spans="1:8" ht="30" customHeight="1">
      <c r="A130" s="268" t="e">
        <f xml:space="preserve"> IF(#REF!=0, "",#REF!)</f>
        <v>#REF!</v>
      </c>
      <c r="B130" s="245" t="str">
        <f>BDD!B127</f>
        <v>Mangue Palmer Rouge BIO (Grand)</v>
      </c>
      <c r="C130" s="246">
        <f>BDD!G127</f>
        <v>5.0599999999999996</v>
      </c>
      <c r="D130" s="247" t="str">
        <f>BDD!H127</f>
        <v>kg</v>
      </c>
      <c r="E130" s="248" t="str">
        <f>IF(BDD!I127="", "", "X")</f>
        <v>X</v>
      </c>
      <c r="F130" s="248" t="str">
        <f>IF(BDD!J127="", "", "X")</f>
        <v>X</v>
      </c>
      <c r="G130" s="248" t="str">
        <f>IF(BDD!K127="", "", "X")</f>
        <v/>
      </c>
      <c r="H130" s="248" t="str">
        <f>BDD!C127</f>
        <v>Grenade</v>
      </c>
    </row>
    <row r="131" spans="1:8" ht="30" customHeight="1">
      <c r="A131" s="268" t="e">
        <f xml:space="preserve"> IF(#REF!=0, "",#REF!)</f>
        <v>#REF!</v>
      </c>
      <c r="B131" s="245" t="str">
        <f>BDD!B128</f>
        <v>Mangue Palmer rouge gourmet BIO</v>
      </c>
      <c r="C131" s="246">
        <f>BDD!G128</f>
        <v>3.41</v>
      </c>
      <c r="D131" s="247" t="str">
        <f>BDD!H128</f>
        <v>kg</v>
      </c>
      <c r="E131" s="248" t="str">
        <f>IF(BDD!I128="", "", "X")</f>
        <v>X</v>
      </c>
      <c r="F131" s="248" t="str">
        <f>IF(BDD!J128="", "", "X")</f>
        <v>X</v>
      </c>
      <c r="G131" s="248" t="str">
        <f>IF(BDD!K128="", "", "X")</f>
        <v>X</v>
      </c>
      <c r="H131" s="248" t="str">
        <f>BDD!C128</f>
        <v>Grenade</v>
      </c>
    </row>
    <row r="132" spans="1:8" ht="30" customHeight="1">
      <c r="A132" s="268" t="e">
        <f xml:space="preserve"> IF(#REF!=0, "",#REF!)</f>
        <v>#REF!</v>
      </c>
      <c r="B132" s="245" t="str">
        <f>BDD!B129</f>
        <v>Mangue plusieurs variétés
    - (Haden, Irwin, Lipens, Osteen, Tommy Atkins)</v>
      </c>
      <c r="C132" s="246">
        <f>BDD!G129</f>
        <v>2.71</v>
      </c>
      <c r="D132" s="247" t="str">
        <f>BDD!H129</f>
        <v>kg</v>
      </c>
      <c r="E132" s="248" t="str">
        <f>IF(BDD!I129="", "", "X")</f>
        <v/>
      </c>
      <c r="F132" s="248" t="str">
        <f>IF(BDD!J129="", "", "X")</f>
        <v/>
      </c>
      <c r="G132" s="248" t="str">
        <f>IF(BDD!K129="", "", "X")</f>
        <v/>
      </c>
      <c r="H132" s="248" t="str">
        <f>BDD!C129</f>
        <v>Grenade</v>
      </c>
    </row>
    <row r="133" spans="1:8" ht="30" customHeight="1">
      <c r="A133" s="268" t="e">
        <f xml:space="preserve"> IF(#REF!=0, "",#REF!)</f>
        <v>#REF!</v>
      </c>
      <c r="B133" s="245" t="str">
        <f>BDD!B130</f>
        <v>Melon peau de crapaud</v>
      </c>
      <c r="C133" s="246">
        <f>BDD!G130</f>
        <v>1.77</v>
      </c>
      <c r="D133" s="247" t="str">
        <f>BDD!H130</f>
        <v>kg</v>
      </c>
      <c r="E133" s="248" t="str">
        <f>IF(BDD!I130="", "", "X")</f>
        <v>X</v>
      </c>
      <c r="F133" s="248" t="str">
        <f>IF(BDD!J130="", "", "X")</f>
        <v>X</v>
      </c>
      <c r="G133" s="248" t="str">
        <f>IF(BDD!K130="", "", "X")</f>
        <v>X</v>
      </c>
      <c r="H133" s="248" t="str">
        <f>BDD!C130</f>
        <v>Cordova</v>
      </c>
    </row>
    <row r="134" spans="1:8" ht="30" customHeight="1">
      <c r="A134" s="268" t="e">
        <f xml:space="preserve"> IF(#REF!=0, "",#REF!)</f>
        <v>#REF!</v>
      </c>
      <c r="B134" s="245" t="str">
        <f>BDD!B131</f>
        <v>Melon peau de crapaud BIO</v>
      </c>
      <c r="C134" s="246">
        <f>BDD!G131</f>
        <v>2.59</v>
      </c>
      <c r="D134" s="247" t="str">
        <f>BDD!H131</f>
        <v>kg</v>
      </c>
      <c r="E134" s="248" t="str">
        <f>IF(BDD!I131="", "", "X")</f>
        <v>X</v>
      </c>
      <c r="F134" s="248" t="str">
        <f>IF(BDD!J131="", "", "X")</f>
        <v>X</v>
      </c>
      <c r="G134" s="248" t="str">
        <f>IF(BDD!K131="", "", "X")</f>
        <v/>
      </c>
      <c r="H134" s="248" t="str">
        <f>BDD!C131</f>
        <v>Andalousie</v>
      </c>
    </row>
    <row r="135" spans="1:8" ht="30" customHeight="1">
      <c r="A135" s="268" t="e">
        <f xml:space="preserve"> IF(#REF!=0, "",#REF!)</f>
        <v>#REF!</v>
      </c>
      <c r="B135" s="245" t="str">
        <f>BDD!B132</f>
        <v>Miel d'avocat (Bocal en verre 1kg)</v>
      </c>
      <c r="C135" s="246">
        <f>BDD!G132</f>
        <v>12.73</v>
      </c>
      <c r="D135" s="247" t="str">
        <f>BDD!H132</f>
        <v>Pièce</v>
      </c>
      <c r="E135" s="248" t="str">
        <f>IF(BDD!I132="", "", "X")</f>
        <v>X</v>
      </c>
      <c r="F135" s="248" t="str">
        <f>IF(BDD!J132="", "", "X")</f>
        <v/>
      </c>
      <c r="G135" s="248" t="str">
        <f>IF(BDD!K132="", "", "X")</f>
        <v/>
      </c>
      <c r="H135" s="248" t="str">
        <f>BDD!C132</f>
        <v>Grenade</v>
      </c>
    </row>
    <row r="136" spans="1:8" ht="30" customHeight="1">
      <c r="A136" s="268" t="e">
        <f xml:space="preserve"> IF(#REF!=0, "",#REF!)</f>
        <v>#REF!</v>
      </c>
      <c r="B136" s="245" t="str">
        <f>BDD!B133</f>
        <v>Miel d'eucalyptus BIO (Bocal en verre 1kg)</v>
      </c>
      <c r="C136" s="246">
        <f>BDD!G133</f>
        <v>19.850000000000001</v>
      </c>
      <c r="D136" s="247" t="str">
        <f>BDD!H133</f>
        <v>Pièce</v>
      </c>
      <c r="E136" s="248" t="str">
        <f>IF(BDD!I133="", "", "X")</f>
        <v>X</v>
      </c>
      <c r="F136" s="248" t="str">
        <f>IF(BDD!J133="", "", "X")</f>
        <v/>
      </c>
      <c r="G136" s="248" t="str">
        <f>IF(BDD!K133="", "", "X")</f>
        <v/>
      </c>
      <c r="H136" s="248" t="str">
        <f>BDD!C133</f>
        <v>Huelva</v>
      </c>
    </row>
    <row r="137" spans="1:8" ht="30" customHeight="1">
      <c r="A137" s="268" t="e">
        <f xml:space="preserve"> IF(#REF!=0, "",#REF!)</f>
        <v>#REF!</v>
      </c>
      <c r="B137" s="245" t="str">
        <f>BDD!B134</f>
        <v>Miel de Fleur d'oranger (Bocal en verre 1kg)</v>
      </c>
      <c r="C137" s="246">
        <f>BDD!G134</f>
        <v>12.73</v>
      </c>
      <c r="D137" s="247" t="str">
        <f>BDD!H134</f>
        <v>Pièce</v>
      </c>
      <c r="E137" s="248" t="str">
        <f>IF(BDD!I134="", "", "X")</f>
        <v>X</v>
      </c>
      <c r="F137" s="248" t="str">
        <f>IF(BDD!J134="", "", "X")</f>
        <v/>
      </c>
      <c r="G137" s="248" t="str">
        <f>IF(BDD!K134="", "", "X")</f>
        <v/>
      </c>
      <c r="H137" s="248" t="str">
        <f>BDD!C134</f>
        <v>Grenade</v>
      </c>
    </row>
    <row r="138" spans="1:8" ht="30" customHeight="1">
      <c r="A138" s="268" t="e">
        <f xml:space="preserve"> IF(#REF!=0, "",#REF!)</f>
        <v>#REF!</v>
      </c>
      <c r="B138" s="245" t="str">
        <f>BDD!B135</f>
        <v>Miel de Huelva multifleurs sans filtration CRU BIO  
    - (Bocal en verre 1kg)</v>
      </c>
      <c r="C138" s="246">
        <f>BDD!G135</f>
        <v>15.04</v>
      </c>
      <c r="D138" s="247" t="str">
        <f>BDD!H135</f>
        <v>Pièce</v>
      </c>
      <c r="E138" s="248" t="str">
        <f>IF(BDD!I135="", "", "X")</f>
        <v>X</v>
      </c>
      <c r="F138" s="248" t="str">
        <f>IF(BDD!J135="", "", "X")</f>
        <v/>
      </c>
      <c r="G138" s="248" t="str">
        <f>IF(BDD!K135="", "", "X")</f>
        <v/>
      </c>
      <c r="H138" s="248" t="str">
        <f>BDD!C135</f>
        <v>Huelva</v>
      </c>
    </row>
    <row r="139" spans="1:8" ht="30" customHeight="1">
      <c r="A139" s="268" t="e">
        <f xml:space="preserve"> IF(#REF!=0, "",#REF!)</f>
        <v>#REF!</v>
      </c>
      <c r="B139" s="245" t="str">
        <f>BDD!B136</f>
        <v>Miel de montagne (Bocal en verre 1kg)</v>
      </c>
      <c r="C139" s="246">
        <f>BDD!G136</f>
        <v>12.73</v>
      </c>
      <c r="D139" s="247" t="str">
        <f>BDD!H136</f>
        <v>Pièce</v>
      </c>
      <c r="E139" s="248" t="str">
        <f>IF(BDD!I136="", "", "X")</f>
        <v>X</v>
      </c>
      <c r="F139" s="248" t="str">
        <f>IF(BDD!J136="", "", "X")</f>
        <v/>
      </c>
      <c r="G139" s="248" t="str">
        <f>IF(BDD!K136="", "", "X")</f>
        <v/>
      </c>
      <c r="H139" s="248" t="str">
        <f>BDD!C136</f>
        <v>Grenade</v>
      </c>
    </row>
    <row r="140" spans="1:8" ht="30" customHeight="1">
      <c r="A140" s="268" t="e">
        <f xml:space="preserve"> IF(#REF!=0, "",#REF!)</f>
        <v>#REF!</v>
      </c>
      <c r="B140" s="245" t="str">
        <f>BDD!B137</f>
        <v>Miel de Romarin (Bocal en verre 1kg)</v>
      </c>
      <c r="C140" s="246">
        <f>BDD!G137</f>
        <v>12.73</v>
      </c>
      <c r="D140" s="247" t="str">
        <f>BDD!H137</f>
        <v>Pièce</v>
      </c>
      <c r="E140" s="248" t="str">
        <f>IF(BDD!I137="", "", "X")</f>
        <v>X</v>
      </c>
      <c r="F140" s="248" t="str">
        <f>IF(BDD!J137="", "", "X")</f>
        <v/>
      </c>
      <c r="G140" s="248" t="str">
        <f>IF(BDD!K137="", "", "X")</f>
        <v/>
      </c>
      <c r="H140" s="248" t="str">
        <f>BDD!C137</f>
        <v>Grenade</v>
      </c>
    </row>
    <row r="141" spans="1:8" ht="30" customHeight="1">
      <c r="A141" s="268" t="e">
        <f xml:space="preserve"> IF(#REF!=0, "",#REF!)</f>
        <v>#REF!</v>
      </c>
      <c r="B141" s="245" t="str">
        <f>BDD!B138</f>
        <v>Miel Multi-fleurs (Bocal en verre 1kg)</v>
      </c>
      <c r="C141" s="246">
        <f>BDD!G138</f>
        <v>10.67</v>
      </c>
      <c r="D141" s="247" t="str">
        <f>BDD!H138</f>
        <v>Pièce</v>
      </c>
      <c r="E141" s="248" t="str">
        <f>IF(BDD!I138="", "", "X")</f>
        <v>X</v>
      </c>
      <c r="F141" s="248" t="str">
        <f>IF(BDD!J138="", "", "X")</f>
        <v/>
      </c>
      <c r="G141" s="248" t="str">
        <f>IF(BDD!K138="", "", "X")</f>
        <v/>
      </c>
      <c r="H141" s="248" t="str">
        <f>BDD!C138</f>
        <v>Grenade</v>
      </c>
    </row>
    <row r="142" spans="1:8" ht="30" customHeight="1">
      <c r="A142" s="268" t="e">
        <f xml:space="preserve"> IF(#REF!=0, "",#REF!)</f>
        <v>#REF!</v>
      </c>
      <c r="B142" s="245" t="str">
        <f>BDD!B139</f>
        <v>Néfle d'hiver</v>
      </c>
      <c r="C142" s="246">
        <f>BDD!G139</f>
        <v>2.71</v>
      </c>
      <c r="D142" s="247" t="str">
        <f>BDD!H139</f>
        <v>kg</v>
      </c>
      <c r="E142" s="248" t="str">
        <f>IF(BDD!I139="", "", "X")</f>
        <v>X</v>
      </c>
      <c r="F142" s="248" t="str">
        <f>IF(BDD!J139="", "", "X")</f>
        <v/>
      </c>
      <c r="G142" s="248" t="str">
        <f>IF(BDD!K139="", "", "X")</f>
        <v/>
      </c>
      <c r="H142" s="248" t="str">
        <f>BDD!C139</f>
        <v>Grenade</v>
      </c>
    </row>
    <row r="143" spans="1:8" ht="30" customHeight="1">
      <c r="A143" s="268" t="e">
        <f xml:space="preserve"> IF(#REF!=0, "",#REF!)</f>
        <v>#REF!</v>
      </c>
      <c r="B143" s="245" t="str">
        <f>BDD!B140</f>
        <v>Noisette sans coque CRU BIO (env. 1kg)</v>
      </c>
      <c r="C143" s="246">
        <f>BDD!G140</f>
        <v>19.850000000000001</v>
      </c>
      <c r="D143" s="247" t="str">
        <f>BDD!H140</f>
        <v>Pièce</v>
      </c>
      <c r="E143" s="248" t="str">
        <f>IF(BDD!I140="", "", "X")</f>
        <v>X</v>
      </c>
      <c r="F143" s="248" t="str">
        <f>IF(BDD!J140="", "", "X")</f>
        <v/>
      </c>
      <c r="G143" s="248" t="str">
        <f>IF(BDD!K140="", "", "X")</f>
        <v/>
      </c>
      <c r="H143" s="248" t="str">
        <f>BDD!C140</f>
        <v>National</v>
      </c>
    </row>
    <row r="144" spans="1:8" ht="30" customHeight="1">
      <c r="A144" s="268" t="e">
        <f xml:space="preserve"> IF(#REF!=0, "",#REF!)</f>
        <v>#REF!</v>
      </c>
      <c r="B144" s="245" t="str">
        <f>BDD!B141</f>
        <v>Noix de cajou BIO (env. 1kg)</v>
      </c>
      <c r="C144" s="246">
        <f>BDD!G141</f>
        <v>20.52</v>
      </c>
      <c r="D144" s="247" t="str">
        <f>BDD!H141</f>
        <v>Pièce</v>
      </c>
      <c r="E144" s="248" t="str">
        <f>IF(BDD!I141="", "", "X")</f>
        <v>X</v>
      </c>
      <c r="F144" s="248" t="str">
        <f>IF(BDD!J141="", "", "X")</f>
        <v>X</v>
      </c>
      <c r="G144" s="248" t="str">
        <f>IF(BDD!K141="", "", "X")</f>
        <v/>
      </c>
      <c r="H144" s="248" t="str">
        <f>BDD!C141</f>
        <v>Indes</v>
      </c>
    </row>
    <row r="145" spans="1:8" ht="30" customHeight="1">
      <c r="A145" s="268" t="e">
        <f xml:space="preserve"> IF(#REF!=0, "",#REF!)</f>
        <v>#REF!</v>
      </c>
      <c r="B145" s="245" t="str">
        <f>BDD!B142</f>
        <v>Noix de Macadamia sans coque BIO
    - (env. 1kg)</v>
      </c>
      <c r="C145" s="246">
        <f>BDD!G142</f>
        <v>43.81</v>
      </c>
      <c r="D145" s="247" t="str">
        <f>BDD!H142</f>
        <v>Pièce</v>
      </c>
      <c r="E145" s="248" t="str">
        <f>IF(BDD!I142="", "", "X")</f>
        <v/>
      </c>
      <c r="F145" s="248" t="str">
        <f>IF(BDD!J142="", "", "X")</f>
        <v/>
      </c>
      <c r="G145" s="248" t="str">
        <f>IF(BDD!K142="", "", "X")</f>
        <v/>
      </c>
      <c r="H145" s="248" t="str">
        <f>BDD!C142</f>
        <v>Kenya</v>
      </c>
    </row>
    <row r="146" spans="1:8" ht="30" customHeight="1">
      <c r="A146" s="268" t="e">
        <f xml:space="preserve"> IF(#REF!=0, "",#REF!)</f>
        <v>#REF!</v>
      </c>
      <c r="B146" s="245" t="str">
        <f>BDD!B143</f>
        <v>Noix de Macadamia sans coque BIO
    - (env. 500g)</v>
      </c>
      <c r="C146" s="246">
        <f>BDD!G143</f>
        <v>22.59</v>
      </c>
      <c r="D146" s="247" t="str">
        <f>BDD!H143</f>
        <v>Pièce</v>
      </c>
      <c r="E146" s="248" t="str">
        <f>IF(BDD!I143="", "", "X")</f>
        <v/>
      </c>
      <c r="F146" s="248" t="str">
        <f>IF(BDD!J143="", "", "X")</f>
        <v/>
      </c>
      <c r="G146" s="248" t="str">
        <f>IF(BDD!K143="", "", "X")</f>
        <v/>
      </c>
      <c r="H146" s="248" t="str">
        <f>BDD!C143</f>
        <v>Kenya</v>
      </c>
    </row>
    <row r="147" spans="1:8" ht="30" customHeight="1">
      <c r="A147" s="268" t="e">
        <f xml:space="preserve"> IF(#REF!=0, "",#REF!)</f>
        <v>#REF!</v>
      </c>
      <c r="B147" s="245" t="str">
        <f>BDD!B144</f>
        <v>Noix de Pécan sans coque BIO (env. 1kg)</v>
      </c>
      <c r="C147" s="246">
        <f>BDD!G144</f>
        <v>35.880000000000003</v>
      </c>
      <c r="D147" s="247" t="str">
        <f>BDD!H144</f>
        <v>Pièce</v>
      </c>
      <c r="E147" s="248" t="str">
        <f>IF(BDD!I144="", "", "X")</f>
        <v>X</v>
      </c>
      <c r="F147" s="248" t="str">
        <f>IF(BDD!J144="", "", "X")</f>
        <v/>
      </c>
      <c r="G147" s="248" t="str">
        <f>IF(BDD!K144="", "", "X")</f>
        <v/>
      </c>
      <c r="H147" s="248" t="str">
        <f>BDD!C144</f>
        <v>Mexique</v>
      </c>
    </row>
    <row r="148" spans="1:8" ht="30" customHeight="1">
      <c r="A148" s="268" t="e">
        <f xml:space="preserve"> IF(#REF!=0, "",#REF!)</f>
        <v>#REF!</v>
      </c>
      <c r="B148" s="245" t="str">
        <f>BDD!B145</f>
        <v>Noix de Pécan sans coque BIO (env. 500g)</v>
      </c>
      <c r="C148" s="246">
        <f>BDD!G145</f>
        <v>18.62</v>
      </c>
      <c r="D148" s="247" t="str">
        <f>BDD!H145</f>
        <v>Pièce</v>
      </c>
      <c r="E148" s="248" t="str">
        <f>IF(BDD!I145="", "", "X")</f>
        <v/>
      </c>
      <c r="F148" s="248" t="str">
        <f>IF(BDD!J145="", "", "X")</f>
        <v/>
      </c>
      <c r="G148" s="248" t="str">
        <f>IF(BDD!K145="", "", "X")</f>
        <v/>
      </c>
      <c r="H148" s="248" t="str">
        <f>BDD!C145</f>
        <v>Mexique</v>
      </c>
    </row>
    <row r="149" spans="1:8" ht="30" customHeight="1">
      <c r="A149" s="268" t="e">
        <f xml:space="preserve"> IF(#REF!=0, "",#REF!)</f>
        <v>#REF!</v>
      </c>
      <c r="B149" s="245" t="str">
        <f>BDD!B146</f>
        <v>Oignon blanc BIO</v>
      </c>
      <c r="C149" s="246">
        <f>BDD!G146</f>
        <v>1.77</v>
      </c>
      <c r="D149" s="247" t="str">
        <f>BDD!H146</f>
        <v>kg</v>
      </c>
      <c r="E149" s="248" t="str">
        <f>IF(BDD!I146="", "", "X")</f>
        <v>X</v>
      </c>
      <c r="F149" s="248" t="str">
        <f>IF(BDD!J146="", "", "X")</f>
        <v>X</v>
      </c>
      <c r="G149" s="248" t="str">
        <f>IF(BDD!K146="", "", "X")</f>
        <v/>
      </c>
      <c r="H149" s="248" t="str">
        <f>BDD!C146</f>
        <v>Malaga</v>
      </c>
    </row>
    <row r="150" spans="1:8" ht="30" customHeight="1">
      <c r="A150" s="268" t="e">
        <f xml:space="preserve"> IF(#REF!=0, "",#REF!)</f>
        <v>#REF!</v>
      </c>
      <c r="B150" s="245" t="str">
        <f>BDD!B147</f>
        <v>Oignon rouge BIO</v>
      </c>
      <c r="C150" s="246">
        <f>BDD!G147</f>
        <v>2.04</v>
      </c>
      <c r="D150" s="247" t="str">
        <f>BDD!H147</f>
        <v>kg</v>
      </c>
      <c r="E150" s="248" t="str">
        <f>IF(BDD!I147="", "", "X")</f>
        <v>X</v>
      </c>
      <c r="F150" s="248" t="str">
        <f>IF(BDD!J147="", "", "X")</f>
        <v>X</v>
      </c>
      <c r="G150" s="248" t="str">
        <f>IF(BDD!K147="", "", "X")</f>
        <v/>
      </c>
      <c r="H150" s="248" t="str">
        <f>BDD!C147</f>
        <v>Malaga</v>
      </c>
    </row>
    <row r="151" spans="1:8" ht="30" customHeight="1">
      <c r="A151" s="268" t="e">
        <f xml:space="preserve"> IF(#REF!=0, "",#REF!)</f>
        <v>#REF!</v>
      </c>
      <c r="B151" s="245" t="str">
        <f>BDD!B148</f>
        <v>Olives Aloreña BIO non pasteurisées (Bocal 800g)</v>
      </c>
      <c r="C151" s="246">
        <f>BDD!G148</f>
        <v>5.45</v>
      </c>
      <c r="D151" s="247" t="str">
        <f>BDD!H148</f>
        <v>Pièce</v>
      </c>
      <c r="E151" s="248" t="str">
        <f>IF(BDD!I148="", "", "X")</f>
        <v>X</v>
      </c>
      <c r="F151" s="248" t="str">
        <f>IF(BDD!J148="", "", "X")</f>
        <v/>
      </c>
      <c r="G151" s="248" t="str">
        <f>IF(BDD!K148="", "", "X")</f>
        <v/>
      </c>
      <c r="H151" s="248" t="str">
        <f>BDD!C148</f>
        <v>Malaga</v>
      </c>
    </row>
    <row r="152" spans="1:8" ht="30" customHeight="1">
      <c r="A152" s="268" t="e">
        <f xml:space="preserve"> IF(#REF!=0, "",#REF!)</f>
        <v>#REF!</v>
      </c>
      <c r="B152" s="245" t="str">
        <f>BDD!B149</f>
        <v>Olives fermentées BIO non pasteurisées (env. 450g, Fraîches, semi-sèches, sèches, au choix, sans sel, sans eau et sans autres ajouts)</v>
      </c>
      <c r="C152" s="246">
        <f>BDD!G149</f>
        <v>10.119999999999999</v>
      </c>
      <c r="D152" s="247" t="str">
        <f>BDD!H149</f>
        <v>Pièce</v>
      </c>
      <c r="E152" s="248" t="str">
        <f>IF(BDD!I149="", "", "X")</f>
        <v/>
      </c>
      <c r="F152" s="248" t="str">
        <f>IF(BDD!J149="", "", "X")</f>
        <v/>
      </c>
      <c r="G152" s="248" t="str">
        <f>IF(BDD!K149="", "", "X")</f>
        <v/>
      </c>
      <c r="H152" s="248" t="str">
        <f>BDD!C149</f>
        <v>Valence</v>
      </c>
    </row>
    <row r="153" spans="1:8" ht="30" customHeight="1">
      <c r="A153" s="268" t="e">
        <f xml:space="preserve"> IF(#REF!=0, "",#REF!)</f>
        <v>#REF!</v>
      </c>
      <c r="B153" s="245" t="str">
        <f>BDD!B150</f>
        <v>Olives noires BIO (bocal 500g, sans noyau, semi-séchées, non pasteurisées)</v>
      </c>
      <c r="C153" s="246">
        <f>BDD!G150</f>
        <v>9.0299999999999994</v>
      </c>
      <c r="D153" s="247" t="str">
        <f>BDD!H150</f>
        <v>Pièce</v>
      </c>
      <c r="E153" s="248" t="str">
        <f>IF(BDD!I150="", "", "X")</f>
        <v/>
      </c>
      <c r="F153" s="248" t="str">
        <f>IF(BDD!J150="", "", "X")</f>
        <v/>
      </c>
      <c r="G153" s="248" t="str">
        <f>IF(BDD!K150="", "", "X")</f>
        <v/>
      </c>
      <c r="H153" s="248" t="str">
        <f>BDD!C150</f>
        <v>Import</v>
      </c>
    </row>
    <row r="154" spans="1:8" ht="30" customHeight="1">
      <c r="A154" s="268" t="e">
        <f xml:space="preserve"> IF(#REF!=0, "",#REF!)</f>
        <v>#REF!</v>
      </c>
      <c r="B154" s="245" t="str">
        <f>BDD!B151</f>
        <v>Olives vertes Gordal Manzanilla fraîches</v>
      </c>
      <c r="C154" s="246">
        <f>BDD!G151</f>
        <v>4.08</v>
      </c>
      <c r="D154" s="247" t="str">
        <f>BDD!H151</f>
        <v>kg</v>
      </c>
      <c r="E154" s="248" t="str">
        <f>IF(BDD!I151="", "", "X")</f>
        <v>X</v>
      </c>
      <c r="F154" s="248" t="str">
        <f>IF(BDD!J151="", "", "X")</f>
        <v/>
      </c>
      <c r="G154" s="248" t="str">
        <f>IF(BDD!K151="", "", "X")</f>
        <v/>
      </c>
      <c r="H154" s="248" t="str">
        <f>BDD!C151</f>
        <v>Grenade</v>
      </c>
    </row>
    <row r="155" spans="1:8" ht="30" customHeight="1">
      <c r="A155" s="268" t="e">
        <f xml:space="preserve"> IF(#REF!=0, "",#REF!)</f>
        <v>#REF!</v>
      </c>
      <c r="B155" s="245" t="str">
        <f>BDD!B152</f>
        <v>Orange Valencialate</v>
      </c>
      <c r="C155" s="246">
        <f>BDD!G152</f>
        <v>3.27</v>
      </c>
      <c r="D155" s="247" t="str">
        <f>BDD!H152</f>
        <v>kg</v>
      </c>
      <c r="E155" s="248" t="str">
        <f>IF(BDD!I152="", "", "X")</f>
        <v>X</v>
      </c>
      <c r="F155" s="248" t="str">
        <f>IF(BDD!J152="", "", "X")</f>
        <v>X</v>
      </c>
      <c r="G155" s="248" t="str">
        <f>IF(BDD!K152="", "", "X")</f>
        <v/>
      </c>
      <c r="H155" s="248" t="str">
        <f>BDD!C152</f>
        <v>Andalousie</v>
      </c>
    </row>
    <row r="156" spans="1:8" ht="30" customHeight="1">
      <c r="A156" s="268" t="e">
        <f xml:space="preserve"> IF(#REF!=0, "",#REF!)</f>
        <v>#REF!</v>
      </c>
      <c r="B156" s="245" t="str">
        <f>BDD!B153</f>
        <v>Paprika épicé de la Vera BIO (env. 1kg)</v>
      </c>
      <c r="C156" s="246">
        <f>BDD!G153</f>
        <v>16.41</v>
      </c>
      <c r="D156" s="247" t="str">
        <f>BDD!H153</f>
        <v>Pièce</v>
      </c>
      <c r="E156" s="248" t="str">
        <f>IF(BDD!I153="", "", "X")</f>
        <v/>
      </c>
      <c r="F156" s="248" t="str">
        <f>IF(BDD!J153="", "", "X")</f>
        <v/>
      </c>
      <c r="G156" s="248" t="str">
        <f>IF(BDD!K153="", "", "X")</f>
        <v/>
      </c>
      <c r="H156" s="248" t="str">
        <f>BDD!C153</f>
        <v>Espagne
Sierra de Gredos</v>
      </c>
    </row>
    <row r="157" spans="1:8" ht="30" customHeight="1">
      <c r="A157" s="268" t="e">
        <f xml:space="preserve"> IF(#REF!=0, "",#REF!)</f>
        <v>#REF!</v>
      </c>
      <c r="B157" s="245" t="str">
        <f>BDD!B154</f>
        <v>Patate douce BIO (Grande)</v>
      </c>
      <c r="C157" s="246">
        <f>BDD!G154</f>
        <v>2.59</v>
      </c>
      <c r="D157" s="247" t="str">
        <f>BDD!H154</f>
        <v>kg</v>
      </c>
      <c r="E157" s="248" t="str">
        <f>IF(BDD!I154="", "", "X")</f>
        <v>X</v>
      </c>
      <c r="F157" s="248" t="str">
        <f>IF(BDD!J154="", "", "X")</f>
        <v>X</v>
      </c>
      <c r="G157" s="248" t="str">
        <f>IF(BDD!K154="", "", "X")</f>
        <v>X</v>
      </c>
      <c r="H157" s="248" t="str">
        <f>BDD!C154</f>
        <v>Malaga</v>
      </c>
    </row>
    <row r="158" spans="1:8" ht="30" customHeight="1">
      <c r="A158" s="268" t="e">
        <f xml:space="preserve"> IF(#REF!=0, "",#REF!)</f>
        <v>#REF!</v>
      </c>
      <c r="B158" s="245" t="str">
        <f>BDD!B155</f>
        <v>Patate douce BIO (Moyenne)</v>
      </c>
      <c r="C158" s="246">
        <f>BDD!G155</f>
        <v>2.04</v>
      </c>
      <c r="D158" s="247" t="str">
        <f>BDD!H155</f>
        <v>kg</v>
      </c>
      <c r="E158" s="248" t="str">
        <f>IF(BDD!I155="", "", "X")</f>
        <v>X</v>
      </c>
      <c r="F158" s="248" t="str">
        <f>IF(BDD!J155="", "", "X")</f>
        <v>X</v>
      </c>
      <c r="G158" s="248" t="str">
        <f>IF(BDD!K155="", "", "X")</f>
        <v>X</v>
      </c>
      <c r="H158" s="248" t="str">
        <f>BDD!C155</f>
        <v>Malaga</v>
      </c>
    </row>
    <row r="159" spans="1:8" ht="30" customHeight="1">
      <c r="A159" s="268" t="e">
        <f xml:space="preserve"> IF(#REF!=0, "",#REF!)</f>
        <v>#REF!</v>
      </c>
      <c r="B159" s="245" t="str">
        <f>BDD!B156</f>
        <v>Patate Douce Violette BIO (Moyenne, grande) Nouvelle récolte</v>
      </c>
      <c r="C159" s="246">
        <f>BDD!G156</f>
        <v>3.41</v>
      </c>
      <c r="D159" s="247" t="str">
        <f>BDD!H156</f>
        <v>kg</v>
      </c>
      <c r="E159" s="248" t="str">
        <f>IF(BDD!I156="", "", "X")</f>
        <v>X</v>
      </c>
      <c r="F159" s="248" t="str">
        <f>IF(BDD!J156="", "", "X")</f>
        <v>X</v>
      </c>
      <c r="G159" s="248" t="str">
        <f>IF(BDD!K156="", "", "X")</f>
        <v>X</v>
      </c>
      <c r="H159" s="248" t="str">
        <f>BDD!C156</f>
        <v>Malaga</v>
      </c>
    </row>
    <row r="160" spans="1:8" ht="30" customHeight="1">
      <c r="A160" s="268" t="e">
        <f xml:space="preserve"> IF(#REF!=0, "",#REF!)</f>
        <v>#REF!</v>
      </c>
      <c r="B160" s="245" t="str">
        <f>BDD!B157</f>
        <v>Pistache avec coque CRU (env. 1kg)</v>
      </c>
      <c r="C160" s="246">
        <f>BDD!G157</f>
        <v>34.22</v>
      </c>
      <c r="D160" s="247" t="str">
        <f>BDD!H157</f>
        <v>Pièce</v>
      </c>
      <c r="E160" s="248" t="str">
        <f>IF(BDD!I157="", "", "X")</f>
        <v/>
      </c>
      <c r="F160" s="248" t="str">
        <f>IF(BDD!J157="", "", "X")</f>
        <v/>
      </c>
      <c r="G160" s="248" t="str">
        <f>IF(BDD!K157="", "", "X")</f>
        <v/>
      </c>
      <c r="H160" s="248" t="str">
        <f>BDD!C157</f>
        <v>Espagne</v>
      </c>
    </row>
    <row r="161" spans="1:8" ht="30" customHeight="1">
      <c r="A161" s="268" t="e">
        <f xml:space="preserve"> IF(#REF!=0, "",#REF!)</f>
        <v>#REF!</v>
      </c>
      <c r="B161" s="245" t="str">
        <f>BDD!B158</f>
        <v>Pistache avec coque CRU (env. 500g)</v>
      </c>
      <c r="C161" s="246">
        <f>BDD!G158</f>
        <v>17.78</v>
      </c>
      <c r="D161" s="247" t="str">
        <f>BDD!H158</f>
        <v>Pièce</v>
      </c>
      <c r="E161" s="248" t="str">
        <f>IF(BDD!I158="", "", "X")</f>
        <v/>
      </c>
      <c r="F161" s="248" t="str">
        <f>IF(BDD!J158="", "", "X")</f>
        <v/>
      </c>
      <c r="G161" s="248" t="str">
        <f>IF(BDD!K158="", "", "X")</f>
        <v/>
      </c>
      <c r="H161" s="248" t="str">
        <f>BDD!C158</f>
        <v>Espagne</v>
      </c>
    </row>
    <row r="162" spans="1:8" ht="30" customHeight="1">
      <c r="A162" s="268" t="e">
        <f xml:space="preserve"> IF(#REF!=0, "",#REF!)</f>
        <v>#REF!</v>
      </c>
      <c r="B162" s="245" t="str">
        <f>BDD!B159</f>
        <v>Pitaya (fruit du dragon, jaune à l'extérieur et pulpe blanche)</v>
      </c>
      <c r="C162" s="246">
        <f>BDD!G159</f>
        <v>9.56</v>
      </c>
      <c r="D162" s="247" t="str">
        <f>BDD!H159</f>
        <v>kg</v>
      </c>
      <c r="E162" s="248" t="str">
        <f>IF(BDD!I159="", "", "X")</f>
        <v/>
      </c>
      <c r="F162" s="248" t="str">
        <f>IF(BDD!J159="", "", "X")</f>
        <v/>
      </c>
      <c r="G162" s="248" t="str">
        <f>IF(BDD!K159="", "", "X")</f>
        <v/>
      </c>
      <c r="H162" s="248" t="str">
        <f>BDD!C159</f>
        <v>Grenade</v>
      </c>
    </row>
    <row r="163" spans="1:8" ht="30" customHeight="1">
      <c r="A163" s="268" t="e">
        <f xml:space="preserve"> IF(#REF!=0, "",#REF!)</f>
        <v>#REF!</v>
      </c>
      <c r="B163" s="245" t="str">
        <f>BDD!B160</f>
        <v>Pitaya rouge BIO</v>
      </c>
      <c r="C163" s="246">
        <f>BDD!G160</f>
        <v>11.91</v>
      </c>
      <c r="D163" s="247" t="str">
        <f>BDD!H160</f>
        <v>kg</v>
      </c>
      <c r="E163" s="248" t="str">
        <f>IF(BDD!I160="", "", "X")</f>
        <v>X</v>
      </c>
      <c r="F163" s="248" t="str">
        <f>IF(BDD!J160="", "", "X")</f>
        <v/>
      </c>
      <c r="G163" s="248" t="str">
        <f>IF(BDD!K160="", "", "X")</f>
        <v/>
      </c>
      <c r="H163" s="248" t="str">
        <f>BDD!C160</f>
        <v>Grenade</v>
      </c>
    </row>
    <row r="164" spans="1:8" ht="30" customHeight="1">
      <c r="A164" s="268" t="e">
        <f xml:space="preserve"> IF(#REF!=0, "",#REF!)</f>
        <v>#REF!</v>
      </c>
      <c r="B164" s="245" t="str">
        <f>BDD!B161</f>
        <v xml:space="preserve">Poire Conférence  </v>
      </c>
      <c r="C164" s="246">
        <f>BDD!G161</f>
        <v>3.41</v>
      </c>
      <c r="D164" s="247" t="str">
        <f>BDD!H161</f>
        <v>kg</v>
      </c>
      <c r="E164" s="248" t="str">
        <f>IF(BDD!I161="", "", "X")</f>
        <v>X</v>
      </c>
      <c r="F164" s="248" t="str">
        <f>IF(BDD!J161="", "", "X")</f>
        <v>X</v>
      </c>
      <c r="G164" s="248" t="str">
        <f>IF(BDD!K161="", "", "X")</f>
        <v/>
      </c>
      <c r="H164" s="248" t="str">
        <f>BDD!C161</f>
        <v>Espagne</v>
      </c>
    </row>
    <row r="165" spans="1:8" ht="30" customHeight="1">
      <c r="A165" s="268" t="e">
        <f xml:space="preserve"> IF(#REF!=0, "",#REF!)</f>
        <v>#REF!</v>
      </c>
      <c r="B165" s="245" t="str">
        <f>BDD!B162</f>
        <v>Poire Conférence BIO</v>
      </c>
      <c r="C165" s="246">
        <f>BDD!G162</f>
        <v>3.82</v>
      </c>
      <c r="D165" s="247" t="str">
        <f>BDD!H162</f>
        <v>kg</v>
      </c>
      <c r="E165" s="248" t="str">
        <f>IF(BDD!I162="", "", "X")</f>
        <v>X</v>
      </c>
      <c r="F165" s="248" t="str">
        <f>IF(BDD!J162="", "", "X")</f>
        <v>X</v>
      </c>
      <c r="G165" s="248" t="str">
        <f>IF(BDD!K162="", "", "X")</f>
        <v/>
      </c>
      <c r="H165" s="248" t="str">
        <f>BDD!C162</f>
        <v>Espagne</v>
      </c>
    </row>
    <row r="166" spans="1:8" ht="30" customHeight="1">
      <c r="A166" s="268" t="e">
        <f xml:space="preserve"> IF(#REF!=0, "",#REF!)</f>
        <v>#REF!</v>
      </c>
      <c r="B166" s="245" t="str">
        <f>BDD!B163</f>
        <v>Poireau BIO</v>
      </c>
      <c r="C166" s="246">
        <f>BDD!G163</f>
        <v>3.41</v>
      </c>
      <c r="D166" s="247" t="str">
        <f>BDD!H163</f>
        <v>kg</v>
      </c>
      <c r="E166" s="248" t="str">
        <f>IF(BDD!I163="", "", "X")</f>
        <v>X</v>
      </c>
      <c r="F166" s="248" t="str">
        <f>IF(BDD!J163="", "", "X")</f>
        <v/>
      </c>
      <c r="G166" s="248" t="str">
        <f>IF(BDD!K163="", "", "X")</f>
        <v/>
      </c>
      <c r="H166" s="248" t="str">
        <f>BDD!C163</f>
        <v>Malaga</v>
      </c>
    </row>
    <row r="167" spans="1:8" ht="30" customHeight="1">
      <c r="A167" s="268" t="e">
        <f xml:space="preserve"> IF(#REF!=0, "",#REF!)</f>
        <v>#REF!</v>
      </c>
      <c r="B167" s="245" t="str">
        <f>BDD!B164</f>
        <v>Poivron mini en couleur</v>
      </c>
      <c r="C167" s="246">
        <f>BDD!G164</f>
        <v>3.14</v>
      </c>
      <c r="D167" s="247" t="str">
        <f>BDD!H164</f>
        <v>kg</v>
      </c>
      <c r="E167" s="248" t="str">
        <f>IF(BDD!I164="", "", "X")</f>
        <v>X</v>
      </c>
      <c r="F167" s="248" t="str">
        <f>IF(BDD!J164="", "", "X")</f>
        <v>X</v>
      </c>
      <c r="G167" s="248" t="str">
        <f>IF(BDD!K164="", "", "X")</f>
        <v/>
      </c>
      <c r="H167" s="248" t="str">
        <f>BDD!C164</f>
        <v>Grenade</v>
      </c>
    </row>
    <row r="168" spans="1:8" ht="30" customHeight="1">
      <c r="A168" s="268" t="e">
        <f xml:space="preserve"> IF(#REF!=0, "",#REF!)</f>
        <v>#REF!</v>
      </c>
      <c r="B168" s="245" t="str">
        <f>BDD!B165</f>
        <v>Poivron rouge Ramiro BIO</v>
      </c>
      <c r="C168" s="246">
        <f>BDD!G165</f>
        <v>5.19</v>
      </c>
      <c r="D168" s="247" t="str">
        <f>BDD!H165</f>
        <v>kg</v>
      </c>
      <c r="E168" s="248" t="str">
        <f>IF(BDD!I165="", "", "X")</f>
        <v>X</v>
      </c>
      <c r="F168" s="248" t="str">
        <f>IF(BDD!J165="", "", "X")</f>
        <v/>
      </c>
      <c r="G168" s="248" t="str">
        <f>IF(BDD!K165="", "", "X")</f>
        <v/>
      </c>
      <c r="H168" s="248" t="str">
        <f>BDD!C165</f>
        <v>Malaga</v>
      </c>
    </row>
    <row r="169" spans="1:8" ht="30" customHeight="1">
      <c r="A169" s="268" t="e">
        <f xml:space="preserve"> IF(#REF!=0, "",#REF!)</f>
        <v>#REF!</v>
      </c>
      <c r="B169" s="245" t="str">
        <f>BDD!B166</f>
        <v>Polen Frais BIO (bocal 500g)</v>
      </c>
      <c r="C169" s="246">
        <f>BDD!G166</f>
        <v>17.78</v>
      </c>
      <c r="D169" s="247" t="str">
        <f>BDD!H166</f>
        <v>Pièce</v>
      </c>
      <c r="E169" s="248" t="str">
        <f>IF(BDD!I166="", "", "X")</f>
        <v/>
      </c>
      <c r="F169" s="248" t="str">
        <f>IF(BDD!J166="", "", "X")</f>
        <v/>
      </c>
      <c r="G169" s="248" t="str">
        <f>IF(BDD!K166="", "", "X")</f>
        <v/>
      </c>
      <c r="H169" s="248" t="str">
        <f>BDD!C166</f>
        <v>Cordoue</v>
      </c>
    </row>
    <row r="170" spans="1:8" ht="30" customHeight="1">
      <c r="A170" s="268" t="e">
        <f xml:space="preserve"> IF(#REF!=0, "",#REF!)</f>
        <v>#REF!</v>
      </c>
      <c r="B170" s="245" t="str">
        <f>BDD!B167</f>
        <v>Polen sec BIO (bocal 500g)</v>
      </c>
      <c r="C170" s="246">
        <f>BDD!G167</f>
        <v>18.48</v>
      </c>
      <c r="D170" s="247" t="str">
        <f>BDD!H167</f>
        <v>Pièce</v>
      </c>
      <c r="E170" s="248" t="str">
        <f>IF(BDD!I167="", "", "X")</f>
        <v/>
      </c>
      <c r="F170" s="248" t="str">
        <f>IF(BDD!J167="", "", "X")</f>
        <v/>
      </c>
      <c r="G170" s="248" t="str">
        <f>IF(BDD!K167="", "", "X")</f>
        <v/>
      </c>
      <c r="H170" s="248" t="str">
        <f>BDD!C167</f>
        <v>Huelva</v>
      </c>
    </row>
    <row r="171" spans="1:8" ht="30" customHeight="1">
      <c r="A171" s="268" t="e">
        <f xml:space="preserve"> IF(#REF!=0, "",#REF!)</f>
        <v>#REF!</v>
      </c>
      <c r="B171" s="245" t="str">
        <f>BDD!B168</f>
        <v>Pomme de terre Lucinda blanche BIO</v>
      </c>
      <c r="C171" s="246">
        <f>BDD!G168</f>
        <v>1.9</v>
      </c>
      <c r="D171" s="247" t="str">
        <f>BDD!H168</f>
        <v>kg</v>
      </c>
      <c r="E171" s="248" t="str">
        <f>IF(BDD!I168="", "", "X")</f>
        <v>X</v>
      </c>
      <c r="F171" s="248" t="str">
        <f>IF(BDD!J168="", "", "X")</f>
        <v>X</v>
      </c>
      <c r="G171" s="248" t="str">
        <f>IF(BDD!K168="", "", "X")</f>
        <v/>
      </c>
      <c r="H171" s="248" t="str">
        <f>BDD!C168</f>
        <v>Malaga</v>
      </c>
    </row>
    <row r="172" spans="1:8" ht="30" customHeight="1">
      <c r="A172" s="268" t="e">
        <f xml:space="preserve"> IF(#REF!=0, "",#REF!)</f>
        <v>#REF!</v>
      </c>
      <c r="B172" s="245" t="str">
        <f>BDD!B169</f>
        <v>Pomme de terre rouge BIO</v>
      </c>
      <c r="C172" s="246">
        <f>BDD!G169</f>
        <v>2.3199999999999998</v>
      </c>
      <c r="D172" s="247" t="str">
        <f>BDD!H169</f>
        <v>kg</v>
      </c>
      <c r="E172" s="248" t="str">
        <f>IF(BDD!I169="", "", "X")</f>
        <v>X</v>
      </c>
      <c r="F172" s="248" t="str">
        <f>IF(BDD!J169="", "", "X")</f>
        <v>X</v>
      </c>
      <c r="G172" s="248" t="str">
        <f>IF(BDD!K169="", "", "X")</f>
        <v/>
      </c>
      <c r="H172" s="248" t="str">
        <f>BDD!C169</f>
        <v>Grenade</v>
      </c>
    </row>
    <row r="173" spans="1:8" ht="30" customHeight="1">
      <c r="A173" s="268" t="e">
        <f xml:space="preserve"> IF(#REF!=0, "",#REF!)</f>
        <v>#REF!</v>
      </c>
      <c r="B173" s="245" t="str">
        <f>BDD!B170</f>
        <v>Pomme Golden</v>
      </c>
      <c r="C173" s="246">
        <f>BDD!G170</f>
        <v>2.1800000000000002</v>
      </c>
      <c r="D173" s="247" t="str">
        <f>BDD!H170</f>
        <v>kg</v>
      </c>
      <c r="E173" s="248" t="str">
        <f>IF(BDD!I170="", "", "X")</f>
        <v>X</v>
      </c>
      <c r="F173" s="248" t="str">
        <f>IF(BDD!J170="", "", "X")</f>
        <v>X</v>
      </c>
      <c r="G173" s="248" t="str">
        <f>IF(BDD!K170="", "", "X")</f>
        <v>X</v>
      </c>
      <c r="H173" s="248" t="str">
        <f>BDD!C170</f>
        <v>Grenade</v>
      </c>
    </row>
    <row r="174" spans="1:8" ht="30" customHeight="1">
      <c r="A174" s="268" t="e">
        <f xml:space="preserve"> IF(#REF!=0, "",#REF!)</f>
        <v>#REF!</v>
      </c>
      <c r="B174" s="245" t="str">
        <f>BDD!B171</f>
        <v>Pomme Granny Smith</v>
      </c>
      <c r="C174" s="246">
        <f>BDD!G171</f>
        <v>2.3199999999999998</v>
      </c>
      <c r="D174" s="247" t="str">
        <f>BDD!H171</f>
        <v>kg</v>
      </c>
      <c r="E174" s="248" t="str">
        <f>IF(BDD!I171="", "", "X")</f>
        <v>X</v>
      </c>
      <c r="F174" s="248" t="str">
        <f>IF(BDD!J171="", "", "X")</f>
        <v>X</v>
      </c>
      <c r="G174" s="248" t="str">
        <f>IF(BDD!K171="", "", "X")</f>
        <v>X</v>
      </c>
      <c r="H174" s="248" t="str">
        <f>BDD!C171</f>
        <v>Grenade</v>
      </c>
    </row>
    <row r="175" spans="1:8" ht="30" customHeight="1">
      <c r="A175" s="268" t="e">
        <f xml:space="preserve"> IF(#REF!=0, "",#REF!)</f>
        <v>#REF!</v>
      </c>
      <c r="B175" s="245" t="str">
        <f>BDD!B172</f>
        <v>Pomme Reineta</v>
      </c>
      <c r="C175" s="246">
        <f>BDD!G172</f>
        <v>2.4500000000000002</v>
      </c>
      <c r="D175" s="247" t="str">
        <f>BDD!H172</f>
        <v>kg</v>
      </c>
      <c r="E175" s="248" t="str">
        <f>IF(BDD!I172="", "", "X")</f>
        <v>X</v>
      </c>
      <c r="F175" s="248" t="str">
        <f>IF(BDD!J172="", "", "X")</f>
        <v>X</v>
      </c>
      <c r="G175" s="248" t="str">
        <f>IF(BDD!K172="", "", "X")</f>
        <v/>
      </c>
      <c r="H175" s="248" t="str">
        <f>BDD!C172</f>
        <v>Grenade</v>
      </c>
    </row>
    <row r="176" spans="1:8" ht="30" customHeight="1">
      <c r="A176" s="268" t="e">
        <f xml:space="preserve"> IF(#REF!=0, "",#REF!)</f>
        <v>#REF!</v>
      </c>
      <c r="B176" s="245" t="str">
        <f>BDD!B173</f>
        <v>Pomme rouge Starky</v>
      </c>
      <c r="C176" s="246">
        <f>BDD!G173</f>
        <v>2.3199999999999998</v>
      </c>
      <c r="D176" s="247" t="str">
        <f>BDD!H173</f>
        <v>kg</v>
      </c>
      <c r="E176" s="248" t="str">
        <f>IF(BDD!I173="", "", "X")</f>
        <v>X</v>
      </c>
      <c r="F176" s="248" t="str">
        <f>IF(BDD!J173="", "", "X")</f>
        <v>X</v>
      </c>
      <c r="G176" s="248" t="str">
        <f>IF(BDD!K173="", "", "X")</f>
        <v>X</v>
      </c>
      <c r="H176" s="248" t="str">
        <f>BDD!C173</f>
        <v>Grenade</v>
      </c>
    </row>
    <row r="177" spans="1:8" ht="30" customHeight="1">
      <c r="A177" s="268" t="e">
        <f xml:space="preserve"> IF(#REF!=0, "",#REF!)</f>
        <v>#REF!</v>
      </c>
      <c r="B177" s="245" t="str">
        <f>BDD!B174</f>
        <v>Pomme rouge Top Red</v>
      </c>
      <c r="C177" s="246">
        <f>BDD!G174</f>
        <v>2.4500000000000002</v>
      </c>
      <c r="D177" s="247" t="str">
        <f>BDD!H174</f>
        <v>kg</v>
      </c>
      <c r="E177" s="248" t="str">
        <f>IF(BDD!I174="", "", "X")</f>
        <v/>
      </c>
      <c r="F177" s="248" t="str">
        <f>IF(BDD!J174="", "", "X")</f>
        <v/>
      </c>
      <c r="G177" s="248" t="str">
        <f>IF(BDD!K174="", "", "X")</f>
        <v/>
      </c>
      <c r="H177" s="248" t="str">
        <f>BDD!C174</f>
        <v>Grenade</v>
      </c>
    </row>
    <row r="178" spans="1:8" ht="30" customHeight="1">
      <c r="A178" s="268" t="e">
        <f xml:space="preserve"> IF(#REF!=0, "",#REF!)</f>
        <v>#REF!</v>
      </c>
      <c r="B178" s="245" t="str">
        <f>BDD!B175</f>
        <v>Pomme verte Doncella</v>
      </c>
      <c r="C178" s="246">
        <f>BDD!G175</f>
        <v>2.4500000000000002</v>
      </c>
      <c r="D178" s="247" t="str">
        <f>BDD!H175</f>
        <v>kg</v>
      </c>
      <c r="E178" s="248" t="str">
        <f>IF(BDD!I175="", "", "X")</f>
        <v>X</v>
      </c>
      <c r="F178" s="248" t="str">
        <f>IF(BDD!J175="", "", "X")</f>
        <v>X</v>
      </c>
      <c r="G178" s="248" t="str">
        <f>IF(BDD!K175="", "", "X")</f>
        <v/>
      </c>
      <c r="H178" s="248" t="str">
        <f>BDD!C175</f>
        <v>Grenade</v>
      </c>
    </row>
    <row r="179" spans="1:8" ht="30" customHeight="1">
      <c r="A179" s="268" t="e">
        <f xml:space="preserve"> IF(#REF!=0, "",#REF!)</f>
        <v>#REF!</v>
      </c>
      <c r="B179" s="245" t="str">
        <f>BDD!B176</f>
        <v>Radis Daikon</v>
      </c>
      <c r="C179" s="246">
        <f>BDD!G176</f>
        <v>2.4500000000000002</v>
      </c>
      <c r="D179" s="247" t="str">
        <f>BDD!H176</f>
        <v>kg</v>
      </c>
      <c r="E179" s="248" t="str">
        <f>IF(BDD!I176="", "", "X")</f>
        <v>X</v>
      </c>
      <c r="F179" s="248" t="str">
        <f>IF(BDD!J176="", "", "X")</f>
        <v/>
      </c>
      <c r="G179" s="248" t="str">
        <f>IF(BDD!K176="", "", "X")</f>
        <v/>
      </c>
      <c r="H179" s="248" t="str">
        <f>BDD!C176</f>
        <v>Espagne</v>
      </c>
    </row>
    <row r="180" spans="1:8" ht="30" customHeight="1">
      <c r="A180" s="268" t="e">
        <f xml:space="preserve"> IF(#REF!=0, "",#REF!)</f>
        <v>#REF!</v>
      </c>
      <c r="B180" s="245" t="str">
        <f>BDD!B177</f>
        <v>Raisin sec Sultana BIO
    - (env. 1kg)</v>
      </c>
      <c r="C180" s="246">
        <f>BDD!G177</f>
        <v>6.82</v>
      </c>
      <c r="D180" s="247" t="str">
        <f>BDD!H177</f>
        <v>Pièce</v>
      </c>
      <c r="E180" s="248" t="str">
        <f>IF(BDD!I177="", "", "X")</f>
        <v>X</v>
      </c>
      <c r="F180" s="248" t="str">
        <f>IF(BDD!J177="", "", "X")</f>
        <v>X</v>
      </c>
      <c r="G180" s="248" t="str">
        <f>IF(BDD!K177="", "", "X")</f>
        <v/>
      </c>
      <c r="H180" s="248" t="str">
        <f>BDD!C177</f>
        <v>Turquie</v>
      </c>
    </row>
    <row r="181" spans="1:8" ht="30" customHeight="1">
      <c r="A181" s="268" t="e">
        <f xml:space="preserve"> IF(#REF!=0, "",#REF!)</f>
        <v>#REF!</v>
      </c>
      <c r="B181" s="245" t="str">
        <f>BDD!B178</f>
        <v>Raisins secs Muscat en grains
    - (env. 500g)</v>
      </c>
      <c r="C181" s="246">
        <f>BDD!G178</f>
        <v>5.88</v>
      </c>
      <c r="D181" s="247" t="str">
        <f>BDD!H178</f>
        <v>Pièce</v>
      </c>
      <c r="E181" s="248" t="str">
        <f>IF(BDD!I178="", "", "X")</f>
        <v/>
      </c>
      <c r="F181" s="248" t="str">
        <f>IF(BDD!J178="", "", "X")</f>
        <v/>
      </c>
      <c r="G181" s="248" t="str">
        <f>IF(BDD!K178="", "", "X")</f>
        <v/>
      </c>
      <c r="H181" s="248" t="str">
        <f>BDD!C178</f>
        <v>Malaga</v>
      </c>
    </row>
    <row r="182" spans="1:8" ht="30" customHeight="1">
      <c r="A182" s="268" t="e">
        <f xml:space="preserve"> IF(#REF!=0, "",#REF!)</f>
        <v>#REF!</v>
      </c>
      <c r="B182" s="245" t="str">
        <f>BDD!B179</f>
        <v>Sel rose de l'Himalaya moulu
    - (sous vide, env. 1kg)</v>
      </c>
      <c r="C182" s="246">
        <f>BDD!G179</f>
        <v>2.71</v>
      </c>
      <c r="D182" s="247" t="str">
        <f>BDD!H179</f>
        <v>kg</v>
      </c>
      <c r="E182" s="248" t="str">
        <f>IF(BDD!I179="", "", "X")</f>
        <v>X</v>
      </c>
      <c r="F182" s="248" t="str">
        <f>IF(BDD!J179="", "", "X")</f>
        <v/>
      </c>
      <c r="G182" s="248" t="str">
        <f>IF(BDD!K179="", "", "X")</f>
        <v/>
      </c>
      <c r="H182" s="248" t="str">
        <f>BDD!C179</f>
        <v>Pakistan</v>
      </c>
    </row>
    <row r="183" spans="1:8" ht="30" customHeight="1">
      <c r="A183" s="268" t="e">
        <f xml:space="preserve"> IF(#REF!=0, "",#REF!)</f>
        <v>#REF!</v>
      </c>
      <c r="B183" s="245" t="str">
        <f>BDD!B180</f>
        <v>Sésame CRU BIO (env. 1kg)</v>
      </c>
      <c r="C183" s="246">
        <f>BDD!G180</f>
        <v>6.7</v>
      </c>
      <c r="D183" s="247" t="str">
        <f>BDD!H180</f>
        <v>Pièce</v>
      </c>
      <c r="E183" s="248" t="str">
        <f>IF(BDD!I180="", "", "X")</f>
        <v>X</v>
      </c>
      <c r="F183" s="248" t="str">
        <f>IF(BDD!J180="", "", "X")</f>
        <v/>
      </c>
      <c r="G183" s="248" t="str">
        <f>IF(BDD!K180="", "", "X")</f>
        <v/>
      </c>
      <c r="H183" s="248" t="str">
        <f>BDD!C180</f>
        <v>Paraguay
Egypte</v>
      </c>
    </row>
    <row r="184" spans="1:8" ht="30" customHeight="1">
      <c r="A184" s="268" t="e">
        <f xml:space="preserve"> IF(#REF!=0, "",#REF!)</f>
        <v>#REF!</v>
      </c>
      <c r="B184" s="245" t="str">
        <f>BDD!B181</f>
        <v>Souchet BIO (env. 1kg)</v>
      </c>
      <c r="C184" s="246">
        <f>BDD!G181</f>
        <v>8.19</v>
      </c>
      <c r="D184" s="247" t="str">
        <f>BDD!H181</f>
        <v>Pièce</v>
      </c>
      <c r="E184" s="248" t="str">
        <f>IF(BDD!I181="", "", "X")</f>
        <v>X</v>
      </c>
      <c r="F184" s="248" t="str">
        <f>IF(BDD!J181="", "", "X")</f>
        <v>X</v>
      </c>
      <c r="G184" s="248" t="str">
        <f>IF(BDD!K181="", "", "X")</f>
        <v/>
      </c>
      <c r="H184" s="248" t="str">
        <f>BDD!C181</f>
        <v>Import</v>
      </c>
    </row>
    <row r="185" spans="1:8" ht="30" customHeight="1">
      <c r="A185" s="268" t="e">
        <f xml:space="preserve"> IF(#REF!=0, "",#REF!)</f>
        <v>#REF!</v>
      </c>
      <c r="B185" s="245" t="str">
        <f>BDD!B182</f>
        <v>Spaguetti de mer déshydraté BIO (env. 1kg)</v>
      </c>
      <c r="C185" s="246">
        <f>BDD!G182</f>
        <v>37.659999999999997</v>
      </c>
      <c r="D185" s="247" t="str">
        <f>BDD!H182</f>
        <v>Pièce</v>
      </c>
      <c r="E185" s="248" t="str">
        <f>IF(BDD!I182="", "", "X")</f>
        <v/>
      </c>
      <c r="F185" s="248" t="str">
        <f>IF(BDD!J182="", "", "X")</f>
        <v/>
      </c>
      <c r="G185" s="248" t="str">
        <f>IF(BDD!K182="", "", "X")</f>
        <v/>
      </c>
      <c r="H185" s="248" t="str">
        <f>BDD!C182</f>
        <v>Galice</v>
      </c>
    </row>
    <row r="186" spans="1:8" ht="30" customHeight="1">
      <c r="A186" s="268" t="e">
        <f xml:space="preserve"> IF(#REF!=0, "",#REF!)</f>
        <v>#REF!</v>
      </c>
      <c r="B186" s="245" t="str">
        <f>BDD!B183</f>
        <v>Spaguetti de mer déshydraté BIO (env. 500g)</v>
      </c>
      <c r="C186" s="246">
        <f>BDD!G183</f>
        <v>19.579999999999998</v>
      </c>
      <c r="D186" s="247" t="str">
        <f>BDD!H183</f>
        <v>Pièce</v>
      </c>
      <c r="E186" s="248" t="str">
        <f>IF(BDD!I183="", "", "X")</f>
        <v/>
      </c>
      <c r="F186" s="248" t="str">
        <f>IF(BDD!J183="", "", "X")</f>
        <v/>
      </c>
      <c r="G186" s="248" t="str">
        <f>IF(BDD!K183="", "", "X")</f>
        <v/>
      </c>
      <c r="H186" s="248" t="str">
        <f>BDD!C183</f>
        <v>Galice</v>
      </c>
    </row>
    <row r="187" spans="1:8" ht="30" customHeight="1">
      <c r="A187" s="268" t="e">
        <f xml:space="preserve"> IF(#REF!=0, "",#REF!)</f>
        <v>#REF!</v>
      </c>
      <c r="B187" s="245" t="str">
        <f>BDD!B184</f>
        <v>Spiruline en poudre</v>
      </c>
      <c r="C187" s="246">
        <f>BDD!G184</f>
        <v>35.590000000000003</v>
      </c>
      <c r="D187" s="247" t="str">
        <f>BDD!H184</f>
        <v>Pièce</v>
      </c>
      <c r="E187" s="248" t="str">
        <f>IF(BDD!I184="", "", "X")</f>
        <v/>
      </c>
      <c r="F187" s="248" t="str">
        <f>IF(BDD!J184="", "", "X")</f>
        <v/>
      </c>
      <c r="G187" s="248" t="str">
        <f>IF(BDD!K184="", "", "X")</f>
        <v/>
      </c>
      <c r="H187" s="248" t="str">
        <f>BDD!C184</f>
        <v>Inde</v>
      </c>
    </row>
    <row r="188" spans="1:8" ht="30" customHeight="1">
      <c r="A188" s="268" t="e">
        <f xml:space="preserve"> IF(#REF!=0, "",#REF!)</f>
        <v>#REF!</v>
      </c>
      <c r="B188" s="245" t="str">
        <f>BDD!B185</f>
        <v>Sucre de coco BIO (env. 1kg)</v>
      </c>
      <c r="C188" s="246">
        <f>BDD!G185</f>
        <v>11.91</v>
      </c>
      <c r="D188" s="247" t="str">
        <f>BDD!H185</f>
        <v>Pièce</v>
      </c>
      <c r="E188" s="248" t="str">
        <f>IF(BDD!I185="", "", "X")</f>
        <v>X</v>
      </c>
      <c r="F188" s="248" t="str">
        <f>IF(BDD!J185="", "", "X")</f>
        <v/>
      </c>
      <c r="G188" s="248" t="str">
        <f>IF(BDD!K185="", "", "X")</f>
        <v/>
      </c>
      <c r="H188" s="248" t="str">
        <f>BDD!C185</f>
        <v>Indonésie</v>
      </c>
    </row>
    <row r="189" spans="1:8" ht="30" customHeight="1">
      <c r="A189" s="268" t="e">
        <f xml:space="preserve"> IF(#REF!=0, "",#REF!)</f>
        <v>#REF!</v>
      </c>
      <c r="B189" s="245" t="str">
        <f>BDD!B186</f>
        <v>Tomate déshydratée CRU BIO (env. 1kg, à basse température 35º, qualité supérieure)</v>
      </c>
      <c r="C189" s="246">
        <f>BDD!G186</f>
        <v>32.85</v>
      </c>
      <c r="D189" s="247" t="str">
        <f>BDD!H186</f>
        <v>Pièce</v>
      </c>
      <c r="E189" s="248" t="str">
        <f>IF(BDD!I186="", "", "X")</f>
        <v/>
      </c>
      <c r="F189" s="248" t="str">
        <f>IF(BDD!J186="", "", "X")</f>
        <v/>
      </c>
      <c r="G189" s="248" t="str">
        <f>IF(BDD!K186="", "", "X")</f>
        <v/>
      </c>
      <c r="H189" s="248" t="str">
        <f>BDD!C186</f>
        <v>Espagne</v>
      </c>
    </row>
    <row r="190" spans="1:8" ht="30" customHeight="1">
      <c r="A190" s="268" t="e">
        <f xml:space="preserve"> IF(#REF!=0, "",#REF!)</f>
        <v>#REF!</v>
      </c>
      <c r="B190" s="245" t="str">
        <f>BDD!B187</f>
        <v>Tomate déshydratée CRU BIO (env. 200g, à basse température 35º, qualité supérieure)</v>
      </c>
      <c r="C190" s="246">
        <f>BDD!G187</f>
        <v>7.25</v>
      </c>
      <c r="D190" s="247" t="str">
        <f>BDD!H187</f>
        <v>Pièce</v>
      </c>
      <c r="E190" s="248" t="str">
        <f>IF(BDD!I187="", "", "X")</f>
        <v/>
      </c>
      <c r="F190" s="248" t="str">
        <f>IF(BDD!J187="", "", "X")</f>
        <v/>
      </c>
      <c r="G190" s="248" t="str">
        <f>IF(BDD!K187="", "", "X")</f>
        <v/>
      </c>
      <c r="H190" s="248" t="str">
        <f>BDD!C187</f>
        <v>Espagne</v>
      </c>
    </row>
    <row r="191" spans="1:8" ht="30" customHeight="1">
      <c r="A191" s="268" t="e">
        <f xml:space="preserve"> IF(#REF!=0, "",#REF!)</f>
        <v>#REF!</v>
      </c>
      <c r="B191" s="245" t="str">
        <f>BDD!B188</f>
        <v>Xylitol (sucre de bouleau) (env. 1kg)</v>
      </c>
      <c r="C191" s="246">
        <f>BDD!G188</f>
        <v>24.63</v>
      </c>
      <c r="D191" s="247" t="str">
        <f>BDD!H188</f>
        <v>Pièce</v>
      </c>
      <c r="E191" s="248" t="str">
        <f>IF(BDD!I188="", "", "X")</f>
        <v>X</v>
      </c>
      <c r="F191" s="248" t="str">
        <f>IF(BDD!J188="", "", "X")</f>
        <v/>
      </c>
      <c r="G191" s="248" t="str">
        <f>IF(BDD!K188="", "", "X")</f>
        <v/>
      </c>
      <c r="H191" s="248" t="str">
        <f>BDD!C188</f>
        <v>Pérou</v>
      </c>
    </row>
    <row r="192" spans="1:8" ht="30" customHeight="1">
      <c r="A192" s="268" t="e">
        <f xml:space="preserve"> IF(#REF!=0, "",#REF!)</f>
        <v>#REF!</v>
      </c>
      <c r="B192" s="245">
        <f>BDD!B189</f>
        <v>0</v>
      </c>
      <c r="C192" s="246">
        <f>BDD!G189</f>
        <v>0</v>
      </c>
      <c r="D192" s="247">
        <f>BDD!H189</f>
        <v>0</v>
      </c>
      <c r="E192" s="248" t="str">
        <f>IF(BDD!I189="", "", "X")</f>
        <v/>
      </c>
      <c r="F192" s="248" t="str">
        <f>IF(BDD!J189="", "", "X")</f>
        <v/>
      </c>
      <c r="G192" s="248" t="str">
        <f>IF(BDD!K189="", "", "X")</f>
        <v/>
      </c>
      <c r="H192" s="248">
        <f>BDD!C189</f>
        <v>0</v>
      </c>
    </row>
    <row r="193" spans="1:8" ht="30" customHeight="1">
      <c r="A193" s="268" t="e">
        <f xml:space="preserve"> IF(#REF!=0, "",#REF!)</f>
        <v>#REF!</v>
      </c>
      <c r="B193" s="245">
        <f>BDD!B190</f>
        <v>0</v>
      </c>
      <c r="C193" s="246">
        <f>BDD!G190</f>
        <v>0</v>
      </c>
      <c r="D193" s="247">
        <f>BDD!H190</f>
        <v>0</v>
      </c>
      <c r="E193" s="248" t="str">
        <f>IF(BDD!I190="", "", "X")</f>
        <v/>
      </c>
      <c r="F193" s="248" t="str">
        <f>IF(BDD!J190="", "", "X")</f>
        <v/>
      </c>
      <c r="G193" s="248" t="str">
        <f>IF(BDD!K190="", "", "X")</f>
        <v/>
      </c>
      <c r="H193" s="248">
        <f>BDD!C190</f>
        <v>0</v>
      </c>
    </row>
    <row r="194" spans="1:8" ht="30" customHeight="1">
      <c r="A194" s="268" t="e">
        <f xml:space="preserve"> IF(#REF!=0, "",#REF!)</f>
        <v>#REF!</v>
      </c>
      <c r="B194" s="245">
        <f>BDD!B191</f>
        <v>0</v>
      </c>
      <c r="C194" s="246">
        <f>BDD!G191</f>
        <v>0</v>
      </c>
      <c r="D194" s="247">
        <f>BDD!H191</f>
        <v>0</v>
      </c>
      <c r="E194" s="248" t="str">
        <f>IF(BDD!I191="", "", "X")</f>
        <v/>
      </c>
      <c r="F194" s="248" t="str">
        <f>IF(BDD!J191="", "", "X")</f>
        <v/>
      </c>
      <c r="G194" s="248" t="str">
        <f>IF(BDD!K191="", "", "X")</f>
        <v/>
      </c>
      <c r="H194" s="248">
        <f>BDD!C191</f>
        <v>0</v>
      </c>
    </row>
    <row r="195" spans="1:8" ht="30" customHeight="1">
      <c r="A195" s="268" t="e">
        <f xml:space="preserve"> IF(#REF!=0, "",#REF!)</f>
        <v>#REF!</v>
      </c>
      <c r="B195" s="245">
        <f>BDD!B192</f>
        <v>0</v>
      </c>
      <c r="C195" s="246">
        <f>BDD!G192</f>
        <v>0</v>
      </c>
      <c r="D195" s="247">
        <f>BDD!H192</f>
        <v>0</v>
      </c>
      <c r="E195" s="248" t="str">
        <f>IF(BDD!I192="", "", "X")</f>
        <v/>
      </c>
      <c r="F195" s="248" t="str">
        <f>IF(BDD!J192="", "", "X")</f>
        <v/>
      </c>
      <c r="G195" s="248" t="str">
        <f>IF(BDD!K192="", "", "X")</f>
        <v/>
      </c>
      <c r="H195" s="248">
        <f>BDD!C192</f>
        <v>0</v>
      </c>
    </row>
    <row r="196" spans="1:8" ht="30" customHeight="1">
      <c r="A196" s="268" t="e">
        <f xml:space="preserve"> IF(#REF!=0, "",#REF!)</f>
        <v>#REF!</v>
      </c>
      <c r="B196" s="245">
        <f>BDD!B193</f>
        <v>0</v>
      </c>
      <c r="C196" s="246">
        <f>BDD!G193</f>
        <v>0</v>
      </c>
      <c r="D196" s="247">
        <f>BDD!H193</f>
        <v>0</v>
      </c>
      <c r="E196" s="248" t="str">
        <f>IF(BDD!I193="", "", "X")</f>
        <v/>
      </c>
      <c r="F196" s="248" t="str">
        <f>IF(BDD!J193="", "", "X")</f>
        <v/>
      </c>
      <c r="G196" s="248" t="str">
        <f>IF(BDD!K193="", "", "X")</f>
        <v/>
      </c>
      <c r="H196" s="248">
        <f>BDD!C193</f>
        <v>0</v>
      </c>
    </row>
    <row r="197" spans="1:8" ht="30" customHeight="1">
      <c r="A197" s="268" t="e">
        <f xml:space="preserve"> IF(#REF!=0, "",#REF!)</f>
        <v>#REF!</v>
      </c>
      <c r="B197" s="245">
        <f>BDD!B194</f>
        <v>0</v>
      </c>
      <c r="C197" s="246">
        <f>BDD!G194</f>
        <v>0</v>
      </c>
      <c r="D197" s="247">
        <f>BDD!H194</f>
        <v>0</v>
      </c>
      <c r="E197" s="248" t="str">
        <f>IF(BDD!I194="", "", "X")</f>
        <v/>
      </c>
      <c r="F197" s="248" t="str">
        <f>IF(BDD!J194="", "", "X")</f>
        <v/>
      </c>
      <c r="G197" s="248" t="str">
        <f>IF(BDD!K194="", "", "X")</f>
        <v/>
      </c>
      <c r="H197" s="248">
        <f>BDD!C194</f>
        <v>0</v>
      </c>
    </row>
    <row r="198" spans="1:8" ht="30" customHeight="1">
      <c r="A198" s="268" t="e">
        <f xml:space="preserve"> IF(#REF!=0, "",#REF!)</f>
        <v>#REF!</v>
      </c>
      <c r="B198" s="245">
        <f>BDD!B195</f>
        <v>0</v>
      </c>
      <c r="C198" s="246">
        <f>BDD!G195</f>
        <v>0</v>
      </c>
      <c r="D198" s="247">
        <f>BDD!H195</f>
        <v>0</v>
      </c>
      <c r="E198" s="248" t="str">
        <f>IF(BDD!I195="", "", "X")</f>
        <v/>
      </c>
      <c r="F198" s="248" t="str">
        <f>IF(BDD!J195="", "", "X")</f>
        <v/>
      </c>
      <c r="G198" s="248" t="str">
        <f>IF(BDD!K195="", "", "X")</f>
        <v/>
      </c>
      <c r="H198" s="248">
        <f>BDD!C195</f>
        <v>0</v>
      </c>
    </row>
    <row r="199" spans="1:8" ht="30" customHeight="1">
      <c r="A199" s="268" t="e">
        <f xml:space="preserve"> IF(#REF!=0, "",#REF!)</f>
        <v>#REF!</v>
      </c>
      <c r="B199" s="245">
        <f>BDD!B196</f>
        <v>0</v>
      </c>
      <c r="C199" s="246">
        <f>BDD!G196</f>
        <v>0</v>
      </c>
      <c r="D199" s="247">
        <f>BDD!H196</f>
        <v>0</v>
      </c>
      <c r="E199" s="248" t="str">
        <f>IF(BDD!I196="", "", "X")</f>
        <v/>
      </c>
      <c r="F199" s="248" t="str">
        <f>IF(BDD!J196="", "", "X")</f>
        <v/>
      </c>
      <c r="G199" s="248" t="str">
        <f>IF(BDD!K196="", "", "X")</f>
        <v/>
      </c>
      <c r="H199" s="248">
        <f>BDD!C196</f>
        <v>0</v>
      </c>
    </row>
    <row r="200" spans="1:8" ht="30" customHeight="1">
      <c r="A200" s="268" t="e">
        <f xml:space="preserve"> IF(#REF!=0, "",#REF!)</f>
        <v>#REF!</v>
      </c>
      <c r="B200" s="245">
        <f>BDD!B197</f>
        <v>0</v>
      </c>
      <c r="C200" s="246">
        <f>BDD!G197</f>
        <v>0</v>
      </c>
      <c r="D200" s="247">
        <f>BDD!H197</f>
        <v>0</v>
      </c>
      <c r="E200" s="248" t="str">
        <f>IF(BDD!I197="", "", "X")</f>
        <v/>
      </c>
      <c r="F200" s="248" t="str">
        <f>IF(BDD!J197="", "", "X")</f>
        <v/>
      </c>
      <c r="G200" s="248" t="str">
        <f>IF(BDD!K197="", "", "X")</f>
        <v/>
      </c>
      <c r="H200" s="248">
        <f>BDD!C197</f>
        <v>0</v>
      </c>
    </row>
    <row r="201" spans="1:8" ht="30" customHeight="1">
      <c r="A201" s="268" t="e">
        <f xml:space="preserve"> IF(#REF!=0, "",#REF!)</f>
        <v>#REF!</v>
      </c>
      <c r="B201" s="245">
        <f>BDD!B198</f>
        <v>0</v>
      </c>
      <c r="C201" s="246">
        <f>BDD!G198</f>
        <v>0</v>
      </c>
      <c r="D201" s="247">
        <f>BDD!H198</f>
        <v>0</v>
      </c>
      <c r="E201" s="248" t="str">
        <f>IF(BDD!I198="", "", "X")</f>
        <v/>
      </c>
      <c r="F201" s="248" t="str">
        <f>IF(BDD!J198="", "", "X")</f>
        <v/>
      </c>
      <c r="G201" s="248" t="str">
        <f>IF(BDD!K198="", "", "X")</f>
        <v/>
      </c>
      <c r="H201" s="248">
        <f>BDD!C198</f>
        <v>0</v>
      </c>
    </row>
    <row r="202" spans="1:8" ht="30" customHeight="1">
      <c r="A202" s="268" t="e">
        <f xml:space="preserve"> IF(#REF!=0, "",#REF!)</f>
        <v>#REF!</v>
      </c>
      <c r="B202" s="245">
        <f>BDD!B199</f>
        <v>0</v>
      </c>
      <c r="C202" s="246">
        <f>BDD!G199</f>
        <v>0</v>
      </c>
      <c r="D202" s="247">
        <f>BDD!H199</f>
        <v>0</v>
      </c>
      <c r="E202" s="248" t="str">
        <f>IF(BDD!I199="", "", "X")</f>
        <v/>
      </c>
      <c r="F202" s="248" t="str">
        <f>IF(BDD!J199="", "", "X")</f>
        <v/>
      </c>
      <c r="G202" s="248" t="str">
        <f>IF(BDD!K199="", "", "X")</f>
        <v/>
      </c>
      <c r="H202" s="248">
        <f>BDD!C199</f>
        <v>0</v>
      </c>
    </row>
    <row r="203" spans="1:8" ht="30" customHeight="1">
      <c r="A203" s="268" t="e">
        <f xml:space="preserve"> IF(#REF!=0, "",#REF!)</f>
        <v>#REF!</v>
      </c>
      <c r="B203" s="245">
        <f>BDD!B200</f>
        <v>0</v>
      </c>
      <c r="C203" s="246">
        <f>BDD!G200</f>
        <v>0</v>
      </c>
      <c r="D203" s="247">
        <f>BDD!H200</f>
        <v>0</v>
      </c>
      <c r="E203" s="248" t="str">
        <f>IF(BDD!I200="", "", "X")</f>
        <v/>
      </c>
      <c r="F203" s="248" t="str">
        <f>IF(BDD!J200="", "", "X")</f>
        <v/>
      </c>
      <c r="G203" s="248" t="str">
        <f>IF(BDD!K200="", "", "X")</f>
        <v/>
      </c>
      <c r="H203" s="248">
        <f>BDD!C200</f>
        <v>0</v>
      </c>
    </row>
    <row r="204" spans="1:8" ht="30" customHeight="1">
      <c r="A204" s="268" t="e">
        <f xml:space="preserve"> IF(#REF!=0, "",#REF!)</f>
        <v>#REF!</v>
      </c>
      <c r="B204" s="245">
        <f>BDD!B201</f>
        <v>0</v>
      </c>
      <c r="C204" s="246">
        <f>BDD!G201</f>
        <v>0</v>
      </c>
      <c r="D204" s="247">
        <f>BDD!H201</f>
        <v>0</v>
      </c>
      <c r="E204" s="248" t="str">
        <f>IF(BDD!I201="", "", "X")</f>
        <v/>
      </c>
      <c r="F204" s="248" t="str">
        <f>IF(BDD!J201="", "", "X")</f>
        <v/>
      </c>
      <c r="G204" s="248" t="str">
        <f>IF(BDD!K201="", "", "X")</f>
        <v/>
      </c>
      <c r="H204" s="248">
        <f>BDD!C201</f>
        <v>0</v>
      </c>
    </row>
    <row r="205" spans="1:8" ht="30" customHeight="1">
      <c r="A205" s="268" t="e">
        <f xml:space="preserve"> IF(#REF!=0, "",#REF!)</f>
        <v>#REF!</v>
      </c>
      <c r="B205" s="245">
        <f>BDD!B202</f>
        <v>0</v>
      </c>
      <c r="C205" s="246">
        <f>BDD!G202</f>
        <v>0</v>
      </c>
      <c r="D205" s="247">
        <f>BDD!H202</f>
        <v>0</v>
      </c>
      <c r="E205" s="248" t="str">
        <f>IF(BDD!I202="", "", "X")</f>
        <v/>
      </c>
      <c r="F205" s="248" t="str">
        <f>IF(BDD!J202="", "", "X")</f>
        <v/>
      </c>
      <c r="G205" s="248" t="str">
        <f>IF(BDD!K202="", "", "X")</f>
        <v/>
      </c>
      <c r="H205" s="248">
        <f>BDD!C202</f>
        <v>0</v>
      </c>
    </row>
    <row r="206" spans="1:8" ht="30" customHeight="1">
      <c r="A206" s="268" t="e">
        <f xml:space="preserve"> IF(#REF!=0, "",#REF!)</f>
        <v>#REF!</v>
      </c>
      <c r="B206" s="245">
        <f>BDD!B203</f>
        <v>0</v>
      </c>
      <c r="C206" s="246">
        <f>BDD!G203</f>
        <v>0</v>
      </c>
      <c r="D206" s="247">
        <f>BDD!H203</f>
        <v>0</v>
      </c>
      <c r="E206" s="248" t="str">
        <f>IF(BDD!I203="", "", "X")</f>
        <v/>
      </c>
      <c r="F206" s="248" t="str">
        <f>IF(BDD!J203="", "", "X")</f>
        <v/>
      </c>
      <c r="G206" s="248" t="str">
        <f>IF(BDD!K203="", "", "X")</f>
        <v/>
      </c>
      <c r="H206" s="248">
        <f>BDD!C203</f>
        <v>0</v>
      </c>
    </row>
    <row r="207" spans="1:8" ht="30" customHeight="1">
      <c r="A207" s="268" t="e">
        <f xml:space="preserve"> IF(#REF!=0, "",#REF!)</f>
        <v>#REF!</v>
      </c>
      <c r="B207" s="245">
        <f>BDD!B204</f>
        <v>0</v>
      </c>
      <c r="C207" s="246">
        <f>BDD!G204</f>
        <v>0</v>
      </c>
      <c r="D207" s="247">
        <f>BDD!H204</f>
        <v>0</v>
      </c>
      <c r="E207" s="248" t="str">
        <f>IF(BDD!I204="", "", "X")</f>
        <v/>
      </c>
      <c r="F207" s="248" t="str">
        <f>IF(BDD!J204="", "", "X")</f>
        <v/>
      </c>
      <c r="G207" s="248" t="str">
        <f>IF(BDD!K204="", "", "X")</f>
        <v/>
      </c>
      <c r="H207" s="248">
        <f>BDD!C204</f>
        <v>0</v>
      </c>
    </row>
    <row r="208" spans="1:8" ht="30" customHeight="1">
      <c r="A208" s="268" t="e">
        <f xml:space="preserve"> IF(#REF!=0, "",#REF!)</f>
        <v>#REF!</v>
      </c>
      <c r="B208" s="245">
        <f>BDD!B205</f>
        <v>0</v>
      </c>
      <c r="C208" s="246">
        <f>BDD!G205</f>
        <v>0</v>
      </c>
      <c r="D208" s="247">
        <f>BDD!H205</f>
        <v>0</v>
      </c>
      <c r="E208" s="248" t="str">
        <f>IF(BDD!I205="", "", "X")</f>
        <v/>
      </c>
      <c r="F208" s="248" t="str">
        <f>IF(BDD!J205="", "", "X")</f>
        <v/>
      </c>
      <c r="G208" s="248" t="str">
        <f>IF(BDD!K205="", "", "X")</f>
        <v/>
      </c>
      <c r="H208" s="248">
        <f>BDD!C205</f>
        <v>0</v>
      </c>
    </row>
    <row r="209" spans="1:8" ht="30" customHeight="1">
      <c r="A209" s="268" t="e">
        <f xml:space="preserve"> IF(#REF!=0, "",#REF!)</f>
        <v>#REF!</v>
      </c>
      <c r="B209" s="245">
        <f>BDD!B206</f>
        <v>0</v>
      </c>
      <c r="C209" s="246">
        <f>BDD!G206</f>
        <v>0</v>
      </c>
      <c r="D209" s="247">
        <f>BDD!H206</f>
        <v>0</v>
      </c>
      <c r="E209" s="248" t="str">
        <f>IF(BDD!I206="", "", "X")</f>
        <v/>
      </c>
      <c r="F209" s="248" t="str">
        <f>IF(BDD!J206="", "", "X")</f>
        <v/>
      </c>
      <c r="G209" s="248" t="str">
        <f>IF(BDD!K206="", "", "X")</f>
        <v/>
      </c>
      <c r="H209" s="248">
        <f>BDD!C206</f>
        <v>0</v>
      </c>
    </row>
    <row r="210" spans="1:8" ht="30" customHeight="1">
      <c r="A210" s="268" t="e">
        <f xml:space="preserve"> IF(#REF!=0, "",#REF!)</f>
        <v>#REF!</v>
      </c>
      <c r="B210" s="245">
        <f>BDD!B207</f>
        <v>0</v>
      </c>
      <c r="C210" s="246">
        <f>BDD!G207</f>
        <v>0</v>
      </c>
      <c r="D210" s="247">
        <f>BDD!H207</f>
        <v>0</v>
      </c>
      <c r="E210" s="248" t="str">
        <f>IF(BDD!I207="", "", "X")</f>
        <v/>
      </c>
      <c r="F210" s="248" t="str">
        <f>IF(BDD!J207="", "", "X")</f>
        <v/>
      </c>
      <c r="G210" s="248" t="str">
        <f>IF(BDD!K207="", "", "X")</f>
        <v/>
      </c>
      <c r="H210" s="248">
        <f>BDD!C207</f>
        <v>0</v>
      </c>
    </row>
    <row r="211" spans="1:8" ht="30" customHeight="1">
      <c r="A211" s="268" t="e">
        <f xml:space="preserve"> IF(#REF!=0, "",#REF!)</f>
        <v>#REF!</v>
      </c>
      <c r="B211" s="245">
        <f>BDD!B208</f>
        <v>0</v>
      </c>
      <c r="C211" s="246">
        <f>BDD!G208</f>
        <v>0</v>
      </c>
      <c r="D211" s="247">
        <f>BDD!H208</f>
        <v>0</v>
      </c>
      <c r="E211" s="248" t="str">
        <f>IF(BDD!I208="", "", "X")</f>
        <v/>
      </c>
      <c r="F211" s="248" t="str">
        <f>IF(BDD!J208="", "", "X")</f>
        <v/>
      </c>
      <c r="G211" s="248" t="str">
        <f>IF(BDD!K208="", "", "X")</f>
        <v/>
      </c>
      <c r="H211" s="248">
        <f>BDD!C208</f>
        <v>0</v>
      </c>
    </row>
    <row r="212" spans="1:8" ht="30" customHeight="1">
      <c r="A212" s="268" t="e">
        <f xml:space="preserve"> IF(#REF!=0, "",#REF!)</f>
        <v>#REF!</v>
      </c>
      <c r="B212" s="245">
        <f>BDD!B209</f>
        <v>0</v>
      </c>
      <c r="C212" s="246">
        <f>BDD!G209</f>
        <v>0</v>
      </c>
      <c r="D212" s="247">
        <f>BDD!H209</f>
        <v>0</v>
      </c>
      <c r="E212" s="248" t="str">
        <f>IF(BDD!I209="", "", "X")</f>
        <v/>
      </c>
      <c r="F212" s="248" t="str">
        <f>IF(BDD!J209="", "", "X")</f>
        <v/>
      </c>
      <c r="G212" s="248" t="str">
        <f>IF(BDD!K209="", "", "X")</f>
        <v/>
      </c>
      <c r="H212" s="248">
        <f>BDD!C209</f>
        <v>0</v>
      </c>
    </row>
    <row r="213" spans="1:8" ht="30" customHeight="1">
      <c r="A213" s="268" t="e">
        <f xml:space="preserve"> IF(#REF!=0, "",#REF!)</f>
        <v>#REF!</v>
      </c>
      <c r="B213" s="245">
        <f>BDD!B210</f>
        <v>0</v>
      </c>
      <c r="C213" s="246">
        <f>BDD!G210</f>
        <v>0</v>
      </c>
      <c r="D213" s="247">
        <f>BDD!H210</f>
        <v>0</v>
      </c>
      <c r="E213" s="248" t="str">
        <f>IF(BDD!I210="", "", "X")</f>
        <v/>
      </c>
      <c r="F213" s="248" t="str">
        <f>IF(BDD!J210="", "", "X")</f>
        <v/>
      </c>
      <c r="G213" s="248" t="str">
        <f>IF(BDD!K210="", "", "X")</f>
        <v/>
      </c>
      <c r="H213" s="248">
        <f>BDD!C210</f>
        <v>0</v>
      </c>
    </row>
    <row r="214" spans="1:8" ht="30" customHeight="1">
      <c r="A214" s="268" t="e">
        <f xml:space="preserve"> IF(#REF!=0, "",#REF!)</f>
        <v>#REF!</v>
      </c>
      <c r="B214" s="245">
        <f>BDD!B211</f>
        <v>0</v>
      </c>
      <c r="C214" s="246">
        <f>BDD!G211</f>
        <v>0</v>
      </c>
      <c r="D214" s="247">
        <f>BDD!H211</f>
        <v>0</v>
      </c>
      <c r="E214" s="248" t="str">
        <f>IF(BDD!I211="", "", "X")</f>
        <v/>
      </c>
      <c r="F214" s="248" t="str">
        <f>IF(BDD!J211="", "", "X")</f>
        <v/>
      </c>
      <c r="G214" s="248" t="str">
        <f>IF(BDD!K211="", "", "X")</f>
        <v/>
      </c>
      <c r="H214" s="248">
        <f>BDD!C211</f>
        <v>0</v>
      </c>
    </row>
    <row r="215" spans="1:8" ht="30" customHeight="1">
      <c r="A215" s="268" t="e">
        <f xml:space="preserve"> IF(#REF!=0, "",#REF!)</f>
        <v>#REF!</v>
      </c>
      <c r="B215" s="245">
        <f>BDD!B212</f>
        <v>0</v>
      </c>
      <c r="C215" s="246">
        <f>BDD!G212</f>
        <v>0</v>
      </c>
      <c r="D215" s="247">
        <f>BDD!H212</f>
        <v>0</v>
      </c>
      <c r="E215" s="248" t="str">
        <f>IF(BDD!I212="", "", "X")</f>
        <v/>
      </c>
      <c r="F215" s="248" t="str">
        <f>IF(BDD!J212="", "", "X")</f>
        <v/>
      </c>
      <c r="G215" s="248" t="str">
        <f>IF(BDD!K212="", "", "X")</f>
        <v/>
      </c>
      <c r="H215" s="248">
        <f>BDD!C212</f>
        <v>0</v>
      </c>
    </row>
    <row r="216" spans="1:8" ht="30" customHeight="1">
      <c r="A216" s="268" t="e">
        <f xml:space="preserve"> IF(#REF!=0, "",#REF!)</f>
        <v>#REF!</v>
      </c>
      <c r="B216" s="245">
        <f>BDD!B213</f>
        <v>0</v>
      </c>
      <c r="C216" s="246">
        <f>BDD!G213</f>
        <v>0</v>
      </c>
      <c r="D216" s="247">
        <f>BDD!H213</f>
        <v>0</v>
      </c>
      <c r="E216" s="248" t="str">
        <f>IF(BDD!I213="", "", "X")</f>
        <v/>
      </c>
      <c r="F216" s="248" t="str">
        <f>IF(BDD!J213="", "", "X")</f>
        <v/>
      </c>
      <c r="G216" s="248" t="str">
        <f>IF(BDD!K213="", "", "X")</f>
        <v/>
      </c>
      <c r="H216" s="248">
        <f>BDD!C213</f>
        <v>0</v>
      </c>
    </row>
    <row r="217" spans="1:8">
      <c r="A217" s="268" t="e">
        <f xml:space="preserve"> IF(#REF!=0, "",#REF!)</f>
        <v>#REF!</v>
      </c>
      <c r="B217" s="245">
        <f>BDD!B214</f>
        <v>0</v>
      </c>
      <c r="C217" s="246">
        <f>BDD!G214</f>
        <v>0</v>
      </c>
      <c r="D217" s="247">
        <f>BDD!H214</f>
        <v>0</v>
      </c>
      <c r="E217" s="248" t="str">
        <f>IF(BDD!I214="", "", "X")</f>
        <v/>
      </c>
      <c r="F217" s="248" t="str">
        <f>IF(BDD!J214="", "", "X")</f>
        <v/>
      </c>
      <c r="G217" s="248" t="str">
        <f>IF(BDD!K214="", "", "X")</f>
        <v/>
      </c>
      <c r="H217" s="248">
        <f>BDD!C214</f>
        <v>0</v>
      </c>
    </row>
    <row r="218" spans="1:8">
      <c r="A218" s="268" t="e">
        <f xml:space="preserve"> IF(#REF!=0, "",#REF!)</f>
        <v>#REF!</v>
      </c>
      <c r="B218" s="245">
        <f>BDD!B215</f>
        <v>0</v>
      </c>
      <c r="C218" s="246">
        <f>BDD!G215</f>
        <v>0</v>
      </c>
      <c r="D218" s="247">
        <f>BDD!H215</f>
        <v>0</v>
      </c>
      <c r="E218" s="248" t="str">
        <f>IF(BDD!I215="", "", "X")</f>
        <v/>
      </c>
      <c r="F218" s="248" t="str">
        <f>IF(BDD!J215="", "", "X")</f>
        <v/>
      </c>
      <c r="G218" s="248" t="str">
        <f>IF(BDD!K215="", "", "X")</f>
        <v/>
      </c>
      <c r="H218" s="248">
        <f>BDD!C215</f>
        <v>0</v>
      </c>
    </row>
    <row r="219" spans="1:8">
      <c r="A219" s="268" t="e">
        <f xml:space="preserve"> IF(#REF!=0, "",#REF!)</f>
        <v>#REF!</v>
      </c>
      <c r="B219" s="245">
        <f>BDD!B216</f>
        <v>0</v>
      </c>
      <c r="C219" s="246">
        <f>BDD!G216</f>
        <v>0</v>
      </c>
      <c r="D219" s="247">
        <f>BDD!H216</f>
        <v>0</v>
      </c>
      <c r="E219" s="248" t="str">
        <f>IF(BDD!I216="", "", "X")</f>
        <v/>
      </c>
      <c r="F219" s="248" t="str">
        <f>IF(BDD!J216="", "", "X")</f>
        <v/>
      </c>
      <c r="G219" s="248" t="str">
        <f>IF(BDD!K216="", "", "X")</f>
        <v/>
      </c>
      <c r="H219" s="248">
        <f>BDD!C216</f>
        <v>0</v>
      </c>
    </row>
    <row r="220" spans="1:8">
      <c r="A220" s="268" t="e">
        <f xml:space="preserve"> IF(#REF!=0, "",#REF!)</f>
        <v>#REF!</v>
      </c>
      <c r="B220" s="245">
        <f>BDD!B217</f>
        <v>0</v>
      </c>
      <c r="C220" s="246">
        <f>BDD!G217</f>
        <v>0</v>
      </c>
      <c r="D220" s="247">
        <f>BDD!H217</f>
        <v>0</v>
      </c>
      <c r="E220" s="248" t="str">
        <f>IF(BDD!I217="", "", "X")</f>
        <v/>
      </c>
      <c r="F220" s="248" t="str">
        <f>IF(BDD!J217="", "", "X")</f>
        <v/>
      </c>
      <c r="G220" s="248" t="str">
        <f>IF(BDD!K217="", "", "X")</f>
        <v/>
      </c>
      <c r="H220" s="248">
        <f>BDD!C217</f>
        <v>0</v>
      </c>
    </row>
    <row r="221" spans="1:8">
      <c r="A221" s="268" t="e">
        <f xml:space="preserve"> IF(#REF!=0, "",#REF!)</f>
        <v>#REF!</v>
      </c>
      <c r="B221" s="245">
        <f>BDD!B218</f>
        <v>0</v>
      </c>
      <c r="C221" s="246">
        <f>BDD!G218</f>
        <v>0</v>
      </c>
      <c r="D221" s="247">
        <f>BDD!H218</f>
        <v>0</v>
      </c>
      <c r="E221" s="248" t="str">
        <f>IF(BDD!I218="", "", "X")</f>
        <v/>
      </c>
      <c r="F221" s="248" t="str">
        <f>IF(BDD!J218="", "", "X")</f>
        <v/>
      </c>
      <c r="G221" s="248" t="str">
        <f>IF(BDD!K218="", "", "X")</f>
        <v/>
      </c>
      <c r="H221" s="248">
        <f>BDD!C218</f>
        <v>0</v>
      </c>
    </row>
    <row r="222" spans="1:8">
      <c r="A222" s="268" t="e">
        <f xml:space="preserve"> IF(#REF!=0, "",#REF!)</f>
        <v>#REF!</v>
      </c>
      <c r="B222" s="245">
        <f>BDD!B219</f>
        <v>0</v>
      </c>
      <c r="C222" s="246">
        <f>BDD!G219</f>
        <v>0</v>
      </c>
      <c r="D222" s="247">
        <f>BDD!H219</f>
        <v>0</v>
      </c>
      <c r="E222" s="248" t="str">
        <f>IF(BDD!I219="", "", "X")</f>
        <v/>
      </c>
      <c r="F222" s="248" t="str">
        <f>IF(BDD!J219="", "", "X")</f>
        <v/>
      </c>
      <c r="G222" s="248" t="str">
        <f>IF(BDD!K219="", "", "X")</f>
        <v/>
      </c>
      <c r="H222" s="248">
        <f>BDD!C219</f>
        <v>0</v>
      </c>
    </row>
    <row r="223" spans="1:8">
      <c r="A223" s="268" t="e">
        <f xml:space="preserve"> IF(#REF!=0, "",#REF!)</f>
        <v>#REF!</v>
      </c>
      <c r="B223" s="245">
        <f>BDD!B220</f>
        <v>0</v>
      </c>
      <c r="C223" s="246">
        <f>BDD!G220</f>
        <v>0</v>
      </c>
      <c r="D223" s="247">
        <f>BDD!H220</f>
        <v>0</v>
      </c>
      <c r="E223" s="248" t="str">
        <f>IF(BDD!I220="", "", "X")</f>
        <v/>
      </c>
      <c r="F223" s="248" t="str">
        <f>IF(BDD!J220="", "", "X")</f>
        <v/>
      </c>
      <c r="G223" s="248" t="str">
        <f>IF(BDD!K220="", "", "X")</f>
        <v/>
      </c>
      <c r="H223" s="248">
        <f>BDD!C220</f>
        <v>0</v>
      </c>
    </row>
    <row r="224" spans="1:8">
      <c r="A224" s="268" t="e">
        <f xml:space="preserve"> IF(#REF!=0, "",#REF!)</f>
        <v>#REF!</v>
      </c>
      <c r="B224" s="245">
        <f>BDD!B221</f>
        <v>0</v>
      </c>
      <c r="C224" s="246">
        <f>BDD!G221</f>
        <v>0</v>
      </c>
      <c r="D224" s="247">
        <f>BDD!H221</f>
        <v>0</v>
      </c>
      <c r="E224" s="248" t="str">
        <f>IF(BDD!I221="", "", "X")</f>
        <v/>
      </c>
      <c r="F224" s="248" t="str">
        <f>IF(BDD!J221="", "", "X")</f>
        <v/>
      </c>
      <c r="G224" s="248" t="str">
        <f>IF(BDD!K221="", "", "X")</f>
        <v/>
      </c>
      <c r="H224" s="248">
        <f>BDD!C221</f>
        <v>0</v>
      </c>
    </row>
    <row r="225" spans="1:8">
      <c r="A225" s="268" t="e">
        <f xml:space="preserve"> IF(#REF!=0, "",#REF!)</f>
        <v>#REF!</v>
      </c>
      <c r="B225" s="245">
        <f>BDD!B222</f>
        <v>0</v>
      </c>
      <c r="C225" s="246">
        <f>BDD!G222</f>
        <v>0</v>
      </c>
      <c r="D225" s="247">
        <f>BDD!H222</f>
        <v>0</v>
      </c>
      <c r="E225" s="248" t="str">
        <f>IF(BDD!I222="", "", "X")</f>
        <v/>
      </c>
      <c r="F225" s="248" t="str">
        <f>IF(BDD!J222="", "", "X")</f>
        <v/>
      </c>
      <c r="G225" s="248" t="str">
        <f>IF(BDD!K222="", "", "X")</f>
        <v/>
      </c>
      <c r="H225" s="248">
        <f>BDD!C222</f>
        <v>0</v>
      </c>
    </row>
    <row r="226" spans="1:8">
      <c r="A226" s="268" t="e">
        <f xml:space="preserve"> IF(#REF!=0, "",#REF!)</f>
        <v>#REF!</v>
      </c>
      <c r="B226" s="245">
        <f>BDD!B223</f>
        <v>0</v>
      </c>
      <c r="C226" s="246">
        <f>BDD!G223</f>
        <v>0</v>
      </c>
      <c r="D226" s="247">
        <f>BDD!H223</f>
        <v>0</v>
      </c>
      <c r="E226" s="248" t="str">
        <f>IF(BDD!I223="", "", "X")</f>
        <v/>
      </c>
      <c r="F226" s="248" t="str">
        <f>IF(BDD!J223="", "", "X")</f>
        <v/>
      </c>
      <c r="G226" s="248" t="str">
        <f>IF(BDD!K223="", "", "X")</f>
        <v/>
      </c>
      <c r="H226" s="248">
        <f>BDD!C223</f>
        <v>0</v>
      </c>
    </row>
    <row r="227" spans="1:8">
      <c r="A227" s="268" t="e">
        <f xml:space="preserve"> IF(#REF!=0, "",#REF!)</f>
        <v>#REF!</v>
      </c>
      <c r="B227" s="245">
        <f>BDD!B224</f>
        <v>0</v>
      </c>
      <c r="C227" s="246">
        <f>BDD!G224</f>
        <v>0</v>
      </c>
      <c r="D227" s="247">
        <f>BDD!H224</f>
        <v>0</v>
      </c>
      <c r="E227" s="248" t="str">
        <f>IF(BDD!I224="", "", "X")</f>
        <v/>
      </c>
      <c r="F227" s="248" t="str">
        <f>IF(BDD!J224="", "", "X")</f>
        <v/>
      </c>
      <c r="G227" s="248" t="str">
        <f>IF(BDD!K224="", "", "X")</f>
        <v/>
      </c>
      <c r="H227" s="248">
        <f>BDD!C224</f>
        <v>0</v>
      </c>
    </row>
    <row r="228" spans="1:8">
      <c r="A228" s="268" t="e">
        <f xml:space="preserve"> IF(#REF!=0, "",#REF!)</f>
        <v>#REF!</v>
      </c>
      <c r="B228" s="245">
        <f>BDD!B225</f>
        <v>0</v>
      </c>
      <c r="C228" s="246">
        <f>BDD!G225</f>
        <v>0</v>
      </c>
      <c r="D228" s="247">
        <f>BDD!H225</f>
        <v>0</v>
      </c>
      <c r="E228" s="248" t="str">
        <f>IF(BDD!I225="", "", "X")</f>
        <v/>
      </c>
      <c r="F228" s="248" t="str">
        <f>IF(BDD!J225="", "", "X")</f>
        <v/>
      </c>
      <c r="G228" s="248" t="str">
        <f>IF(BDD!K225="", "", "X")</f>
        <v/>
      </c>
      <c r="H228" s="248">
        <f>BDD!C225</f>
        <v>0</v>
      </c>
    </row>
    <row r="229" spans="1:8">
      <c r="A229" s="268" t="e">
        <f xml:space="preserve"> IF(#REF!=0, "",#REF!)</f>
        <v>#REF!</v>
      </c>
      <c r="B229" s="245">
        <f>BDD!B226</f>
        <v>0</v>
      </c>
      <c r="C229" s="246">
        <f>BDD!G226</f>
        <v>0</v>
      </c>
      <c r="D229" s="247">
        <f>BDD!H226</f>
        <v>0</v>
      </c>
      <c r="E229" s="248" t="str">
        <f>IF(BDD!I226="", "", "X")</f>
        <v/>
      </c>
      <c r="F229" s="248" t="str">
        <f>IF(BDD!J226="", "", "X")</f>
        <v/>
      </c>
      <c r="G229" s="248" t="str">
        <f>IF(BDD!K226="", "", "X")</f>
        <v/>
      </c>
      <c r="H229" s="248">
        <f>BDD!C226</f>
        <v>0</v>
      </c>
    </row>
    <row r="230" spans="1:8">
      <c r="A230" s="268" t="e">
        <f xml:space="preserve"> IF(#REF!=0, "",#REF!)</f>
        <v>#REF!</v>
      </c>
      <c r="B230" s="245">
        <f>BDD!B227</f>
        <v>0</v>
      </c>
      <c r="C230" s="246">
        <f>BDD!G227</f>
        <v>0</v>
      </c>
      <c r="D230" s="247">
        <f>BDD!H227</f>
        <v>0</v>
      </c>
      <c r="E230" s="248" t="str">
        <f>IF(BDD!I227="", "", "X")</f>
        <v/>
      </c>
      <c r="F230" s="248" t="str">
        <f>IF(BDD!J227="", "", "X")</f>
        <v/>
      </c>
      <c r="G230" s="248" t="str">
        <f>IF(BDD!K227="", "", "X")</f>
        <v/>
      </c>
      <c r="H230" s="248">
        <f>BDD!C227</f>
        <v>0</v>
      </c>
    </row>
    <row r="231" spans="1:8">
      <c r="A231" s="268" t="e">
        <f xml:space="preserve"> IF(#REF!=0, "",#REF!)</f>
        <v>#REF!</v>
      </c>
      <c r="B231" s="245">
        <f>BDD!B228</f>
        <v>0</v>
      </c>
      <c r="C231" s="246">
        <f>BDD!G228</f>
        <v>0</v>
      </c>
      <c r="D231" s="247">
        <f>BDD!H228</f>
        <v>0</v>
      </c>
      <c r="E231" s="248" t="str">
        <f>IF(BDD!I228="", "", "X")</f>
        <v/>
      </c>
      <c r="F231" s="248" t="str">
        <f>IF(BDD!J228="", "", "X")</f>
        <v/>
      </c>
      <c r="G231" s="248" t="str">
        <f>IF(BDD!K228="", "", "X")</f>
        <v/>
      </c>
      <c r="H231" s="248">
        <f>BDD!C228</f>
        <v>0</v>
      </c>
    </row>
    <row r="232" spans="1:8">
      <c r="A232" s="268" t="e">
        <f xml:space="preserve"> IF(#REF!=0, "",#REF!)</f>
        <v>#REF!</v>
      </c>
      <c r="B232" s="245">
        <f>BDD!B229</f>
        <v>0</v>
      </c>
      <c r="C232" s="246">
        <f>BDD!G229</f>
        <v>0</v>
      </c>
      <c r="D232" s="247">
        <f>BDD!H229</f>
        <v>0</v>
      </c>
      <c r="E232" s="248" t="str">
        <f>IF(BDD!I229="", "", "X")</f>
        <v/>
      </c>
      <c r="F232" s="248" t="str">
        <f>IF(BDD!J229="", "", "X")</f>
        <v/>
      </c>
      <c r="G232" s="248" t="str">
        <f>IF(BDD!K229="", "", "X")</f>
        <v/>
      </c>
      <c r="H232" s="248">
        <f>BDD!C229</f>
        <v>0</v>
      </c>
    </row>
    <row r="233" spans="1:8">
      <c r="A233" s="268" t="e">
        <f xml:space="preserve"> IF(#REF!=0, "",#REF!)</f>
        <v>#REF!</v>
      </c>
      <c r="B233" s="245">
        <f>BDD!B230</f>
        <v>0</v>
      </c>
      <c r="C233" s="246">
        <f>BDD!G230</f>
        <v>0</v>
      </c>
      <c r="D233" s="247">
        <f>BDD!H230</f>
        <v>0</v>
      </c>
      <c r="E233" s="248" t="str">
        <f>IF(BDD!I230="", "", "X")</f>
        <v/>
      </c>
      <c r="F233" s="248" t="str">
        <f>IF(BDD!J230="", "", "X")</f>
        <v/>
      </c>
      <c r="G233" s="248" t="str">
        <f>IF(BDD!K230="", "", "X")</f>
        <v/>
      </c>
      <c r="H233" s="248">
        <f>BDD!C230</f>
        <v>0</v>
      </c>
    </row>
    <row r="234" spans="1:8">
      <c r="A234" s="268" t="e">
        <f xml:space="preserve"> IF(#REF!=0, "",#REF!)</f>
        <v>#REF!</v>
      </c>
      <c r="B234" s="245">
        <f>BDD!B231</f>
        <v>0</v>
      </c>
      <c r="C234" s="246">
        <f>BDD!G231</f>
        <v>0</v>
      </c>
      <c r="D234" s="247">
        <f>BDD!H231</f>
        <v>0</v>
      </c>
      <c r="E234" s="248" t="str">
        <f>IF(BDD!I231="", "", "X")</f>
        <v/>
      </c>
      <c r="F234" s="248" t="str">
        <f>IF(BDD!J231="", "", "X")</f>
        <v/>
      </c>
      <c r="G234" s="248" t="str">
        <f>IF(BDD!K231="", "", "X")</f>
        <v/>
      </c>
      <c r="H234" s="248">
        <f>BDD!C231</f>
        <v>0</v>
      </c>
    </row>
    <row r="235" spans="1:8">
      <c r="A235" s="268" t="e">
        <f xml:space="preserve"> IF(#REF!=0, "",#REF!)</f>
        <v>#REF!</v>
      </c>
      <c r="B235" s="245">
        <f>BDD!B232</f>
        <v>0</v>
      </c>
      <c r="C235" s="246">
        <f>BDD!G232</f>
        <v>0</v>
      </c>
      <c r="D235" s="247">
        <f>BDD!H232</f>
        <v>0</v>
      </c>
      <c r="E235" s="248" t="str">
        <f>IF(BDD!I232="", "", "X")</f>
        <v/>
      </c>
      <c r="F235" s="248" t="str">
        <f>IF(BDD!J232="", "", "X")</f>
        <v/>
      </c>
      <c r="G235" s="248" t="str">
        <f>IF(BDD!K232="", "", "X")</f>
        <v/>
      </c>
      <c r="H235" s="248">
        <f>BDD!C232</f>
        <v>0</v>
      </c>
    </row>
    <row r="236" spans="1:8">
      <c r="A236" s="268" t="e">
        <f xml:space="preserve"> IF(#REF!=0, "",#REF!)</f>
        <v>#REF!</v>
      </c>
      <c r="B236" s="245">
        <f>BDD!B233</f>
        <v>0</v>
      </c>
      <c r="C236" s="246">
        <f>BDD!G233</f>
        <v>0</v>
      </c>
      <c r="D236" s="247">
        <f>BDD!H233</f>
        <v>0</v>
      </c>
      <c r="E236" s="248" t="str">
        <f>IF(BDD!I233="", "", "X")</f>
        <v/>
      </c>
      <c r="F236" s="248" t="str">
        <f>IF(BDD!J233="", "", "X")</f>
        <v/>
      </c>
      <c r="G236" s="248" t="str">
        <f>IF(BDD!K233="", "", "X")</f>
        <v/>
      </c>
      <c r="H236" s="248">
        <f>BDD!C233</f>
        <v>0</v>
      </c>
    </row>
    <row r="237" spans="1:8">
      <c r="A237" s="268" t="e">
        <f xml:space="preserve"> IF(#REF!=0, "",#REF!)</f>
        <v>#REF!</v>
      </c>
      <c r="B237" s="245">
        <f>BDD!B234</f>
        <v>0</v>
      </c>
      <c r="C237" s="246">
        <f>BDD!G234</f>
        <v>0</v>
      </c>
      <c r="D237" s="247">
        <f>BDD!H234</f>
        <v>0</v>
      </c>
      <c r="E237" s="248" t="str">
        <f>IF(BDD!I234="", "", "X")</f>
        <v/>
      </c>
      <c r="F237" s="248" t="str">
        <f>IF(BDD!J234="", "", "X")</f>
        <v/>
      </c>
      <c r="G237" s="248" t="str">
        <f>IF(BDD!K234="", "", "X")</f>
        <v/>
      </c>
      <c r="H237" s="248">
        <f>BDD!C234</f>
        <v>0</v>
      </c>
    </row>
    <row r="238" spans="1:8">
      <c r="A238" s="268" t="e">
        <f xml:space="preserve"> IF(#REF!=0, "",#REF!)</f>
        <v>#REF!</v>
      </c>
      <c r="B238" s="245">
        <f>BDD!B235</f>
        <v>0</v>
      </c>
      <c r="C238" s="246">
        <f>BDD!G235</f>
        <v>0</v>
      </c>
      <c r="D238" s="247">
        <f>BDD!H235</f>
        <v>0</v>
      </c>
      <c r="E238" s="248" t="str">
        <f>IF(BDD!I235="", "", "X")</f>
        <v/>
      </c>
      <c r="F238" s="248" t="str">
        <f>IF(BDD!J235="", "", "X")</f>
        <v/>
      </c>
      <c r="G238" s="248" t="str">
        <f>IF(BDD!K235="", "", "X")</f>
        <v/>
      </c>
      <c r="H238" s="248">
        <f>BDD!C235</f>
        <v>0</v>
      </c>
    </row>
    <row r="239" spans="1:8">
      <c r="A239" s="268" t="e">
        <f xml:space="preserve"> IF(#REF!=0, "",#REF!)</f>
        <v>#REF!</v>
      </c>
      <c r="B239" s="245">
        <f>BDD!B236</f>
        <v>0</v>
      </c>
      <c r="C239" s="246">
        <f>BDD!G236</f>
        <v>0</v>
      </c>
      <c r="D239" s="247">
        <f>BDD!H236</f>
        <v>0</v>
      </c>
      <c r="E239" s="248" t="str">
        <f>IF(BDD!I236="", "", "X")</f>
        <v/>
      </c>
      <c r="F239" s="248" t="str">
        <f>IF(BDD!J236="", "", "X")</f>
        <v/>
      </c>
      <c r="G239" s="248" t="str">
        <f>IF(BDD!K236="", "", "X")</f>
        <v/>
      </c>
      <c r="H239" s="248">
        <f>BDD!C236</f>
        <v>0</v>
      </c>
    </row>
    <row r="240" spans="1:8">
      <c r="A240" s="268" t="e">
        <f xml:space="preserve"> IF(#REF!=0, "",#REF!)</f>
        <v>#REF!</v>
      </c>
      <c r="B240" s="245">
        <f>BDD!B237</f>
        <v>0</v>
      </c>
      <c r="C240" s="246">
        <f>BDD!G237</f>
        <v>0</v>
      </c>
      <c r="D240" s="247">
        <f>BDD!H237</f>
        <v>0</v>
      </c>
      <c r="E240" s="248" t="str">
        <f>IF(BDD!I237="", "", "X")</f>
        <v/>
      </c>
      <c r="F240" s="248" t="str">
        <f>IF(BDD!J237="", "", "X")</f>
        <v/>
      </c>
      <c r="G240" s="248" t="str">
        <f>IF(BDD!K237="", "", "X")</f>
        <v/>
      </c>
      <c r="H240" s="248">
        <f>BDD!C237</f>
        <v>0</v>
      </c>
    </row>
    <row r="241" spans="1:8">
      <c r="A241" s="268" t="e">
        <f xml:space="preserve"> IF(#REF!=0, "",#REF!)</f>
        <v>#REF!</v>
      </c>
      <c r="B241" s="245">
        <f>BDD!B238</f>
        <v>0</v>
      </c>
      <c r="C241" s="246">
        <f>BDD!G238</f>
        <v>0</v>
      </c>
      <c r="D241" s="247">
        <f>BDD!H238</f>
        <v>0</v>
      </c>
      <c r="E241" s="248" t="str">
        <f>IF(BDD!I238="", "", "X")</f>
        <v/>
      </c>
      <c r="F241" s="248" t="str">
        <f>IF(BDD!J238="", "", "X")</f>
        <v/>
      </c>
      <c r="G241" s="248" t="str">
        <f>IF(BDD!K238="", "", "X")</f>
        <v/>
      </c>
      <c r="H241" s="248">
        <f>BDD!C238</f>
        <v>0</v>
      </c>
    </row>
    <row r="242" spans="1:8">
      <c r="A242" s="268" t="e">
        <f xml:space="preserve"> IF(#REF!=0, "",#REF!)</f>
        <v>#REF!</v>
      </c>
      <c r="B242" s="245">
        <f>BDD!B239</f>
        <v>0</v>
      </c>
      <c r="C242" s="246">
        <f>BDD!G239</f>
        <v>0</v>
      </c>
      <c r="D242" s="247">
        <f>BDD!H239</f>
        <v>0</v>
      </c>
      <c r="E242" s="248" t="str">
        <f>IF(BDD!I239="", "", "X")</f>
        <v/>
      </c>
      <c r="F242" s="248" t="str">
        <f>IF(BDD!J239="", "", "X")</f>
        <v/>
      </c>
      <c r="G242" s="248" t="str">
        <f>IF(BDD!K239="", "", "X")</f>
        <v/>
      </c>
      <c r="H242" s="248">
        <f>BDD!C239</f>
        <v>0</v>
      </c>
    </row>
    <row r="243" spans="1:8">
      <c r="A243" s="268" t="e">
        <f xml:space="preserve"> IF(#REF!=0, "",#REF!)</f>
        <v>#REF!</v>
      </c>
      <c r="B243" s="245">
        <f>BDD!B240</f>
        <v>0</v>
      </c>
      <c r="C243" s="246">
        <f>BDD!G240</f>
        <v>0</v>
      </c>
      <c r="D243" s="247">
        <f>BDD!H240</f>
        <v>0</v>
      </c>
      <c r="E243" s="248" t="str">
        <f>IF(BDD!I240="", "", "X")</f>
        <v/>
      </c>
      <c r="F243" s="248" t="str">
        <f>IF(BDD!J240="", "", "X")</f>
        <v/>
      </c>
      <c r="G243" s="248" t="str">
        <f>IF(BDD!K240="", "", "X")</f>
        <v/>
      </c>
      <c r="H243" s="248">
        <f>BDD!C240</f>
        <v>0</v>
      </c>
    </row>
    <row r="244" spans="1:8">
      <c r="A244" s="268" t="e">
        <f xml:space="preserve"> IF(#REF!=0, "",#REF!)</f>
        <v>#REF!</v>
      </c>
      <c r="B244" s="245">
        <f>BDD!B241</f>
        <v>0</v>
      </c>
      <c r="C244" s="246">
        <f>BDD!G241</f>
        <v>0</v>
      </c>
      <c r="D244" s="247">
        <f>BDD!H241</f>
        <v>0</v>
      </c>
      <c r="E244" s="248" t="str">
        <f>IF(BDD!I241="", "", "X")</f>
        <v/>
      </c>
      <c r="F244" s="248" t="str">
        <f>IF(BDD!J241="", "", "X")</f>
        <v/>
      </c>
      <c r="G244" s="248" t="str">
        <f>IF(BDD!K241="", "", "X")</f>
        <v/>
      </c>
      <c r="H244" s="248">
        <f>BDD!C241</f>
        <v>0</v>
      </c>
    </row>
    <row r="245" spans="1:8">
      <c r="A245" s="268" t="e">
        <f xml:space="preserve"> IF(#REF!=0, "",#REF!)</f>
        <v>#REF!</v>
      </c>
      <c r="B245" s="245">
        <f>BDD!B242</f>
        <v>0</v>
      </c>
      <c r="C245" s="246">
        <f>BDD!G242</f>
        <v>0</v>
      </c>
      <c r="D245" s="247">
        <f>BDD!H242</f>
        <v>0</v>
      </c>
      <c r="E245" s="248" t="str">
        <f>IF(BDD!I242="", "", "X")</f>
        <v/>
      </c>
      <c r="F245" s="248" t="str">
        <f>IF(BDD!J242="", "", "X")</f>
        <v/>
      </c>
      <c r="G245" s="248" t="str">
        <f>IF(BDD!K242="", "", "X")</f>
        <v/>
      </c>
      <c r="H245" s="248">
        <f>BDD!C242</f>
        <v>0</v>
      </c>
    </row>
    <row r="246" spans="1:8">
      <c r="A246" s="268" t="e">
        <f xml:space="preserve"> IF(#REF!=0, "",#REF!)</f>
        <v>#REF!</v>
      </c>
      <c r="B246" s="245">
        <f>BDD!B243</f>
        <v>0</v>
      </c>
      <c r="C246" s="246">
        <f>BDD!G243</f>
        <v>0</v>
      </c>
      <c r="D246" s="247">
        <f>BDD!H243</f>
        <v>0</v>
      </c>
      <c r="E246" s="248" t="str">
        <f>IF(BDD!I243="", "", "X")</f>
        <v/>
      </c>
      <c r="F246" s="248" t="str">
        <f>IF(BDD!J243="", "", "X")</f>
        <v/>
      </c>
      <c r="G246" s="248" t="str">
        <f>IF(BDD!K243="", "", "X")</f>
        <v/>
      </c>
      <c r="H246" s="248">
        <f>BDD!C243</f>
        <v>0</v>
      </c>
    </row>
    <row r="247" spans="1:8">
      <c r="A247" s="268" t="e">
        <f xml:space="preserve"> IF(#REF!=0, "",#REF!)</f>
        <v>#REF!</v>
      </c>
      <c r="B247" s="245">
        <f>BDD!B244</f>
        <v>0</v>
      </c>
      <c r="C247" s="246">
        <f>BDD!G244</f>
        <v>0</v>
      </c>
      <c r="D247" s="247">
        <f>BDD!H244</f>
        <v>0</v>
      </c>
      <c r="E247" s="248" t="str">
        <f>IF(BDD!I244="", "", "X")</f>
        <v/>
      </c>
      <c r="F247" s="248" t="str">
        <f>IF(BDD!J244="", "", "X")</f>
        <v/>
      </c>
      <c r="G247" s="248" t="str">
        <f>IF(BDD!K244="", "", "X")</f>
        <v/>
      </c>
      <c r="H247" s="248">
        <f>BDD!C244</f>
        <v>0</v>
      </c>
    </row>
    <row r="248" spans="1:8">
      <c r="A248" s="268" t="e">
        <f xml:space="preserve"> IF(#REF!=0, "",#REF!)</f>
        <v>#REF!</v>
      </c>
      <c r="B248" s="245">
        <f>BDD!B245</f>
        <v>0</v>
      </c>
      <c r="C248" s="246">
        <f>BDD!G245</f>
        <v>0</v>
      </c>
      <c r="D248" s="247">
        <f>BDD!H245</f>
        <v>0</v>
      </c>
      <c r="E248" s="248" t="str">
        <f>IF(BDD!I245="", "", "X")</f>
        <v/>
      </c>
      <c r="F248" s="248" t="str">
        <f>IF(BDD!J245="", "", "X")</f>
        <v/>
      </c>
      <c r="G248" s="248" t="str">
        <f>IF(BDD!K245="", "", "X")</f>
        <v/>
      </c>
      <c r="H248" s="248">
        <f>BDD!C245</f>
        <v>0</v>
      </c>
    </row>
    <row r="249" spans="1:8">
      <c r="A249" s="268" t="e">
        <f xml:space="preserve"> IF(#REF!=0, "",#REF!)</f>
        <v>#REF!</v>
      </c>
      <c r="B249" s="245">
        <f>BDD!B246</f>
        <v>0</v>
      </c>
      <c r="C249" s="246">
        <f>BDD!G246</f>
        <v>0</v>
      </c>
      <c r="D249" s="247">
        <f>BDD!H246</f>
        <v>0</v>
      </c>
      <c r="E249" s="248" t="str">
        <f>IF(BDD!I246="", "", "X")</f>
        <v/>
      </c>
      <c r="F249" s="248" t="str">
        <f>IF(BDD!J246="", "", "X")</f>
        <v/>
      </c>
      <c r="G249" s="248" t="str">
        <f>IF(BDD!K246="", "", "X")</f>
        <v/>
      </c>
      <c r="H249" s="248">
        <f>BDD!C246</f>
        <v>0</v>
      </c>
    </row>
    <row r="250" spans="1:8">
      <c r="A250" s="268" t="e">
        <f xml:space="preserve"> IF(#REF!=0, "",#REF!)</f>
        <v>#REF!</v>
      </c>
      <c r="B250" s="245">
        <f>BDD!B247</f>
        <v>0</v>
      </c>
      <c r="C250" s="246">
        <f>BDD!G247</f>
        <v>0</v>
      </c>
      <c r="D250" s="247">
        <f>BDD!H247</f>
        <v>0</v>
      </c>
      <c r="E250" s="248" t="str">
        <f>IF(BDD!I247="", "", "X")</f>
        <v/>
      </c>
      <c r="F250" s="248" t="str">
        <f>IF(BDD!J247="", "", "X")</f>
        <v/>
      </c>
      <c r="G250" s="248" t="str">
        <f>IF(BDD!K247="", "", "X")</f>
        <v/>
      </c>
      <c r="H250" s="248">
        <f>BDD!C247</f>
        <v>0</v>
      </c>
    </row>
    <row r="251" spans="1:8">
      <c r="A251" s="268" t="e">
        <f xml:space="preserve"> IF(#REF!=0, "",#REF!)</f>
        <v>#REF!</v>
      </c>
      <c r="B251" s="245">
        <f>BDD!B248</f>
        <v>0</v>
      </c>
      <c r="C251" s="246">
        <f>BDD!G248</f>
        <v>0</v>
      </c>
      <c r="D251" s="247">
        <f>BDD!H248</f>
        <v>0</v>
      </c>
      <c r="E251" s="248" t="str">
        <f>IF(BDD!I248="", "", "X")</f>
        <v/>
      </c>
      <c r="F251" s="248" t="str">
        <f>IF(BDD!J248="", "", "X")</f>
        <v/>
      </c>
      <c r="G251" s="248" t="str">
        <f>IF(BDD!K248="", "", "X")</f>
        <v/>
      </c>
      <c r="H251" s="248">
        <f>BDD!C248</f>
        <v>0</v>
      </c>
    </row>
    <row r="252" spans="1:8">
      <c r="A252" s="268" t="e">
        <f xml:space="preserve"> IF(#REF!=0, "",#REF!)</f>
        <v>#REF!</v>
      </c>
      <c r="B252" s="245">
        <f>BDD!B249</f>
        <v>0</v>
      </c>
      <c r="C252" s="246">
        <f>BDD!G249</f>
        <v>0</v>
      </c>
      <c r="D252" s="247">
        <f>BDD!H249</f>
        <v>0</v>
      </c>
      <c r="E252" s="248" t="str">
        <f>IF(BDD!I249="", "", "X")</f>
        <v/>
      </c>
      <c r="F252" s="248" t="str">
        <f>IF(BDD!J249="", "", "X")</f>
        <v/>
      </c>
      <c r="G252" s="248" t="str">
        <f>IF(BDD!K249="", "", "X")</f>
        <v/>
      </c>
      <c r="H252" s="248">
        <f>BDD!C249</f>
        <v>0</v>
      </c>
    </row>
    <row r="253" spans="1:8">
      <c r="A253" s="268" t="e">
        <f xml:space="preserve"> IF(#REF!=0, "",#REF!)</f>
        <v>#REF!</v>
      </c>
      <c r="B253" s="245">
        <f>BDD!B250</f>
        <v>0</v>
      </c>
      <c r="C253" s="246">
        <f>BDD!G250</f>
        <v>0</v>
      </c>
      <c r="D253" s="247">
        <f>BDD!H250</f>
        <v>0</v>
      </c>
      <c r="E253" s="248" t="str">
        <f>IF(BDD!I250="", "", "X")</f>
        <v/>
      </c>
      <c r="F253" s="248" t="str">
        <f>IF(BDD!J250="", "", "X")</f>
        <v/>
      </c>
      <c r="G253" s="248" t="str">
        <f>IF(BDD!K250="", "", "X")</f>
        <v/>
      </c>
      <c r="H253" s="248">
        <f>BDD!C250</f>
        <v>0</v>
      </c>
    </row>
    <row r="254" spans="1:8">
      <c r="A254" s="268" t="e">
        <f xml:space="preserve"> IF(#REF!=0, "",#REF!)</f>
        <v>#REF!</v>
      </c>
      <c r="E254" s="248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>
      <c r="B1" s="486" t="s">
        <v>108</v>
      </c>
      <c r="C1" s="180" t="s">
        <v>83</v>
      </c>
      <c r="E1" s="3"/>
      <c r="F1" s="487" t="s">
        <v>367</v>
      </c>
      <c r="G1" s="489" t="s">
        <v>110</v>
      </c>
      <c r="H1" s="3"/>
    </row>
    <row r="2" spans="1:8">
      <c r="B2" s="486"/>
      <c r="C2" s="216" t="e">
        <f>#REF!</f>
        <v>#REF!</v>
      </c>
      <c r="D2" s="4"/>
      <c r="F2" s="488"/>
      <c r="G2" s="490"/>
      <c r="H2" s="73"/>
    </row>
    <row r="3" spans="1:8">
      <c r="A3" s="206" t="s">
        <v>368</v>
      </c>
      <c r="B3" s="206">
        <v>1</v>
      </c>
      <c r="C3" s="207" t="e">
        <f>#REF!</f>
        <v>#REF!</v>
      </c>
      <c r="D3" s="208"/>
      <c r="E3" s="209" t="e">
        <f>#REF!</f>
        <v>#REF!</v>
      </c>
      <c r="F3" s="210">
        <v>1</v>
      </c>
      <c r="G3" s="297" t="str">
        <f>COMMANDE!E10</f>
        <v>À REMPLIR</v>
      </c>
      <c r="H3" s="181"/>
    </row>
    <row r="4" spans="1:8">
      <c r="A4" s="491" t="s">
        <v>521</v>
      </c>
      <c r="B4" s="211">
        <v>2</v>
      </c>
      <c r="C4" s="212" t="e">
        <f>#REF!</f>
        <v>#REF!</v>
      </c>
      <c r="D4" s="213"/>
      <c r="E4" s="214" t="e">
        <f>#REF!</f>
        <v>#REF!</v>
      </c>
      <c r="F4" s="215">
        <v>2</v>
      </c>
      <c r="G4" s="294" t="str">
        <f>COMMANDE!Q$8</f>
        <v>Email</v>
      </c>
      <c r="H4" s="181"/>
    </row>
    <row r="5" spans="1:8">
      <c r="A5" s="492"/>
      <c r="B5" s="206">
        <v>3</v>
      </c>
      <c r="C5" s="207" t="e">
        <f>#REF!</f>
        <v>#REF!</v>
      </c>
      <c r="D5" s="208"/>
      <c r="E5" s="209" t="e">
        <f>#REF!</f>
        <v>#REF!</v>
      </c>
      <c r="F5" s="210">
        <v>3</v>
      </c>
      <c r="G5" s="295" t="str">
        <f>COMMANDE!S8</f>
        <v>Email</v>
      </c>
      <c r="H5" s="181"/>
    </row>
    <row r="6" spans="1:8">
      <c r="A6" s="492"/>
      <c r="B6" s="211">
        <v>4</v>
      </c>
      <c r="C6" s="212" t="e">
        <f>#REF!</f>
        <v>#REF!</v>
      </c>
      <c r="D6" s="213"/>
      <c r="E6" s="214" t="e">
        <f>#REF!</f>
        <v>#REF!</v>
      </c>
      <c r="F6" s="215">
        <v>4</v>
      </c>
      <c r="G6" s="294" t="str">
        <f>COMMANDE!U8</f>
        <v>Email</v>
      </c>
      <c r="H6" s="181"/>
    </row>
    <row r="7" spans="1:8">
      <c r="A7" s="492"/>
      <c r="B7" s="206">
        <v>5</v>
      </c>
      <c r="C7" s="207" t="e">
        <f>#REF!</f>
        <v>#REF!</v>
      </c>
      <c r="D7" s="208"/>
      <c r="E7" s="209" t="e">
        <f>#REF!</f>
        <v>#REF!</v>
      </c>
      <c r="F7" s="210">
        <v>5</v>
      </c>
      <c r="G7" s="295" t="str">
        <f>COMMANDE!W8</f>
        <v>Email</v>
      </c>
      <c r="H7" s="181"/>
    </row>
    <row r="8" spans="1:8">
      <c r="A8" s="492"/>
      <c r="B8" s="211">
        <v>6</v>
      </c>
      <c r="C8" s="212" t="e">
        <f>#REF!</f>
        <v>#REF!</v>
      </c>
      <c r="D8" s="213"/>
      <c r="E8" s="214" t="e">
        <f>#REF!</f>
        <v>#REF!</v>
      </c>
      <c r="F8" s="215">
        <v>6</v>
      </c>
      <c r="G8" s="294" t="str">
        <f>COMMANDE!Y8</f>
        <v>Email</v>
      </c>
      <c r="H8" s="181"/>
    </row>
    <row r="9" spans="1:8">
      <c r="A9" s="492"/>
      <c r="B9" s="206">
        <v>7</v>
      </c>
      <c r="C9" s="207" t="e">
        <f>#REF!</f>
        <v>#REF!</v>
      </c>
      <c r="D9" s="208"/>
      <c r="E9" s="209" t="e">
        <f>#REF!</f>
        <v>#REF!</v>
      </c>
      <c r="F9" s="210">
        <v>7</v>
      </c>
      <c r="G9" s="295" t="str">
        <f>COMMANDE!AA8</f>
        <v>Email</v>
      </c>
      <c r="H9" s="181"/>
    </row>
    <row r="10" spans="1:8">
      <c r="A10" s="492"/>
      <c r="B10" s="211">
        <v>8</v>
      </c>
      <c r="C10" s="212" t="e">
        <f>#REF!</f>
        <v>#REF!</v>
      </c>
      <c r="D10" s="213"/>
      <c r="E10" s="214" t="e">
        <f>#REF!</f>
        <v>#REF!</v>
      </c>
      <c r="F10" s="215">
        <v>8</v>
      </c>
      <c r="G10" s="294" t="str">
        <f>COMMANDE!AC8</f>
        <v>Email</v>
      </c>
      <c r="H10" s="181"/>
    </row>
    <row r="11" spans="1:8">
      <c r="A11" s="492"/>
      <c r="B11" s="206">
        <v>9</v>
      </c>
      <c r="C11" s="207" t="e">
        <f>#REF!</f>
        <v>#REF!</v>
      </c>
      <c r="D11" s="208"/>
      <c r="E11" s="209" t="e">
        <f>#REF!</f>
        <v>#REF!</v>
      </c>
      <c r="F11" s="210">
        <v>9</v>
      </c>
      <c r="G11" s="295" t="str">
        <f>COMMANDE!AE8</f>
        <v>Email</v>
      </c>
      <c r="H11" s="181"/>
    </row>
    <row r="12" spans="1:8">
      <c r="A12" s="492"/>
      <c r="B12" s="211">
        <v>10</v>
      </c>
      <c r="C12" s="212" t="e">
        <f>#REF!</f>
        <v>#REF!</v>
      </c>
      <c r="D12" s="213"/>
      <c r="E12" s="214" t="e">
        <f>#REF!</f>
        <v>#REF!</v>
      </c>
      <c r="F12" s="215">
        <v>10</v>
      </c>
      <c r="G12" s="294" t="str">
        <f>COMMANDE!AG8</f>
        <v>Email</v>
      </c>
      <c r="H12" s="181"/>
    </row>
    <row r="13" spans="1:8">
      <c r="A13" s="492"/>
      <c r="B13" s="206">
        <v>11</v>
      </c>
      <c r="C13" s="207" t="e">
        <f>#REF!</f>
        <v>#REF!</v>
      </c>
      <c r="D13" s="208"/>
      <c r="E13" s="209" t="e">
        <f>#REF!</f>
        <v>#REF!</v>
      </c>
      <c r="F13" s="210">
        <v>11</v>
      </c>
      <c r="G13" s="295" t="str">
        <f>COMMANDE!AI8</f>
        <v>Email</v>
      </c>
      <c r="H13" s="181"/>
    </row>
    <row r="14" spans="1:8">
      <c r="A14" s="492"/>
      <c r="B14" s="211">
        <v>12</v>
      </c>
      <c r="C14" s="212" t="e">
        <f>#REF!</f>
        <v>#REF!</v>
      </c>
      <c r="D14" s="213"/>
      <c r="E14" s="214" t="e">
        <f>#REF!</f>
        <v>#REF!</v>
      </c>
      <c r="F14" s="215">
        <v>12</v>
      </c>
      <c r="G14" s="294" t="str">
        <f>COMMANDE!AK8</f>
        <v>Email</v>
      </c>
      <c r="H14" s="181"/>
    </row>
    <row r="15" spans="1:8">
      <c r="A15" s="492"/>
      <c r="B15" s="206">
        <v>13</v>
      </c>
      <c r="C15" s="207" t="e">
        <f>#REF!</f>
        <v>#REF!</v>
      </c>
      <c r="D15" s="208"/>
      <c r="E15" s="209" t="e">
        <f>#REF!</f>
        <v>#REF!</v>
      </c>
      <c r="F15" s="210">
        <v>13</v>
      </c>
      <c r="G15" s="295" t="str">
        <f>COMMANDE!AM8</f>
        <v>Email</v>
      </c>
      <c r="H15" s="181"/>
    </row>
    <row r="16" spans="1:8">
      <c r="A16" s="492"/>
      <c r="B16" s="211">
        <v>14</v>
      </c>
      <c r="C16" s="212" t="e">
        <f>#REF!</f>
        <v>#REF!</v>
      </c>
      <c r="D16" s="213"/>
      <c r="E16" s="214" t="e">
        <f>#REF!</f>
        <v>#REF!</v>
      </c>
      <c r="F16" s="215">
        <v>14</v>
      </c>
      <c r="G16" s="294" t="str">
        <f>COMMANDE!AO8</f>
        <v>Email</v>
      </c>
      <c r="H16" s="181"/>
    </row>
    <row r="17" spans="1:8">
      <c r="A17" s="492"/>
      <c r="B17" s="206">
        <v>15</v>
      </c>
      <c r="C17" s="207" t="e">
        <f>#REF!</f>
        <v>#REF!</v>
      </c>
      <c r="D17" s="208"/>
      <c r="E17" s="209" t="e">
        <f>#REF!</f>
        <v>#REF!</v>
      </c>
      <c r="F17" s="210">
        <v>15</v>
      </c>
      <c r="G17" s="295" t="str">
        <f>COMMANDE!AQ8</f>
        <v>Email</v>
      </c>
      <c r="H17" s="181"/>
    </row>
    <row r="18" spans="1:8" s="4" customFormat="1">
      <c r="A18" s="492"/>
      <c r="B18" s="211">
        <v>16</v>
      </c>
      <c r="C18" s="212" t="str">
        <f>COMMANDE!AS7</f>
        <v>Prénom NOM</v>
      </c>
      <c r="D18" s="213"/>
      <c r="E18" s="214" t="e">
        <f>#REF!</f>
        <v>#REF!</v>
      </c>
      <c r="F18" s="215">
        <v>16</v>
      </c>
      <c r="G18" s="294" t="str">
        <f>COMMANDE!AS8</f>
        <v>Email</v>
      </c>
      <c r="H18" s="181"/>
    </row>
    <row r="19" spans="1:8" s="4" customFormat="1">
      <c r="A19" s="492"/>
      <c r="B19" s="206">
        <v>17</v>
      </c>
      <c r="C19" s="207" t="str">
        <f>COMMANDE!AU7</f>
        <v>Prénom NOM</v>
      </c>
      <c r="D19" s="208"/>
      <c r="E19" s="209" t="e">
        <f>#REF!</f>
        <v>#REF!</v>
      </c>
      <c r="F19" s="210">
        <v>17</v>
      </c>
      <c r="G19" s="295" t="str">
        <f>COMMANDE!AU8</f>
        <v>Email</v>
      </c>
      <c r="H19" s="181"/>
    </row>
    <row r="20" spans="1:8" s="4" customFormat="1">
      <c r="A20" s="492"/>
      <c r="B20" s="211">
        <v>18</v>
      </c>
      <c r="C20" s="212" t="str">
        <f>COMMANDE!AW7</f>
        <v>Prénom NOM</v>
      </c>
      <c r="D20" s="213"/>
      <c r="E20" s="214" t="e">
        <f>#REF!</f>
        <v>#REF!</v>
      </c>
      <c r="F20" s="215">
        <v>18</v>
      </c>
      <c r="G20" s="294" t="str">
        <f>COMMANDE!AW8</f>
        <v>Email</v>
      </c>
      <c r="H20" s="181"/>
    </row>
    <row r="21" spans="1:8" s="4" customFormat="1">
      <c r="A21" s="492"/>
      <c r="B21" s="206">
        <v>19</v>
      </c>
      <c r="C21" s="207" t="str">
        <f>COMMANDE!AY7</f>
        <v>Prénom NOM</v>
      </c>
      <c r="D21" s="208"/>
      <c r="E21" s="209" t="e">
        <f>#REF!</f>
        <v>#REF!</v>
      </c>
      <c r="F21" s="210">
        <v>19</v>
      </c>
      <c r="G21" s="295" t="str">
        <f>COMMANDE!AY8</f>
        <v>Email</v>
      </c>
      <c r="H21" s="181"/>
    </row>
    <row r="22" spans="1:8" s="4" customFormat="1">
      <c r="A22" s="492"/>
      <c r="B22" s="211">
        <v>20</v>
      </c>
      <c r="C22" s="212" t="str">
        <f>COMMANDE!BA7</f>
        <v>Prénom NOM</v>
      </c>
      <c r="D22" s="213"/>
      <c r="E22" s="214" t="e">
        <f>#REF!</f>
        <v>#REF!</v>
      </c>
      <c r="F22" s="215">
        <v>20</v>
      </c>
      <c r="G22" s="294" t="str">
        <f>COMMANDE!BA8</f>
        <v>Email</v>
      </c>
      <c r="H22" s="181"/>
    </row>
    <row r="23" spans="1:8" hidden="1">
      <c r="C23" s="4"/>
      <c r="D23" s="4"/>
    </row>
    <row r="24" spans="1:8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>
      <c r="A1" s="17" t="s">
        <v>369</v>
      </c>
      <c r="C1" s="18" t="s">
        <v>370</v>
      </c>
      <c r="D1" s="18" t="s">
        <v>371</v>
      </c>
    </row>
    <row r="2" spans="1:4" ht="15">
      <c r="A2" s="19" t="s">
        <v>372</v>
      </c>
      <c r="B2" s="20" t="s">
        <v>373</v>
      </c>
      <c r="C2" s="21" t="s">
        <v>374</v>
      </c>
      <c r="D2" s="22" t="s">
        <v>375</v>
      </c>
    </row>
    <row r="3" spans="1:4">
      <c r="A3" s="23" t="s">
        <v>376</v>
      </c>
      <c r="B3" s="16">
        <v>1</v>
      </c>
      <c r="C3" s="24">
        <v>86.25</v>
      </c>
      <c r="D3" s="24">
        <v>857.91</v>
      </c>
    </row>
    <row r="4" spans="1:4">
      <c r="A4" s="23" t="s">
        <v>377</v>
      </c>
      <c r="B4" s="16">
        <v>2</v>
      </c>
      <c r="C4" s="24">
        <v>104.01</v>
      </c>
      <c r="D4" s="24">
        <v>1025.8699999999999</v>
      </c>
    </row>
    <row r="5" spans="1:4">
      <c r="A5" s="23" t="s">
        <v>378</v>
      </c>
      <c r="B5" s="16">
        <v>3</v>
      </c>
      <c r="C5" s="24">
        <v>95.57</v>
      </c>
      <c r="D5" s="24">
        <v>940.78</v>
      </c>
    </row>
    <row r="6" spans="1:4">
      <c r="A6" s="23" t="s">
        <v>379</v>
      </c>
      <c r="B6" s="16">
        <v>4</v>
      </c>
      <c r="C6" s="24">
        <v>112.56</v>
      </c>
      <c r="D6" s="24">
        <v>1142.8399999999999</v>
      </c>
    </row>
    <row r="7" spans="1:4">
      <c r="A7" s="23" t="s">
        <v>380</v>
      </c>
      <c r="B7" s="16">
        <v>5</v>
      </c>
      <c r="C7" s="24">
        <v>121.71</v>
      </c>
      <c r="D7" s="24">
        <v>1208.1099999999999</v>
      </c>
    </row>
    <row r="8" spans="1:4">
      <c r="A8" s="23" t="s">
        <v>381</v>
      </c>
      <c r="B8" s="16">
        <v>6</v>
      </c>
      <c r="C8" s="24">
        <v>124.01</v>
      </c>
      <c r="D8" s="24">
        <v>1223.32</v>
      </c>
    </row>
    <row r="9" spans="1:4">
      <c r="A9" s="23" t="s">
        <v>382</v>
      </c>
      <c r="B9" s="16">
        <v>7</v>
      </c>
      <c r="C9" s="24">
        <v>95.02</v>
      </c>
      <c r="D9" s="24">
        <v>943.59</v>
      </c>
    </row>
    <row r="10" spans="1:4">
      <c r="A10" s="23" t="s">
        <v>383</v>
      </c>
      <c r="B10" s="16">
        <v>8</v>
      </c>
      <c r="C10" s="24">
        <v>100.7</v>
      </c>
      <c r="D10" s="24">
        <v>997.57</v>
      </c>
    </row>
    <row r="11" spans="1:4">
      <c r="A11" s="23" t="s">
        <v>384</v>
      </c>
      <c r="B11" s="16" t="s">
        <v>385</v>
      </c>
      <c r="C11" s="24">
        <v>137.27000000000001</v>
      </c>
      <c r="D11" s="24">
        <v>1372.73</v>
      </c>
    </row>
    <row r="12" spans="1:4">
      <c r="A12" s="23" t="s">
        <v>386</v>
      </c>
      <c r="B12" s="16">
        <v>9</v>
      </c>
      <c r="C12" s="24">
        <v>93.52</v>
      </c>
      <c r="D12" s="24">
        <v>829.21</v>
      </c>
    </row>
    <row r="13" spans="1:4">
      <c r="A13" s="23" t="s">
        <v>387</v>
      </c>
      <c r="B13" s="16">
        <v>10</v>
      </c>
      <c r="C13" s="24">
        <v>109.13</v>
      </c>
      <c r="D13" s="24">
        <v>1090.26</v>
      </c>
    </row>
    <row r="14" spans="1:4">
      <c r="A14" s="23" t="s">
        <v>388</v>
      </c>
      <c r="B14" s="16">
        <v>11</v>
      </c>
      <c r="C14" s="24">
        <v>87.99</v>
      </c>
      <c r="D14" s="24">
        <v>849.64</v>
      </c>
    </row>
    <row r="15" spans="1:4">
      <c r="A15" s="23" t="s">
        <v>389</v>
      </c>
      <c r="B15" s="16">
        <v>12</v>
      </c>
      <c r="C15" s="24">
        <v>113.85</v>
      </c>
      <c r="D15" s="24">
        <v>1138.57</v>
      </c>
    </row>
    <row r="16" spans="1:4">
      <c r="A16" s="23" t="s">
        <v>390</v>
      </c>
      <c r="B16" s="16">
        <v>13</v>
      </c>
      <c r="C16" s="24">
        <v>113.12</v>
      </c>
      <c r="D16" s="24">
        <v>1094.58</v>
      </c>
    </row>
    <row r="17" spans="1:4">
      <c r="A17" s="23" t="s">
        <v>391</v>
      </c>
      <c r="B17" s="16">
        <v>14</v>
      </c>
      <c r="C17" s="24">
        <v>89.01</v>
      </c>
      <c r="D17" s="24">
        <v>885.07</v>
      </c>
    </row>
    <row r="18" spans="1:4">
      <c r="A18" s="23" t="s">
        <v>392</v>
      </c>
      <c r="B18" s="16" t="s">
        <v>393</v>
      </c>
      <c r="C18" s="24">
        <v>141.84</v>
      </c>
      <c r="D18" s="24">
        <v>1274.28</v>
      </c>
    </row>
    <row r="19" spans="1:4">
      <c r="A19" s="23" t="s">
        <v>394</v>
      </c>
      <c r="B19" s="16">
        <v>15</v>
      </c>
      <c r="C19" s="24">
        <v>98.97</v>
      </c>
      <c r="D19" s="24">
        <v>983.84</v>
      </c>
    </row>
    <row r="20" spans="1:4">
      <c r="A20" s="23" t="s">
        <v>395</v>
      </c>
      <c r="B20" s="16">
        <v>16</v>
      </c>
      <c r="C20" s="24">
        <v>77.23</v>
      </c>
      <c r="D20" s="24">
        <v>762.22</v>
      </c>
    </row>
    <row r="21" spans="1:4">
      <c r="A21" s="23" t="s">
        <v>396</v>
      </c>
      <c r="B21" s="16">
        <v>17</v>
      </c>
      <c r="C21" s="24">
        <v>78.16</v>
      </c>
      <c r="D21" s="24">
        <v>773.08</v>
      </c>
    </row>
    <row r="22" spans="1:4">
      <c r="A22" s="23" t="s">
        <v>397</v>
      </c>
      <c r="B22" s="16">
        <v>18</v>
      </c>
      <c r="C22" s="24">
        <v>145.44</v>
      </c>
      <c r="D22" s="24">
        <v>1454.53</v>
      </c>
    </row>
    <row r="23" spans="1:4">
      <c r="A23" s="23" t="s">
        <v>398</v>
      </c>
      <c r="B23" s="16">
        <v>19</v>
      </c>
      <c r="C23" s="24">
        <v>93.17</v>
      </c>
      <c r="D23" s="24">
        <v>930.44</v>
      </c>
    </row>
    <row r="24" spans="1:4">
      <c r="A24" s="23" t="s">
        <v>399</v>
      </c>
      <c r="B24" s="16">
        <v>21</v>
      </c>
      <c r="C24" s="24">
        <v>94</v>
      </c>
      <c r="D24" s="24">
        <v>940.43</v>
      </c>
    </row>
    <row r="25" spans="1:4">
      <c r="A25" s="23" t="s">
        <v>400</v>
      </c>
      <c r="B25" s="16">
        <v>22</v>
      </c>
      <c r="C25" s="24">
        <v>92.52</v>
      </c>
      <c r="D25" s="24">
        <v>921.46</v>
      </c>
    </row>
    <row r="26" spans="1:4">
      <c r="A26" s="23" t="s">
        <v>401</v>
      </c>
      <c r="B26" s="16">
        <v>23</v>
      </c>
      <c r="C26" s="24">
        <v>93.17</v>
      </c>
      <c r="D26" s="24">
        <v>930.44</v>
      </c>
    </row>
    <row r="27" spans="1:4">
      <c r="A27" s="23" t="s">
        <v>402</v>
      </c>
      <c r="B27" s="16">
        <v>24</v>
      </c>
      <c r="C27" s="24">
        <v>103.86</v>
      </c>
      <c r="D27" s="24">
        <v>1012.09</v>
      </c>
    </row>
    <row r="28" spans="1:4">
      <c r="A28" s="23" t="s">
        <v>403</v>
      </c>
      <c r="B28" s="16">
        <v>25</v>
      </c>
      <c r="C28" s="24">
        <v>99.65</v>
      </c>
      <c r="D28" s="24">
        <v>995.84</v>
      </c>
    </row>
    <row r="29" spans="1:4">
      <c r="A29" s="23" t="s">
        <v>404</v>
      </c>
      <c r="B29" s="16">
        <v>26</v>
      </c>
      <c r="C29" s="24">
        <v>89.06</v>
      </c>
      <c r="D29" s="24">
        <v>897.05</v>
      </c>
    </row>
    <row r="30" spans="1:4">
      <c r="A30" s="23" t="s">
        <v>405</v>
      </c>
      <c r="B30" s="16">
        <v>27</v>
      </c>
      <c r="C30" s="24">
        <v>98.81</v>
      </c>
      <c r="D30" s="24">
        <v>976.29</v>
      </c>
    </row>
    <row r="31" spans="1:4">
      <c r="A31" s="23" t="s">
        <v>406</v>
      </c>
      <c r="B31" s="16">
        <v>28</v>
      </c>
      <c r="C31" s="24">
        <v>99.09</v>
      </c>
      <c r="D31" s="24">
        <v>1009.52</v>
      </c>
    </row>
    <row r="32" spans="1:4">
      <c r="A32" s="23" t="s">
        <v>407</v>
      </c>
      <c r="B32" s="16">
        <v>29</v>
      </c>
      <c r="C32" s="24">
        <v>93.58</v>
      </c>
      <c r="D32" s="24">
        <v>929.2</v>
      </c>
    </row>
    <row r="33" spans="1:4">
      <c r="A33" s="23" t="s">
        <v>408</v>
      </c>
      <c r="B33" s="16">
        <v>30</v>
      </c>
      <c r="C33" s="24">
        <v>113.12</v>
      </c>
      <c r="D33" s="24">
        <v>1094.58</v>
      </c>
    </row>
    <row r="34" spans="1:4">
      <c r="A34" s="23" t="s">
        <v>409</v>
      </c>
      <c r="B34" s="16" t="s">
        <v>410</v>
      </c>
      <c r="C34" s="24">
        <v>121.8</v>
      </c>
      <c r="D34" s="24">
        <v>1076.72</v>
      </c>
    </row>
    <row r="35" spans="1:4">
      <c r="A35" s="23" t="s">
        <v>411</v>
      </c>
      <c r="B35" s="16">
        <v>31</v>
      </c>
      <c r="C35" s="24">
        <v>80.25</v>
      </c>
      <c r="D35" s="24">
        <v>799.8</v>
      </c>
    </row>
    <row r="36" spans="1:4">
      <c r="A36" s="23" t="s">
        <v>412</v>
      </c>
      <c r="B36" s="16">
        <v>32</v>
      </c>
      <c r="C36" s="24">
        <v>94.13</v>
      </c>
      <c r="D36" s="24">
        <v>923.26</v>
      </c>
    </row>
    <row r="37" spans="1:4">
      <c r="A37" s="23" t="s">
        <v>413</v>
      </c>
      <c r="B37" s="16">
        <v>33</v>
      </c>
      <c r="C37" s="24">
        <v>89.04</v>
      </c>
      <c r="D37" s="24">
        <v>890.43</v>
      </c>
    </row>
    <row r="38" spans="1:4">
      <c r="A38" s="23" t="s">
        <v>414</v>
      </c>
      <c r="B38" s="16">
        <v>34</v>
      </c>
      <c r="C38" s="24">
        <v>115.64</v>
      </c>
      <c r="D38" s="24">
        <v>1174.98</v>
      </c>
    </row>
    <row r="39" spans="1:4">
      <c r="A39" s="23" t="s">
        <v>415</v>
      </c>
      <c r="B39" s="16">
        <v>35</v>
      </c>
      <c r="C39" s="24">
        <v>84.94</v>
      </c>
      <c r="D39" s="24">
        <v>844.69</v>
      </c>
    </row>
    <row r="40" spans="1:4">
      <c r="A40" s="23" t="s">
        <v>416</v>
      </c>
      <c r="B40" s="16">
        <v>36</v>
      </c>
      <c r="C40" s="24">
        <v>93.76</v>
      </c>
      <c r="D40" s="24">
        <v>936.32</v>
      </c>
    </row>
    <row r="41" spans="1:4">
      <c r="A41" s="23" t="s">
        <v>417</v>
      </c>
      <c r="B41" s="16">
        <v>37</v>
      </c>
      <c r="C41" s="24">
        <v>88.65</v>
      </c>
      <c r="D41" s="24">
        <v>886.43</v>
      </c>
    </row>
    <row r="42" spans="1:4">
      <c r="A42" s="23" t="s">
        <v>418</v>
      </c>
      <c r="B42" s="16" t="s">
        <v>419</v>
      </c>
      <c r="C42" s="24">
        <v>136.24</v>
      </c>
      <c r="D42" s="24">
        <v>1215</v>
      </c>
    </row>
    <row r="43" spans="1:4">
      <c r="A43" s="23" t="s">
        <v>420</v>
      </c>
      <c r="B43" s="16">
        <v>38</v>
      </c>
      <c r="C43" s="24">
        <v>93.36</v>
      </c>
      <c r="D43" s="24">
        <v>924.56</v>
      </c>
    </row>
    <row r="44" spans="1:4">
      <c r="A44" s="23" t="s">
        <v>421</v>
      </c>
      <c r="B44" s="16">
        <v>39</v>
      </c>
      <c r="C44" s="24">
        <v>94</v>
      </c>
      <c r="D44" s="24">
        <v>940.43</v>
      </c>
    </row>
    <row r="45" spans="1:4">
      <c r="A45" s="23" t="s">
        <v>422</v>
      </c>
      <c r="B45" s="16">
        <v>40</v>
      </c>
      <c r="C45" s="24">
        <v>64.42</v>
      </c>
      <c r="D45" s="24">
        <v>629.47</v>
      </c>
    </row>
    <row r="46" spans="1:4">
      <c r="A46" s="23" t="s">
        <v>423</v>
      </c>
      <c r="B46" s="16">
        <v>41</v>
      </c>
      <c r="C46" s="24">
        <v>83.67</v>
      </c>
      <c r="D46" s="24">
        <v>848.9</v>
      </c>
    </row>
    <row r="47" spans="1:4">
      <c r="A47" s="23" t="s">
        <v>424</v>
      </c>
      <c r="B47" s="16">
        <v>42</v>
      </c>
      <c r="C47" s="24">
        <v>87.95</v>
      </c>
      <c r="D47" s="24">
        <v>865.6</v>
      </c>
    </row>
    <row r="48" spans="1:4">
      <c r="A48" s="23" t="s">
        <v>425</v>
      </c>
      <c r="B48" s="16">
        <v>43</v>
      </c>
      <c r="C48" s="24">
        <v>97.67</v>
      </c>
      <c r="D48" s="24">
        <v>963.12</v>
      </c>
    </row>
    <row r="49" spans="1:4">
      <c r="A49" s="23" t="s">
        <v>426</v>
      </c>
      <c r="B49" s="16">
        <v>44</v>
      </c>
      <c r="C49" s="24">
        <v>93.1</v>
      </c>
      <c r="D49" s="24">
        <v>918.97</v>
      </c>
    </row>
    <row r="50" spans="1:4">
      <c r="A50" s="23" t="s">
        <v>427</v>
      </c>
      <c r="B50" s="16">
        <v>45</v>
      </c>
      <c r="C50" s="24">
        <v>77.28</v>
      </c>
      <c r="D50" s="24">
        <v>784.59</v>
      </c>
    </row>
    <row r="51" spans="1:4">
      <c r="A51" s="23" t="s">
        <v>428</v>
      </c>
      <c r="B51" s="16">
        <v>46</v>
      </c>
      <c r="C51" s="24">
        <v>117.53</v>
      </c>
      <c r="D51" s="24">
        <v>877.31</v>
      </c>
    </row>
    <row r="52" spans="1:4">
      <c r="A52" s="23" t="s">
        <v>429</v>
      </c>
      <c r="B52" s="16">
        <v>47</v>
      </c>
      <c r="C52" s="24">
        <v>103.86</v>
      </c>
      <c r="D52" s="24">
        <v>1012.09</v>
      </c>
    </row>
    <row r="53" spans="1:4">
      <c r="A53" s="23" t="s">
        <v>430</v>
      </c>
      <c r="B53" s="16">
        <v>48</v>
      </c>
      <c r="C53" s="24">
        <v>113.85</v>
      </c>
      <c r="D53" s="24">
        <v>1161.8699999999999</v>
      </c>
    </row>
    <row r="54" spans="1:4">
      <c r="A54" s="23" t="s">
        <v>431</v>
      </c>
      <c r="B54" s="16">
        <v>49</v>
      </c>
      <c r="C54" s="24">
        <v>85.44</v>
      </c>
      <c r="D54" s="24">
        <v>843.5</v>
      </c>
    </row>
    <row r="55" spans="1:4">
      <c r="A55" s="23" t="s">
        <v>432</v>
      </c>
      <c r="B55" s="16">
        <v>50</v>
      </c>
      <c r="C55" s="24">
        <v>102.1</v>
      </c>
      <c r="D55" s="24">
        <v>1014.18</v>
      </c>
    </row>
    <row r="56" spans="1:4">
      <c r="A56" s="23" t="s">
        <v>433</v>
      </c>
      <c r="B56" s="16">
        <v>51</v>
      </c>
      <c r="C56" s="24">
        <v>94.55</v>
      </c>
      <c r="D56" s="24">
        <v>941.09</v>
      </c>
    </row>
    <row r="57" spans="1:4">
      <c r="A57" s="23" t="s">
        <v>434</v>
      </c>
      <c r="B57" s="16">
        <v>52</v>
      </c>
      <c r="C57" s="24">
        <v>112.39</v>
      </c>
      <c r="D57" s="24">
        <v>1123.04</v>
      </c>
    </row>
    <row r="58" spans="1:4">
      <c r="A58" s="23" t="s">
        <v>435</v>
      </c>
      <c r="B58" s="16">
        <v>53</v>
      </c>
      <c r="C58" s="24">
        <v>93.39</v>
      </c>
      <c r="D58" s="24">
        <v>919.13</v>
      </c>
    </row>
    <row r="59" spans="1:4">
      <c r="A59" s="23" t="s">
        <v>436</v>
      </c>
      <c r="B59" s="16">
        <v>54</v>
      </c>
      <c r="C59" s="24">
        <v>96.78</v>
      </c>
      <c r="D59" s="24">
        <v>967.17</v>
      </c>
    </row>
    <row r="60" spans="1:4">
      <c r="A60" s="23" t="s">
        <v>437</v>
      </c>
      <c r="B60" s="16">
        <v>55</v>
      </c>
      <c r="C60" s="24">
        <v>108.66</v>
      </c>
      <c r="D60" s="24">
        <v>1072.46</v>
      </c>
    </row>
    <row r="61" spans="1:4">
      <c r="A61" s="23" t="s">
        <v>438</v>
      </c>
      <c r="B61" s="16">
        <v>56</v>
      </c>
      <c r="C61" s="24">
        <v>94.2</v>
      </c>
      <c r="D61" s="24">
        <v>934.63</v>
      </c>
    </row>
    <row r="62" spans="1:4">
      <c r="A62" s="23" t="s">
        <v>439</v>
      </c>
      <c r="B62" s="16">
        <v>57</v>
      </c>
      <c r="C62" s="24">
        <v>107.22</v>
      </c>
      <c r="D62" s="24">
        <v>1057.69</v>
      </c>
    </row>
    <row r="63" spans="1:4">
      <c r="A63" s="23" t="s">
        <v>440</v>
      </c>
      <c r="B63" s="16">
        <v>58</v>
      </c>
      <c r="C63" s="24">
        <v>133.86000000000001</v>
      </c>
      <c r="D63" s="24">
        <v>1338.54</v>
      </c>
    </row>
    <row r="64" spans="1:4">
      <c r="A64" s="23" t="s">
        <v>441</v>
      </c>
      <c r="B64" s="16">
        <v>59</v>
      </c>
      <c r="C64" s="24">
        <v>96.97</v>
      </c>
      <c r="D64" s="24">
        <v>965.16</v>
      </c>
    </row>
    <row r="65" spans="1:4">
      <c r="A65" s="23" t="s">
        <v>442</v>
      </c>
      <c r="B65" s="16">
        <v>60</v>
      </c>
      <c r="C65" s="24">
        <v>116.63</v>
      </c>
      <c r="D65" s="24">
        <v>962.22</v>
      </c>
    </row>
    <row r="66" spans="1:4">
      <c r="A66" s="23" t="s">
        <v>443</v>
      </c>
      <c r="B66" s="16">
        <v>61</v>
      </c>
      <c r="C66" s="24">
        <v>96.83</v>
      </c>
      <c r="D66" s="24">
        <v>953.66</v>
      </c>
    </row>
    <row r="67" spans="1:4">
      <c r="A67" s="23" t="s">
        <v>444</v>
      </c>
      <c r="B67" s="16">
        <v>62</v>
      </c>
      <c r="C67" s="24">
        <v>98.03</v>
      </c>
      <c r="D67" s="24">
        <v>978.35</v>
      </c>
    </row>
    <row r="68" spans="1:4">
      <c r="A68" s="23" t="s">
        <v>445</v>
      </c>
      <c r="B68" s="16" t="s">
        <v>446</v>
      </c>
      <c r="C68" s="24">
        <v>125.65</v>
      </c>
      <c r="D68" s="24">
        <v>1117.6099999999999</v>
      </c>
    </row>
    <row r="69" spans="1:4">
      <c r="A69" s="23" t="s">
        <v>447</v>
      </c>
      <c r="B69" s="16">
        <v>63</v>
      </c>
      <c r="C69" s="24">
        <v>82.75</v>
      </c>
      <c r="D69" s="24">
        <v>827.17</v>
      </c>
    </row>
    <row r="70" spans="1:4">
      <c r="A70" s="23" t="s">
        <v>448</v>
      </c>
      <c r="B70" s="16" t="s">
        <v>449</v>
      </c>
      <c r="C70" s="24">
        <v>102.29</v>
      </c>
      <c r="D70" s="24">
        <v>860.75</v>
      </c>
    </row>
    <row r="71" spans="1:4">
      <c r="A71" s="23" t="s">
        <v>450</v>
      </c>
      <c r="B71" s="16">
        <v>64</v>
      </c>
      <c r="C71" s="24">
        <v>49.41</v>
      </c>
      <c r="D71" s="24">
        <v>487.13</v>
      </c>
    </row>
    <row r="72" spans="1:4">
      <c r="A72" s="23" t="s">
        <v>451</v>
      </c>
      <c r="B72" s="16" t="s">
        <v>452</v>
      </c>
      <c r="C72" s="24">
        <v>92.53</v>
      </c>
      <c r="D72" s="24">
        <v>781.13</v>
      </c>
    </row>
    <row r="73" spans="1:4">
      <c r="A73" s="23" t="s">
        <v>453</v>
      </c>
      <c r="B73" s="16">
        <v>65</v>
      </c>
      <c r="C73" s="24">
        <v>60.73</v>
      </c>
      <c r="D73" s="24">
        <v>591.12</v>
      </c>
    </row>
    <row r="74" spans="1:4">
      <c r="A74" s="23" t="s">
        <v>454</v>
      </c>
      <c r="B74" s="16">
        <v>66</v>
      </c>
      <c r="C74" s="24">
        <v>95.89</v>
      </c>
      <c r="D74" s="24">
        <v>922.25</v>
      </c>
    </row>
    <row r="75" spans="1:4">
      <c r="A75" s="23" t="s">
        <v>455</v>
      </c>
      <c r="B75" s="16">
        <v>67</v>
      </c>
      <c r="C75" s="24">
        <v>94.88</v>
      </c>
      <c r="D75" s="24">
        <v>945.6</v>
      </c>
    </row>
    <row r="76" spans="1:4">
      <c r="A76" s="23" t="s">
        <v>456</v>
      </c>
      <c r="B76" s="16">
        <v>68</v>
      </c>
      <c r="C76" s="24">
        <v>104.82</v>
      </c>
      <c r="D76" s="24">
        <v>1033.8699999999999</v>
      </c>
    </row>
    <row r="77" spans="1:4">
      <c r="A77" s="23" t="s">
        <v>457</v>
      </c>
      <c r="B77" s="16">
        <v>69</v>
      </c>
      <c r="C77" s="24">
        <v>83.63</v>
      </c>
      <c r="D77" s="24">
        <v>834.62</v>
      </c>
    </row>
    <row r="78" spans="1:4">
      <c r="A78" s="23" t="s">
        <v>458</v>
      </c>
      <c r="B78" s="16">
        <v>70</v>
      </c>
      <c r="C78" s="24">
        <v>100.18</v>
      </c>
      <c r="D78" s="24">
        <v>923.68</v>
      </c>
    </row>
    <row r="79" spans="1:4">
      <c r="A79" s="23" t="s">
        <v>459</v>
      </c>
      <c r="B79" s="16">
        <v>71</v>
      </c>
      <c r="C79" s="24">
        <v>94.81</v>
      </c>
      <c r="D79" s="24">
        <v>936.03</v>
      </c>
    </row>
    <row r="80" spans="1:4">
      <c r="A80" s="23" t="s">
        <v>460</v>
      </c>
      <c r="B80" s="16">
        <v>72</v>
      </c>
      <c r="C80" s="24">
        <v>80.319999999999993</v>
      </c>
      <c r="D80" s="24">
        <v>805.92</v>
      </c>
    </row>
    <row r="81" spans="1:4">
      <c r="A81" s="23" t="s">
        <v>461</v>
      </c>
      <c r="B81" s="16" t="s">
        <v>462</v>
      </c>
      <c r="C81" s="24">
        <v>128.49</v>
      </c>
      <c r="D81" s="24">
        <v>1143.8499999999999</v>
      </c>
    </row>
    <row r="82" spans="1:4">
      <c r="A82" s="23" t="s">
        <v>463</v>
      </c>
      <c r="B82" s="16">
        <v>73</v>
      </c>
      <c r="C82" s="24">
        <v>85.61</v>
      </c>
      <c r="D82" s="24">
        <v>853.41</v>
      </c>
    </row>
    <row r="83" spans="1:4">
      <c r="A83" s="23" t="s">
        <v>464</v>
      </c>
      <c r="B83" s="16" t="s">
        <v>465</v>
      </c>
      <c r="C83" s="24">
        <v>138.87</v>
      </c>
      <c r="D83" s="24">
        <v>1236.6500000000001</v>
      </c>
    </row>
    <row r="84" spans="1:4">
      <c r="A84" s="23" t="s">
        <v>466</v>
      </c>
      <c r="B84" s="16">
        <v>74</v>
      </c>
      <c r="C84" s="24">
        <v>96</v>
      </c>
      <c r="D84" s="24">
        <v>946.21</v>
      </c>
    </row>
    <row r="85" spans="1:4">
      <c r="A85" s="23" t="s">
        <v>467</v>
      </c>
      <c r="B85" s="16">
        <v>75</v>
      </c>
      <c r="C85" s="24">
        <v>116.63</v>
      </c>
      <c r="D85" s="24">
        <v>925.67</v>
      </c>
    </row>
    <row r="86" spans="1:4">
      <c r="A86" s="23" t="s">
        <v>468</v>
      </c>
      <c r="B86" s="16">
        <v>76</v>
      </c>
      <c r="C86" s="24">
        <v>100.03</v>
      </c>
      <c r="D86" s="24">
        <v>989.48</v>
      </c>
    </row>
    <row r="87" spans="1:4">
      <c r="A87" s="23" t="s">
        <v>469</v>
      </c>
      <c r="B87" s="16">
        <v>77</v>
      </c>
      <c r="C87" s="24">
        <v>116.63</v>
      </c>
      <c r="D87" s="24">
        <v>926.15</v>
      </c>
    </row>
    <row r="88" spans="1:4">
      <c r="A88" s="23" t="s">
        <v>470</v>
      </c>
      <c r="B88" s="16">
        <v>78</v>
      </c>
      <c r="C88" s="24">
        <v>110.14</v>
      </c>
      <c r="D88" s="24">
        <v>925.67</v>
      </c>
    </row>
    <row r="89" spans="1:4">
      <c r="A89" s="23" t="s">
        <v>471</v>
      </c>
      <c r="B89" s="16">
        <v>79</v>
      </c>
      <c r="C89" s="24">
        <v>93.76</v>
      </c>
      <c r="D89" s="24">
        <v>936.32</v>
      </c>
    </row>
    <row r="90" spans="1:4">
      <c r="A90" s="23" t="s">
        <v>472</v>
      </c>
      <c r="B90" s="16">
        <v>80</v>
      </c>
      <c r="C90" s="24">
        <v>105.34</v>
      </c>
      <c r="D90" s="24">
        <v>1041.69</v>
      </c>
    </row>
    <row r="91" spans="1:4">
      <c r="A91" s="23" t="s">
        <v>473</v>
      </c>
      <c r="B91" s="16">
        <v>81</v>
      </c>
      <c r="C91" s="24">
        <v>96.33</v>
      </c>
      <c r="D91" s="24">
        <v>945.73</v>
      </c>
    </row>
    <row r="92" spans="1:4">
      <c r="A92" s="23" t="s">
        <v>474</v>
      </c>
      <c r="B92" s="16">
        <v>82</v>
      </c>
      <c r="C92" s="24">
        <v>73.64</v>
      </c>
      <c r="D92" s="24">
        <v>736.38</v>
      </c>
    </row>
    <row r="93" spans="1:4">
      <c r="A93" s="23" t="s">
        <v>475</v>
      </c>
      <c r="B93" s="16">
        <v>83</v>
      </c>
      <c r="C93" s="24">
        <v>127.17</v>
      </c>
      <c r="D93" s="24">
        <v>1223.32</v>
      </c>
    </row>
    <row r="94" spans="1:4">
      <c r="A94" s="23" t="s">
        <v>476</v>
      </c>
      <c r="B94" s="16">
        <v>84</v>
      </c>
      <c r="C94" s="24">
        <v>105.22</v>
      </c>
      <c r="D94" s="24">
        <v>1021.97</v>
      </c>
    </row>
    <row r="95" spans="1:4">
      <c r="A95" s="23" t="s">
        <v>477</v>
      </c>
      <c r="B95" s="16">
        <v>85</v>
      </c>
      <c r="C95" s="24">
        <v>84.7</v>
      </c>
      <c r="D95" s="24">
        <v>837.53</v>
      </c>
    </row>
    <row r="96" spans="1:4">
      <c r="A96" s="23" t="s">
        <v>478</v>
      </c>
      <c r="B96" s="16">
        <v>86</v>
      </c>
      <c r="C96" s="24">
        <v>84.96</v>
      </c>
      <c r="D96" s="24">
        <v>849.72</v>
      </c>
    </row>
    <row r="97" spans="1:4">
      <c r="A97" s="23" t="s">
        <v>479</v>
      </c>
      <c r="B97" s="16">
        <v>87</v>
      </c>
      <c r="C97" s="24">
        <v>84.38</v>
      </c>
      <c r="D97" s="24">
        <v>843.84</v>
      </c>
    </row>
    <row r="98" spans="1:4">
      <c r="A98" s="23" t="s">
        <v>480</v>
      </c>
      <c r="B98" s="16">
        <v>88</v>
      </c>
      <c r="C98" s="24">
        <v>105.98</v>
      </c>
      <c r="D98" s="24">
        <v>1046.27</v>
      </c>
    </row>
    <row r="99" spans="1:4">
      <c r="A99" s="23" t="s">
        <v>481</v>
      </c>
      <c r="B99" s="16">
        <v>89</v>
      </c>
      <c r="C99" s="24">
        <v>136.06</v>
      </c>
      <c r="D99" s="24">
        <v>1360.59</v>
      </c>
    </row>
    <row r="100" spans="1:4">
      <c r="A100" s="23" t="s">
        <v>482</v>
      </c>
      <c r="B100" s="16">
        <v>90</v>
      </c>
      <c r="C100" s="24">
        <v>92.47</v>
      </c>
      <c r="D100" s="24">
        <v>876.54</v>
      </c>
    </row>
    <row r="101" spans="1:4">
      <c r="A101" s="23" t="s">
        <v>483</v>
      </c>
      <c r="B101" s="16">
        <v>91</v>
      </c>
      <c r="C101" s="24">
        <v>110.14</v>
      </c>
      <c r="D101" s="24">
        <v>925.67</v>
      </c>
    </row>
    <row r="102" spans="1:4">
      <c r="A102" s="23" t="s">
        <v>484</v>
      </c>
      <c r="B102" s="16">
        <v>92</v>
      </c>
      <c r="C102" s="24">
        <v>110.14</v>
      </c>
      <c r="D102" s="24">
        <v>925.67</v>
      </c>
    </row>
    <row r="103" spans="1:4">
      <c r="A103" s="23" t="s">
        <v>485</v>
      </c>
      <c r="B103" s="16">
        <v>93</v>
      </c>
      <c r="C103" s="24">
        <v>110.14</v>
      </c>
      <c r="D103" s="24">
        <v>925.67</v>
      </c>
    </row>
    <row r="104" spans="1:4">
      <c r="A104" s="23" t="s">
        <v>486</v>
      </c>
      <c r="B104" s="16">
        <v>94</v>
      </c>
      <c r="C104" s="24">
        <v>110.14</v>
      </c>
      <c r="D104" s="24">
        <v>925.67</v>
      </c>
    </row>
    <row r="105" spans="1:4">
      <c r="A105" s="23" t="s">
        <v>487</v>
      </c>
      <c r="B105" s="16">
        <v>95</v>
      </c>
      <c r="C105" s="24">
        <v>110.14</v>
      </c>
      <c r="D105" s="24">
        <v>925.67</v>
      </c>
    </row>
    <row r="106" spans="1:4">
      <c r="A106" s="23" t="s">
        <v>488</v>
      </c>
      <c r="B106" s="16">
        <v>98</v>
      </c>
      <c r="C106" s="24">
        <v>134.93</v>
      </c>
      <c r="D106" s="24">
        <v>1329.53</v>
      </c>
    </row>
    <row r="107" spans="1:4">
      <c r="A107" s="23" t="s">
        <v>591</v>
      </c>
      <c r="B107" s="16" t="s">
        <v>489</v>
      </c>
      <c r="C107" s="24">
        <v>100</v>
      </c>
      <c r="D107" s="24">
        <v>1000</v>
      </c>
    </row>
    <row r="108" spans="1:4">
      <c r="A108" s="23" t="s">
        <v>592</v>
      </c>
      <c r="B108" s="265" t="s">
        <v>590</v>
      </c>
      <c r="C108" s="24">
        <v>429.62</v>
      </c>
      <c r="D108" s="24">
        <v>429.62</v>
      </c>
    </row>
    <row r="109" spans="1:4">
      <c r="A109" s="23" t="s">
        <v>595</v>
      </c>
      <c r="B109" s="16" t="s">
        <v>597</v>
      </c>
      <c r="C109" s="24">
        <v>337.74</v>
      </c>
      <c r="D109" s="24">
        <v>337.74</v>
      </c>
    </row>
    <row r="110" spans="1:4">
      <c r="A110" s="266" t="s">
        <v>596</v>
      </c>
      <c r="B110" s="265" t="s">
        <v>594</v>
      </c>
      <c r="C110" s="267">
        <v>308.89</v>
      </c>
      <c r="D110" s="267">
        <v>308.89</v>
      </c>
    </row>
    <row r="111" spans="1:4">
      <c r="A111" s="23"/>
      <c r="B111" s="16" t="s">
        <v>490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>
      <c r="A1" s="17" t="s">
        <v>369</v>
      </c>
      <c r="B1" s="4"/>
      <c r="C1" s="18" t="s">
        <v>491</v>
      </c>
    </row>
    <row r="2" spans="1:3" ht="15">
      <c r="A2" s="25" t="s">
        <v>372</v>
      </c>
      <c r="B2" s="26" t="s">
        <v>373</v>
      </c>
      <c r="C2" s="27" t="s">
        <v>492</v>
      </c>
    </row>
    <row r="3" spans="1:3">
      <c r="A3" s="23" t="s">
        <v>376</v>
      </c>
      <c r="B3" s="16">
        <v>1</v>
      </c>
      <c r="C3" s="24">
        <v>241.9</v>
      </c>
    </row>
    <row r="4" spans="1:3">
      <c r="A4" s="23" t="s">
        <v>377</v>
      </c>
      <c r="B4" s="16">
        <v>2</v>
      </c>
      <c r="C4" s="24">
        <v>303.3</v>
      </c>
    </row>
    <row r="5" spans="1:3">
      <c r="A5" s="23" t="s">
        <v>378</v>
      </c>
      <c r="B5" s="16">
        <v>3</v>
      </c>
      <c r="C5" s="24">
        <v>255.7</v>
      </c>
    </row>
    <row r="6" spans="1:3">
      <c r="A6" s="23" t="s">
        <v>379</v>
      </c>
      <c r="B6" s="16">
        <v>4</v>
      </c>
      <c r="C6" s="24">
        <v>262.7</v>
      </c>
    </row>
    <row r="7" spans="1:3">
      <c r="A7" s="23" t="s">
        <v>380</v>
      </c>
      <c r="B7" s="16">
        <v>5</v>
      </c>
      <c r="C7" s="24">
        <v>295.60000000000002</v>
      </c>
    </row>
    <row r="8" spans="1:3">
      <c r="A8" s="23" t="s">
        <v>381</v>
      </c>
      <c r="B8" s="16">
        <v>6</v>
      </c>
      <c r="C8" s="24">
        <v>295.60000000000002</v>
      </c>
    </row>
    <row r="9" spans="1:3">
      <c r="A9" s="23" t="s">
        <v>382</v>
      </c>
      <c r="B9" s="16">
        <v>7</v>
      </c>
      <c r="C9" s="24">
        <v>286.3</v>
      </c>
    </row>
    <row r="10" spans="1:3">
      <c r="A10" s="23" t="s">
        <v>383</v>
      </c>
      <c r="B10" s="16">
        <v>8</v>
      </c>
      <c r="C10" s="24">
        <v>298.3</v>
      </c>
    </row>
    <row r="11" spans="1:3">
      <c r="A11" s="23" t="s">
        <v>386</v>
      </c>
      <c r="B11" s="16">
        <v>9</v>
      </c>
      <c r="C11" s="24">
        <v>197.3</v>
      </c>
    </row>
    <row r="12" spans="1:3">
      <c r="A12" s="23" t="s">
        <v>387</v>
      </c>
      <c r="B12" s="16">
        <v>10</v>
      </c>
      <c r="C12" s="24">
        <v>316</v>
      </c>
    </row>
    <row r="13" spans="1:3">
      <c r="A13" s="23" t="s">
        <v>388</v>
      </c>
      <c r="B13" s="16">
        <v>11</v>
      </c>
      <c r="C13" s="24">
        <v>179.7</v>
      </c>
    </row>
    <row r="14" spans="1:3">
      <c r="A14" s="23" t="s">
        <v>389</v>
      </c>
      <c r="B14" s="16">
        <v>12</v>
      </c>
      <c r="C14" s="24">
        <v>268.8</v>
      </c>
    </row>
    <row r="15" spans="1:3">
      <c r="A15" s="23" t="s">
        <v>390</v>
      </c>
      <c r="B15" s="16">
        <v>13</v>
      </c>
      <c r="C15" s="24">
        <v>239.6</v>
      </c>
    </row>
    <row r="16" spans="1:3">
      <c r="A16" s="23" t="s">
        <v>391</v>
      </c>
      <c r="B16" s="16">
        <v>14</v>
      </c>
      <c r="C16" s="24">
        <v>258.89999999999998</v>
      </c>
    </row>
    <row r="17" spans="1:3">
      <c r="A17" s="23" t="s">
        <v>394</v>
      </c>
      <c r="B17" s="16">
        <v>15</v>
      </c>
      <c r="C17" s="24">
        <v>264.10000000000002</v>
      </c>
    </row>
    <row r="18" spans="1:3">
      <c r="A18" s="23" t="s">
        <v>395</v>
      </c>
      <c r="B18" s="16">
        <v>16</v>
      </c>
      <c r="C18" s="24">
        <v>180.1</v>
      </c>
    </row>
    <row r="19" spans="1:3">
      <c r="A19" s="23" t="s">
        <v>396</v>
      </c>
      <c r="B19" s="16">
        <v>17</v>
      </c>
      <c r="C19" s="24">
        <v>181.7</v>
      </c>
    </row>
    <row r="20" spans="1:3">
      <c r="A20" s="23" t="s">
        <v>397</v>
      </c>
      <c r="B20" s="16">
        <v>18</v>
      </c>
      <c r="C20" s="24">
        <v>383.8</v>
      </c>
    </row>
    <row r="21" spans="1:3">
      <c r="A21" s="23" t="s">
        <v>398</v>
      </c>
      <c r="B21" s="16">
        <v>19</v>
      </c>
      <c r="C21" s="24">
        <v>221.8</v>
      </c>
    </row>
    <row r="22" spans="1:3">
      <c r="A22" s="23" t="s">
        <v>399</v>
      </c>
      <c r="B22" s="16">
        <v>21</v>
      </c>
      <c r="C22" s="24">
        <v>266.7</v>
      </c>
    </row>
    <row r="23" spans="1:3">
      <c r="A23" s="23" t="s">
        <v>400</v>
      </c>
      <c r="B23" s="16">
        <v>22</v>
      </c>
      <c r="C23" s="24">
        <v>267.39999999999998</v>
      </c>
    </row>
    <row r="24" spans="1:3">
      <c r="A24" s="23" t="s">
        <v>401</v>
      </c>
      <c r="B24" s="16">
        <v>23</v>
      </c>
      <c r="C24" s="24">
        <v>221.8</v>
      </c>
    </row>
    <row r="25" spans="1:3">
      <c r="A25" s="23" t="s">
        <v>402</v>
      </c>
      <c r="B25" s="16">
        <v>24</v>
      </c>
      <c r="C25" s="24">
        <v>259.8</v>
      </c>
    </row>
    <row r="26" spans="1:3">
      <c r="A26" s="23" t="s">
        <v>403</v>
      </c>
      <c r="B26" s="16">
        <v>25</v>
      </c>
      <c r="C26" s="24">
        <v>279.7</v>
      </c>
    </row>
    <row r="27" spans="1:3">
      <c r="A27" s="23" t="s">
        <v>404</v>
      </c>
      <c r="B27" s="16">
        <v>26</v>
      </c>
      <c r="C27" s="24">
        <v>286.3</v>
      </c>
    </row>
    <row r="28" spans="1:3">
      <c r="A28" s="23" t="s">
        <v>405</v>
      </c>
      <c r="B28" s="16">
        <v>27</v>
      </c>
      <c r="C28" s="24">
        <v>293.60000000000002</v>
      </c>
    </row>
    <row r="29" spans="1:3">
      <c r="A29" s="23" t="s">
        <v>406</v>
      </c>
      <c r="B29" s="16">
        <v>28</v>
      </c>
      <c r="C29" s="24">
        <v>243.7</v>
      </c>
    </row>
    <row r="30" spans="1:3">
      <c r="A30" s="23" t="s">
        <v>407</v>
      </c>
      <c r="B30" s="16">
        <v>29</v>
      </c>
      <c r="C30" s="24">
        <v>273.7</v>
      </c>
    </row>
    <row r="31" spans="1:3">
      <c r="A31" s="23" t="s">
        <v>408</v>
      </c>
      <c r="B31" s="16">
        <v>30</v>
      </c>
      <c r="C31" s="24">
        <v>262.7</v>
      </c>
    </row>
    <row r="32" spans="1:3">
      <c r="A32" s="23" t="s">
        <v>411</v>
      </c>
      <c r="B32" s="16">
        <v>31</v>
      </c>
      <c r="C32" s="24">
        <v>182.5</v>
      </c>
    </row>
    <row r="33" spans="1:3">
      <c r="A33" s="23" t="s">
        <v>412</v>
      </c>
      <c r="B33" s="16">
        <v>32</v>
      </c>
      <c r="C33" s="24">
        <v>203.3</v>
      </c>
    </row>
    <row r="34" spans="1:3">
      <c r="A34" s="23" t="s">
        <v>413</v>
      </c>
      <c r="B34" s="16">
        <v>33</v>
      </c>
      <c r="C34" s="24">
        <v>195.5</v>
      </c>
    </row>
    <row r="35" spans="1:3">
      <c r="A35" s="23" t="s">
        <v>414</v>
      </c>
      <c r="B35" s="16">
        <v>34</v>
      </c>
      <c r="C35" s="24">
        <v>262.7</v>
      </c>
    </row>
    <row r="36" spans="1:3">
      <c r="A36" s="23" t="s">
        <v>415</v>
      </c>
      <c r="B36" s="16">
        <v>35</v>
      </c>
      <c r="C36" s="24">
        <v>236.2</v>
      </c>
    </row>
    <row r="37" spans="1:3">
      <c r="A37" s="23" t="s">
        <v>416</v>
      </c>
      <c r="B37" s="16">
        <v>36</v>
      </c>
      <c r="C37" s="24">
        <v>225</v>
      </c>
    </row>
    <row r="38" spans="1:3">
      <c r="A38" s="23" t="s">
        <v>417</v>
      </c>
      <c r="B38" s="16">
        <v>37</v>
      </c>
      <c r="C38" s="24">
        <v>229.6</v>
      </c>
    </row>
    <row r="39" spans="1:3">
      <c r="A39" s="23" t="s">
        <v>420</v>
      </c>
      <c r="B39" s="16">
        <v>38</v>
      </c>
      <c r="C39" s="24">
        <v>262.3</v>
      </c>
    </row>
    <row r="40" spans="1:3">
      <c r="A40" s="23" t="s">
        <v>421</v>
      </c>
      <c r="B40" s="16">
        <v>39</v>
      </c>
      <c r="C40" s="24">
        <v>269.7</v>
      </c>
    </row>
    <row r="41" spans="1:3">
      <c r="A41" s="23" t="s">
        <v>422</v>
      </c>
      <c r="B41" s="16">
        <v>40</v>
      </c>
      <c r="C41" s="24">
        <v>157.30000000000001</v>
      </c>
    </row>
    <row r="42" spans="1:3">
      <c r="A42" s="23" t="s">
        <v>423</v>
      </c>
      <c r="B42" s="16">
        <v>41</v>
      </c>
      <c r="C42" s="24">
        <v>243.7</v>
      </c>
    </row>
    <row r="43" spans="1:3">
      <c r="A43" s="23" t="s">
        <v>424</v>
      </c>
      <c r="B43" s="16">
        <v>42</v>
      </c>
      <c r="C43" s="24">
        <v>229.1</v>
      </c>
    </row>
    <row r="44" spans="1:3">
      <c r="A44" s="23" t="s">
        <v>425</v>
      </c>
      <c r="B44" s="16">
        <v>43</v>
      </c>
      <c r="C44" s="24">
        <v>259.60000000000002</v>
      </c>
    </row>
    <row r="45" spans="1:3">
      <c r="A45" s="23" t="s">
        <v>426</v>
      </c>
      <c r="B45" s="16">
        <v>44</v>
      </c>
      <c r="C45" s="24">
        <v>249.2</v>
      </c>
    </row>
    <row r="46" spans="1:3">
      <c r="A46" s="23" t="s">
        <v>427</v>
      </c>
      <c r="B46" s="16">
        <v>45</v>
      </c>
      <c r="C46" s="24">
        <v>229.2</v>
      </c>
    </row>
    <row r="47" spans="1:3">
      <c r="A47" s="23" t="s">
        <v>428</v>
      </c>
      <c r="B47" s="16">
        <v>46</v>
      </c>
      <c r="C47" s="24">
        <v>232.4</v>
      </c>
    </row>
    <row r="48" spans="1:3">
      <c r="A48" s="23" t="s">
        <v>429</v>
      </c>
      <c r="B48" s="16">
        <v>47</v>
      </c>
      <c r="C48" s="24">
        <v>259.8</v>
      </c>
    </row>
    <row r="49" spans="1:3">
      <c r="A49" s="23" t="s">
        <v>430</v>
      </c>
      <c r="B49" s="16">
        <v>48</v>
      </c>
      <c r="C49" s="24">
        <v>325.89999999999998</v>
      </c>
    </row>
    <row r="50" spans="1:3">
      <c r="A50" s="23" t="s">
        <v>431</v>
      </c>
      <c r="B50" s="16">
        <v>49</v>
      </c>
      <c r="C50" s="24">
        <v>219.7</v>
      </c>
    </row>
    <row r="51" spans="1:3">
      <c r="A51" s="23" t="s">
        <v>432</v>
      </c>
      <c r="B51" s="16">
        <v>50</v>
      </c>
      <c r="C51" s="24">
        <v>281.8</v>
      </c>
    </row>
    <row r="52" spans="1:3">
      <c r="A52" s="23" t="s">
        <v>433</v>
      </c>
      <c r="B52" s="16">
        <v>51</v>
      </c>
      <c r="C52" s="24">
        <v>288.89999999999998</v>
      </c>
    </row>
    <row r="53" spans="1:3">
      <c r="A53" s="23" t="s">
        <v>434</v>
      </c>
      <c r="B53" s="16">
        <v>52</v>
      </c>
      <c r="C53" s="24">
        <v>333.9</v>
      </c>
    </row>
    <row r="54" spans="1:3">
      <c r="A54" s="23" t="s">
        <v>435</v>
      </c>
      <c r="B54" s="16">
        <v>53</v>
      </c>
      <c r="C54" s="24">
        <v>248.8</v>
      </c>
    </row>
    <row r="55" spans="1:3">
      <c r="A55" s="23" t="s">
        <v>436</v>
      </c>
      <c r="B55" s="16">
        <v>54</v>
      </c>
      <c r="C55" s="24">
        <v>305.7</v>
      </c>
    </row>
    <row r="56" spans="1:3">
      <c r="A56" s="23" t="s">
        <v>437</v>
      </c>
      <c r="B56" s="16">
        <v>55</v>
      </c>
      <c r="C56" s="24">
        <v>323.5</v>
      </c>
    </row>
    <row r="57" spans="1:3">
      <c r="A57" s="23" t="s">
        <v>438</v>
      </c>
      <c r="B57" s="16">
        <v>56</v>
      </c>
      <c r="C57" s="24">
        <v>272</v>
      </c>
    </row>
    <row r="58" spans="1:3">
      <c r="A58" s="23" t="s">
        <v>439</v>
      </c>
      <c r="B58" s="16">
        <v>57</v>
      </c>
      <c r="C58" s="24">
        <v>321</v>
      </c>
    </row>
    <row r="59" spans="1:3">
      <c r="A59" s="23" t="s">
        <v>440</v>
      </c>
      <c r="B59" s="16">
        <v>58</v>
      </c>
      <c r="C59" s="24">
        <v>368.3</v>
      </c>
    </row>
    <row r="60" spans="1:3">
      <c r="A60" s="23" t="s">
        <v>441</v>
      </c>
      <c r="B60" s="16">
        <v>59</v>
      </c>
      <c r="C60" s="24">
        <v>290.7</v>
      </c>
    </row>
    <row r="61" spans="1:3">
      <c r="A61" s="23" t="s">
        <v>442</v>
      </c>
      <c r="B61" s="16">
        <v>60</v>
      </c>
      <c r="C61" s="24">
        <v>269.2</v>
      </c>
    </row>
    <row r="62" spans="1:3">
      <c r="A62" s="23" t="s">
        <v>443</v>
      </c>
      <c r="B62" s="16">
        <v>61</v>
      </c>
      <c r="C62" s="24">
        <v>270.60000000000002</v>
      </c>
    </row>
    <row r="63" spans="1:3">
      <c r="A63" s="23" t="s">
        <v>444</v>
      </c>
      <c r="B63" s="16">
        <v>62</v>
      </c>
      <c r="C63" s="24">
        <v>293.3</v>
      </c>
    </row>
    <row r="64" spans="1:3">
      <c r="A64" s="23" t="s">
        <v>447</v>
      </c>
      <c r="B64" s="16">
        <v>63</v>
      </c>
      <c r="C64" s="24">
        <v>236.4</v>
      </c>
    </row>
    <row r="65" spans="1:3">
      <c r="A65" s="23" t="s">
        <v>450</v>
      </c>
      <c r="B65" s="16">
        <v>64</v>
      </c>
      <c r="C65" s="24">
        <v>141.1</v>
      </c>
    </row>
    <row r="66" spans="1:3">
      <c r="A66" s="23" t="s">
        <v>453</v>
      </c>
      <c r="B66" s="16">
        <v>65</v>
      </c>
      <c r="C66" s="24">
        <v>147.30000000000001</v>
      </c>
    </row>
    <row r="67" spans="1:3">
      <c r="A67" s="23" t="s">
        <v>454</v>
      </c>
      <c r="B67" s="16">
        <v>66</v>
      </c>
      <c r="C67" s="24">
        <v>192.9</v>
      </c>
    </row>
    <row r="68" spans="1:3">
      <c r="A68" s="23" t="s">
        <v>455</v>
      </c>
      <c r="B68" s="16">
        <v>67</v>
      </c>
      <c r="C68" s="24">
        <v>294.7</v>
      </c>
    </row>
    <row r="69" spans="1:3">
      <c r="A69" s="23" t="s">
        <v>456</v>
      </c>
      <c r="B69" s="16">
        <v>68</v>
      </c>
      <c r="C69" s="24">
        <v>309.8</v>
      </c>
    </row>
    <row r="70" spans="1:3">
      <c r="A70" s="23" t="s">
        <v>457</v>
      </c>
      <c r="B70" s="16">
        <v>69</v>
      </c>
      <c r="C70" s="24">
        <v>225.6</v>
      </c>
    </row>
    <row r="71" spans="1:3">
      <c r="A71" s="23" t="s">
        <v>458</v>
      </c>
      <c r="B71" s="16">
        <v>70</v>
      </c>
      <c r="C71" s="24">
        <v>314.2</v>
      </c>
    </row>
    <row r="72" spans="1:3">
      <c r="A72" s="23" t="s">
        <v>459</v>
      </c>
      <c r="B72" s="16">
        <v>71</v>
      </c>
      <c r="C72" s="24">
        <v>255.5</v>
      </c>
    </row>
    <row r="73" spans="1:3">
      <c r="A73" s="23" t="s">
        <v>460</v>
      </c>
      <c r="B73" s="16">
        <v>72</v>
      </c>
      <c r="C73" s="24">
        <v>228.6</v>
      </c>
    </row>
    <row r="74" spans="1:3">
      <c r="A74" s="23" t="s">
        <v>463</v>
      </c>
      <c r="B74" s="16">
        <v>73</v>
      </c>
      <c r="C74" s="24">
        <v>245.7</v>
      </c>
    </row>
    <row r="75" spans="1:3">
      <c r="A75" s="23" t="s">
        <v>466</v>
      </c>
      <c r="B75" s="16">
        <v>74</v>
      </c>
      <c r="C75" s="24">
        <v>261.7</v>
      </c>
    </row>
    <row r="76" spans="1:3">
      <c r="A76" s="23" t="s">
        <v>467</v>
      </c>
      <c r="B76" s="16">
        <v>75</v>
      </c>
      <c r="C76" s="24">
        <v>263.10000000000002</v>
      </c>
    </row>
    <row r="77" spans="1:3">
      <c r="A77" s="23" t="s">
        <v>468</v>
      </c>
      <c r="B77" s="16">
        <v>76</v>
      </c>
      <c r="C77" s="24">
        <v>295.7</v>
      </c>
    </row>
    <row r="78" spans="1:3">
      <c r="A78" s="23" t="s">
        <v>469</v>
      </c>
      <c r="B78" s="16">
        <v>77</v>
      </c>
      <c r="C78" s="24">
        <v>263.2</v>
      </c>
    </row>
    <row r="79" spans="1:3">
      <c r="A79" s="23" t="s">
        <v>470</v>
      </c>
      <c r="B79" s="16">
        <v>78</v>
      </c>
      <c r="C79" s="24">
        <v>263.10000000000002</v>
      </c>
    </row>
    <row r="80" spans="1:3">
      <c r="A80" s="23" t="s">
        <v>471</v>
      </c>
      <c r="B80" s="16">
        <v>79</v>
      </c>
      <c r="C80" s="24">
        <v>225</v>
      </c>
    </row>
    <row r="81" spans="1:3">
      <c r="A81" s="23" t="s">
        <v>472</v>
      </c>
      <c r="B81" s="16">
        <v>80</v>
      </c>
      <c r="C81" s="24">
        <v>302</v>
      </c>
    </row>
    <row r="82" spans="1:3">
      <c r="A82" s="23" t="s">
        <v>473</v>
      </c>
      <c r="B82" s="16">
        <v>81</v>
      </c>
      <c r="C82" s="24">
        <v>207.3</v>
      </c>
    </row>
    <row r="83" spans="1:3">
      <c r="A83" s="23" t="s">
        <v>474</v>
      </c>
      <c r="B83" s="16">
        <v>82</v>
      </c>
      <c r="C83" s="24">
        <v>172.2</v>
      </c>
    </row>
    <row r="84" spans="1:3">
      <c r="A84" s="23" t="s">
        <v>475</v>
      </c>
      <c r="B84" s="16">
        <v>83</v>
      </c>
      <c r="C84" s="24">
        <v>262.7</v>
      </c>
    </row>
    <row r="85" spans="1:3">
      <c r="A85" s="23" t="s">
        <v>476</v>
      </c>
      <c r="B85" s="16">
        <v>84</v>
      </c>
      <c r="C85" s="24">
        <v>226.5</v>
      </c>
    </row>
    <row r="86" spans="1:3">
      <c r="A86" s="23" t="s">
        <v>477</v>
      </c>
      <c r="B86" s="16">
        <v>85</v>
      </c>
      <c r="C86" s="24">
        <v>218.6</v>
      </c>
    </row>
    <row r="87" spans="1:3">
      <c r="A87" s="23" t="s">
        <v>478</v>
      </c>
      <c r="B87" s="16">
        <v>86</v>
      </c>
      <c r="C87" s="24">
        <v>208.9</v>
      </c>
    </row>
    <row r="88" spans="1:3">
      <c r="A88" s="23" t="s">
        <v>479</v>
      </c>
      <c r="B88" s="16">
        <v>87</v>
      </c>
      <c r="C88" s="24">
        <v>205.7</v>
      </c>
    </row>
    <row r="89" spans="1:3">
      <c r="A89" s="23" t="s">
        <v>480</v>
      </c>
      <c r="B89" s="16">
        <v>88</v>
      </c>
      <c r="C89" s="24">
        <v>319</v>
      </c>
    </row>
    <row r="90" spans="1:3">
      <c r="A90" s="23" t="s">
        <v>481</v>
      </c>
      <c r="B90" s="16">
        <v>89</v>
      </c>
      <c r="C90" s="24">
        <v>364.6</v>
      </c>
    </row>
    <row r="91" spans="1:3">
      <c r="A91" s="23" t="s">
        <v>482</v>
      </c>
      <c r="B91" s="16">
        <v>90</v>
      </c>
      <c r="C91" s="24">
        <v>294.2</v>
      </c>
    </row>
    <row r="92" spans="1:3">
      <c r="A92" s="23" t="s">
        <v>483</v>
      </c>
      <c r="B92" s="16">
        <v>91</v>
      </c>
      <c r="C92" s="24">
        <v>263.10000000000002</v>
      </c>
    </row>
    <row r="93" spans="1:3">
      <c r="A93" s="23" t="s">
        <v>484</v>
      </c>
      <c r="B93" s="16">
        <v>92</v>
      </c>
      <c r="C93" s="24">
        <v>263.10000000000002</v>
      </c>
    </row>
    <row r="94" spans="1:3">
      <c r="A94" s="23" t="s">
        <v>485</v>
      </c>
      <c r="B94" s="16">
        <v>93</v>
      </c>
      <c r="C94" s="24">
        <v>263.10000000000002</v>
      </c>
    </row>
    <row r="95" spans="1:3">
      <c r="A95" s="23" t="s">
        <v>486</v>
      </c>
      <c r="B95" s="16">
        <v>94</v>
      </c>
      <c r="C95" s="24">
        <v>263.10000000000002</v>
      </c>
    </row>
    <row r="96" spans="1:3">
      <c r="A96" s="23" t="s">
        <v>487</v>
      </c>
      <c r="B96" s="16">
        <v>95</v>
      </c>
      <c r="C96" s="24">
        <v>263.10000000000002</v>
      </c>
    </row>
    <row r="97" spans="1:3">
      <c r="A97" s="23" t="s">
        <v>488</v>
      </c>
      <c r="B97" s="16">
        <v>98</v>
      </c>
      <c r="C97" s="24">
        <v>321.89999999999998</v>
      </c>
    </row>
    <row r="98" spans="1:3">
      <c r="A98" s="23" t="s">
        <v>593</v>
      </c>
      <c r="B98" s="16" t="s">
        <v>489</v>
      </c>
      <c r="C98" s="24">
        <v>270</v>
      </c>
    </row>
    <row r="99" spans="1:3">
      <c r="A99" s="23" t="s">
        <v>592</v>
      </c>
      <c r="B99" s="16" t="s">
        <v>590</v>
      </c>
      <c r="C99" s="24">
        <v>429.62</v>
      </c>
    </row>
    <row r="100" spans="1:3">
      <c r="A100" s="23" t="s">
        <v>595</v>
      </c>
      <c r="B100" s="16" t="s">
        <v>597</v>
      </c>
      <c r="C100" s="24">
        <v>337.74</v>
      </c>
    </row>
    <row r="101" spans="1:3">
      <c r="A101" s="266" t="s">
        <v>596</v>
      </c>
      <c r="B101" s="265" t="s">
        <v>594</v>
      </c>
      <c r="C101" s="267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>
      <c r="A1" s="71" t="s">
        <v>493</v>
      </c>
      <c r="B1" s="493" t="s">
        <v>494</v>
      </c>
      <c r="C1" s="494"/>
      <c r="D1" s="494"/>
      <c r="E1" s="34"/>
    </row>
    <row r="2" spans="1:5" s="35" customFormat="1" ht="33.75" customHeight="1" outlineLevel="1" thickBot="1">
      <c r="A2" s="72" t="e">
        <f>#REF!</f>
        <v>#REF!</v>
      </c>
      <c r="B2" s="97" t="s">
        <v>495</v>
      </c>
      <c r="C2" s="98" t="s">
        <v>496</v>
      </c>
      <c r="D2" s="36" t="e">
        <f>SUM(D4:D250)</f>
        <v>#REF!</v>
      </c>
      <c r="E2" s="37"/>
    </row>
    <row r="3" spans="1:5" s="38" customFormat="1" ht="24" outlineLevel="1" thickTop="1">
      <c r="A3" s="70" t="s">
        <v>497</v>
      </c>
      <c r="B3" s="39" t="s">
        <v>498</v>
      </c>
      <c r="C3" s="39" t="s">
        <v>499</v>
      </c>
      <c r="D3" s="40" t="s">
        <v>500</v>
      </c>
      <c r="E3" s="41"/>
    </row>
    <row r="4" spans="1:5" ht="36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 t="e">
        <f>COMMANDE!K12</f>
        <v>#REF!</v>
      </c>
      <c r="E4" s="28"/>
    </row>
    <row r="5" spans="1: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 t="e">
        <f>COMMANDE!K13</f>
        <v>#REF!</v>
      </c>
      <c r="E5" s="28"/>
    </row>
    <row r="6" spans="1: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 t="e">
        <f>COMMANDE!K14</f>
        <v>#REF!</v>
      </c>
      <c r="E6" s="28"/>
    </row>
    <row r="7" spans="1: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 t="e">
        <f>COMMANDE!K15</f>
        <v>#REF!</v>
      </c>
      <c r="E7" s="28"/>
    </row>
    <row r="8" spans="1: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 t="e">
        <f>COMMANDE!K16</f>
        <v>#REF!</v>
      </c>
      <c r="E8" s="28"/>
    </row>
    <row r="9" spans="1:5" s="45" customFormat="1" ht="19.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 t="e">
        <f>COMMANDE!K17</f>
        <v>#REF!</v>
      </c>
      <c r="E9" s="46"/>
    </row>
    <row r="10" spans="1:5" s="45" customFormat="1" ht="19.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 t="e">
        <f>COMMANDE!K18</f>
        <v>#REF!</v>
      </c>
      <c r="E10" s="46"/>
    </row>
    <row r="11" spans="1: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 t="e">
        <f>COMMANDE!K19</f>
        <v>#REF!</v>
      </c>
      <c r="E11" s="28"/>
    </row>
    <row r="12" spans="1: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 t="e">
        <f>COMMANDE!K20</f>
        <v>#REF!</v>
      </c>
      <c r="E12" s="28"/>
    </row>
    <row r="13" spans="1:5" s="38" customFormat="1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 t="e">
        <f>COMMANDE!K21</f>
        <v>#REF!</v>
      </c>
      <c r="E13" s="41"/>
    </row>
    <row r="14" spans="1:5" ht="36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 t="e">
        <f>COMMANDE!K22</f>
        <v>#REF!</v>
      </c>
      <c r="E14" s="28"/>
    </row>
    <row r="15" spans="1:5" s="45" customFormat="1" ht="19.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 t="e">
        <f>COMMANDE!K23</f>
        <v>#REF!</v>
      </c>
      <c r="E15" s="46"/>
    </row>
    <row r="16" spans="1:5" ht="54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 t="e">
        <f>COMMANDE!K24</f>
        <v>#REF!</v>
      </c>
      <c r="E16" s="28"/>
    </row>
    <row r="17" spans="1: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 t="e">
        <f>COMMANDE!K25</f>
        <v>#REF!</v>
      </c>
      <c r="E17" s="28"/>
    </row>
    <row r="18" spans="1: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 t="e">
        <f>COMMANDE!K26</f>
        <v>#REF!</v>
      </c>
      <c r="E18" s="28"/>
    </row>
    <row r="19" spans="1:5" ht="36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 t="e">
        <f>COMMANDE!K27</f>
        <v>#REF!</v>
      </c>
      <c r="E19" s="28"/>
    </row>
    <row r="20" spans="1:5" s="45" customFormat="1" ht="19.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 t="e">
        <f>COMMANDE!K28</f>
        <v>#REF!</v>
      </c>
      <c r="E20" s="46"/>
    </row>
    <row r="21" spans="1: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 t="e">
        <f>COMMANDE!K29</f>
        <v>#REF!</v>
      </c>
      <c r="E21" s="28"/>
    </row>
    <row r="22" spans="1: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 t="e">
        <f>COMMANDE!K30</f>
        <v>#REF!</v>
      </c>
      <c r="E22" s="28"/>
    </row>
    <row r="23" spans="1: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 t="e">
        <f>COMMANDE!K31</f>
        <v>#REF!</v>
      </c>
      <c r="E23" s="28"/>
    </row>
    <row r="24" spans="1: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 t="e">
        <f>COMMANDE!K32</f>
        <v>#REF!</v>
      </c>
      <c r="E24" s="28"/>
    </row>
    <row r="25" spans="1: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 t="e">
        <f>COMMANDE!K33</f>
        <v>#REF!</v>
      </c>
      <c r="E25" s="28"/>
    </row>
    <row r="26" spans="1:5" s="45" customFormat="1" ht="19.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 t="e">
        <f>COMMANDE!K34</f>
        <v>#REF!</v>
      </c>
      <c r="E26" s="46"/>
    </row>
    <row r="27" spans="1:5" ht="36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 t="e">
        <f>COMMANDE!K35</f>
        <v>#REF!</v>
      </c>
      <c r="E27" s="28"/>
    </row>
    <row r="28" spans="1: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 t="e">
        <f>COMMANDE!K36</f>
        <v>#REF!</v>
      </c>
      <c r="E28" s="28"/>
    </row>
    <row r="29" spans="1: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 t="e">
        <f>COMMANDE!K37</f>
        <v>#REF!</v>
      </c>
      <c r="E29" s="28"/>
    </row>
    <row r="30" spans="1:5" s="38" customFormat="1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 t="e">
        <f>COMMANDE!K38</f>
        <v>#REF!</v>
      </c>
      <c r="E30" s="41"/>
    </row>
    <row r="31" spans="1: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 t="e">
        <f>COMMANDE!K39</f>
        <v>#REF!</v>
      </c>
      <c r="E31" s="28"/>
    </row>
    <row r="32" spans="1: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 t="e">
        <f>COMMANDE!K40</f>
        <v>#REF!</v>
      </c>
      <c r="E32" s="28"/>
    </row>
    <row r="33" spans="1: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 t="e">
        <f>COMMANDE!K41</f>
        <v>#REF!</v>
      </c>
      <c r="E33" s="28"/>
    </row>
    <row r="34" spans="1:5" ht="36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 t="e">
        <f>COMMANDE!K42</f>
        <v>#REF!</v>
      </c>
      <c r="E34" s="28"/>
    </row>
    <row r="35" spans="1: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 t="e">
        <f>COMMANDE!K43</f>
        <v>#REF!</v>
      </c>
      <c r="E35" s="28"/>
    </row>
    <row r="36" spans="1: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 t="e">
        <f>COMMANDE!K44</f>
        <v>#REF!</v>
      </c>
      <c r="E36" s="28"/>
    </row>
    <row r="37" spans="1: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 t="e">
        <f>COMMANDE!K45</f>
        <v>#REF!</v>
      </c>
      <c r="E37" s="28"/>
    </row>
    <row r="38" spans="1: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 t="e">
        <f>COMMANDE!K46</f>
        <v>#REF!</v>
      </c>
      <c r="E38" s="28"/>
    </row>
    <row r="39" spans="1: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 t="e">
        <f>COMMANDE!K47</f>
        <v>#REF!</v>
      </c>
      <c r="E39" s="28"/>
    </row>
    <row r="40" spans="1:5" ht="36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 t="e">
        <f>COMMANDE!K48</f>
        <v>#REF!</v>
      </c>
      <c r="E40" s="28"/>
    </row>
    <row r="41" spans="1: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 t="e">
        <f>COMMANDE!K49</f>
        <v>#REF!</v>
      </c>
      <c r="E41" s="28"/>
    </row>
    <row r="42" spans="1:5" ht="36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 t="e">
        <f>COMMANDE!K50</f>
        <v>#REF!</v>
      </c>
      <c r="E42" s="28"/>
    </row>
    <row r="43" spans="1: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 t="e">
        <f>COMMANDE!K51</f>
        <v>#REF!</v>
      </c>
      <c r="E43" s="28"/>
    </row>
    <row r="44" spans="1: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 t="e">
        <f>COMMANDE!K52</f>
        <v>#REF!</v>
      </c>
      <c r="E44" s="28"/>
    </row>
    <row r="45" spans="1: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 t="e">
        <f>COMMANDE!K53</f>
        <v>#REF!</v>
      </c>
      <c r="E45" s="28"/>
    </row>
    <row r="46" spans="1: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 t="e">
        <f>COMMANDE!K54</f>
        <v>#REF!</v>
      </c>
      <c r="E46" s="28"/>
    </row>
    <row r="47" spans="1:5" ht="36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 t="e">
        <f>COMMANDE!K55</f>
        <v>#REF!</v>
      </c>
      <c r="E47" s="28"/>
    </row>
    <row r="48" spans="1:5" s="45" customFormat="1" ht="19.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 t="e">
        <f>COMMANDE!K56</f>
        <v>#REF!</v>
      </c>
      <c r="E48" s="46"/>
    </row>
    <row r="49" spans="1:5" s="45" customFormat="1" ht="19.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 t="e">
        <f>COMMANDE!K57</f>
        <v>#REF!</v>
      </c>
      <c r="E49" s="46"/>
    </row>
    <row r="50" spans="1: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 t="e">
        <f>COMMANDE!K58</f>
        <v>#REF!</v>
      </c>
      <c r="E50" s="28"/>
    </row>
    <row r="51" spans="1: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 t="e">
        <f>COMMANDE!K59</f>
        <v>#REF!</v>
      </c>
      <c r="E51" s="28"/>
    </row>
    <row r="52" spans="1:5" s="45" customFormat="1" ht="36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 t="e">
        <f>COMMANDE!K60</f>
        <v>#REF!</v>
      </c>
      <c r="E52" s="46"/>
    </row>
    <row r="53" spans="1:5" s="38" customFormat="1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 t="e">
        <f>COMMANDE!K61</f>
        <v>#REF!</v>
      </c>
      <c r="E53" s="41"/>
    </row>
    <row r="54" spans="1: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 t="e">
        <f>COMMANDE!K62</f>
        <v>#REF!</v>
      </c>
      <c r="E54" s="28"/>
    </row>
    <row r="55" spans="1: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 t="e">
        <f>COMMANDE!K63</f>
        <v>#REF!</v>
      </c>
      <c r="E55" s="28"/>
    </row>
    <row r="56" spans="1: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 t="e">
        <f>COMMANDE!K64</f>
        <v>#REF!</v>
      </c>
      <c r="E56" s="28"/>
    </row>
    <row r="57" spans="1:5" ht="36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 t="e">
        <f>COMMANDE!K65</f>
        <v>#REF!</v>
      </c>
      <c r="E57" s="28"/>
    </row>
    <row r="58" spans="1:5" ht="36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 t="e">
        <f>COMMANDE!K66</f>
        <v>#REF!</v>
      </c>
      <c r="E58" s="28"/>
    </row>
    <row r="59" spans="1:5" ht="36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 t="e">
        <f>COMMANDE!K67</f>
        <v>#REF!</v>
      </c>
      <c r="E59" s="28"/>
    </row>
    <row r="60" spans="1:5" ht="36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 t="e">
        <f>COMMANDE!K68</f>
        <v>#REF!</v>
      </c>
      <c r="E60" s="28"/>
    </row>
    <row r="61" spans="1: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 t="e">
        <f>COMMANDE!K69</f>
        <v>#REF!</v>
      </c>
      <c r="E61" s="28"/>
    </row>
    <row r="62" spans="1:5" s="47" customFormat="1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 t="e">
        <f>COMMANDE!K70</f>
        <v>#REF!</v>
      </c>
    </row>
    <row r="63" spans="1: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 t="e">
        <f>COMMANDE!K71</f>
        <v>#REF!</v>
      </c>
      <c r="E63" s="28"/>
    </row>
    <row r="64" spans="1: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 t="e">
        <f>COMMANDE!K72</f>
        <v>#REF!</v>
      </c>
      <c r="E64" s="28"/>
    </row>
    <row r="65" spans="1:5" s="38" customFormat="1" ht="54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 t="e">
        <f>COMMANDE!K73</f>
        <v>#REF!</v>
      </c>
      <c r="E65" s="41"/>
    </row>
    <row r="66" spans="1:5" s="38" customFormat="1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 t="e">
        <f>COMMANDE!K74</f>
        <v>#REF!</v>
      </c>
      <c r="E66" s="41"/>
    </row>
    <row r="67" spans="1: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 t="e">
        <f>COMMANDE!K75</f>
        <v>#REF!</v>
      </c>
      <c r="E67" s="28"/>
    </row>
    <row r="68" spans="1: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 t="e">
        <f>COMMANDE!K76</f>
        <v>#REF!</v>
      </c>
      <c r="E68" s="28"/>
    </row>
    <row r="69" spans="1: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 t="e">
        <f>COMMANDE!K77</f>
        <v>#REF!</v>
      </c>
      <c r="E69" s="28"/>
    </row>
    <row r="70" spans="1: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 t="e">
        <f>COMMANDE!K78</f>
        <v>#REF!</v>
      </c>
      <c r="E70" s="28"/>
    </row>
    <row r="71" spans="1:5" ht="54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 t="e">
        <f>COMMANDE!K79</f>
        <v>#REF!</v>
      </c>
      <c r="E71" s="28"/>
    </row>
    <row r="72" spans="1: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 t="e">
        <f>COMMANDE!K80</f>
        <v>#REF!</v>
      </c>
      <c r="E72" s="28"/>
    </row>
    <row r="73" spans="1: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 t="e">
        <f>COMMANDE!K81</f>
        <v>#REF!</v>
      </c>
      <c r="E73" s="28"/>
    </row>
    <row r="74" spans="1: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 t="e">
        <f>COMMANDE!K82</f>
        <v>#REF!</v>
      </c>
      <c r="E74" s="28"/>
    </row>
    <row r="75" spans="1: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 t="e">
        <f>COMMANDE!K83</f>
        <v>#REF!</v>
      </c>
      <c r="E75" s="28"/>
    </row>
    <row r="76" spans="1: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 t="e">
        <f>COMMANDE!K84</f>
        <v>#REF!</v>
      </c>
      <c r="E76" s="28"/>
    </row>
    <row r="77" spans="1: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 t="e">
        <f>COMMANDE!K85</f>
        <v>#REF!</v>
      </c>
      <c r="E77" s="28"/>
    </row>
    <row r="78" spans="1:5" ht="36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 t="e">
        <f>COMMANDE!K86</f>
        <v>#REF!</v>
      </c>
      <c r="E78" s="28"/>
    </row>
    <row r="79" spans="1:5" ht="36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 t="e">
        <f>COMMANDE!K87</f>
        <v>#REF!</v>
      </c>
      <c r="E79" s="28"/>
    </row>
    <row r="80" spans="1:5" ht="36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 t="e">
        <f>COMMANDE!K88</f>
        <v>#REF!</v>
      </c>
      <c r="E80" s="28"/>
    </row>
    <row r="81" spans="1:5" s="45" customFormat="1" ht="36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 t="e">
        <f>COMMANDE!K89</f>
        <v>#REF!</v>
      </c>
      <c r="E81" s="46"/>
    </row>
    <row r="82" spans="1: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 t="e">
        <f>COMMANDE!K90</f>
        <v>#REF!</v>
      </c>
    </row>
    <row r="83" spans="1: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 t="e">
        <f>COMMANDE!K91</f>
        <v>#REF!</v>
      </c>
      <c r="E83" s="28"/>
    </row>
    <row r="84" spans="1: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 t="e">
        <f>COMMANDE!K92</f>
        <v>#REF!</v>
      </c>
      <c r="E84" s="28"/>
    </row>
    <row r="85" spans="1: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 t="e">
        <f>COMMANDE!K93</f>
        <v>#REF!</v>
      </c>
    </row>
    <row r="86" spans="1: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 t="e">
        <f>COMMANDE!K94</f>
        <v>#REF!</v>
      </c>
      <c r="E86" s="28"/>
    </row>
    <row r="87" spans="1: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 t="e">
        <f>COMMANDE!K95</f>
        <v>#REF!</v>
      </c>
      <c r="E87" s="28"/>
    </row>
    <row r="88" spans="1: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 t="e">
        <f>COMMANDE!K96</f>
        <v>#REF!</v>
      </c>
      <c r="E88" s="28"/>
    </row>
    <row r="89" spans="1: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 t="e">
        <f>COMMANDE!K97</f>
        <v>#REF!</v>
      </c>
      <c r="E89" s="28"/>
    </row>
    <row r="90" spans="1: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 t="e">
        <f>COMMANDE!K98</f>
        <v>#REF!</v>
      </c>
      <c r="E90" s="28"/>
    </row>
    <row r="91" spans="1:5" s="38" customFormat="1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 t="e">
        <f>COMMANDE!K99</f>
        <v>#REF!</v>
      </c>
      <c r="E91" s="41"/>
    </row>
    <row r="92" spans="1: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 t="e">
        <f>COMMANDE!K100</f>
        <v>#REF!</v>
      </c>
      <c r="E92" s="28"/>
    </row>
    <row r="93" spans="1:5" s="45" customFormat="1" ht="19.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 t="e">
        <f>COMMANDE!K101</f>
        <v>#REF!</v>
      </c>
      <c r="E93" s="46"/>
    </row>
    <row r="94" spans="1: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 t="e">
        <f>COMMANDE!K102</f>
        <v>#REF!</v>
      </c>
      <c r="E94" s="28"/>
    </row>
    <row r="95" spans="1:5" s="45" customFormat="1" ht="19.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 t="e">
        <f>COMMANDE!K103</f>
        <v>#REF!</v>
      </c>
      <c r="E95" s="46"/>
    </row>
    <row r="96" spans="1: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 t="e">
        <f>COMMANDE!K104</f>
        <v>#REF!</v>
      </c>
      <c r="E96" s="28"/>
    </row>
    <row r="97" spans="1: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 t="e">
        <f>COMMANDE!K105</f>
        <v>#REF!</v>
      </c>
      <c r="E97" s="28"/>
    </row>
    <row r="98" spans="1: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 t="e">
        <f>COMMANDE!K106</f>
        <v>#REF!</v>
      </c>
      <c r="E98" s="28"/>
    </row>
    <row r="99" spans="1: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 t="e">
        <f>COMMANDE!K107</f>
        <v>#REF!</v>
      </c>
      <c r="E99" s="28"/>
    </row>
    <row r="100" spans="1: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 t="e">
        <f>COMMANDE!K108</f>
        <v>#REF!</v>
      </c>
      <c r="E100" s="28"/>
    </row>
    <row r="101" spans="1: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 t="e">
        <f>COMMANDE!K109</f>
        <v>#REF!</v>
      </c>
      <c r="E101" s="28"/>
    </row>
    <row r="102" spans="1:5" s="45" customFormat="1" ht="36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 t="e">
        <f>COMMANDE!K110</f>
        <v>#REF!</v>
      </c>
      <c r="E102" s="46"/>
    </row>
    <row r="103" spans="1: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 t="e">
        <f>COMMANDE!K111</f>
        <v>#REF!</v>
      </c>
      <c r="E103" s="28"/>
    </row>
    <row r="104" spans="1: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 t="e">
        <f>COMMANDE!K112</f>
        <v>#REF!</v>
      </c>
      <c r="E104" s="28"/>
    </row>
    <row r="105" spans="1:5" s="45" customFormat="1" ht="19.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 t="e">
        <f>COMMANDE!K113</f>
        <v>#REF!</v>
      </c>
      <c r="E105" s="46"/>
    </row>
    <row r="106" spans="1:5" s="45" customFormat="1" ht="19.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 t="e">
        <f>COMMANDE!K114</f>
        <v>#REF!</v>
      </c>
      <c r="E106" s="46"/>
    </row>
    <row r="107" spans="1: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 t="e">
        <f>COMMANDE!K115</f>
        <v>#REF!</v>
      </c>
      <c r="E107" s="28"/>
    </row>
    <row r="108" spans="1: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 t="e">
        <f>COMMANDE!K116</f>
        <v>#REF!</v>
      </c>
      <c r="E108" s="28"/>
    </row>
    <row r="109" spans="1: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 t="e">
        <f>COMMANDE!K117</f>
        <v>#REF!</v>
      </c>
      <c r="E109" s="28"/>
    </row>
    <row r="110" spans="1: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 t="e">
        <f>COMMANDE!K118</f>
        <v>#REF!</v>
      </c>
      <c r="E110" s="28"/>
    </row>
    <row r="111" spans="1: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 t="e">
        <f>COMMANDE!K119</f>
        <v>#REF!</v>
      </c>
      <c r="E111" s="28"/>
    </row>
    <row r="112" spans="1: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 t="e">
        <f>COMMANDE!K120</f>
        <v>#REF!</v>
      </c>
      <c r="E112" s="28"/>
    </row>
    <row r="113" spans="1:5" s="45" customFormat="1" ht="19.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 t="e">
        <f>COMMANDE!K121</f>
        <v>#REF!</v>
      </c>
      <c r="E113" s="46"/>
    </row>
    <row r="114" spans="1:5" s="45" customFormat="1" ht="19.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 t="e">
        <f>COMMANDE!K122</f>
        <v>#REF!</v>
      </c>
      <c r="E114" s="46"/>
    </row>
    <row r="115" spans="1:5" ht="36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 t="e">
        <f>COMMANDE!K123</f>
        <v>#REF!</v>
      </c>
      <c r="E115" s="28"/>
    </row>
    <row r="116" spans="1:5" ht="36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 t="e">
        <f>COMMANDE!K124</f>
        <v>#REF!</v>
      </c>
      <c r="E116" s="28"/>
    </row>
    <row r="117" spans="1: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 t="e">
        <f>COMMANDE!K125</f>
        <v>#REF!</v>
      </c>
      <c r="E117" s="28"/>
    </row>
    <row r="118" spans="1: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 t="e">
        <f>COMMANDE!K126</f>
        <v>#REF!</v>
      </c>
      <c r="E118" s="28"/>
    </row>
    <row r="119" spans="1: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 t="e">
        <f>COMMANDE!K127</f>
        <v>#REF!</v>
      </c>
      <c r="E119" s="28"/>
    </row>
    <row r="120" spans="1:5" ht="54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 t="e">
        <f>COMMANDE!K128</f>
        <v>#REF!</v>
      </c>
      <c r="E120" s="28"/>
    </row>
    <row r="121" spans="1:5" s="45" customFormat="1" ht="36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 t="e">
        <f>COMMANDE!K129</f>
        <v>#REF!</v>
      </c>
      <c r="E121" s="46"/>
    </row>
    <row r="122" spans="1: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 t="e">
        <f>COMMANDE!K130</f>
        <v>#REF!</v>
      </c>
      <c r="E122" s="28"/>
    </row>
    <row r="123" spans="1:5" ht="54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 t="e">
        <f>COMMANDE!K131</f>
        <v>#REF!</v>
      </c>
      <c r="E123" s="28"/>
    </row>
    <row r="124" spans="1: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 t="e">
        <f>COMMANDE!K132</f>
        <v>#REF!</v>
      </c>
      <c r="E124" s="28"/>
    </row>
    <row r="125" spans="1:5" ht="36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 t="e">
        <f>COMMANDE!K133</f>
        <v>#REF!</v>
      </c>
      <c r="E125" s="28"/>
    </row>
    <row r="126" spans="1:5" ht="54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 t="e">
        <f>COMMANDE!K134</f>
        <v>#REF!</v>
      </c>
      <c r="E126" s="28"/>
    </row>
    <row r="127" spans="1: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 t="e">
        <f>COMMANDE!K135</f>
        <v>#REF!</v>
      </c>
      <c r="E127" s="28"/>
    </row>
    <row r="128" spans="1: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 t="e">
        <f>COMMANDE!K136</f>
        <v>#REF!</v>
      </c>
      <c r="E128" s="28"/>
    </row>
    <row r="129" spans="1: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 t="e">
        <f>COMMANDE!K137</f>
        <v>#REF!</v>
      </c>
      <c r="E129" s="28"/>
    </row>
    <row r="130" spans="1: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 t="e">
        <f>COMMANDE!K138</f>
        <v>#REF!</v>
      </c>
      <c r="E130" s="28"/>
    </row>
    <row r="131" spans="1:5" ht="36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 t="e">
        <f>COMMANDE!K139</f>
        <v>#REF!</v>
      </c>
      <c r="E131" s="28"/>
    </row>
    <row r="132" spans="1: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 t="e">
        <f>COMMANDE!K140</f>
        <v>#REF!</v>
      </c>
      <c r="E132" s="28"/>
    </row>
    <row r="133" spans="1: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 t="e">
        <f>COMMANDE!K141</f>
        <v>#REF!</v>
      </c>
      <c r="E133" s="28"/>
    </row>
    <row r="134" spans="1: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 t="e">
        <f>COMMANDE!K142</f>
        <v>#REF!</v>
      </c>
      <c r="E134" s="28"/>
    </row>
    <row r="135" spans="1: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 t="e">
        <f>COMMANDE!K143</f>
        <v>#REF!</v>
      </c>
      <c r="E135" s="28"/>
    </row>
    <row r="136" spans="1: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 t="e">
        <f>COMMANDE!K144</f>
        <v>#REF!</v>
      </c>
      <c r="E136" s="28"/>
    </row>
    <row r="137" spans="1: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 t="e">
        <f>COMMANDE!K145</f>
        <v>#REF!</v>
      </c>
      <c r="E137" s="28"/>
    </row>
    <row r="138" spans="1: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 t="e">
        <f>COMMANDE!K146</f>
        <v>#REF!</v>
      </c>
      <c r="E138" s="28"/>
    </row>
    <row r="139" spans="1: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 t="e">
        <f>COMMANDE!K147</f>
        <v>#REF!</v>
      </c>
      <c r="E139" s="28"/>
    </row>
    <row r="140" spans="1: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 t="e">
        <f>COMMANDE!K148</f>
        <v>#REF!</v>
      </c>
      <c r="E140" s="28"/>
    </row>
    <row r="141" spans="1: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 t="e">
        <f>COMMANDE!K149</f>
        <v>#REF!</v>
      </c>
      <c r="E141" s="28"/>
    </row>
    <row r="142" spans="1: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 t="e">
        <f>COMMANDE!K150</f>
        <v>#REF!</v>
      </c>
      <c r="E142" s="28"/>
    </row>
    <row r="143" spans="1: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 t="e">
        <f>COMMANDE!K151</f>
        <v>#REF!</v>
      </c>
      <c r="E143" s="28"/>
    </row>
    <row r="144" spans="1: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 t="e">
        <f>COMMANDE!K152</f>
        <v>#REF!</v>
      </c>
      <c r="E144" s="28"/>
    </row>
    <row r="145" spans="1: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 t="e">
        <f>COMMANDE!K153</f>
        <v>#REF!</v>
      </c>
      <c r="E145" s="28"/>
    </row>
    <row r="146" spans="1: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 t="e">
        <f>COMMANDE!K154</f>
        <v>#REF!</v>
      </c>
      <c r="E146" s="28"/>
    </row>
    <row r="147" spans="1: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 t="e">
        <f>COMMANDE!K155</f>
        <v>#REF!</v>
      </c>
      <c r="E147" s="28"/>
    </row>
    <row r="148" spans="1: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 t="e">
        <f>COMMANDE!K156</f>
        <v>#REF!</v>
      </c>
      <c r="E148" s="28"/>
    </row>
    <row r="149" spans="1: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 t="e">
        <f>COMMANDE!K157</f>
        <v>#REF!</v>
      </c>
      <c r="E149" s="28"/>
    </row>
    <row r="150" spans="1: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 t="e">
        <f>COMMANDE!K158</f>
        <v>#REF!</v>
      </c>
      <c r="E150" s="28"/>
    </row>
    <row r="151" spans="1:5" ht="54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 t="e">
        <f>COMMANDE!K159</f>
        <v>#REF!</v>
      </c>
      <c r="E151" s="28"/>
    </row>
    <row r="152" spans="1: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 t="e">
        <f>COMMANDE!K160</f>
        <v>#REF!</v>
      </c>
      <c r="E152" s="28"/>
    </row>
    <row r="153" spans="1: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 t="e">
        <f>COMMANDE!K161</f>
        <v>#REF!</v>
      </c>
      <c r="E153" s="28"/>
    </row>
    <row r="154" spans="1: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 t="e">
        <f>COMMANDE!K162</f>
        <v>#REF!</v>
      </c>
      <c r="E154" s="28"/>
    </row>
    <row r="155" spans="1: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 t="e">
        <f>COMMANDE!K163</f>
        <v>#REF!</v>
      </c>
      <c r="E155" s="28"/>
    </row>
    <row r="156" spans="1: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 t="e">
        <f>COMMANDE!K164</f>
        <v>#REF!</v>
      </c>
      <c r="E156" s="28"/>
    </row>
    <row r="157" spans="1: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 t="e">
        <f>COMMANDE!K165</f>
        <v>#REF!</v>
      </c>
      <c r="E157" s="28"/>
    </row>
    <row r="158" spans="1:5" ht="36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 t="e">
        <f>COMMANDE!K166</f>
        <v>#REF!</v>
      </c>
      <c r="E158" s="28"/>
    </row>
    <row r="159" spans="1: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 t="e">
        <f>COMMANDE!K167</f>
        <v>#REF!</v>
      </c>
      <c r="E159" s="28"/>
    </row>
    <row r="160" spans="1: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 t="e">
        <f>COMMANDE!K168</f>
        <v>#REF!</v>
      </c>
      <c r="E160" s="28"/>
    </row>
    <row r="161" spans="1: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 t="e">
        <f>COMMANDE!K169</f>
        <v>#REF!</v>
      </c>
      <c r="E161" s="28"/>
    </row>
    <row r="162" spans="1: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 t="e">
        <f>COMMANDE!K170</f>
        <v>#REF!</v>
      </c>
      <c r="E162" s="28"/>
    </row>
    <row r="163" spans="1: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 t="e">
        <f>COMMANDE!K171</f>
        <v>#REF!</v>
      </c>
      <c r="E163" s="28"/>
    </row>
    <row r="164" spans="1: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 t="e">
        <f>COMMANDE!K172</f>
        <v>#REF!</v>
      </c>
      <c r="E164" s="28"/>
    </row>
    <row r="165" spans="1: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 t="e">
        <f>COMMANDE!K173</f>
        <v>#REF!</v>
      </c>
      <c r="E165" s="28"/>
    </row>
    <row r="166" spans="1: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 t="e">
        <f>COMMANDE!K174</f>
        <v>#REF!</v>
      </c>
      <c r="E166" s="28"/>
    </row>
    <row r="167" spans="1: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 t="e">
        <f>COMMANDE!K175</f>
        <v>#REF!</v>
      </c>
      <c r="E167" s="28"/>
    </row>
    <row r="168" spans="1: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 t="e">
        <f>COMMANDE!K176</f>
        <v>#REF!</v>
      </c>
      <c r="E168" s="28"/>
    </row>
    <row r="169" spans="1: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 t="e">
        <f>COMMANDE!K177</f>
        <v>#REF!</v>
      </c>
      <c r="E169" s="28"/>
    </row>
    <row r="170" spans="1: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 t="e">
        <f>COMMANDE!K178</f>
        <v>#REF!</v>
      </c>
      <c r="E170" s="28"/>
    </row>
    <row r="171" spans="1: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 t="e">
        <f>COMMANDE!K179</f>
        <v>#REF!</v>
      </c>
      <c r="E171" s="28"/>
    </row>
    <row r="172" spans="1: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 t="e">
        <f>COMMANDE!K180</f>
        <v>#REF!</v>
      </c>
      <c r="E172" s="28"/>
    </row>
    <row r="173" spans="1: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 t="e">
        <f>COMMANDE!K181</f>
        <v>#REF!</v>
      </c>
      <c r="E173" s="28"/>
    </row>
    <row r="174" spans="1: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 t="e">
        <f>COMMANDE!K182</f>
        <v>#REF!</v>
      </c>
      <c r="E174" s="28"/>
    </row>
    <row r="175" spans="1: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 t="e">
        <f>COMMANDE!K183</f>
        <v>#REF!</v>
      </c>
      <c r="E175" s="28"/>
    </row>
    <row r="176" spans="1: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 t="e">
        <f>COMMANDE!K184</f>
        <v>#REF!</v>
      </c>
      <c r="E176" s="28"/>
    </row>
    <row r="177" spans="1: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 t="e">
        <f>COMMANDE!K185</f>
        <v>#REF!</v>
      </c>
      <c r="E177" s="28"/>
    </row>
    <row r="178" spans="1: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 t="e">
        <f>COMMANDE!K186</f>
        <v>#REF!</v>
      </c>
      <c r="E178" s="28"/>
    </row>
    <row r="179" spans="1: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 t="e">
        <f>COMMANDE!K187</f>
        <v>#REF!</v>
      </c>
      <c r="E179" s="28"/>
    </row>
    <row r="180" spans="1: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 t="e">
        <f>COMMANDE!K188</f>
        <v>#REF!</v>
      </c>
      <c r="E180" s="28"/>
    </row>
    <row r="181" spans="1: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 t="e">
        <f>COMMANDE!K189</f>
        <v>#REF!</v>
      </c>
      <c r="E181" s="28"/>
    </row>
    <row r="182" spans="1:5" ht="36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 t="e">
        <f>COMMANDE!K190</f>
        <v>#REF!</v>
      </c>
      <c r="E182" s="28"/>
    </row>
    <row r="183" spans="1: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 t="e">
        <f>COMMANDE!K191</f>
        <v>#REF!</v>
      </c>
      <c r="E183" s="28"/>
    </row>
    <row r="184" spans="1: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 t="e">
        <f>COMMANDE!K192</f>
        <v>#REF!</v>
      </c>
      <c r="E184" s="28"/>
    </row>
    <row r="185" spans="1: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 t="e">
        <f>COMMANDE!K193</f>
        <v>#REF!</v>
      </c>
      <c r="E185" s="28"/>
    </row>
    <row r="186" spans="1: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 t="e">
        <f>COMMANDE!K194</f>
        <v>#REF!</v>
      </c>
      <c r="E186" s="28"/>
    </row>
    <row r="187" spans="1: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 t="e">
        <f>COMMANDE!K195</f>
        <v>#REF!</v>
      </c>
      <c r="E187" s="28"/>
    </row>
    <row r="188" spans="1:5" ht="36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 t="e">
        <f>COMMANDE!K196</f>
        <v>#REF!</v>
      </c>
      <c r="E188" s="28"/>
    </row>
    <row r="189" spans="1:5" ht="36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 t="e">
        <f>COMMANDE!K197</f>
        <v>#REF!</v>
      </c>
      <c r="E189" s="28"/>
    </row>
    <row r="190" spans="1: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 t="e">
        <f>COMMANDE!K198</f>
        <v>#REF!</v>
      </c>
      <c r="E190" s="28"/>
    </row>
    <row r="191" spans="1:5">
      <c r="A191" s="68">
        <f>BDD!A189</f>
        <v>0</v>
      </c>
      <c r="B191" s="42">
        <f>BDD!D189</f>
        <v>0</v>
      </c>
      <c r="C191" s="43">
        <f>BDD!E189</f>
        <v>0</v>
      </c>
      <c r="D191" s="44" t="e">
        <f>COMMANDE!K199</f>
        <v>#REF!</v>
      </c>
      <c r="E191" s="28"/>
    </row>
    <row r="192" spans="1:5">
      <c r="A192" s="68">
        <f>BDD!A190</f>
        <v>0</v>
      </c>
      <c r="B192" s="42">
        <f>BDD!D190</f>
        <v>0</v>
      </c>
      <c r="C192" s="43">
        <f>BDD!E190</f>
        <v>0</v>
      </c>
      <c r="D192" s="44" t="e">
        <f>COMMANDE!K200</f>
        <v>#REF!</v>
      </c>
      <c r="E192" s="28"/>
    </row>
    <row r="193" spans="1:5">
      <c r="A193" s="68">
        <f>BDD!A191</f>
        <v>0</v>
      </c>
      <c r="B193" s="42">
        <f>BDD!D191</f>
        <v>0</v>
      </c>
      <c r="C193" s="43">
        <f>BDD!E191</f>
        <v>0</v>
      </c>
      <c r="D193" s="44" t="e">
        <f>COMMANDE!K201</f>
        <v>#REF!</v>
      </c>
      <c r="E193" s="28"/>
    </row>
    <row r="194" spans="1:5">
      <c r="A194" s="68">
        <f>BDD!A192</f>
        <v>0</v>
      </c>
      <c r="B194" s="42">
        <f>BDD!D192</f>
        <v>0</v>
      </c>
      <c r="C194" s="43">
        <f>BDD!E192</f>
        <v>0</v>
      </c>
      <c r="D194" s="44" t="e">
        <f>COMMANDE!K202</f>
        <v>#REF!</v>
      </c>
      <c r="E194" s="28"/>
    </row>
    <row r="195" spans="1:5">
      <c r="A195" s="68">
        <f>BDD!A193</f>
        <v>0</v>
      </c>
      <c r="B195" s="42">
        <f>BDD!D193</f>
        <v>0</v>
      </c>
      <c r="C195" s="43">
        <f>BDD!E193</f>
        <v>0</v>
      </c>
      <c r="D195" s="44" t="e">
        <f>COMMANDE!K203</f>
        <v>#REF!</v>
      </c>
      <c r="E195" s="28"/>
    </row>
    <row r="196" spans="1:5">
      <c r="A196" s="68">
        <f>BDD!A194</f>
        <v>0</v>
      </c>
      <c r="B196" s="42">
        <f>BDD!D194</f>
        <v>0</v>
      </c>
      <c r="C196" s="43">
        <f>BDD!E194</f>
        <v>0</v>
      </c>
      <c r="D196" s="44" t="e">
        <f>COMMANDE!K204</f>
        <v>#REF!</v>
      </c>
      <c r="E196" s="28"/>
    </row>
    <row r="197" spans="1:5">
      <c r="A197" s="68">
        <f>BDD!A195</f>
        <v>0</v>
      </c>
      <c r="B197" s="42">
        <f>BDD!D195</f>
        <v>0</v>
      </c>
      <c r="C197" s="43">
        <f>BDD!E195</f>
        <v>0</v>
      </c>
      <c r="D197" s="44" t="e">
        <f>COMMANDE!K205</f>
        <v>#REF!</v>
      </c>
      <c r="E197" s="28"/>
    </row>
    <row r="198" spans="1:5">
      <c r="A198" s="68">
        <f>BDD!A196</f>
        <v>0</v>
      </c>
      <c r="B198" s="42">
        <f>BDD!D196</f>
        <v>0</v>
      </c>
      <c r="C198" s="43">
        <f>BDD!E196</f>
        <v>0</v>
      </c>
      <c r="D198" s="44" t="e">
        <f>COMMANDE!K206</f>
        <v>#REF!</v>
      </c>
      <c r="E198" s="28"/>
    </row>
    <row r="199" spans="1:5">
      <c r="A199" s="68">
        <f>BDD!A197</f>
        <v>0</v>
      </c>
      <c r="B199" s="42">
        <f>BDD!D197</f>
        <v>0</v>
      </c>
      <c r="C199" s="43">
        <f>BDD!E197</f>
        <v>0</v>
      </c>
      <c r="D199" s="44" t="e">
        <f>COMMANDE!K207</f>
        <v>#REF!</v>
      </c>
      <c r="E199" s="28"/>
    </row>
    <row r="200" spans="1:5">
      <c r="A200" s="68">
        <f>BDD!A198</f>
        <v>0</v>
      </c>
      <c r="B200" s="42">
        <f>BDD!D198</f>
        <v>0</v>
      </c>
      <c r="C200" s="43">
        <f>BDD!E198</f>
        <v>0</v>
      </c>
      <c r="D200" s="44" t="e">
        <f>COMMANDE!K208</f>
        <v>#REF!</v>
      </c>
      <c r="E200" s="28"/>
    </row>
    <row r="201" spans="1:5">
      <c r="A201" s="68">
        <f>BDD!A199</f>
        <v>0</v>
      </c>
      <c r="B201" s="42">
        <f>BDD!D199</f>
        <v>0</v>
      </c>
      <c r="C201" s="43">
        <f>BDD!E199</f>
        <v>0</v>
      </c>
      <c r="D201" s="44" t="e">
        <f>COMMANDE!K209</f>
        <v>#REF!</v>
      </c>
      <c r="E201" s="28"/>
    </row>
    <row r="202" spans="1:5">
      <c r="A202" s="68">
        <f>BDD!A200</f>
        <v>0</v>
      </c>
      <c r="B202" s="42">
        <f>BDD!D200</f>
        <v>0</v>
      </c>
      <c r="C202" s="43">
        <f>BDD!E200</f>
        <v>0</v>
      </c>
      <c r="D202" s="44" t="e">
        <f>COMMANDE!K210</f>
        <v>#REF!</v>
      </c>
      <c r="E202" s="28"/>
    </row>
    <row r="203" spans="1:5">
      <c r="A203" s="68">
        <f>BDD!A201</f>
        <v>0</v>
      </c>
      <c r="B203" s="42">
        <f>BDD!D201</f>
        <v>0</v>
      </c>
      <c r="C203" s="43">
        <f>BDD!E201</f>
        <v>0</v>
      </c>
      <c r="D203" s="44" t="e">
        <f>COMMANDE!K211</f>
        <v>#REF!</v>
      </c>
      <c r="E203" s="28"/>
    </row>
    <row r="204" spans="1:5">
      <c r="A204" s="68">
        <f>BDD!A202</f>
        <v>0</v>
      </c>
      <c r="B204" s="42">
        <f>BDD!D202</f>
        <v>0</v>
      </c>
      <c r="C204" s="43">
        <f>BDD!E202</f>
        <v>0</v>
      </c>
      <c r="D204" s="44" t="e">
        <f>COMMANDE!K212</f>
        <v>#REF!</v>
      </c>
      <c r="E204" s="28"/>
    </row>
    <row r="205" spans="1:5">
      <c r="A205" s="68">
        <f>BDD!A203</f>
        <v>0</v>
      </c>
      <c r="B205" s="42">
        <f>BDD!D203</f>
        <v>0</v>
      </c>
      <c r="C205" s="43">
        <f>BDD!E203</f>
        <v>0</v>
      </c>
      <c r="D205" s="44" t="e">
        <f>COMMANDE!K213</f>
        <v>#REF!</v>
      </c>
      <c r="E205" s="28"/>
    </row>
    <row r="206" spans="1:5">
      <c r="A206" s="68">
        <f>BDD!A204</f>
        <v>0</v>
      </c>
      <c r="B206" s="42">
        <f>BDD!D204</f>
        <v>0</v>
      </c>
      <c r="C206" s="43">
        <f>BDD!E204</f>
        <v>0</v>
      </c>
      <c r="D206" s="44" t="e">
        <f>COMMANDE!K214</f>
        <v>#REF!</v>
      </c>
      <c r="E206" s="28"/>
    </row>
    <row r="207" spans="1:5">
      <c r="A207" s="68">
        <f>BDD!A205</f>
        <v>0</v>
      </c>
      <c r="B207" s="42">
        <f>BDD!D205</f>
        <v>0</v>
      </c>
      <c r="C207" s="43">
        <f>BDD!E205</f>
        <v>0</v>
      </c>
      <c r="D207" s="44" t="e">
        <f>COMMANDE!K215</f>
        <v>#REF!</v>
      </c>
      <c r="E207" s="28"/>
    </row>
    <row r="208" spans="1:5">
      <c r="A208" s="68">
        <f>BDD!A206</f>
        <v>0</v>
      </c>
      <c r="B208" s="42">
        <f>BDD!D206</f>
        <v>0</v>
      </c>
      <c r="C208" s="43">
        <f>BDD!E206</f>
        <v>0</v>
      </c>
      <c r="D208" s="44" t="e">
        <f>COMMANDE!K216</f>
        <v>#REF!</v>
      </c>
      <c r="E208" s="28"/>
    </row>
    <row r="209" spans="1:5">
      <c r="A209" s="68">
        <f>BDD!A207</f>
        <v>0</v>
      </c>
      <c r="B209" s="42">
        <f>BDD!D207</f>
        <v>0</v>
      </c>
      <c r="C209" s="43">
        <f>BDD!E207</f>
        <v>0</v>
      </c>
      <c r="D209" s="44" t="e">
        <f>COMMANDE!K217</f>
        <v>#REF!</v>
      </c>
      <c r="E209" s="28"/>
    </row>
    <row r="210" spans="1:5">
      <c r="A210" s="68">
        <f>BDD!A208</f>
        <v>0</v>
      </c>
      <c r="B210" s="42">
        <f>BDD!D208</f>
        <v>0</v>
      </c>
      <c r="C210" s="43">
        <f>BDD!E208</f>
        <v>0</v>
      </c>
      <c r="D210" s="44" t="e">
        <f>COMMANDE!K218</f>
        <v>#REF!</v>
      </c>
      <c r="E210" s="28"/>
    </row>
    <row r="211" spans="1:5">
      <c r="A211" s="68">
        <f>BDD!A209</f>
        <v>0</v>
      </c>
      <c r="B211" s="42">
        <f>BDD!D209</f>
        <v>0</v>
      </c>
      <c r="C211" s="43">
        <f>BDD!E209</f>
        <v>0</v>
      </c>
      <c r="D211" s="44" t="e">
        <f>COMMANDE!K219</f>
        <v>#REF!</v>
      </c>
      <c r="E211" s="28"/>
    </row>
    <row r="212" spans="1:5">
      <c r="A212" s="68">
        <f>BDD!A210</f>
        <v>0</v>
      </c>
      <c r="B212" s="42">
        <f>BDD!D210</f>
        <v>0</v>
      </c>
      <c r="C212" s="43">
        <f>BDD!E210</f>
        <v>0</v>
      </c>
      <c r="D212" s="44" t="e">
        <f>COMMANDE!K220</f>
        <v>#REF!</v>
      </c>
      <c r="E212" s="28"/>
    </row>
    <row r="213" spans="1:5">
      <c r="A213" s="68">
        <f>BDD!A211</f>
        <v>0</v>
      </c>
      <c r="B213" s="42">
        <f>BDD!D211</f>
        <v>0</v>
      </c>
      <c r="C213" s="43">
        <f>BDD!E211</f>
        <v>0</v>
      </c>
      <c r="D213" s="44" t="e">
        <f>COMMANDE!K221</f>
        <v>#REF!</v>
      </c>
      <c r="E213" s="28"/>
    </row>
    <row r="214" spans="1:5">
      <c r="A214" s="68">
        <f>BDD!A212</f>
        <v>0</v>
      </c>
      <c r="B214" s="42">
        <f>BDD!D212</f>
        <v>0</v>
      </c>
      <c r="C214" s="43">
        <f>BDD!E212</f>
        <v>0</v>
      </c>
      <c r="D214" s="44" t="e">
        <f>COMMANDE!K222</f>
        <v>#REF!</v>
      </c>
      <c r="E214" s="28"/>
    </row>
    <row r="215" spans="1:5">
      <c r="A215" s="68">
        <f>BDD!A213</f>
        <v>0</v>
      </c>
      <c r="B215" s="42">
        <f>BDD!D213</f>
        <v>0</v>
      </c>
      <c r="C215" s="43">
        <f>BDD!E213</f>
        <v>0</v>
      </c>
      <c r="D215" s="44" t="e">
        <f>COMMANDE!K223</f>
        <v>#REF!</v>
      </c>
      <c r="E215" s="28"/>
    </row>
    <row r="216" spans="1:5">
      <c r="A216" s="68">
        <f>BDD!A214</f>
        <v>0</v>
      </c>
      <c r="B216" s="42">
        <f>BDD!D214</f>
        <v>0</v>
      </c>
      <c r="C216" s="43">
        <f>BDD!E214</f>
        <v>0</v>
      </c>
      <c r="D216" s="44" t="e">
        <f>COMMANDE!K224</f>
        <v>#REF!</v>
      </c>
      <c r="E216" s="28"/>
    </row>
    <row r="217" spans="1:5">
      <c r="A217" s="68">
        <f>BDD!A215</f>
        <v>0</v>
      </c>
      <c r="B217" s="42">
        <f>BDD!D215</f>
        <v>0</v>
      </c>
      <c r="C217" s="43">
        <f>BDD!E215</f>
        <v>0</v>
      </c>
      <c r="D217" s="44" t="e">
        <f>COMMANDE!K225</f>
        <v>#REF!</v>
      </c>
      <c r="E217" s="28"/>
    </row>
    <row r="218" spans="1:5">
      <c r="A218" s="68">
        <f>BDD!A216</f>
        <v>0</v>
      </c>
      <c r="B218" s="42">
        <f>BDD!D216</f>
        <v>0</v>
      </c>
      <c r="C218" s="43">
        <f>BDD!E216</f>
        <v>0</v>
      </c>
      <c r="D218" s="44" t="e">
        <f>COMMANDE!K226</f>
        <v>#REF!</v>
      </c>
      <c r="E218" s="28"/>
    </row>
    <row r="219" spans="1:5">
      <c r="A219" s="68">
        <f>BDD!A217</f>
        <v>0</v>
      </c>
      <c r="B219" s="42">
        <f>BDD!D217</f>
        <v>0</v>
      </c>
      <c r="C219" s="43">
        <f>BDD!E217</f>
        <v>0</v>
      </c>
      <c r="D219" s="44" t="e">
        <f>COMMANDE!K227</f>
        <v>#REF!</v>
      </c>
      <c r="E219" s="28"/>
    </row>
    <row r="220" spans="1:5">
      <c r="A220" s="68">
        <f>BDD!A218</f>
        <v>0</v>
      </c>
      <c r="B220" s="42">
        <f>BDD!D218</f>
        <v>0</v>
      </c>
      <c r="C220" s="43">
        <f>BDD!E218</f>
        <v>0</v>
      </c>
      <c r="D220" s="44" t="e">
        <f>COMMANDE!K228</f>
        <v>#REF!</v>
      </c>
      <c r="E220" s="28"/>
    </row>
    <row r="221" spans="1:5">
      <c r="A221" s="68">
        <f>BDD!A219</f>
        <v>0</v>
      </c>
      <c r="B221" s="42">
        <f>BDD!D219</f>
        <v>0</v>
      </c>
      <c r="C221" s="43">
        <f>BDD!E219</f>
        <v>0</v>
      </c>
      <c r="D221" s="44" t="e">
        <f>COMMANDE!K229</f>
        <v>#REF!</v>
      </c>
      <c r="E221" s="28"/>
    </row>
    <row r="222" spans="1:5">
      <c r="A222" s="68">
        <f>BDD!A220</f>
        <v>0</v>
      </c>
      <c r="B222" s="42">
        <f>BDD!D220</f>
        <v>0</v>
      </c>
      <c r="C222" s="43">
        <f>BDD!E220</f>
        <v>0</v>
      </c>
      <c r="D222" s="44" t="e">
        <f>COMMANDE!K230</f>
        <v>#REF!</v>
      </c>
      <c r="E222" s="28"/>
    </row>
    <row r="223" spans="1:5">
      <c r="A223" s="68">
        <f>BDD!A221</f>
        <v>0</v>
      </c>
      <c r="B223" s="42">
        <f>BDD!D221</f>
        <v>0</v>
      </c>
      <c r="C223" s="43">
        <f>BDD!E221</f>
        <v>0</v>
      </c>
      <c r="D223" s="44" t="e">
        <f>COMMANDE!K231</f>
        <v>#REF!</v>
      </c>
      <c r="E223" s="28"/>
    </row>
    <row r="224" spans="1:5">
      <c r="A224" s="68">
        <f>BDD!A222</f>
        <v>0</v>
      </c>
      <c r="B224" s="42">
        <f>BDD!D222</f>
        <v>0</v>
      </c>
      <c r="C224" s="43">
        <f>BDD!E222</f>
        <v>0</v>
      </c>
      <c r="D224" s="44" t="e">
        <f>COMMANDE!K232</f>
        <v>#REF!</v>
      </c>
      <c r="E224" s="28"/>
    </row>
    <row r="225" spans="1:5">
      <c r="A225" s="68">
        <f>BDD!A223</f>
        <v>0</v>
      </c>
      <c r="B225" s="42">
        <f>BDD!D223</f>
        <v>0</v>
      </c>
      <c r="C225" s="43">
        <f>BDD!E223</f>
        <v>0</v>
      </c>
      <c r="D225" s="44" t="e">
        <f>COMMANDE!K233</f>
        <v>#REF!</v>
      </c>
      <c r="E225" s="28"/>
    </row>
    <row r="226" spans="1:5">
      <c r="A226" s="68">
        <f>BDD!A224</f>
        <v>0</v>
      </c>
      <c r="B226" s="42">
        <f>BDD!D224</f>
        <v>0</v>
      </c>
      <c r="C226" s="43">
        <f>BDD!E224</f>
        <v>0</v>
      </c>
      <c r="D226" s="44" t="e">
        <f>COMMANDE!K234</f>
        <v>#REF!</v>
      </c>
      <c r="E226" s="28"/>
    </row>
    <row r="227" spans="1:5">
      <c r="A227" s="68">
        <f>BDD!A225</f>
        <v>0</v>
      </c>
      <c r="B227" s="42">
        <f>BDD!D225</f>
        <v>0</v>
      </c>
      <c r="C227" s="43">
        <f>BDD!E225</f>
        <v>0</v>
      </c>
      <c r="D227" s="44" t="e">
        <f>COMMANDE!K235</f>
        <v>#REF!</v>
      </c>
      <c r="E227" s="28"/>
    </row>
    <row r="228" spans="1:5">
      <c r="A228" s="68">
        <f>BDD!A226</f>
        <v>0</v>
      </c>
      <c r="B228" s="42">
        <f>BDD!D226</f>
        <v>0</v>
      </c>
      <c r="C228" s="43">
        <f>BDD!E226</f>
        <v>0</v>
      </c>
      <c r="D228" s="44" t="e">
        <f>COMMANDE!K236</f>
        <v>#REF!</v>
      </c>
      <c r="E228" s="28"/>
    </row>
    <row r="229" spans="1:5">
      <c r="A229" s="68">
        <f>BDD!A227</f>
        <v>0</v>
      </c>
      <c r="B229" s="42">
        <f>BDD!D227</f>
        <v>0</v>
      </c>
      <c r="C229" s="43">
        <f>BDD!E227</f>
        <v>0</v>
      </c>
      <c r="D229" s="44" t="e">
        <f>COMMANDE!K237</f>
        <v>#REF!</v>
      </c>
      <c r="E229" s="28"/>
    </row>
    <row r="230" spans="1:5">
      <c r="A230" s="68">
        <f>BDD!A228</f>
        <v>0</v>
      </c>
      <c r="B230" s="42">
        <f>BDD!D228</f>
        <v>0</v>
      </c>
      <c r="C230" s="43">
        <f>BDD!E228</f>
        <v>0</v>
      </c>
      <c r="D230" s="44" t="e">
        <f>COMMANDE!K238</f>
        <v>#REF!</v>
      </c>
      <c r="E230" s="28"/>
    </row>
    <row r="231" spans="1:5">
      <c r="A231" s="68">
        <f>BDD!A229</f>
        <v>0</v>
      </c>
      <c r="B231" s="42">
        <f>BDD!D229</f>
        <v>0</v>
      </c>
      <c r="C231" s="43">
        <f>BDD!E229</f>
        <v>0</v>
      </c>
      <c r="D231" s="44" t="e">
        <f>COMMANDE!K239</f>
        <v>#REF!</v>
      </c>
      <c r="E231" s="28"/>
    </row>
    <row r="232" spans="1:5">
      <c r="A232" s="68">
        <f>BDD!A230</f>
        <v>0</v>
      </c>
      <c r="B232" s="42">
        <f>BDD!D230</f>
        <v>0</v>
      </c>
      <c r="C232" s="43">
        <f>BDD!E230</f>
        <v>0</v>
      </c>
      <c r="D232" s="44" t="e">
        <f>COMMANDE!K240</f>
        <v>#REF!</v>
      </c>
      <c r="E232" s="28"/>
    </row>
    <row r="233" spans="1:5">
      <c r="A233" s="68">
        <f>BDD!A231</f>
        <v>0</v>
      </c>
      <c r="B233" s="42">
        <f>BDD!D231</f>
        <v>0</v>
      </c>
      <c r="C233" s="43">
        <f>BDD!E231</f>
        <v>0</v>
      </c>
      <c r="D233" s="44" t="e">
        <f>COMMANDE!K241</f>
        <v>#REF!</v>
      </c>
      <c r="E233" s="28"/>
    </row>
    <row r="234" spans="1:5">
      <c r="A234" s="68">
        <f>BDD!A232</f>
        <v>0</v>
      </c>
      <c r="B234" s="42">
        <f>BDD!D232</f>
        <v>0</v>
      </c>
      <c r="C234" s="43">
        <f>BDD!E232</f>
        <v>0</v>
      </c>
      <c r="D234" s="44" t="e">
        <f>COMMANDE!K242</f>
        <v>#REF!</v>
      </c>
      <c r="E234" s="28"/>
    </row>
    <row r="235" spans="1:5">
      <c r="A235" s="68">
        <f>BDD!A233</f>
        <v>0</v>
      </c>
      <c r="B235" s="42">
        <f>BDD!D233</f>
        <v>0</v>
      </c>
      <c r="C235" s="43">
        <f>BDD!E233</f>
        <v>0</v>
      </c>
      <c r="D235" s="44" t="e">
        <f>COMMANDE!K243</f>
        <v>#REF!</v>
      </c>
      <c r="E235" s="28"/>
    </row>
    <row r="236" spans="1:5">
      <c r="A236" s="68">
        <f>BDD!A234</f>
        <v>0</v>
      </c>
      <c r="B236" s="42">
        <f>BDD!D234</f>
        <v>0</v>
      </c>
      <c r="C236" s="43">
        <f>BDD!E234</f>
        <v>0</v>
      </c>
      <c r="D236" s="44" t="e">
        <f>COMMANDE!K244</f>
        <v>#REF!</v>
      </c>
      <c r="E236" s="28"/>
    </row>
    <row r="237" spans="1:5">
      <c r="A237" s="68">
        <f>BDD!A235</f>
        <v>0</v>
      </c>
      <c r="B237" s="42">
        <f>BDD!D235</f>
        <v>0</v>
      </c>
      <c r="C237" s="43">
        <f>BDD!E235</f>
        <v>0</v>
      </c>
      <c r="D237" s="44" t="e">
        <f>COMMANDE!K245</f>
        <v>#REF!</v>
      </c>
      <c r="E237" s="28"/>
    </row>
    <row r="238" spans="1:5">
      <c r="A238" s="68">
        <f>BDD!A236</f>
        <v>0</v>
      </c>
      <c r="B238" s="42">
        <f>BDD!D236</f>
        <v>0</v>
      </c>
      <c r="C238" s="43">
        <f>BDD!E236</f>
        <v>0</v>
      </c>
      <c r="D238" s="44" t="e">
        <f>COMMANDE!K246</f>
        <v>#REF!</v>
      </c>
      <c r="E238" s="28"/>
    </row>
    <row r="239" spans="1:5">
      <c r="A239" s="68">
        <f>BDD!A237</f>
        <v>0</v>
      </c>
      <c r="B239" s="42">
        <f>BDD!D237</f>
        <v>0</v>
      </c>
      <c r="C239" s="43">
        <f>BDD!E237</f>
        <v>0</v>
      </c>
      <c r="D239" s="44" t="e">
        <f>COMMANDE!K247</f>
        <v>#REF!</v>
      </c>
      <c r="E239" s="28"/>
    </row>
    <row r="240" spans="1:5">
      <c r="A240" s="68">
        <f>BDD!A238</f>
        <v>0</v>
      </c>
      <c r="B240" s="42">
        <f>BDD!D238</f>
        <v>0</v>
      </c>
      <c r="C240" s="43">
        <f>BDD!E238</f>
        <v>0</v>
      </c>
      <c r="D240" s="44" t="e">
        <f>COMMANDE!K248</f>
        <v>#REF!</v>
      </c>
      <c r="E240" s="28"/>
    </row>
    <row r="241" spans="1:5">
      <c r="A241" s="68">
        <f>BDD!A239</f>
        <v>0</v>
      </c>
      <c r="B241" s="42">
        <f>BDD!D239</f>
        <v>0</v>
      </c>
      <c r="C241" s="43">
        <f>BDD!E239</f>
        <v>0</v>
      </c>
      <c r="D241" s="44" t="e">
        <f>COMMANDE!K249</f>
        <v>#REF!</v>
      </c>
      <c r="E241" s="28"/>
    </row>
    <row r="242" spans="1:5">
      <c r="A242" s="68">
        <f>BDD!A240</f>
        <v>0</v>
      </c>
      <c r="B242" s="42">
        <f>BDD!D240</f>
        <v>0</v>
      </c>
      <c r="C242" s="43">
        <f>BDD!E240</f>
        <v>0</v>
      </c>
      <c r="D242" s="44" t="e">
        <f>COMMANDE!K250</f>
        <v>#REF!</v>
      </c>
      <c r="E242" s="28"/>
    </row>
    <row r="243" spans="1:5">
      <c r="A243" s="68">
        <f>BDD!A241</f>
        <v>0</v>
      </c>
      <c r="B243" s="42">
        <f>BDD!D241</f>
        <v>0</v>
      </c>
      <c r="C243" s="43">
        <f>BDD!E241</f>
        <v>0</v>
      </c>
      <c r="D243" s="44" t="e">
        <f>COMMANDE!K251</f>
        <v>#REF!</v>
      </c>
      <c r="E243" s="28"/>
    </row>
    <row r="244" spans="1:5">
      <c r="A244" s="68">
        <f>BDD!A242</f>
        <v>0</v>
      </c>
      <c r="B244" s="42">
        <f>BDD!D242</f>
        <v>0</v>
      </c>
      <c r="C244" s="43">
        <f>BDD!E242</f>
        <v>0</v>
      </c>
      <c r="D244" s="44" t="e">
        <f>COMMANDE!K252</f>
        <v>#REF!</v>
      </c>
      <c r="E244" s="28"/>
    </row>
    <row r="245" spans="1:5">
      <c r="A245" s="68">
        <f>BDD!A243</f>
        <v>0</v>
      </c>
      <c r="B245" s="42">
        <f>BDD!D243</f>
        <v>0</v>
      </c>
      <c r="C245" s="43">
        <f>BDD!E243</f>
        <v>0</v>
      </c>
      <c r="D245" s="44" t="e">
        <f>COMMANDE!K253</f>
        <v>#REF!</v>
      </c>
      <c r="E245" s="28"/>
    </row>
    <row r="246" spans="1:5">
      <c r="A246" s="68">
        <f>BDD!A244</f>
        <v>0</v>
      </c>
      <c r="B246" s="42">
        <f>BDD!D244</f>
        <v>0</v>
      </c>
      <c r="C246" s="43">
        <f>BDD!E244</f>
        <v>0</v>
      </c>
      <c r="D246" s="44" t="e">
        <f>COMMANDE!K254</f>
        <v>#REF!</v>
      </c>
      <c r="E246" s="28"/>
    </row>
    <row r="247" spans="1:5">
      <c r="A247" s="68">
        <f>BDD!A245</f>
        <v>0</v>
      </c>
      <c r="B247" s="42">
        <f>BDD!D245</f>
        <v>0</v>
      </c>
      <c r="C247" s="43">
        <f>BDD!E245</f>
        <v>0</v>
      </c>
      <c r="D247" s="44" t="e">
        <f>COMMANDE!K255</f>
        <v>#REF!</v>
      </c>
      <c r="E247" s="28"/>
    </row>
    <row r="248" spans="1:5">
      <c r="A248" s="68">
        <f>BDD!A246</f>
        <v>0</v>
      </c>
      <c r="B248" s="42">
        <f>BDD!D246</f>
        <v>0</v>
      </c>
      <c r="C248" s="43">
        <f>BDD!E246</f>
        <v>0</v>
      </c>
      <c r="D248" s="44" t="e">
        <f>COMMANDE!K256</f>
        <v>#REF!</v>
      </c>
      <c r="E248" s="28"/>
    </row>
    <row r="249" spans="1:5">
      <c r="A249" s="68">
        <f>BDD!A247</f>
        <v>0</v>
      </c>
      <c r="B249" s="42">
        <f>BDD!D247</f>
        <v>0</v>
      </c>
      <c r="C249" s="43">
        <f>BDD!E247</f>
        <v>0</v>
      </c>
      <c r="D249" s="44" t="e">
        <f>COMMANDE!K257</f>
        <v>#REF!</v>
      </c>
      <c r="E249" s="28"/>
    </row>
    <row r="250" spans="1:5">
      <c r="A250" s="68">
        <f>BDD!A248</f>
        <v>0</v>
      </c>
      <c r="B250" s="42">
        <f>BDD!D248</f>
        <v>0</v>
      </c>
      <c r="C250" s="43">
        <f>BDD!E248</f>
        <v>0</v>
      </c>
      <c r="D250" s="44" t="e">
        <f>COMMANDE!K258</f>
        <v>#REF!</v>
      </c>
    </row>
    <row r="270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420084-007D-41EF-BFA2-00D100F700D2}">
            <xm:f>NOT(EXACT($D$2,#REF!))</xm:f>
            <x14:dxf>
              <font>
                <color theme="0"/>
              </font>
              <fill>
                <patternFill patternType="solid">
                  <fgColor rgb="FFC00000"/>
                  <bgColor rgb="FFC00000"/>
                </patternFill>
              </fill>
            </x14:dxf>
          </x14:cfRule>
          <xm:sqref>D2</xm:sqref>
        </x14:conditionalFormatting>
        <x14:conditionalFormatting xmlns:xm="http://schemas.microsoft.com/office/excel/2006/main">
          <x14:cfRule type="expression" priority="16241" id="{004C0027-0086-4F0F-AAF5-00A400410030}">
            <xm:f>NOT(EXACT($A251,#REF!))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A251:A269</xm:sqref>
        </x14:conditionalFormatting>
        <x14:conditionalFormatting xmlns:xm="http://schemas.microsoft.com/office/excel/2006/main">
          <x14:cfRule type="expression" priority="22015" id="{004C0027-0086-4F0F-AAF5-00A400410030}">
            <xm:f>NOT(EXACT($A4,#REF!))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A4:A250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/>
    <row r="2" spans="1:6"/>
    <row r="3" spans="1:6"/>
    <row r="4" spans="1:6"/>
    <row r="5" spans="1:6"/>
    <row r="6" spans="1:6"/>
    <row r="7" spans="1:6" ht="71.25" customHeight="1">
      <c r="A7" s="505" t="s">
        <v>501</v>
      </c>
      <c r="B7" s="505"/>
      <c r="C7" s="505"/>
      <c r="D7" s="505"/>
      <c r="E7" s="505"/>
      <c r="F7" s="49"/>
    </row>
    <row r="8" spans="1:6" ht="15.75" thickBot="1">
      <c r="A8" s="193"/>
    </row>
    <row r="9" spans="1:6" ht="33.75" customHeight="1" thickTop="1" thickBot="1">
      <c r="A9" s="503" t="s">
        <v>502</v>
      </c>
      <c r="B9" s="504"/>
      <c r="C9" s="506" t="s">
        <v>503</v>
      </c>
      <c r="D9" s="507"/>
      <c r="E9" s="508"/>
      <c r="F9" s="48"/>
    </row>
    <row r="10" spans="1:6" ht="30.75" thickTop="1">
      <c r="A10" s="194" t="s">
        <v>504</v>
      </c>
      <c r="B10" s="195" t="s">
        <v>505</v>
      </c>
      <c r="C10" s="195" t="s">
        <v>506</v>
      </c>
      <c r="D10" s="196" t="s">
        <v>507</v>
      </c>
      <c r="E10" s="197" t="s">
        <v>508</v>
      </c>
      <c r="F10" s="5"/>
    </row>
    <row r="11" spans="1:6" ht="20.25" customHeight="1">
      <c r="A11" s="509" t="s">
        <v>509</v>
      </c>
      <c r="B11" s="198" t="e">
        <f>#REF!</f>
        <v>#REF!</v>
      </c>
      <c r="C11" s="199" t="e">
        <f>#REF!</f>
        <v>#REF!</v>
      </c>
      <c r="D11" s="515" t="s">
        <v>510</v>
      </c>
      <c r="E11" s="518" t="e">
        <f>QTE_CMD</f>
        <v>#REF!</v>
      </c>
    </row>
    <row r="12" spans="1:6" ht="47.25" customHeight="1">
      <c r="A12" s="510"/>
      <c r="B12" s="200" t="e">
        <f>#REF!</f>
        <v>#REF!</v>
      </c>
      <c r="C12" s="512" t="e">
        <f>#REF!</f>
        <v>#REF!</v>
      </c>
      <c r="D12" s="516"/>
      <c r="E12" s="519"/>
    </row>
    <row r="13" spans="1:6">
      <c r="A13" s="510"/>
      <c r="B13" s="200" t="e">
        <f>#REF!</f>
        <v>#REF!</v>
      </c>
      <c r="C13" s="513"/>
      <c r="D13" s="516"/>
      <c r="E13" s="519"/>
    </row>
    <row r="14" spans="1:6" ht="15.75" thickBot="1">
      <c r="A14" s="511"/>
      <c r="B14" s="201" t="e">
        <f>#REF!</f>
        <v>#REF!</v>
      </c>
      <c r="C14" s="514"/>
      <c r="D14" s="517"/>
      <c r="E14" s="520"/>
    </row>
    <row r="15" spans="1:6" ht="16.5" thickTop="1" thickBot="1">
      <c r="A15" s="498" t="s">
        <v>511</v>
      </c>
      <c r="B15" s="499"/>
      <c r="C15" s="521" t="e">
        <f>#REF!</f>
        <v>#REF!</v>
      </c>
      <c r="D15" s="522"/>
      <c r="E15" s="523"/>
    </row>
    <row r="16" spans="1:6" ht="108" customHeight="1" thickTop="1" thickBot="1">
      <c r="A16" s="498" t="s">
        <v>512</v>
      </c>
      <c r="B16" s="499"/>
      <c r="C16" s="500"/>
      <c r="D16" s="501"/>
      <c r="E16" s="502"/>
    </row>
    <row r="17" spans="1:5" ht="48.75" customHeight="1" thickTop="1" thickBot="1">
      <c r="A17" s="495" t="s">
        <v>513</v>
      </c>
      <c r="B17" s="496"/>
      <c r="C17" s="496"/>
      <c r="D17" s="496"/>
      <c r="E17" s="497"/>
    </row>
    <row r="18" spans="1:5" ht="12" customHeight="1" thickTop="1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32</vt:i4>
      </vt:variant>
    </vt:vector>
  </HeadingPairs>
  <TitlesOfParts>
    <vt:vector size="46" baseType="lpstr">
      <vt:lpstr>AIDE</vt:lpstr>
      <vt:lpstr>COMMANDE</vt:lpstr>
      <vt:lpstr>ADMIN2</vt:lpstr>
      <vt:lpstr>BL</vt:lpstr>
      <vt:lpstr>BON_COMMANDE</vt:lpstr>
      <vt:lpstr>BON_FACTURE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BON_FACTURE!AVOIR</vt:lpstr>
      <vt:lpstr>AVOIR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RDV_SAN</vt:lpstr>
      <vt:lpstr>reduc1</vt:lpstr>
      <vt:lpstr>reduc2</vt:lpstr>
      <vt:lpstr>reduc3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  <vt:lpstr>BON_FACTURE!Zone_d_impression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2020-11-08T11:26:13Z</cp:lastPrinted>
  <dcterms:created xsi:type="dcterms:W3CDTF">2019-02-13T21:12:38Z</dcterms:created>
  <dcterms:modified xsi:type="dcterms:W3CDTF">2020-11-08T11:28:27Z</dcterms:modified>
  <cp:category/>
  <cp:contentStatus/>
</cp:coreProperties>
</file>